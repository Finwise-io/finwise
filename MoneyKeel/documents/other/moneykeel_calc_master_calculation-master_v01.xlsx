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'home'!$A$1:$AO$18</definedName>
    <definedName name="_xlnm._FilterDatabase" localSheetId="5" hidden="1">'networth'!$A$1:$AO$73</definedName>
    <definedName name="_xlnm._FilterDatabase" localSheetId="6" hidden="1">'performance'!$A$1:$AO$26</definedName>
    <definedName name="_xlnm._FilterDatabase" localSheetId="7" hidden="1">'plan'!$A$1:$AO$47</definedName>
    <definedName name="_xlnm._FilterDatabase" localSheetId="8" hidden="1">'cashflow'!$A$1:$AO$76</definedName>
    <definedName name="_xlnm._FilterDatabase" localSheetId="9" hidden="1">'menu'!$A$1:$AO$41</definedName>
    <definedName name="_xlnm._FilterDatabase" localSheetId="10" hidden="1">'inputs'!$A$1:$J$67</definedName>
    <definedName name="_xlnm._FilterDatabase" localSheetId="11" hidden="1">'database'!$A$1:$G$31</definedName>
    <definedName name="_xlnm._FilterDatabase" localSheetId="12" hidden="1">'core_screens'!$A$1:$D$46</definedName>
    <definedName name="_xlnm._FilterDatabase" localSheetId="13" hidden="1">'reconciliation'!$A$1:$E$69</definedName>
    <definedName name="_xlnm._FilterDatabase" localSheetId="14" hidden="1">'engines-old-tab'!$A$1:$F$63</definedName>
    <definedName name="_xlnm._FilterDatabase" localSheetId="15" hidden="1">'functions_from_code'!$A$1:$Y$730</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32 questions · 0 input lists · 24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2026-10-19</t>
        </is>
      </c>
    </row>
    <row r="5" ht="30" customHeight="1">
      <c r="A5" s="4" t="inlineStr">
        <is>
          <t>Date file last modified</t>
        </is>
      </c>
      <c r="B5" s="3" t="inlineStr">
        <is>
          <t>2026-10-19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benchmark named in the code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no benchmark named in the code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216 of 216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728, read from the code on this build. PARTIAL for figures: 31 of 216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31 of 216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728 functions carry both forms on this build: 21 no arithmetic · 25 not read · 361 partly read · 90 read by hand 2026-08-26 · 231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MK-CF-F-132 map → MK-NW-F-134 carValueNotEnteredNotes → MK-NW-F-031 primaryCarIdOf → MK-NW-F-033 retirementEarmarkedValue → MK-PL-F-068 selectWillItLast
5. MK-ST-F-049 formatMoney → MK-ST-F-053 money → MK-NW-F-134 carValueNotEnteredNotes → MK-NW-F-031 primaryCarIdOf → MK-NW-F-033 retirementEarmarkedValue → MK-PL-F-068 selectWillItLast
6. MK-XS-F-122 n → MK-ST-F-053 money → MK-NW-F-134 carValueNotEnteredNotes → MK-NW-F-031 primaryCarIdOf → MK-NW-F-033 retirementEarmarkedValue → MK-PL-F-068 selectWillItLast
7. primaryCarIdOf (already above — a loop) → MK-NW-F-134 carValueNotEnteredNotes → MK-NW-F-031 primaryCarIdOf → MK-NW-F-033 retirementEarmarkedValue → MK-PL-F-068 selectWillItLast
8. retirementEarmarkedValue (already above — a loop) → MK-NW-F-134 carValueNotEnteredNotes → MK-NW-F-031 primaryCarIdOf → MK-NW-F-033 retirementEarmarkedValue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46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MK-NW-F-037,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MK-NW-F-124,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MK-PL-F-068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Turns a monthly figure into a year by multiplying by twelve.
4. MK-CF-F-092 — Uses today's date from the device clock, so the answer changes by itself overnight.
5. MK-CF-F-092 — Never lets earned before401k fall below 0.
6. MK-CF-F-065 — Uses a built-in total v of 0.
7. MK-CF-F-087 — Uses today's date from the device clock, so the answer changes by itself overnight.
8. MK-CF-F-181 — Turns a monthly figure into a year by multiplying by twelve.
9. MK-CF-F-181 — Rounds the answer to a whole number.
10. MK-CF-F-068 — Turns a monthly figure into a year by multiplying by twelve.
11. MK-CF-F-088 — Uses today's date from the device clock, so the answer changes by itself overnight.
12. MK-CF-F-088 — Never lets t fall below 0.
13. MK-CF-F-177 — Uses today's date from the device clock, so the answer changes by itself overnight.
14. MK-PL-F-012 — If emergency gap is missing it uses 0.
15. MK-PL-F-012 — If toxic debt is missing it uses 0.
16. MK-PL-F-012 — If employer match monthly is missing it uses 0.
17. MK-PL-F-012 — Never lets surplus fall below 0.
18. MK-PL-F-012 — Never lets need fall below 0.
19. MK-CF-F-008 — Treats a year as twelve equal months.
20. MK-CF-F-008 — Turns a monthly figure into a year by multiplying by twelve.
21. MK-CF-F-176 — If r[i] is missing it counts as zero, so nothing recorded and a real zero look the same.
22. MK-CF-F-180 — Uses a built-in total of 0.
23. MK-CF-F-180 — Turns a monthly figure into a year by multiplying by twelve.
24. MK-CF-F-089 — Uses today's date from the device clock, so the answer changes by itself overnight.
25. MK-CF-F-082 — Uses today's date from the device clock, so the answer changes by itself overnight.
… and 52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MK-CF-F-173 (earnerWages) → EarnerWage[]
4. MK-CF-F-065 (equityVestWeights) → number[] | null
5. MK-CF-F-071 (extraIncome) → NOT DECLARED — the code does not say what it gives back
6. MK-ST-F-056 (has) → NOT DECLARED — the code does not say what it gives back
7. MK-CF-F-206 (householdK401ByMonth) → number[]
8. MK-CF-F-132 (map) → NOT DECLARED — the code does not say what it gives back
9. MK-CF-F-087 (monthlyTaxRates) → number[]
10. MK-CF-F-073 (otherIncomeMonth) → number
11. MK-CF-F-181 (rateInForce) → RateInForce
12. MK-CF-F-068 (rentalNetAnnual) → number
13. MK-CF-F-066 (rsuAnnual) → number
14. MK-CF-F-060 (salaryGrossByMonth) → number[]
15. MK-CF-F-077 (scholarshipByCalendarMonth) → number[]
16. MK-CF-F-088 (taxableByCalendarMonth) → number[]
17. MK-ST-F-052 (toNum) → number
18. MK-CF-F-177 (wageGrossByMonth) → number[]
19.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MK-CF-F-176 — If r[i] is missing it counts as zero, so nothing recorded and a real zero look the same.
18. MK-CF-F-180 — Uses a built-in total of 0.
19. MK-CF-F-180 — Turns a monthly figure into a year by multiplying by twelve.
20. MK-CF-F-089 — Uses today's date from the device clock, so the answer changes by itself overnight.
21. MK-CF-F-082 — Uses today's date from the device clock, so the answer changes by itself overnight.
22. MK-CF-F-101 — Never lets state rate fall below 0.
23. MK-CF-F-101 — The 2026 bands per filing status are the Reference tab's statutory table (IRS Rev. Proc. 2025-32 §4.01), checked by statutory_constants.test.ts.
24. MK-CF-F-084 — Turns a monthly figure into a year by multiplying by twelve.
25. MK-CF-F-084 — Uses today's date from the device clock, so the answer changes by itself overnight.
… and 51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2026-10-19</t>
        </is>
      </c>
      <c r="AH6" s="3" t="inlineStr"/>
      <c r="AI6" s="3" t="inlineStr"/>
      <c r="AJ6"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2026-10-19</t>
        </is>
      </c>
      <c r="AH7" s="3" t="inlineStr"/>
      <c r="AI7" s="3" t="inlineStr"/>
      <c r="AJ7"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the time-weighted return of every investment account together: the window split at every day money moved in or out, each piece = the value just before the next movement ÷ the value just after the last one, the pieces multiplied, less 1;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MK-CF-F-132 (map) → NOT DECLARED — the code does not say what it gives back
15. MK-ST-F-082 (movementsOf) → NOT DECLARED — the code does not say what it gives back
16. MK-NW-F-130 (notIncludedSentence) → string
17. MK-PF-F-010 (periodReturn) → number | null
18. MK-ST-F-013 (personalFlowTotals) → PersonalFlowTotals
19. MK-NW-F-091 (pricedGainOf) → number | null
20. MK-ST-F-030 (record) → SnapshotDay[]
21. MK-ST-F-081 (timeWeightedReturn) → TimeWeightedVerdict
22. MK-ST-F-021 (toNumber) → number | null
23. MK-ST-F-031 (valueOn) → number | null
24. MK-ST-F-060 (verdict) → Reconciliation
25. MK-NW-F-105 (whyNoReturn) → string
26. MK-ST-F-038 (windowBounds) → WindowBounds
27. MK-NW-F-090 (windowStartKey) → string | null
28. MK-PF-F-042 (windowTotal) → number | null</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2026-10-19</t>
        </is>
      </c>
      <c r="AH8" s="3" t="inlineStr"/>
      <c r="AI8" s="3" t="inlineStr"/>
      <c r="AJ8"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MK-XS-F-122 n → MK-NW-F-067 plural → MK-ST-F-075 agoLabel → MK-XS-F-082 priceFreshness
3.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/income-manager</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/itemize</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/look-back</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/monthly-income</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/onboarding</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no calculated figure on this screen</t>
        </is>
      </c>
      <c r="Z17" s="3" t="n"/>
      <c r="AA17" s="3" t="n"/>
      <c r="AB17" s="3" t="n"/>
      <c r="AC17" s="3" t="n"/>
      <c r="AD17" s="3" t="n"/>
      <c r="AE17" s="3" t="n"/>
      <c r="AF17" s="3" t="n"/>
      <c r="AG17" s="3" t="n"/>
      <c r="AH17" s="3" t="n"/>
      <c r="AI17" s="3" t="n"/>
      <c r="AJ17" s="3" t="n"/>
      <c r="AK17" s="3" t="n"/>
      <c r="AL17" s="3" t="n"/>
      <c r="AM17" s="3" t="n"/>
      <c r="AN17" s="3" t="n"/>
      <c r="AO17" s="3" t="n"/>
    </row>
    <row r="18" ht="60" customHeight="1">
      <c r="A18" s="3" t="inlineStr"/>
      <c r="B18" s="3" t="inlineStr">
        <is>
          <t>Home</t>
        </is>
      </c>
      <c r="C18" s="3" t="inlineStr">
        <is>
          <t>/performance</t>
        </is>
      </c>
      <c r="D18" s="3" t="inlineStr">
        <is>
          <t>—</t>
        </is>
      </c>
      <c r="E18" s="3" t="inlineStr">
        <is>
          <t>—</t>
        </is>
      </c>
      <c r="F18" s="3" t="inlineStr">
        <is>
          <t>—</t>
        </is>
      </c>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DETERMINED</t>
        </is>
      </c>
      <c r="Y18" s="3" t="inlineStr">
        <is>
          <t>READ 2026-08-22 — the same screen as /invest, reached by a second route</t>
        </is>
      </c>
      <c r="Z18" s="3" t="n"/>
      <c r="AA18" s="3" t="n"/>
      <c r="AB18" s="3" t="n"/>
      <c r="AC18" s="3" t="n"/>
      <c r="AD18" s="3" t="n"/>
      <c r="AE18" s="3" t="n"/>
      <c r="AF18" s="3" t="n"/>
      <c r="AG18" s="3" t="n"/>
      <c r="AH18" s="3" t="n"/>
      <c r="AI18" s="3" t="n"/>
      <c r="AJ18" s="3" t="n"/>
      <c r="AK18" s="3" t="n"/>
      <c r="AL18" s="3" t="n"/>
      <c r="AM18" s="3" t="n"/>
      <c r="AN18" s="3" t="n"/>
      <c r="AO18" s="3" t="n"/>
    </row>
  </sheetData>
  <autoFilter ref="A1:AO1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73"/>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Networth</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/bonds</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/holding-detail</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/income-manager</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Networth</t>
        </is>
      </c>
      <c r="C7" s="3" t="inlineStr">
        <is>
          <t>/itemize</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Networth</t>
        </is>
      </c>
      <c r="C8" s="3" t="inlineStr">
        <is>
          <t>/look-back</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Networth</t>
        </is>
      </c>
      <c r="C9" s="3" t="inlineStr">
        <is>
          <t>/monthly-income</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Networth</t>
        </is>
      </c>
      <c r="C10" s="3" t="inlineStr">
        <is>
          <t>/performance</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the same screen as /invest, reached by a second route</t>
        </is>
      </c>
      <c r="Z10" s="3" t="n"/>
      <c r="AA10" s="3" t="n"/>
      <c r="AB10" s="3" t="n"/>
      <c r="AC10" s="3" t="n"/>
      <c r="AD10" s="3" t="n"/>
      <c r="AE10" s="3" t="n"/>
      <c r="AF10" s="3" t="n"/>
      <c r="AG10" s="3" t="n"/>
      <c r="AH10" s="3" t="n"/>
      <c r="AI10" s="3" t="n"/>
      <c r="AJ10" s="3" t="n"/>
      <c r="AK10" s="3" t="n"/>
      <c r="AL10" s="3" t="n"/>
      <c r="AM10" s="3" t="n"/>
      <c r="AN10" s="3" t="n"/>
      <c r="AO10" s="3" t="n"/>
    </row>
    <row r="11" ht="60" customHeight="1">
      <c r="A11" s="3" t="inlineStr">
        <is>
          <t>MK-NW-M-001</t>
        </is>
      </c>
      <c r="B11" s="3" t="inlineStr">
        <is>
          <t>Networth</t>
        </is>
      </c>
      <c r="C11" s="3" t="inlineStr">
        <is>
          <t>/networth</t>
        </is>
      </c>
      <c r="D11" s="3" t="inlineStr">
        <is>
          <t>Change in net worth +$X</t>
        </is>
      </c>
      <c r="E11" s="3" t="inlineStr">
        <is>
          <t>change_in_net_worth_x</t>
        </is>
      </c>
      <c r="F11" s="3" t="inlineStr">
        <is>
          <t>theNetWorth</t>
        </is>
      </c>
      <c r="G11" s="3" t="inlineStr">
        <is>
          <t>MK-NW-O-003</t>
        </is>
      </c>
      <c r="H11" s="3" t="inlineStr">
        <is>
          <t>change = net worth at the latest point − net worth at the chosen earlier date, both read from the trend series (MK-XS-F-005); the subtraction itself is done on the Net-worth screen — no function on record (build-spec D1)</t>
        </is>
      </c>
      <c r="I11" s="3" t="inlineStr">
        <is>
          <t>the last point on the trend line less its first point</t>
        </is>
      </c>
      <c r="J11" s="3" t="inlineStr">
        <is>
          <t>MK-XS-I-031 the recorded history</t>
        </is>
      </c>
      <c r="K11" s="3" t="inlineStr">
        <is>
          <t>dollars, whole</t>
        </is>
      </c>
      <c r="L11" s="3" t="inlineStr">
        <is>
          <t>A line needs at least two points; with one, the point is shown and no change is stated.</t>
        </is>
      </c>
      <c r="M11" s="3" t="inlineStr">
        <is>
          <t>one figure per household</t>
        </is>
      </c>
      <c r="N11" s="3" t="inlineStr">
        <is>
          <t>as of today</t>
        </is>
      </c>
      <c r="O1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11" s="3" t="inlineStr">
        <is>
          <t>Declared by MK-NW-O-003 theNetWorth</t>
        </is>
      </c>
      <c r="Q11" s="3" t="inlineStr">
        <is>
          <t>IT IS READ FROM THE RECORD, never back-solved: the months we actually saved and the daily points after them.
A month and its own days live in one series, sorted by their date text — "2026-04" sorts before "2026-04-30", which is what makes plain text sorting safe.</t>
        </is>
      </c>
      <c r="R11" s="3" t="inlineStr">
        <is>
          <t>IT IS READ FROM THE RECORD, never back-solved: the months we actually saved and the daily points after them.
A month and its own days live in one series, sorted by their date text — "2026-04" sorts before "2026-04-30", which is what makes plain text sorting safe.</t>
        </is>
      </c>
      <c r="S11" s="3" t="inlineStr"/>
      <c r="T11" s="3" t="inlineStr">
        <is>
          <t>IT IS READ FROM THE RECORD, never back-solved: the months we actually saved and the daily points after them.
A month and its own days live in one series, sorted by their date text — "2026-04" sorts before "2026-04-30", which is what makes plain text sorting safe.</t>
        </is>
      </c>
      <c r="U11" s="3" t="inlineStr">
        <is>
          <t>DECLARED 2026-09-30. It was hand-typed on the master until then, so the row and the code could drift with nothing to notice.</t>
        </is>
      </c>
      <c r="V11" s="3" t="inlineStr">
        <is>
          <t>Q32 — The trend survives on a new device but the walk behind it does not. Should the trend say so, or show quietly?</t>
        </is>
      </c>
      <c r="W11" s="3" t="inlineStr">
        <is>
          <t>Q32 — ANSWERED 2026-09-30: Don't understand the question - what trend are your referring to?
BUILT: 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X11" s="3" t="inlineStr"/>
      <c r="Y11" s="3" t="inlineStr"/>
      <c r="Z11" s="3" t="inlineStr">
        <is>
          <t>DRAFT — declared in the code and printed here, WAITING FOR YOUR VERDICT before the screens move behind the door (rule 10)</t>
        </is>
      </c>
      <c r="AA11" s="3" t="inlineStr"/>
      <c r="AB11" s="3" t="inlineStr"/>
      <c r="AC11" s="3" t="inlineStr"/>
      <c r="AD11" s="3" t="inlineStr"/>
      <c r="AE11"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11" s="3" t="inlineStr">
        <is>
          <t>ACTIVE</t>
        </is>
      </c>
      <c r="AG11" s="3" t="inlineStr">
        <is>
          <t>2026-10-19</t>
        </is>
      </c>
      <c r="AH11" s="3" t="inlineStr"/>
      <c r="AI11" s="3" t="inlineStr"/>
      <c r="AJ11"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RULED? NOT YET — read this row and say yes, or say what changes. Nothing moves behind MK-NW-O-003 theNetWorth until you do.</t>
        </is>
      </c>
      <c r="AN11" s="3" t="inlineStr">
        <is>
          <t>Net worth recorded at the end of each month — $240,000 in January, $246,000 in February, $252,000 in March, $258,000 in April — and one daily point of $261,200 on 30 April.
GIVES: $21,200
(the test re-runs this through MK-NW-O-003 theNetWorth on every build)</t>
        </is>
      </c>
      <c r="AO11" s="9" t="inlineStr">
        <is>
          <t>WAITING ON YOU — row to approve: say yes in YOUR ANSWER, or say what changes · RULED, NOT CODED (Q-NW-1 — one question, one function)</t>
        </is>
      </c>
    </row>
    <row r="12" ht="60" customHeight="1">
      <c r="A12" s="3" t="inlineStr">
        <is>
          <t>MK-NW-M-002</t>
        </is>
      </c>
      <c r="B12" s="3" t="inlineStr">
        <is>
          <t>Networth</t>
        </is>
      </c>
      <c r="C12" s="3" t="inlineStr">
        <is>
          <t>/analytics</t>
        </is>
      </c>
      <c r="D12" s="3" t="inlineStr">
        <is>
          <t>Return on cash + investments</t>
        </is>
      </c>
      <c r="E12" s="3" t="inlineStr">
        <is>
          <t>return_on_cash__investments</t>
        </is>
      </c>
      <c r="F12" s="3" t="inlineStr">
        <is>
          <t>theNetWorth</t>
        </is>
      </c>
      <c r="G12" s="3" t="inlineStr">
        <is>
          <t>MK-NW-O-003</t>
        </is>
      </c>
      <c r="H12"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I12"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J12" s="3" t="inlineStr">
        <is>
          <t>MK-NW-I-001 your accounts
MK-NW-I-003 the recorded history
MK-NW-I-004 the activity records</t>
        </is>
      </c>
      <c r="K12" s="3" t="inlineStr">
        <is>
          <t>a percentage, two decimals</t>
        </is>
      </c>
      <c r="L12" s="3" t="inlineStr">
        <is>
          <t>No figure: the record does not reach back to the day compared from, or money moved on a day with no recorded value.</t>
        </is>
      </c>
      <c r="M12" s="3" t="inlineStr">
        <is>
          <t>one figure per household</t>
        </is>
      </c>
      <c r="N12" s="3" t="inlineStr">
        <is>
          <t>as of today</t>
        </is>
      </c>
      <c r="O1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12" s="3" t="inlineStr">
        <is>
          <t>Declared by MK-NW-O-003 theNetWorth</t>
        </is>
      </c>
      <c r="Q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R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S12" s="3" t="inlineStr"/>
      <c r="T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U12" s="3" t="inlineStr"/>
      <c r="V12" s="3" t="inlineStr">
        <is>
          <t>Q17 — "Return on cash + investments" counts money you paid in as a gain. Is the LABEL wrong, or the FORMULA? Fixing the formula means removing deposits and withdrawals before measuring.</t>
        </is>
      </c>
      <c r="W12" s="3" t="inlineStr">
        <is>
          <t>Q17 — ANSWERED 2026-09-30: Money paid should not be counted as a gain. The formula is incorrect and should be corrected. Formula Time weighted return.
BUILT: The formula was wrong, not the label. Money paid in is not a gain. The return on cash + investments is a time-weighted return.</t>
        </is>
      </c>
      <c r="X12" s="3" t="inlineStr"/>
      <c r="Y12" s="3" t="inlineStr"/>
      <c r="Z12" s="3" t="inlineStr">
        <is>
          <t>DECLARED IN THE CODE (rule 11) — printed from the door, not typed. RULED 2026-10-04</t>
        </is>
      </c>
      <c r="AA12" s="3" t="inlineStr"/>
      <c r="AB12" s="3" t="inlineStr"/>
      <c r="AC12" s="3" t="inlineStr"/>
      <c r="AD12" s="3" t="inlineStr"/>
      <c r="AE12" s="3" t="inlineStr">
        <is>
          <t>G28 batch 1 (2026-09-09) — FILE RIGHT, code record blind. MK-XS-F-010 is handed the snapshot series (MK-XS-I-031) by its caller. Proposed approved list: MK-XS-I-031.</t>
        </is>
      </c>
      <c r="AF12" s="3" t="inlineStr">
        <is>
          <t>ACTIVE</t>
        </is>
      </c>
      <c r="AG12" s="3" t="inlineStr">
        <is>
          <t>2026-10-19</t>
        </is>
      </c>
      <c r="AH12" s="3" t="inlineStr"/>
      <c r="AI12" s="3" t="inlineStr"/>
      <c r="AJ12"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2026-09-27; the figure, its formula, inputs and refusal live in MK-NW-O-003 theNetWorth</t>
        </is>
      </c>
      <c r="AN1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7.33%
(the test re-runs this through MK-NW-O-003 theNetWorth on every build)</t>
        </is>
      </c>
      <c r="AO12" s="7" t="inlineStr">
        <is>
          <t>RULED, NOT CODED (Q-NW-1 — one question, one function)</t>
        </is>
      </c>
    </row>
    <row r="13" ht="60" customHeight="1">
      <c r="A13" s="3" t="inlineStr">
        <is>
          <t>MK-NW-M-004</t>
        </is>
      </c>
      <c r="B13" s="3" t="inlineStr">
        <is>
          <t>Networth</t>
        </is>
      </c>
      <c r="C13" s="3" t="inlineStr">
        <is>
          <t>/analytics</t>
        </is>
      </c>
      <c r="D13" s="3" t="inlineStr">
        <is>
          <t>WHAT YOU OWN</t>
        </is>
      </c>
      <c r="E13" s="3" t="inlineStr">
        <is>
          <t>what_you_own</t>
        </is>
      </c>
      <c r="F13" s="3" t="inlineStr">
        <is>
          <t>theNetWorth</t>
        </is>
      </c>
      <c r="G13" s="3" t="inlineStr">
        <is>
          <t>MK-NW-O-003</t>
        </is>
      </c>
      <c r="H13" s="3" t="inlineStr">
        <is>
          <t>the sum of every account’s value</t>
        </is>
      </c>
      <c r="I13" s="3" t="inlineStr">
        <is>
          <t>the sum of every account’s value</t>
        </is>
      </c>
      <c r="J13" s="3" t="inlineStr">
        <is>
          <t>MK-NW-I-001 your accounts</t>
        </is>
      </c>
      <c r="K13" s="3" t="inlineStr">
        <is>
          <t>dollars, whole</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13" s="3" t="inlineStr">
        <is>
          <t>Declared by MK-NW-O-003 theNetWorth</t>
        </is>
      </c>
      <c r="Q13" s="3" t="inlineStr">
        <is>
          <t>NONE RECORDED — the declaration names none.</t>
        </is>
      </c>
      <c r="R13" s="3" t="inlineStr">
        <is>
          <t>NONE RECORDED — the declaration names none.</t>
        </is>
      </c>
      <c r="S13" s="3" t="inlineStr"/>
      <c r="T13" s="3" t="inlineStr">
        <is>
          <t>NONE RECORDED — the declaration names none.</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2026-10-19</t>
        </is>
      </c>
      <c r="AH13" s="3" t="inlineStr"/>
      <c r="AI13" s="3" t="inlineStr"/>
      <c r="AJ13"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MK-NW-O-003 theNetWorth</t>
        </is>
      </c>
      <c r="AN1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$503,200
(the test re-runs this through MK-NW-O-003 theNetWorth on every build)</t>
        </is>
      </c>
      <c r="AO13" s="7" t="inlineStr">
        <is>
          <t>RULED, NOT CODED (Q-NW-1 — one question, one function)</t>
        </is>
      </c>
    </row>
    <row r="14" ht="60" customHeight="1">
      <c r="A14" s="3" t="inlineStr">
        <is>
          <t>MK-NW-M-005</t>
        </is>
      </c>
      <c r="B14" s="3" t="inlineStr">
        <is>
          <t>Networth</t>
        </is>
      </c>
      <c r="C14" s="3" t="inlineStr">
        <is>
          <t>/analytics · /insights</t>
        </is>
      </c>
      <c r="D14" s="3" t="inlineStr">
        <is>
          <t>CASH</t>
        </is>
      </c>
      <c r="E14" s="3" t="inlineStr">
        <is>
          <t>cash</t>
        </is>
      </c>
      <c r="F14" s="3" t="inlineStr">
        <is>
          <t>theNetWorth</t>
        </is>
      </c>
      <c r="G14" s="3" t="inlineStr">
        <is>
          <t>MK-NW-O-003</t>
        </is>
      </c>
      <c r="H14" s="3" t="inlineStr">
        <is>
          <t>cash = Σ(balance of each account whose class = Cash) + Σ over CONNECTED accounts of (the cash slice of the account's class breakdown)</t>
        </is>
      </c>
      <c r="I14"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4" s="3" t="inlineStr">
        <is>
          <t>MK-NW-I-001 your accounts</t>
        </is>
      </c>
      <c r="K14" s="3" t="inlineStr">
        <is>
          <t>dollars, whole</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14" s="3" t="inlineStr">
        <is>
          <t>Declared by MK-NW-O-003 theNetWorth</t>
        </is>
      </c>
      <c r="Q14" s="3" t="inlineStr">
        <is>
          <t>A CD and a money-market fund are NOT cash: they are bonds and funds, because they pay interest and dividends that must be measured (founder, 2026-08-04).</t>
        </is>
      </c>
      <c r="R14" s="3" t="inlineStr">
        <is>
          <t>A CD and a money-market fund are NOT cash: they are bonds and funds, because they pay interest and dividends that must be measured (founder, 2026-08-04).</t>
        </is>
      </c>
      <c r="S14" s="3" t="inlineStr"/>
      <c r="T14" s="3" t="inlineStr">
        <is>
          <t>A CD and a money-market fund are NOT cash: they are bonds and funds, because they pay interest and dividends that must be measured (founder, 2026-08-04).</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4" s="3" t="inlineStr">
        <is>
          <t>ACTIVE</t>
        </is>
      </c>
      <c r="AG14" s="3" t="inlineStr">
        <is>
          <t>2026-10-19</t>
        </is>
      </c>
      <c r="AH14" s="3" t="inlineStr"/>
      <c r="AI14" s="3" t="inlineStr"/>
      <c r="AJ14"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MK-NW-O-003 theNetWorth</t>
        </is>
      </c>
      <c r="AN14"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$18,000
(the test re-runs this through MK-NW-O-003 theNetWorth on every build)</t>
        </is>
      </c>
      <c r="AO14" s="7" t="inlineStr">
        <is>
          <t>RULED, NOT CODED (Q-NW-1 — one question, one function)</t>
        </is>
      </c>
    </row>
    <row r="15" ht="60" customHeight="1">
      <c r="A15" s="3" t="inlineStr">
        <is>
          <t>MK-NW-M-006</t>
        </is>
      </c>
      <c r="B15" s="3" t="inlineStr">
        <is>
          <t>Networth</t>
        </is>
      </c>
      <c r="C15" s="3" t="inlineStr">
        <is>
          <t>/networth</t>
        </is>
      </c>
      <c r="D15" s="3" t="inlineStr">
        <is>
          <t>🏠 PERSONAL PROPERTY</t>
        </is>
      </c>
      <c r="E15" s="3" t="inlineStr">
        <is>
          <t>personal_property</t>
        </is>
      </c>
      <c r="F15" s="3" t="inlineStr">
        <is>
          <t>theNetWorth</t>
        </is>
      </c>
      <c r="G15" s="3" t="inlineStr">
        <is>
          <t>MK-NW-O-003</t>
        </is>
      </c>
      <c r="H15" s="3" t="inlineStr">
        <is>
          <t>the balances of every account in that band, added up — for this band, every account whose class is personal property: vehicles and valuables. Real estate is its own band.</t>
        </is>
      </c>
      <c r="I15" s="3" t="inlineStr">
        <is>
          <t>the balances of every account in that band, added up — for this band, every account whose class is personal property: vehicles and valuables. Real estate is its own band.</t>
        </is>
      </c>
      <c r="J15" s="3" t="inlineStr">
        <is>
          <t>MK-NW-I-001 your accounts</t>
        </is>
      </c>
      <c r="K15" s="3" t="inlineStr">
        <is>
          <t>dollars, whole</t>
        </is>
      </c>
      <c r="L15" s="3" t="inlineStr">
        <is>
          <t>The band shows $0 and, on a fresh account, the one line "Nothing entered yet. Add your accounts ›".</t>
        </is>
      </c>
      <c r="M15" s="3" t="inlineStr">
        <is>
          <t>one figure per band</t>
        </is>
      </c>
      <c r="N15" s="3" t="inlineStr">
        <is>
          <t>as of today</t>
        </is>
      </c>
      <c r="O1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15" s="3" t="inlineStr">
        <is>
          <t>Declared by MK-NW-O-003 theNetWorth</t>
        </is>
      </c>
      <c r="Q15"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5"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5" s="3" t="inlineStr"/>
      <c r="T15"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5"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5" s="3" t="inlineStr"/>
      <c r="W15" s="3" t="inlineStr"/>
      <c r="X15" s="3" t="inlineStr"/>
      <c r="Y15" s="3" t="inlineStr"/>
      <c r="Z15" s="3" t="inlineStr">
        <is>
          <t>DRAFT — declared in the code and printed here, WAITING FOR YOUR VERDICT before the screens move behind the door (rule 10)</t>
        </is>
      </c>
      <c r="AA15" s="3" t="inlineStr"/>
      <c r="AB15" s="3" t="inlineStr"/>
      <c r="AC15" s="3" t="inlineStr"/>
      <c r="AD15" s="3" t="inlineStr"/>
      <c r="AE15" s="3" t="inlineStr"/>
      <c r="AF15" s="3" t="inlineStr">
        <is>
          <t>ACTIVE</t>
        </is>
      </c>
      <c r="AG15" s="3" t="inlineStr">
        <is>
          <t>2026-10-19</t>
        </is>
      </c>
      <c r="AH15" s="3" t="inlineStr"/>
      <c r="AI15" s="3" t="inlineStr"/>
      <c r="AJ15"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RULED? NOT YET — read this row and say yes, or say what changes. Nothing moves behind MK-NW-O-003 theNetWorth until you do.</t>
        </is>
      </c>
      <c r="AN15"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5" s="9" t="inlineStr">
        <is>
          <t>WAITING ON YOU — row to approve: say yes in YOUR ANSWER, or say what changes · RULED, NOT CODED (Q-NW-1 — one question, one function)</t>
        </is>
      </c>
    </row>
    <row r="16" ht="60" customHeight="1">
      <c r="A16" s="3" t="inlineStr">
        <is>
          <t>MK-NW-M-007</t>
        </is>
      </c>
      <c r="B16" s="3" t="inlineStr">
        <is>
          <t>Networth</t>
        </is>
      </c>
      <c r="C16" s="3" t="inlineStr">
        <is>
          <t>/analytics</t>
        </is>
      </c>
      <c r="D16" s="3" t="inlineStr">
        <is>
          <t>class rows — by class, institution or type</t>
        </is>
      </c>
      <c r="E16" s="3" t="inlineStr">
        <is>
          <t>class_rows__by_class_institution_or_type</t>
        </is>
      </c>
      <c r="F16" s="3" t="inlineStr">
        <is>
          <t>theNetWorth</t>
        </is>
      </c>
      <c r="G16" s="3" t="inlineStr">
        <is>
          <t>MK-NW-O-003</t>
        </is>
      </c>
      <c r="H16" s="3" t="inlineStr">
        <is>
          <t>each account’s value booked to its class, added up by class</t>
        </is>
      </c>
      <c r="I16" s="3" t="inlineStr">
        <is>
          <t>each account’s value booked to its class, added up by class</t>
        </is>
      </c>
      <c r="J16" s="3" t="inlineStr">
        <is>
          <t>MK-NW-I-001 your accounts</t>
        </is>
      </c>
      <c r="K16" s="3" t="inlineStr">
        <is>
          <t>dollars, whole</t>
        </is>
      </c>
      <c r="L16" s="3" t="inlineStr">
        <is>
          <t>$0, and under it the one line "Nothing entered yet. Add your accounts ›" (mock approved 2026-09-12). A real zero that was entered shows a plain $0 with no line.</t>
        </is>
      </c>
      <c r="M16" s="3" t="inlineStr">
        <is>
          <t>one class</t>
        </is>
      </c>
      <c r="N16" s="3" t="inlineStr">
        <is>
          <t>as of today</t>
        </is>
      </c>
      <c r="O1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16" s="3" t="inlineStr">
        <is>
          <t>Declared by MK-NW-O-003 theNetWorth</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6" s="3" t="inlineStr">
        <is>
          <t>Q10 — ANSWERED 2026-09-30: Q10: Draft order is correct
BUILT: 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
Q11 — ANSWERED 2026-09-30: Q11: Refuse the line and ask
BUILT: When nothing says what a holding is, the app does not guess. The holding is counted in no class — it shows as Unclassified — and Net worth asks the person what it is. Their answer ends the asking and stays through every sync.
Q12 — ANSWERED 2026-09-30: Q12: user entry stays even if it is not in the import file. If user modify cost or quantity post import/linked from institution, cost basis should not be overwritten in future sync as quantity, price and market value can change with time but not cost.
BUILT: What a person enters on a linked account stays. A holding they added stays even when the broker's list does not carry it. A cost they set is kept by every later sync: the shares, the price and the value follow the broker, the cost per share does not.
Q13 — ANSWERED 2026-09-30: Q13: incomplete question
BUILT: 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('Add your accounts ›'). File written; the screen follows the approved empty-state mock (one pattern, one screen), then every screen.</t>
        </is>
      </c>
      <c r="AF16" s="3" t="inlineStr">
        <is>
          <t>ACTIVE</t>
        </is>
      </c>
      <c r="AG16" s="3" t="inlineStr">
        <is>
          <t>2026-10-19</t>
        </is>
      </c>
      <c r="AH16" s="3" t="inlineStr"/>
      <c r="AI16" s="3" t="inlineStr"/>
      <c r="AJ16"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MK-NW-O-003 theNetWorth</t>
        </is>
      </c>
      <c r="AN1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$142,000
(the test re-runs this through MK-NW-O-003 theNetWorth on every build)</t>
        </is>
      </c>
      <c r="AO16" s="7" t="inlineStr">
        <is>
          <t>RULED, NOT CODED (Q-NW-1 — one question, one function)</t>
        </is>
      </c>
    </row>
    <row r="17" ht="60" customHeight="1">
      <c r="A17" s="3" t="inlineStr">
        <is>
          <t>MK-NW-M-008</t>
        </is>
      </c>
      <c r="B17" s="3" t="inlineStr">
        <is>
          <t>Networth</t>
        </is>
      </c>
      <c r="C17" s="3" t="inlineStr">
        <is>
          <t>/networth</t>
        </is>
      </c>
      <c r="D17" s="3" t="inlineStr">
        <is>
          <t>each account and its balance</t>
        </is>
      </c>
      <c r="E17" s="3" t="inlineStr">
        <is>
          <t>each_account_and_its_balance</t>
        </is>
      </c>
      <c r="F17" s="3" t="inlineStr">
        <is>
          <t>theNetWorth</t>
        </is>
      </c>
      <c r="G17" s="3" t="inlineStr">
        <is>
          <t>MK-NW-O-003</t>
        </is>
      </c>
      <c r="H17" s="3" t="inlineStr">
        <is>
          <t>the account’s own balance, listed under the band it belongs to</t>
        </is>
      </c>
      <c r="I17" s="3" t="inlineStr">
        <is>
          <t>the account’s own balance, listed under the band it belongs to</t>
        </is>
      </c>
      <c r="J17" s="3" t="inlineStr">
        <is>
          <t>MK-NW-I-001 your accounts
MK-XS-I-003 institution name</t>
        </is>
      </c>
      <c r="K17" s="3" t="inlineStr">
        <is>
          <t>dollars, whole</t>
        </is>
      </c>
      <c r="L17" s="3" t="inlineStr">
        <is>
          <t>$0, and under it the one line "Nothing entered yet. Add your accounts ›" (mock approved 2026-09-12). A real zero that was entered shows a plain $0 with no line.</t>
        </is>
      </c>
      <c r="M17" s="3" t="inlineStr">
        <is>
          <t>one figure per account</t>
        </is>
      </c>
      <c r="N17" s="3" t="inlineStr">
        <is>
          <t>as of today</t>
        </is>
      </c>
      <c r="O1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17" s="3" t="inlineStr">
        <is>
          <t>Declared by MK-NW-O-003 theNetWorth</t>
        </is>
      </c>
      <c r="Q17" s="3" t="inlineStr">
        <is>
          <t>UNDER AN INSTITUTION’S NAME, the class mix inside it is named too — a Fidelity holding a fund and a Treasury reads as a roll-up, not a flat lump.
The mix is ordered biggest first, so the largest thing inside an institution is the first thing read.</t>
        </is>
      </c>
      <c r="R17" s="3" t="inlineStr">
        <is>
          <t>UNDER AN INSTITUTION’S NAME, the class mix inside it is named too — a Fidelity holding a fund and a Treasury reads as a roll-up, not a flat lump.
The mix is ordered biggest first, so the largest thing inside an institution is the first thing read.</t>
        </is>
      </c>
      <c r="S17" s="3" t="inlineStr"/>
      <c r="T17" s="3" t="inlineStr">
        <is>
          <t>UNDER AN INSTITUTION’S NAME, the class mix inside it is named too — a Fidelity holding a fund and a Treasury reads as a roll-up, not a flat lump.
The mix is ordered biggest first, so the largest thing inside an institution is the first thing read.</t>
        </is>
      </c>
      <c r="U17" s="3" t="inlineStr">
        <is>
          <t>DECLARED 2026-09-30 with MK-NW-M-006 — the same function answers both, which is why the band and the rows beneath it cannot disagree. The worked example is Fidelity: $142,000 of fund plus a $24,200 Treasury.</t>
        </is>
      </c>
      <c r="V17" s="3" t="inlineStr">
        <is>
          <t>Q14 — What should a MIXED account be called on screen, when it holds several classes at once?</t>
        </is>
      </c>
      <c r="W17" s="3" t="inlineStr">
        <is>
          <t>Q14 — ANSWERED 2026-09-30: Call an account by it's name - no need to label it unless it is checking or savings account.
BUILT: An account is called by its name. No class word is printed under it — not "Mixed", not "Unclassified".</t>
        </is>
      </c>
      <c r="X17" s="3" t="inlineStr"/>
      <c r="Y17" s="3" t="inlineStr"/>
      <c r="Z17" s="3" t="inlineStr">
        <is>
          <t>DRAFT — declared in the code and printed here, WAITING FOR YOUR VERDICT before the screens move behind the door (rule 10)</t>
        </is>
      </c>
      <c r="AA17" s="3" t="inlineStr"/>
      <c r="AB17" s="3" t="inlineStr"/>
      <c r="AC17" s="3" t="inlineStr"/>
      <c r="AD17" s="3" t="inlineStr"/>
      <c r="AE17" s="3" t="inlineStr">
        <is>
          <t>G32 / Q48 — RULED 2026-09-09: $0 stays, with the sentence '$0 — nothing entered yet.' and this row's door ('Add your accounts ›'). File written; the screen follows the approved empty-state mock (one pattern, one screen), then every screen.</t>
        </is>
      </c>
      <c r="AF17" s="3" t="inlineStr">
        <is>
          <t>ACTIVE</t>
        </is>
      </c>
      <c r="AG17" s="3" t="inlineStr">
        <is>
          <t>2026-10-19</t>
        </is>
      </c>
      <c r="AH17" s="3" t="inlineStr"/>
      <c r="AI17" s="3" t="inlineStr"/>
      <c r="AJ17"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RULED? NOT YET — read this row and say yes, or say what changes. Nothing moves behind MK-NW-O-003 theNetWorth until you do.</t>
        </is>
      </c>
      <c r="AN17"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7" s="9" t="inlineStr">
        <is>
          <t>WAITING ON YOU — row to approve: say yes in YOUR ANSWER, or say what changes · RULED, NOT CODED (Q-NW-1 — one question, one function)</t>
        </is>
      </c>
    </row>
    <row r="18" ht="60" customHeight="1">
      <c r="A18" s="3" t="inlineStr">
        <is>
          <t>MK-NW-M-009</t>
        </is>
      </c>
      <c r="B18" s="3" t="inlineStr">
        <is>
          <t>Networth</t>
        </is>
      </c>
      <c r="C18" s="3" t="inlineStr">
        <is>
          <t>/analytics</t>
        </is>
      </c>
      <c r="D18" s="3" t="inlineStr">
        <is>
          <t>DEBTS</t>
        </is>
      </c>
      <c r="E18" s="3" t="inlineStr">
        <is>
          <t>debts</t>
        </is>
      </c>
      <c r="F18" s="3" t="inlineStr">
        <is>
          <t>theNetWorth</t>
        </is>
      </c>
      <c r="G18" s="3" t="inlineStr">
        <is>
          <t>MK-NW-O-003</t>
        </is>
      </c>
      <c r="H18" s="3" t="inlineStr">
        <is>
          <t>the sum of every debt’s remaining balance</t>
        </is>
      </c>
      <c r="I18" s="3" t="inlineStr">
        <is>
          <t>the sum of every debt’s remaining balance</t>
        </is>
      </c>
      <c r="J18" s="3" t="inlineStr">
        <is>
          <t>MK-NW-I-002 your debts</t>
        </is>
      </c>
      <c r="K18" s="3" t="inlineStr">
        <is>
          <t>dollars, whole</t>
        </is>
      </c>
      <c r="L18" s="3" t="inlineStr">
        <is>
          <t>$0, and under it the one line "Nothing entered yet. Add your debts ›" (mock approved 2026-09-12). A real zero that was entered shows a plain $0 with no line.</t>
        </is>
      </c>
      <c r="M18" s="3" t="inlineStr">
        <is>
          <t>one figure per household</t>
        </is>
      </c>
      <c r="N18" s="3" t="inlineStr">
        <is>
          <t>as of today</t>
        </is>
      </c>
      <c r="O18"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18" s="3" t="inlineStr">
        <is>
          <t>Declared by MK-NW-O-003 theNetWorth</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2026-09-27</t>
        </is>
      </c>
      <c r="AA18" s="3" t="inlineStr"/>
      <c r="AB18" s="3" t="inlineStr"/>
      <c r="AC18" s="3" t="inlineStr"/>
      <c r="AD18" s="3" t="inlineStr"/>
      <c r="AE18" s="3" t="inlineStr">
        <is>
          <t>G32 / Q48 — RULED 2026-09-09: $0 stays, with the sentence '$0 — nothing entered yet.' and this row's door ('Add your debts ›'). File written; the screen follows the approved empty-state mock (one pattern, one screen), then every screen.</t>
        </is>
      </c>
      <c r="AF18" s="3" t="inlineStr">
        <is>
          <t>ACTIVE</t>
        </is>
      </c>
      <c r="AG18" s="3" t="inlineStr">
        <is>
          <t>2026-10-19</t>
        </is>
      </c>
      <c r="AH18" s="3" t="inlineStr"/>
      <c r="AI18" s="3" t="inlineStr"/>
      <c r="AJ18"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2026-09-27; the figure, its formula, inputs and refusal live in MK-NW-O-003 theNetWorth</t>
        </is>
      </c>
      <c r="AN1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$242,000
(the test re-runs this through MK-NW-O-003 theNetWorth on every build)</t>
        </is>
      </c>
      <c r="AO18" s="7" t="inlineStr">
        <is>
          <t>RULED, NOT CODED (Q-NW-1 — one question, one function)</t>
        </is>
      </c>
    </row>
    <row r="19" ht="60" customHeight="1">
      <c r="A19" s="3" t="inlineStr">
        <is>
          <t>MK-NW-M-010</t>
        </is>
      </c>
      <c r="B19" s="3" t="inlineStr">
        <is>
          <t>Networth</t>
        </is>
      </c>
      <c r="C19" s="3" t="inlineStr">
        <is>
          <t>/analytics</t>
        </is>
      </c>
      <c r="D19" s="3" t="inlineStr">
        <is>
          <t>each debt and what is left on it</t>
        </is>
      </c>
      <c r="E19" s="3" t="inlineStr">
        <is>
          <t>each_debt_and_what_is_left_on_it</t>
        </is>
      </c>
      <c r="F19" s="3" t="inlineStr">
        <is>
          <t>theNetWorth</t>
        </is>
      </c>
      <c r="G19" s="3" t="inlineStr"/>
      <c r="H19" s="3" t="inlineStr">
        <is>
          <t>the remaining balance you entered, lowered by each payment logged</t>
        </is>
      </c>
      <c r="I19" s="3" t="inlineStr">
        <is>
          <t>The balance still owed on the debt, as recorded — an input, no arithmetic.</t>
        </is>
      </c>
      <c r="J19" s="3" t="inlineStr">
        <is>
          <t>MK-NW-I-002 your debts</t>
        </is>
      </c>
      <c r="K19" s="3" t="inlineStr">
        <is>
          <t>dollars, whole</t>
        </is>
      </c>
      <c r="L19" s="3" t="inlineStr">
        <is>
          <t>$0, and under it the one line "Nothing entered yet. Add your debts ›" (mock approved 2026-09-12). A real zero that was entered shows a plain $0 with no line.</t>
        </is>
      </c>
      <c r="M19" s="3" t="inlineStr">
        <is>
          <t>one debt</t>
        </is>
      </c>
      <c r="N19" s="3" t="inlineStr">
        <is>
          <t>as of today</t>
        </is>
      </c>
      <c r="O19" s="3" t="inlineStr">
        <is>
          <t>No function on record — nothing to chain</t>
        </is>
      </c>
      <c r="P19" s="3" t="inlineStr">
        <is>
          <t>Declared by MK-NW-O-003 theNetWorth</t>
        </is>
      </c>
      <c r="Q19" s="3" t="inlineStr">
        <is>
          <t>NONE RECORDED — the declaration names none.</t>
        </is>
      </c>
      <c r="R19" s="3" t="inlineStr">
        <is>
          <t>NONE RECORDED — the declaration names none.</t>
        </is>
      </c>
      <c r="S19" s="3" t="inlineStr"/>
      <c r="T19" s="3" t="inlineStr">
        <is>
          <t>NONE RECORDED — the declaration names none.</t>
        </is>
      </c>
      <c r="U19" s="3" t="inlineStr"/>
      <c r="V19" s="3" t="inlineStr"/>
      <c r="W19" s="3" t="inlineStr"/>
      <c r="X19" s="3" t="inlineStr"/>
      <c r="Y19" s="3" t="inlineStr"/>
      <c r="Z19" s="3" t="inlineStr">
        <is>
          <t>DECLARED IN THE CODE (rule 11) — printed from the door, not typed. RULED 2026-09-27</t>
        </is>
      </c>
      <c r="AA19" s="3" t="inlineStr"/>
      <c r="AB19" s="3" t="inlineStr"/>
      <c r="AC19" s="3" t="inlineStr"/>
      <c r="AD19" s="3" t="inlineStr"/>
      <c r="AE19" s="3" t="inlineStr">
        <is>
          <t>G32 / Q48 — RULED 2026-09-09: $0 stays, with the sentence '$0 — nothing entered yet.' and this row's door ('Add your debts ›'). File written; the screen follows the approved empty-state mock (one pattern, one screen), then every screen.</t>
        </is>
      </c>
      <c r="AF19" s="3" t="inlineStr">
        <is>
          <t>ACTIVE</t>
        </is>
      </c>
      <c r="AG19" s="3" t="inlineStr">
        <is>
          <t>2026-10-19</t>
        </is>
      </c>
      <c r="AH19" s="3" t="inlineStr"/>
      <c r="AI19" s="3" t="inlineStr"/>
      <c r="AJ19" s="3" t="inlineStr">
        <is>
          <t>No function on record — nothing to read from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MK-NW-O-003 theNetWorth</t>
        </is>
      </c>
      <c r="AN19"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$228,000
(the test re-runs this through MK-NW-O-003 theNetWorth on every build)</t>
        </is>
      </c>
      <c r="AO19" s="7" t="inlineStr">
        <is>
          <t>RULED, NOT CODED (Q-NW-1 — one question, one function)</t>
        </is>
      </c>
    </row>
    <row r="20" ht="60" customHeight="1">
      <c r="A20" s="3" t="inlineStr">
        <is>
          <t>MK-NW-M-011</t>
        </is>
      </c>
      <c r="B20" s="3" t="inlineStr">
        <is>
          <t>Networth</t>
        </is>
      </c>
      <c r="C20" s="3" t="inlineStr">
        <is>
          <t>/analytics</t>
        </is>
      </c>
      <c r="D20" s="3" t="inlineStr">
        <is>
          <t>minimum monthly payment on a debt</t>
        </is>
      </c>
      <c r="E20" s="3" t="inlineStr">
        <is>
          <t>minimum_monthly_payment_on_a_debt</t>
        </is>
      </c>
      <c r="F20" s="3" t="inlineStr">
        <is>
          <t>theNetWorth</t>
        </is>
      </c>
      <c r="G20" s="3" t="inlineStr">
        <is>
          <t>MK-NW-O-003</t>
        </is>
      </c>
      <c r="H20" s="3" t="inlineStr">
        <is>
          <t>required payment = 0 when the debt is due in full; otherwise the larger of the stated minimum and the payment the person chose (the stated minimum alone when no payment was chosen)</t>
        </is>
      </c>
      <c r="I20" s="3" t="inlineStr">
        <is>
          <t>the LARGER of the minimum you entered and any monthly payment you set — a debt due in full has no monthly payment at all</t>
        </is>
      </c>
      <c r="J20" s="3" t="inlineStr">
        <is>
          <t>MK-NW-I-002 your debts</t>
        </is>
      </c>
      <c r="K20" s="3" t="inlineStr">
        <is>
          <t>dollars, whole a month</t>
        </is>
      </c>
      <c r="L20" s="3" t="inlineStr">
        <is>
          <t>No minimum entered.</t>
        </is>
      </c>
      <c r="M20" s="3" t="inlineStr">
        <is>
          <t>one debt</t>
        </is>
      </c>
      <c r="N20" s="3" t="inlineStr">
        <is>
          <t>a month</t>
        </is>
      </c>
      <c r="O20"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20" s="3" t="inlineStr">
        <is>
          <t>Declared by MK-NW-O-003 theNetWorth</t>
        </is>
      </c>
      <c r="Q20" s="3" t="inlineStr">
        <is>
          <t>FOUNDER RULING G19 (2026-09-08): one payment rule, the larger of the stated minimum and the payment set — the same words in both formula columns.</t>
        </is>
      </c>
      <c r="R20" s="3" t="inlineStr">
        <is>
          <t>FOUNDER RULING G19 (2026-09-08): one payment rule, the larger of the stated minimum and the payment set — the same words in both formula columns.</t>
        </is>
      </c>
      <c r="S20" s="3" t="inlineStr"/>
      <c r="T20" s="3" t="inlineStr">
        <is>
          <t>FOUNDER RULING G19 (2026-09-08): one payment rule, the larger of the stated minimum and the payment set — the same words in both formula columns.</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G19 — CLOSED 2026-09-08: the math column's 'interest + 1% of balance' rule existed nowhere in the code and is gone; both columns now state the one rule MK-CF-F-023 applies. No code change.</t>
        </is>
      </c>
      <c r="AF20" s="3" t="inlineStr">
        <is>
          <t>ACTIVE</t>
        </is>
      </c>
      <c r="AG20" s="3" t="inlineStr">
        <is>
          <t>2026-10-19</t>
        </is>
      </c>
      <c r="AH20" s="3" t="inlineStr"/>
      <c r="AI20" s="3" t="inlineStr"/>
      <c r="AJ20"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MK-NW-O-003 theNetWorth</t>
        </is>
      </c>
      <c r="AN20"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$2,400/month
(the test re-runs this through MK-NW-O-003 theNetWorth on every build)</t>
        </is>
      </c>
      <c r="AO20" s="7" t="inlineStr">
        <is>
          <t>RULED, NOT CODED (Q-NW-1 — one question, one function)</t>
        </is>
      </c>
    </row>
    <row r="21" ht="60" customHeight="1">
      <c r="A21" s="3" t="inlineStr">
        <is>
          <t>MK-NW-M-012</t>
        </is>
      </c>
      <c r="B21" s="3" t="inlineStr">
        <is>
          <t>Networth</t>
        </is>
      </c>
      <c r="C21" s="3" t="inlineStr">
        <is>
          <t>/analytics · /home</t>
        </is>
      </c>
      <c r="D21" s="3" t="inlineStr">
        <is>
          <t>Monthly debt payments</t>
        </is>
      </c>
      <c r="E21" s="3" t="inlineStr">
        <is>
          <t>monthly_debt_payments</t>
        </is>
      </c>
      <c r="F21" s="3" t="inlineStr">
        <is>
          <t>theNetWorth</t>
        </is>
      </c>
      <c r="G21" s="3" t="inlineStr">
        <is>
          <t>MK-CF-F-024</t>
        </is>
      </c>
      <c r="H21" s="3" t="inlineStr">
        <is>
          <t>monthly debt payments = Σ over debts of (required payment) — due-in-full debts count 0</t>
        </is>
      </c>
      <c r="I21" s="3" t="inlineStr">
        <is>
          <t>the sum of each debt’s required payment</t>
        </is>
      </c>
      <c r="J21" s="3" t="inlineStr">
        <is>
          <t>MK-NW-I-002 your debts</t>
        </is>
      </c>
      <c r="K21" s="3" t="inlineStr">
        <is>
          <t>dollars, whole a month</t>
        </is>
      </c>
      <c r="L21" s="3" t="inlineStr">
        <is>
          <t>$0, and under it the one line "Nothing entered yet. Add your debts ›" (mock approved 2026-09-12). A real zero that was entered shows a plain $0 with no line.</t>
        </is>
      </c>
      <c r="M21" s="3" t="inlineStr">
        <is>
          <t>one figure per household</t>
        </is>
      </c>
      <c r="N21" s="3" t="inlineStr">
        <is>
          <t>a month</t>
        </is>
      </c>
      <c r="O21" s="3" t="inlineStr">
        <is>
          <t>1. MK-CF-F-201 (INCOME) → NOT DECLARED — the code does not say what it gives back
2. MK-CF-F-023 (requiredPayment) → number</t>
        </is>
      </c>
      <c r="P21" s="3" t="inlineStr">
        <is>
          <t>Declared by MK-NW-O-003 theNetWorth</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21"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21" s="3" t="inlineStr"/>
      <c r="Y21" s="3" t="inlineStr"/>
      <c r="Z21" s="3" t="inlineStr">
        <is>
          <t>DECLARED IN THE CODE (rule 11) — printed from the door, not typed. RULED 2026-09-27</t>
        </is>
      </c>
      <c r="AA21" s="3" t="inlineStr"/>
      <c r="AB21" s="3" t="inlineStr"/>
      <c r="AC21" s="3" t="inlineStr"/>
      <c r="AD21" s="3" t="inlineStr"/>
      <c r="AE21" s="3" t="inlineStr">
        <is>
          <t>G32 / Q48 — RULED 2026-09-09: $0 stays, with the sentence '$0 — nothing entered yet.' and this row's door ('Add your debts ›'). File written; the screen follows the approved empty-state mock (one pattern, one screen), then every screen.</t>
        </is>
      </c>
      <c r="AF21" s="3" t="inlineStr">
        <is>
          <t>ACTIVE</t>
        </is>
      </c>
      <c r="AG21" s="3" t="inlineStr">
        <is>
          <t>2026-10-19</t>
        </is>
      </c>
      <c r="AH21" s="3" t="inlineStr"/>
      <c r="AI21" s="3" t="inlineStr"/>
      <c r="AJ2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MK-CF-F-207, MK-CF-O-016, MK-NW-F-011, MK
37. MK-XS-I-059 the month a bonus lands — read by MK-CF-F-088, MK-CF-F-092, MK-CF-F-201, MK-CF-O-004, MK-CF-O-016
38. MK-XS-I-060 how a person is paid — weekly, fortnightly, monthly — read by MK-CF-F-130, MK-CF-O-016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2026-09-27; the figure, its formula, inputs and refusal live in MK-NW-O-003 theNetWorth</t>
        </is>
      </c>
      <c r="AN21"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$2,650/month
(the test re-runs this through MK-NW-O-003 theNetWorth on every build)</t>
        </is>
      </c>
      <c r="AO21" s="7" t="inlineStr">
        <is>
          <t>RULED, NOT CODED (Q-NW-1 — one question, one function)</t>
        </is>
      </c>
    </row>
    <row r="22" ht="60" customHeight="1">
      <c r="A22" s="3" t="inlineStr">
        <is>
          <t>MK-NW-M-013</t>
        </is>
      </c>
      <c r="B22" s="3" t="inlineStr">
        <is>
          <t>Networth</t>
        </is>
      </c>
      <c r="C22" s="3" t="inlineStr">
        <is>
          <t>/analytics · /jobsafety · /stress-test · /insights · /home</t>
        </is>
      </c>
      <c r="D22" s="3" t="inlineStr">
        <is>
          <t>EMERGENCY FUND — X.X months</t>
        </is>
      </c>
      <c r="E22" s="3" t="inlineStr">
        <is>
          <t>emergency_fund__xx_months</t>
        </is>
      </c>
      <c r="F22" s="3" t="inlineStr">
        <is>
          <t>essentialsMonthly</t>
        </is>
      </c>
      <c r="G22" s="3" t="inlineStr">
        <is>
          <t>MK-CF-F-190</t>
        </is>
      </c>
      <c r="H22" s="3" t="inlineStr">
        <is>
          <t>cushion in months = cash ÷ essentials a month, where essentials a month = the average of logged expenses over the months logged (MK-CF-F-189), else the typed figure</t>
        </is>
      </c>
      <c r="I22"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22" s="3" t="inlineStr">
        <is>
          <t>1. every logged expense → expenses [MK-XS-I-024]
2. the typed fallback → typed monthly expenses / essentials [MK-XS-I-025]
3. cash on hand → the Cash class [MK-XS-I-001]</t>
        </is>
      </c>
      <c r="K22" s="3" t="inlineStr">
        <is>
          <t>a number of months</t>
        </is>
      </c>
      <c r="L22" s="3" t="inlineStr">
        <is>
          <t>No essentials figure yet — it says so rather than dividing by nothing. And no count of months where the rent pays for the whole month: the cash is then not drawn on.</t>
        </is>
      </c>
      <c r="M22" s="3" t="inlineStr">
        <is>
          <t>one figure per household</t>
        </is>
      </c>
      <c r="N22" s="3" t="inlineStr">
        <is>
          <t>as of today</t>
        </is>
      </c>
      <c r="O22" s="3" t="inlineStr">
        <is>
          <t>1. MK-CF-F-189 (essentialsFromLoggedSpending) → EssentialsAverage | null
2. MK-CF-O-002 (expenses) → Expenses
3. MK-CF-F-216 (typed) → NOT DECLARED — the code does not say what it gives back</t>
        </is>
      </c>
      <c r="P22" s="3" t="inlineStr">
        <is>
          <t>Declared by MK-NW-O-004 theEmergencyFund</t>
        </is>
      </c>
      <c r="Q22"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R22"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S22" s="3" t="inlineStr"/>
      <c r="T22"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2" s="3" t="inlineStr"/>
      <c r="V22"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22" s="3" t="inlineStr">
        <is>
          <t>Q47: for fewer than 12 months logged show average for logged duration, and update words on screen from TTM to show the logged duration. If 7 month detail is logged show "xxx - 7 month average". (answered in chat, 2026-09-08)</t>
        </is>
      </c>
      <c r="X22" s="3" t="inlineStr"/>
      <c r="Y22" s="3" t="inlineStr"/>
      <c r="Z22" s="3" t="inlineStr">
        <is>
          <t>DECLARED IN THE CODE (rule 11) — printed from the door, not typed. RULED 2026-09-27</t>
        </is>
      </c>
      <c r="AA22" s="3" t="inlineStr"/>
      <c r="AB22" s="3" t="inlineStr"/>
      <c r="AC22" s="3" t="inlineStr"/>
      <c r="AD22" s="3" t="inlineStr"/>
      <c r="AE22"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22" s="3" t="inlineStr">
        <is>
          <t>ACTIVE</t>
        </is>
      </c>
      <c r="AG22" s="3" t="inlineStr">
        <is>
          <t>2026-10-19</t>
        </is>
      </c>
      <c r="AH22" s="3" t="inlineStr"/>
      <c r="AI22" s="3" t="inlineStr"/>
      <c r="AJ22"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2026-09-27; the figure, its formula, inputs and refusal live in MK-NW-O-004 theEmergencyFund</t>
        </is>
      </c>
      <c r="AN22"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5.2 months
(the test re-runs this through MK-NW-O-004 theEmergencyFund on every build)</t>
        </is>
      </c>
      <c r="AO22" s="7" t="inlineStr">
        <is>
          <t>RULED, NOT CODED (Q-NW-5 — one question, one function)</t>
        </is>
      </c>
    </row>
    <row r="23" ht="60" customHeight="1">
      <c r="A23" s="3" t="inlineStr">
        <is>
          <t>MK-NW-M-014</t>
        </is>
      </c>
      <c r="B23" s="3" t="inlineStr">
        <is>
          <t>Networth</t>
        </is>
      </c>
      <c r="C23" s="3" t="inlineStr">
        <is>
          <t>/analytics</t>
        </is>
      </c>
      <c r="D23" s="3" t="inlineStr">
        <is>
          <t>of essentials covered by your cash — $X cash ÷ $Y/month essentials</t>
        </is>
      </c>
      <c r="E23" s="3" t="inlineStr">
        <is>
          <t>of_essentials_covered_by_your_cash__x_ca</t>
        </is>
      </c>
      <c r="F23" s="3" t="inlineStr">
        <is>
          <t>1. cashTotal
2. essentialsMonthly</t>
        </is>
      </c>
      <c r="G23" s="3" t="inlineStr">
        <is>
          <t>1. MK-NW-F-016
2. MK-CF-F-190</t>
        </is>
      </c>
      <c r="H23" s="3" t="inlineStr">
        <is>
          <t>months of cushion = cash ÷ essentials a month (MK-CF-F-190)</t>
        </is>
      </c>
      <c r="I23"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3" s="3" t="inlineStr">
        <is>
          <t>1. every logged expense → expenses [MK-XS-I-024]
2. the typed fallback → typed monthly expenses / essentials [MK-XS-I-025]
3. cash on hand → the Cash class [MK-XS-I-001]</t>
        </is>
      </c>
      <c r="K23" s="3" t="inlineStr">
        <is>
          <t>a sentence</t>
        </is>
      </c>
      <c r="L23" s="3" t="inlineStr">
        <is>
          <t>No essentials figure (nothing logged and nothing typed) → the cushion shows its door: 'tell us what a typical month costs and this becomes a real number' (already built). No cash → the card is hidden.</t>
        </is>
      </c>
      <c r="M23" s="3" t="inlineStr">
        <is>
          <t>one figure per household</t>
        </is>
      </c>
      <c r="N23" s="3" t="inlineStr">
        <is>
          <t>as of today</t>
        </is>
      </c>
      <c r="O23" s="3" t="inlineStr">
        <is>
          <t>1. MK-NW-F-027 (accountClassBreakdown) → Record&lt;AssetClass, number&gt; | null
2. MK-NW-F-029 (assetAllocation) → Record&lt;AssetClass, number&gt;
3. MK-NW-F-011 (assetClassOf) → AssetClass
4. MK-CF-F-189 (essentialsFromLoggedSpending) → EssentialsAverage | null
5. MK-CF-O-002 (expenses) → Expenses
6. MK-CF-F-216 (typed) → NOT DECLARED — the code does not say what it gives back</t>
        </is>
      </c>
      <c r="P23" s="3" t="inlineStr">
        <is>
          <t>Declared by MK-NW-O-004 theEmergencyFund</t>
        </is>
      </c>
      <c r="Q23" s="3" t="inlineStr">
        <is>
          <t>NONE RECORDED — the declaration names none.</t>
        </is>
      </c>
      <c r="R23" s="3" t="inlineStr">
        <is>
          <t>NONE RECORDED — the declaration names none.</t>
        </is>
      </c>
      <c r="S23" s="3" t="inlineStr"/>
      <c r="T2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3" s="3" t="inlineStr">
        <is>
          <t>ACTIVE</t>
        </is>
      </c>
      <c r="AG23" s="3" t="inlineStr">
        <is>
          <t>2026-10-19</t>
        </is>
      </c>
      <c r="AH23" s="3" t="inlineStr"/>
      <c r="AI23" s="3" t="inlineStr"/>
      <c r="AJ23" s="3" t="inlineStr">
        <is>
          <t>1. MK-XS-I-001 account balance — read by MK-NW-F-016, MK-NW-F-027, MK-NW-F-029, MK-ST-F-027
2. MK-XS-I-002 account type (taxable, pre-tax, Roth) — read by MK-NW-F-011, MK-NW-F-027, MK-NW-F-054, MK-NW-F-120
3. MK-XS-I-004 holding quantity (shares) — read by MK-NW-F-027, MK-ST-F-027
4. MK-XS-I-005 holding price — read by MK-NW-F-027, MK-ST-F-027
5. MK-XS-I-007 purchase price and date (per lot) — read by MK-NW-F-027, MK-ST-F-027
6. MK-XS-I-010 transaction words (the institution's own wording) — read by MK-NW-F-123
7. MK-XS-I-013 bond maturity date — read by MK-NW-F-120, MK-NW-F-124,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MK-NW-O-004 theEmergencyFund</t>
        </is>
      </c>
      <c r="AN2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$18,000 cash ÷ $3,470/month essentials
(the test re-runs this through MK-NW-O-004 theEmergencyFund on every build)</t>
        </is>
      </c>
      <c r="AO23" s="7" t="inlineStr">
        <is>
          <t>RULED, NOT CODED (Q-NW-5 — one question, one function)</t>
        </is>
      </c>
    </row>
    <row r="24" ht="60" customHeight="1">
      <c r="A24" s="3" t="inlineStr">
        <is>
          <t>MK-NW-M-015</t>
        </is>
      </c>
      <c r="B24" s="3" t="inlineStr">
        <is>
          <t>Networth</t>
        </is>
      </c>
      <c r="C24" s="3" t="inlineStr">
        <is>
          <t>/networth</t>
        </is>
      </c>
      <c r="D24" s="3" t="inlineStr">
        <is>
          <t>YOUR RETIREMENT PLAN — on track for $X by age Y</t>
        </is>
      </c>
      <c r="E24" s="3" t="inlineStr">
        <is>
          <t>your_retirement_plan__on_track_for_x_by_</t>
        </is>
      </c>
      <c r="F24" s="3" t="inlineStr">
        <is>
          <t>theNetWorth</t>
        </is>
      </c>
      <c r="G24" s="3" t="inlineStr">
        <is>
          <t>MK-NW-O-003</t>
        </is>
      </c>
      <c r="H24" s="3" t="inlineStr">
        <is>
          <t>today’s cash and investments grown at your expected return for the years until you retire, plus each year’s saving grown for the years it has left</t>
        </is>
      </c>
      <c r="I24" s="3" t="inlineStr">
        <is>
          <t>today’s cash and investments grown at your expected return for the years until you retire, plus each year’s saving grown for the years it has left</t>
        </is>
      </c>
      <c r="J24" s="3" t="inlineStr">
        <is>
          <t>MK-NW-I-001 your accounts
MK-PL-I-001 your plan answers</t>
        </is>
      </c>
      <c r="K24" s="3" t="inlineStr">
        <is>
          <t>dollars, whole</t>
        </is>
      </c>
      <c r="L24" s="3" t="inlineStr">
        <is>
          <t>No figure when there is nothing to grow, or when retirement is not ahead of the person.</t>
        </is>
      </c>
      <c r="M24" s="3" t="inlineStr">
        <is>
          <t>one figure per household</t>
        </is>
      </c>
      <c r="N24" s="3" t="inlineStr">
        <is>
          <t>as of today</t>
        </is>
      </c>
      <c r="O24"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24" s="3" t="inlineStr">
        <is>
          <t>Declared by MK-NW-O-003 theNetWorth</t>
        </is>
      </c>
      <c r="Q24"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4"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4" s="3" t="inlineStr"/>
      <c r="T24"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4" s="3" t="inlineStr">
        <is>
          <t>DECLARED 2026-09-30. Its function lives in the plan family (MK-PL-F-055 projectNestEgg) and the figure is read on the Net worth tab, which is why the row is here and the function is there.</t>
        </is>
      </c>
      <c r="V24" s="3" t="inlineStr"/>
      <c r="W24" s="3" t="inlineStr"/>
      <c r="X24" s="3" t="inlineStr"/>
      <c r="Y24" s="3" t="inlineStr"/>
      <c r="Z24" s="3" t="inlineStr">
        <is>
          <t>DRAFT — declared in the code and printed here, WAITING FOR YOUR VERDICT before the screens move behind the door (rule 10)</t>
        </is>
      </c>
      <c r="AA24" s="3" t="inlineStr"/>
      <c r="AB24" s="3" t="inlineStr"/>
      <c r="AC24" s="3" t="inlineStr"/>
      <c r="AD24" s="3" t="inlineStr"/>
      <c r="AE24" s="3" t="inlineStr"/>
      <c r="AF24" s="3" t="inlineStr">
        <is>
          <t>ACTIVE</t>
        </is>
      </c>
      <c r="AG24" s="3" t="inlineStr">
        <is>
          <t>2026-10-19</t>
        </is>
      </c>
      <c r="AH24" s="3" t="inlineStr"/>
      <c r="AI24" s="3" t="inlineStr"/>
      <c r="AJ24"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RULED? NOT YET — read this row and say yes, or say what changes. Nothing moves behind MK-NW-O-003 theNetWorth until you do.</t>
        </is>
      </c>
      <c r="AN24"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4" s="9" t="inlineStr">
        <is>
          <t>WAITING ON YOU — row to approve: say yes in YOUR ANSWER, or say what changes · RULED, NOT CODED (Q-PL-1 — one question, one function)</t>
        </is>
      </c>
    </row>
    <row r="25" ht="60" customHeight="1">
      <c r="A25" s="3" t="inlineStr">
        <is>
          <t>MK-NW-M-016</t>
        </is>
      </c>
      <c r="B25" s="3" t="inlineStr">
        <is>
          <t>Networth</t>
        </is>
      </c>
      <c r="C25" s="3" t="inlineStr">
        <is>
          <t>/networth</t>
        </is>
      </c>
      <c r="D25" s="3" t="inlineStr">
        <is>
          <t>Net worth so far (setup)</t>
        </is>
      </c>
      <c r="E25" s="3" t="inlineStr">
        <is>
          <t>net_worth_so_far_setup</t>
        </is>
      </c>
      <c r="F25" s="3" t="inlineStr">
        <is>
          <t>theNetWorth</t>
        </is>
      </c>
      <c r="G25" s="3" t="inlineStr">
        <is>
          <t>MK-NW-O-003</t>
        </is>
      </c>
      <c r="H25" s="3" t="inlineStr">
        <is>
          <t>everything owned less everything owed</t>
        </is>
      </c>
      <c r="I25" s="3" t="inlineStr">
        <is>
          <t>everything owned less everything owed</t>
        </is>
      </c>
      <c r="J25" s="3" t="inlineStr">
        <is>
          <t>MK-NW-I-001 your accounts
MK-XS-I-014 what you owe</t>
        </is>
      </c>
      <c r="K25" s="3" t="inlineStr">
        <is>
          <t>dollars, whole</t>
        </is>
      </c>
      <c r="L25" s="3" t="inlineStr">
        <is>
          <t>Adds to $0 when there is nothing to add. Zero and "nothing recorded yet" read alike on screen — worth a decision.</t>
        </is>
      </c>
      <c r="M25" s="3" t="inlineStr">
        <is>
          <t>one figure per household</t>
        </is>
      </c>
      <c r="N25" s="3" t="inlineStr">
        <is>
          <t>as of today</t>
        </is>
      </c>
      <c r="O2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25" s="3" t="inlineStr">
        <is>
          <t>Declared by MK-NW-O-003 theNetWorth</t>
        </is>
      </c>
      <c r="Q25" s="3" t="inlineStr">
        <is>
          <t>IT IS COMPUTED EACH TIME AND NEVER STORED as a third number that could disagree with its own two halves (his ruling).
A GENUINE NEGATIVE IS SHOWN, never floored at zero — someone early in a mortgage really does owe more than they own.</t>
        </is>
      </c>
      <c r="R25" s="3" t="inlineStr">
        <is>
          <t>IT IS COMPUTED EACH TIME AND NEVER STORED as a third number that could disagree with its own two halves (his ruling).
A GENUINE NEGATIVE IS SHOWN, never floored at zero — someone early in a mortgage really does owe more than they own.</t>
        </is>
      </c>
      <c r="S25" s="3" t="inlineStr"/>
      <c r="T25" s="3" t="inlineStr">
        <is>
          <t>IT IS COMPUTED EACH TIME AND NEVER STORED as a third number that could disagree with its own two halves (his ruling).
A GENUINE NEGATIVE IS SHOWN, never floored at zero — someone early in a mortgage really does owe more than they own.</t>
        </is>
      </c>
      <c r="U25" s="3" t="inlineStr">
        <is>
          <t>DECLARED 2026-09-30. It is the SAME arithmetic as MK-NW-M-017 net worth, read during setup rather than on the finished tab — and because both now print from this one declaration, the setup figure and the tab figure cannot differ.</t>
        </is>
      </c>
      <c r="V25" s="3" t="inlineStr"/>
      <c r="W25" s="3" t="inlineStr"/>
      <c r="X25" s="3" t="inlineStr"/>
      <c r="Y25" s="3" t="inlineStr"/>
      <c r="Z25" s="3" t="inlineStr">
        <is>
          <t>DRAFT — declared in the code and printed here, WAITING FOR YOUR VERDICT before the screens move behind the door (rule 10)</t>
        </is>
      </c>
      <c r="AA25" s="3" t="inlineStr"/>
      <c r="AB25" s="3" t="inlineStr"/>
      <c r="AC25" s="3" t="inlineStr"/>
      <c r="AD25" s="3" t="inlineStr"/>
      <c r="AE25" s="3" t="inlineStr"/>
      <c r="AF25" s="3" t="inlineStr">
        <is>
          <t>ACTIVE</t>
        </is>
      </c>
      <c r="AG25" s="3" t="inlineStr">
        <is>
          <t>2026-10-19</t>
        </is>
      </c>
      <c r="AH25" s="3" t="inlineStr"/>
      <c r="AI25" s="3" t="inlineStr"/>
      <c r="AJ25"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RULED? NOT YET — read this row and say yes, or say what changes. Nothing moves behind MK-NW-O-003 theNetWorth until you do.</t>
        </is>
      </c>
      <c r="AN2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25" s="9" t="inlineStr">
        <is>
          <t>WAITING ON YOU — row to approve: say yes in YOUR ANSWER, or say what changes · RULED, NOT CODED (Q-NW-1 — one question, one function)</t>
        </is>
      </c>
    </row>
    <row r="26" ht="60" customHeight="1">
      <c r="A26" s="3" t="inlineStr">
        <is>
          <t>MK-NW-M-017</t>
        </is>
      </c>
      <c r="B26" s="3" t="inlineStr">
        <is>
          <t>Networth</t>
        </is>
      </c>
      <c r="C26" s="3" t="inlineStr">
        <is>
          <t>/analytics</t>
        </is>
      </c>
      <c r="D26" s="3" t="inlineStr">
        <is>
          <t>Assets $X − Debts $Y = Net worth $Z</t>
        </is>
      </c>
      <c r="E26" s="3" t="inlineStr">
        <is>
          <t>assets_x__debts_y__net_worth_z</t>
        </is>
      </c>
      <c r="F26" s="3" t="inlineStr">
        <is>
          <t>theNetWorth</t>
        </is>
      </c>
      <c r="G26" s="3" t="inlineStr">
        <is>
          <t>MK-NW-O-003</t>
        </is>
      </c>
      <c r="H26" s="3" t="inlineStr">
        <is>
          <t>assets, debts, and assets minus debts</t>
        </is>
      </c>
      <c r="I26" s="3" t="inlineStr">
        <is>
          <t>assets, debts, and assets minus debts</t>
        </is>
      </c>
      <c r="J26" s="3" t="inlineStr">
        <is>
          <t>MK-NW-I-001 your accounts
MK-NW-I-002 your debts</t>
        </is>
      </c>
      <c r="K26" s="3" t="inlineStr">
        <is>
          <t>a sentence</t>
        </is>
      </c>
      <c r="L26" s="3" t="inlineStr">
        <is>
          <t>$0, and under it the one line "Nothing entered yet. Add your accounts ›" (mock approved 2026-09-12). A real zero that was entered shows a plain $0 with no line.</t>
        </is>
      </c>
      <c r="M26" s="3" t="inlineStr">
        <is>
          <t>one figure per household</t>
        </is>
      </c>
      <c r="N26" s="3" t="inlineStr">
        <is>
          <t>as of today</t>
        </is>
      </c>
      <c r="O2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26" s="3" t="inlineStr">
        <is>
          <t>Declared by MK-NW-O-003 theNetWorth</t>
        </is>
      </c>
      <c r="Q26" s="3" t="inlineStr">
        <is>
          <t>NONE RECORDED — the declaration names none.</t>
        </is>
      </c>
      <c r="R26" s="3" t="inlineStr">
        <is>
          <t>NONE RECORDED — the declaration names none.</t>
        </is>
      </c>
      <c r="S26" s="3" t="inlineStr"/>
      <c r="T26" s="3" t="inlineStr">
        <is>
          <t>NONE RECORDED — the declaration names none.</t>
        </is>
      </c>
      <c r="U26" s="3" t="inlineStr"/>
      <c r="V26" s="3" t="inlineStr"/>
      <c r="W26" s="3" t="inlineStr"/>
      <c r="X26" s="3" t="inlineStr"/>
      <c r="Y26" s="3" t="inlineStr"/>
      <c r="Z26" s="3" t="inlineStr">
        <is>
          <t>DECLARED IN THE CODE (rule 11) — printed from the door, not typed. RULED 2026-09-27</t>
        </is>
      </c>
      <c r="AA26" s="3" t="inlineStr"/>
      <c r="AB26" s="3" t="inlineStr"/>
      <c r="AC26" s="3" t="inlineStr"/>
      <c r="AD26" s="3" t="inlineStr"/>
      <c r="AE26" s="3" t="inlineStr">
        <is>
          <t>G32 / Q48 — RULED 2026-09-09: $0 stays, with the sentence '$0 — nothing entered yet.' and this row's door ('Add your accounts ›'). File written; the screen follows the approved empty-state mock (one pattern, one screen), then every screen.</t>
        </is>
      </c>
      <c r="AF26" s="3" t="inlineStr">
        <is>
          <t>ACTIVE</t>
        </is>
      </c>
      <c r="AG26" s="3" t="inlineStr">
        <is>
          <t>2026-10-19</t>
        </is>
      </c>
      <c r="AH26" s="3" t="inlineStr"/>
      <c r="AI26" s="3" t="inlineStr"/>
      <c r="AJ26"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2026-09-27; the figure, its formula, inputs and refusal live in MK-NW-O-003 theNetWorth</t>
        </is>
      </c>
      <c r="AN2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Assets $503,200 − Debts $242,000 = Net worth $261,200
(the test re-runs this through MK-NW-O-003 theNetWorth on every build)</t>
        </is>
      </c>
      <c r="AO26" s="7" t="inlineStr">
        <is>
          <t>RULED, NOT CODED (Q-NW-1 — one question, one function)</t>
        </is>
      </c>
    </row>
    <row r="27" ht="60" customHeight="1">
      <c r="A27" s="3" t="inlineStr">
        <is>
          <t>MK-NW-M-018</t>
        </is>
      </c>
      <c r="B27" s="3" t="inlineStr">
        <is>
          <t>Networth</t>
        </is>
      </c>
      <c r="C27" s="3" t="inlineStr">
        <is>
          <t>/account-detail · /invest</t>
        </is>
      </c>
      <c r="D27" s="3" t="inlineStr">
        <is>
          <t>Market value</t>
        </is>
      </c>
      <c r="E27" s="3" t="inlineStr">
        <is>
          <t>market_value</t>
        </is>
      </c>
      <c r="F27" s="3" t="inlineStr">
        <is>
          <t>theAccount</t>
        </is>
      </c>
      <c r="G27" s="3" t="inlineStr"/>
      <c r="H27" s="3" t="inlineStr">
        <is>
          <t>the account’s balance — for a linked account the broker’s own figure, for one entered by hand the value entered</t>
        </is>
      </c>
      <c r="I2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7" s="3" t="inlineStr">
        <is>
          <t>MK-NW-I-001 your accounts</t>
        </is>
      </c>
      <c r="K27" s="3" t="inlineStr">
        <is>
          <t>dollars, whole</t>
        </is>
      </c>
      <c r="L27" s="3" t="inlineStr">
        <is>
          <t>An account with no value shows nothing rather than $0.</t>
        </is>
      </c>
      <c r="M27" s="3" t="inlineStr">
        <is>
          <t>one account</t>
        </is>
      </c>
      <c r="N27" s="3" t="inlineStr">
        <is>
          <t>as of today</t>
        </is>
      </c>
      <c r="O27" s="3" t="inlineStr">
        <is>
          <t>No function on record — nothing to chain</t>
        </is>
      </c>
      <c r="P27" s="3" t="inlineStr">
        <is>
          <t>Declared by MK-NW-O-002 theAccount</t>
        </is>
      </c>
      <c r="Q27" s="3" t="inlineStr">
        <is>
          <t>NONE RECORDED — the declaration names none.</t>
        </is>
      </c>
      <c r="R27" s="3" t="inlineStr">
        <is>
          <t>NONE RECORDED — the declaration names none.</t>
        </is>
      </c>
      <c r="S27" s="3" t="inlineStr"/>
      <c r="T27" s="3" t="inlineStr">
        <is>
          <t>NONE RECORDED — the declaration names none.</t>
        </is>
      </c>
      <c r="U27" s="3" t="inlineStr">
        <is>
          <t>ONE string for this figure: the band, the trio and the Total row all print it, so one screen cannot show three roundings of one number.</t>
        </is>
      </c>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2026-10-19</t>
        </is>
      </c>
      <c r="AH27" s="3" t="inlineStr"/>
      <c r="AI27" s="3" t="inlineStr"/>
      <c r="AJ27" s="3" t="inlineStr">
        <is>
          <t>No function on record — nothing to read from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MK-NW-O-002 theAccount</t>
        </is>
      </c>
      <c r="AN27"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7" s="7" t="inlineStr">
        <is>
          <t>RULED, NOT CODED (Q-NW-2 — one question, one function)</t>
        </is>
      </c>
    </row>
    <row r="28" ht="60" customHeight="1">
      <c r="A28" s="3" t="inlineStr">
        <is>
          <t>MK-NW-M-019</t>
        </is>
      </c>
      <c r="B28" s="3" t="inlineStr">
        <is>
          <t>Networth</t>
        </is>
      </c>
      <c r="C28" s="3" t="inlineStr">
        <is>
          <t>/account-detail</t>
        </is>
      </c>
      <c r="D28" s="3" t="inlineStr">
        <is>
          <t>Income</t>
        </is>
      </c>
      <c r="E28" s="3" t="inlineStr">
        <is>
          <t>income</t>
        </is>
      </c>
      <c r="F28" s="3" t="inlineStr">
        <is>
          <t>theAccount</t>
        </is>
      </c>
      <c r="G28" s="3" t="inlineStr">
        <is>
          <t>MK-NW-O-002</t>
        </is>
      </c>
      <c r="H28" s="3" t="inlineStr">
        <is>
          <t>the sum of the dividend and interest rows the ledger holds for this account</t>
        </is>
      </c>
      <c r="I28" s="3" t="inlineStr">
        <is>
          <t>the sum of the dividend and interest rows the ledger holds for this account</t>
        </is>
      </c>
      <c r="J28" s="3" t="inlineStr">
        <is>
          <t>MK-NW-I-001 your accounts
MK-NW-I-004 the activity records</t>
        </is>
      </c>
      <c r="K28" s="3" t="inlineStr">
        <is>
          <t>dollars, whole</t>
        </is>
      </c>
      <c r="L28" s="3" t="inlineStr">
        <is>
          <t>$0, and under it the one line "Nothing entered yet. Add your income ›" (mock approved 2026-09-12). A real zero that was entered shows a plain $0 with no line.</t>
        </is>
      </c>
      <c r="M28" s="3" t="inlineStr">
        <is>
          <t>one account</t>
        </is>
      </c>
      <c r="N28" s="3" t="inlineStr">
        <is>
          <t>as of today</t>
        </is>
      </c>
      <c r="O28"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8" s="3" t="inlineStr">
        <is>
          <t>Declared by MK-NW-O-002 theAccount</t>
        </is>
      </c>
      <c r="Q28" s="3" t="inlineStr">
        <is>
          <t>Never estimated. A broker that shares no income records leaves this blank rather than showing a made-up $0.</t>
        </is>
      </c>
      <c r="R28" s="3" t="inlineStr">
        <is>
          <t>Never estimated. A broker that shares no income records leaves this blank rather than showing a made-up $0.</t>
        </is>
      </c>
      <c r="S28" s="3" t="inlineStr"/>
      <c r="T28" s="3" t="inlineStr">
        <is>
          <t>Never estimated. A broker that shares no income records leaves this blank rather than showing a made-up $0.</t>
        </is>
      </c>
      <c r="U28" s="3" t="inlineStr"/>
      <c r="V28" s="9" t="inlineStr">
        <is>
          <t>Q15 — An institution word we do not recognise: refuse the line and ask you, or book it as unclassified with no direction? The old sign-guess is what minted the $1.4 million.</t>
        </is>
      </c>
      <c r="W28" s="9" t="inlineStr"/>
      <c r="X28" s="3" t="inlineStr"/>
      <c r="Y28" s="3" t="inlineStr"/>
      <c r="Z28" s="3" t="inlineStr">
        <is>
          <t>DECLARED IN THE CODE (rule 11) — printed from the door, not typed. RULED 2026-09-27</t>
        </is>
      </c>
      <c r="AA28" s="3" t="inlineStr"/>
      <c r="AB28" s="3" t="inlineStr"/>
      <c r="AC28" s="3" t="inlineStr"/>
      <c r="AD28" s="3" t="inlineStr"/>
      <c r="AE28" s="3" t="inlineStr">
        <is>
          <t>G32 / Q48 — RULED 2026-09-09: $0 stays, with the sentence '$0 — nothing entered yet.' and this row's door ('Add your income ›'). File written; the screen follows the approved empty-state mock (one pattern, one screen), then every screen.</t>
        </is>
      </c>
      <c r="AF28" s="3" t="inlineStr">
        <is>
          <t>ACTIVE</t>
        </is>
      </c>
      <c r="AG28" s="3" t="inlineStr">
        <is>
          <t>2026-10-19</t>
        </is>
      </c>
      <c r="AH28" s="3" t="inlineStr"/>
      <c r="AI28" s="3" t="inlineStr"/>
      <c r="AJ28"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8" s="9" t="inlineStr">
        <is>
          <t>WAITING ON YOU — question Q15 · RULED, NOT CODED (Q-NW-2 — one question, one function)</t>
        </is>
      </c>
    </row>
    <row r="29" ht="60" customHeight="1">
      <c r="A29" s="3" t="inlineStr">
        <is>
          <t>MK-NW-M-020</t>
        </is>
      </c>
      <c r="B29" s="3" t="inlineStr">
        <is>
          <t>Networth</t>
        </is>
      </c>
      <c r="C29" s="3" t="inlineStr">
        <is>
          <t>/account-detail</t>
        </is>
      </c>
      <c r="D29" s="3" t="inlineStr">
        <is>
          <t>each asset class inside the account</t>
        </is>
      </c>
      <c r="E29" s="3" t="inlineStr">
        <is>
          <t>each_asset_class_inside_the_account</t>
        </is>
      </c>
      <c r="F29" s="3" t="inlineStr">
        <is>
          <t>theAccount</t>
        </is>
      </c>
      <c r="G29" s="3" t="inlineStr">
        <is>
          <t>MK-NW-O-002</t>
        </is>
      </c>
      <c r="H29" s="3" t="inlineStr">
        <is>
          <t>the cash sleeve, plus each holding’s shares × its last price, added up by class</t>
        </is>
      </c>
      <c r="I29" s="3" t="inlineStr">
        <is>
          <t>the cash sleeve, plus each holding’s shares × its last price, added up by class</t>
        </is>
      </c>
      <c r="J29" s="3" t="inlineStr">
        <is>
          <t>MK-NW-I-001 your accounts</t>
        </is>
      </c>
      <c r="K29" s="3" t="inlineStr">
        <is>
          <t>dollars, whole</t>
        </is>
      </c>
      <c r="L29" s="3" t="inlineStr">
        <is>
          <t>$0, and under it the one line "Nothing entered yet. Add a holding ›" (mock approved 2026-09-12). A real zero that was entered shows a plain $0 with no line.</t>
        </is>
      </c>
      <c r="M29" s="3" t="inlineStr">
        <is>
          <t>one class in one account</t>
        </is>
      </c>
      <c r="N29" s="3" t="inlineStr">
        <is>
          <t>as of today</t>
        </is>
      </c>
      <c r="O29"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9" s="3" t="inlineStr">
        <is>
          <t>Declared by MK-NW-O-002 theAccount</t>
        </is>
      </c>
      <c r="Q29" s="3" t="inlineStr">
        <is>
          <t>Only a LINKED account has an inside to read. A hand-entered lump has none until someone itemises it.</t>
        </is>
      </c>
      <c r="R29" s="3" t="inlineStr">
        <is>
          <t>Only a LINKED account has an inside to read. A hand-entered lump has none until someone itemises it.</t>
        </is>
      </c>
      <c r="S29" s="3" t="inlineStr"/>
      <c r="T29" s="3" t="inlineStr">
        <is>
          <t>Only a LINKED account has an inside to read. A hand-entered lump has none until someone itemises it.</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a holding ›'). File written; the screen follows the approved empty-state mock (one pattern, one screen), then every screen.</t>
        </is>
      </c>
      <c r="AF29" s="3" t="inlineStr">
        <is>
          <t>ACTIVE</t>
        </is>
      </c>
      <c r="AG29" s="3" t="inlineStr">
        <is>
          <t>2026-10-19</t>
        </is>
      </c>
      <c r="AH29" s="3" t="inlineStr"/>
      <c r="AI29" s="3" t="inlineStr"/>
      <c r="AJ29"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MK-NW-O-002 theAccount</t>
        </is>
      </c>
      <c r="AN29"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29" s="7" t="inlineStr">
        <is>
          <t>RULED, NOT CODED (Q-NW-2 — one question, one function)</t>
        </is>
      </c>
    </row>
    <row r="30" ht="60" customHeight="1">
      <c r="A30" s="3" t="inlineStr">
        <is>
          <t>MK-NW-M-021</t>
        </is>
      </c>
      <c r="B30" s="3" t="inlineStr">
        <is>
          <t>Networth</t>
        </is>
      </c>
      <c r="C30" s="3" t="inlineStr">
        <is>
          <t>/account-detail</t>
        </is>
      </c>
      <c r="D30" s="3" t="inlineStr">
        <is>
          <t>Income: &lt;amount&gt; on a holding row</t>
        </is>
      </c>
      <c r="E30" s="3" t="inlineStr">
        <is>
          <t>income_amount_on_a_holding_row</t>
        </is>
      </c>
      <c r="F30" s="3" t="inlineStr">
        <is>
          <t>theAccount</t>
        </is>
      </c>
      <c r="G30" s="3" t="inlineStr">
        <is>
          <t>MK-NW-O-002</t>
        </is>
      </c>
      <c r="H30" s="3" t="inlineStr">
        <is>
          <t>the dividend and interest rows whose ticker IS this holding’s ticker; nothing when the record names no holding</t>
        </is>
      </c>
      <c r="I30" s="3" t="inlineStr">
        <is>
          <t>the dividend and interest rows whose ticker IS this holding’s ticker; nothing when the record names no holding</t>
        </is>
      </c>
      <c r="J30" s="3" t="inlineStr">
        <is>
          <t>MK-NW-I-004 the activity records</t>
        </is>
      </c>
      <c r="K30" s="3" t="inlineStr">
        <is>
          <t>a sentence</t>
        </is>
      </c>
      <c r="L30" s="3" t="inlineStr">
        <is>
          <t>$0, and under it the one line "Nothing entered yet. Add your income ›" (mock approved 2026-09-12). A real zero that was entered shows a plain $0 with no line.</t>
        </is>
      </c>
      <c r="M30" s="3" t="inlineStr">
        <is>
          <t>one holding</t>
        </is>
      </c>
      <c r="N30" s="3" t="inlineStr">
        <is>
          <t>as of today</t>
        </is>
      </c>
      <c r="O30"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30" s="3" t="inlineStr">
        <is>
          <t>Declared by MK-NW-O-002 theAccount</t>
        </is>
      </c>
      <c r="Q30"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30"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30" s="3" t="inlineStr"/>
      <c r="T30"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30"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G32 / Q48 — RULED 2026-09-09: $0 stays, with the sentence '$0 — nothing entered yet.' and this row's door ('Add your income ›'). File written; the screen follows the approved empty-state mock (one pattern, one screen), then every screen.</t>
        </is>
      </c>
      <c r="AF30" s="3" t="inlineStr">
        <is>
          <t>ACTIVE</t>
        </is>
      </c>
      <c r="AG30" s="3" t="inlineStr">
        <is>
          <t>2026-10-19</t>
        </is>
      </c>
      <c r="AH30" s="3" t="inlineStr"/>
      <c r="AI30" s="3" t="inlineStr"/>
      <c r="AJ30"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MK-NW-O-002 theAccount</t>
        </is>
      </c>
      <c r="AN30"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30" s="7" t="inlineStr">
        <is>
          <t>RULED, NOT CODED (Q-NW-2 — one question, one function)</t>
        </is>
      </c>
    </row>
    <row r="31" ht="60" customHeight="1">
      <c r="A31" s="3" t="inlineStr">
        <is>
          <t>MK-NW-M-022</t>
        </is>
      </c>
      <c r="B31" s="3" t="inlineStr">
        <is>
          <t>Networth</t>
        </is>
      </c>
      <c r="C31" s="3" t="inlineStr">
        <is>
          <t>/account-detail</t>
        </is>
      </c>
      <c r="D31" s="3" t="inlineStr">
        <is>
          <t>ACTIVITY — n records</t>
        </is>
      </c>
      <c r="E31" s="3" t="inlineStr">
        <is>
          <t>activity__n_records</t>
        </is>
      </c>
      <c r="F31" s="3" t="inlineStr">
        <is>
          <t>theAccount</t>
        </is>
      </c>
      <c r="G31" s="3" t="inlineStr"/>
      <c r="H31" s="3" t="inlineStr">
        <is>
          <t>the count of ledger rows for this account</t>
        </is>
      </c>
      <c r="I31" s="3" t="inlineStr">
        <is>
          <t>The number of activity records held for this account — a count, no arithmetic. The "since" date beside it is the earliest record date (MK-XS-F-111).</t>
        </is>
      </c>
      <c r="J31" s="3" t="inlineStr">
        <is>
          <t>MK-NW-I-004 the activity records</t>
        </is>
      </c>
      <c r="K31" s="3" t="inlineStr">
        <is>
          <t>a count</t>
        </is>
      </c>
      <c r="L31" s="3" t="inlineStr">
        <is>
          <t>None yet — the section keeps its heading and says so.</t>
        </is>
      </c>
      <c r="M31" s="3" t="inlineStr">
        <is>
          <t>one account</t>
        </is>
      </c>
      <c r="N31" s="3" t="inlineStr">
        <is>
          <t>as of today</t>
        </is>
      </c>
      <c r="O31" s="3" t="inlineStr">
        <is>
          <t>No function on record — nothing to chain</t>
        </is>
      </c>
      <c r="P31" s="3" t="inlineStr">
        <is>
          <t>Declared by MK-NW-O-002 theAccount</t>
        </is>
      </c>
      <c r="Q31" s="3" t="inlineStr">
        <is>
          <t>NONE RECORDED — the declaration names none.</t>
        </is>
      </c>
      <c r="R31" s="3" t="inlineStr">
        <is>
          <t>NONE RECORDED — the declaration names none.</t>
        </is>
      </c>
      <c r="S31" s="3" t="inlineStr"/>
      <c r="T31" s="3" t="inlineStr">
        <is>
          <t>NONE RECORDED — the declaration names none.</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c r="AF31" s="3" t="inlineStr">
        <is>
          <t>ACTIVE</t>
        </is>
      </c>
      <c r="AG31" s="3" t="inlineStr">
        <is>
          <t>2026-10-19</t>
        </is>
      </c>
      <c r="AH31" s="3" t="inlineStr"/>
      <c r="AI31" s="3" t="inlineStr"/>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MK-NW-O-002 theAccount</t>
        </is>
      </c>
      <c r="AN31"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31" s="7" t="inlineStr">
        <is>
          <t>RULED, NOT CODED (Q-NW-2 — one question, one function)</t>
        </is>
      </c>
    </row>
    <row r="32" ht="60" customHeight="1">
      <c r="A32" s="3" t="inlineStr">
        <is>
          <t>MK-NW-M-023</t>
        </is>
      </c>
      <c r="B32" s="3" t="inlineStr">
        <is>
          <t>Networth</t>
        </is>
      </c>
      <c r="C32" s="3" t="inlineStr">
        <is>
          <t>/account-detail</t>
        </is>
      </c>
      <c r="D32" s="3" t="inlineStr">
        <is>
          <t>Face value</t>
        </is>
      </c>
      <c r="E32" s="3" t="inlineStr">
        <is>
          <t>face_value</t>
        </is>
      </c>
      <c r="F32" s="3" t="inlineStr">
        <is>
          <t>theBonds</t>
        </is>
      </c>
      <c r="G32" s="3" t="inlineStr">
        <is>
          <t>MK-NW-O-001</t>
        </is>
      </c>
      <c r="H32" s="3" t="inlineStr">
        <is>
          <t>the face value you entered</t>
        </is>
      </c>
      <c r="I32" s="3" t="inlineStr">
        <is>
          <t>the face value you entered</t>
        </is>
      </c>
      <c r="J32" s="3" t="inlineStr">
        <is>
          <t>MK-NW-I-001 your accounts</t>
        </is>
      </c>
      <c r="K32" s="3" t="inlineStr">
        <is>
          <t>dollars, whole</t>
        </is>
      </c>
      <c r="L32" s="3" t="inlineStr">
        <is>
          <t>$0, and under it the one line "Nothing entered yet. Add a bond ›" (mock approved 2026-09-12). A real zero that was entered shows a plain $0 with no line.</t>
        </is>
      </c>
      <c r="M32" s="3" t="inlineStr">
        <is>
          <t>one bond</t>
        </is>
      </c>
      <c r="N32" s="3" t="inlineStr">
        <is>
          <t>as of today</t>
        </is>
      </c>
      <c r="O32"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32" s="3" t="inlineStr">
        <is>
          <t>Declared by MK-NW-O-001 theBonds</t>
        </is>
      </c>
      <c r="Q32" s="3" t="inlineStr">
        <is>
          <t>NONE RECORDED — the declaration names none.</t>
        </is>
      </c>
      <c r="R32" s="3" t="inlineStr">
        <is>
          <t>NONE RECORDED — the declaration names none.</t>
        </is>
      </c>
      <c r="S32" s="3" t="inlineStr"/>
      <c r="T32" s="3" t="inlineStr">
        <is>
          <t>NONE RECORDED — the declaration names none.</t>
        </is>
      </c>
      <c r="U32" s="3" t="inlineStr"/>
      <c r="V32" s="9" t="inlineStr">
        <is>
          <t>Q01 — Is Quantity for a bond the FACE amount (e.g. 227,000) with the price quoted per $100 of face, or the number of bonds? It decides how value and gain are worked out.</t>
        </is>
      </c>
      <c r="W32" s="9" t="inlineStr"/>
      <c r="X32" s="3" t="inlineStr"/>
      <c r="Y32" s="3" t="inlineStr"/>
      <c r="Z32" s="3" t="inlineStr">
        <is>
          <t>DECLARED IN THE CODE (rule 11) — printed from the door, not typed. RULED 2026-09-27</t>
        </is>
      </c>
      <c r="AA32" s="3" t="inlineStr"/>
      <c r="AB32" s="3" t="inlineStr"/>
      <c r="AC32" s="3" t="inlineStr"/>
      <c r="AD32" s="3" t="inlineStr"/>
      <c r="AE32" s="3" t="inlineStr">
        <is>
          <t>G32 / Q48 — RULED 2026-09-09: $0 stays, with the sentence '$0 — nothing entered yet.' and this row's door ('Add a bond ›'). File written; the screen follows the approved empty-state mock (one pattern, one screen), then every screen.</t>
        </is>
      </c>
      <c r="AF32" s="3" t="inlineStr">
        <is>
          <t>ACTIVE</t>
        </is>
      </c>
      <c r="AG32" s="3" t="inlineStr">
        <is>
          <t>2026-10-19</t>
        </is>
      </c>
      <c r="AH32" s="3" t="inlineStr"/>
      <c r="AI32" s="3" t="inlineStr"/>
      <c r="AJ32"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MK-NW-O-001 theBonds</t>
        </is>
      </c>
      <c r="AN32" s="3" t="inlineStr">
        <is>
          <t>Two bonds on 28 Sep 2026: a $25,000-face Treasury paying 4.5%, maturing 30 Sep 2029, worth $24,200 today; and a $10,000 Ally CD paying 5.05%, maturing 15 Mar 2027, worth its $10,000.
GIVES: $25,000
(the test re-runs this through MK-NW-O-001 theBonds on every build)</t>
        </is>
      </c>
      <c r="AO32" s="9" t="inlineStr">
        <is>
          <t>WAITING ON YOU — question Q01 · RULED, NOT CODED (Q-NW-4 — one question, one function)</t>
        </is>
      </c>
    </row>
    <row r="33" ht="60" customHeight="1">
      <c r="A33" s="3" t="inlineStr">
        <is>
          <t>MK-NW-M-024</t>
        </is>
      </c>
      <c r="B33" s="3" t="inlineStr">
        <is>
          <t>Networth</t>
        </is>
      </c>
      <c r="C33" s="3" t="inlineStr">
        <is>
          <t>/account-detail</t>
        </is>
      </c>
      <c r="D33" s="3" t="inlineStr">
        <is>
          <t>Interest payments</t>
        </is>
      </c>
      <c r="E33" s="3" t="inlineStr">
        <is>
          <t>interest_payments</t>
        </is>
      </c>
      <c r="F33" s="3" t="inlineStr">
        <is>
          <t>theBonds</t>
        </is>
      </c>
      <c r="G33" s="3" t="inlineStr">
        <is>
          <t>MK-NW-O-001</t>
        </is>
      </c>
      <c r="H33" s="3" t="inlineStr">
        <is>
          <t>coupon rate, and face value × coupon rate</t>
        </is>
      </c>
      <c r="I33" s="3" t="inlineStr">
        <is>
          <t>coupon rate, and face value × coupon rate</t>
        </is>
      </c>
      <c r="J33" s="3" t="inlineStr">
        <is>
          <t>MK-NW-I-001 your accounts</t>
        </is>
      </c>
      <c r="K33" s="3" t="inlineStr">
        <is>
          <t>a sentence</t>
        </is>
      </c>
      <c r="L33" s="3" t="inlineStr">
        <is>
          <t>No coupon rate entered.</t>
        </is>
      </c>
      <c r="M33" s="3" t="inlineStr">
        <is>
          <t>one bond</t>
        </is>
      </c>
      <c r="N33" s="3" t="inlineStr">
        <is>
          <t>as of today</t>
        </is>
      </c>
      <c r="O3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9" t="inlineStr">
        <is>
          <t>Q04 — "Annual income" on a bond: the last twelve months actually received, or the forward estimate from today\'s coupon? Both are defensible and they differ.</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2026-10-19</t>
        </is>
      </c>
      <c r="AH33" s="3" t="inlineStr"/>
      <c r="AI33" s="3" t="inlineStr"/>
      <c r="AJ33"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3" s="9" t="inlineStr">
        <is>
          <t>WAITING ON YOU — question Q04 · RULED, NOT CODED (Q-NW-4 — one question, one function)</t>
        </is>
      </c>
    </row>
    <row r="34" ht="60" customHeight="1">
      <c r="A34" s="3" t="inlineStr">
        <is>
          <t>MK-NW-M-025</t>
        </is>
      </c>
      <c r="B34" s="3" t="inlineStr">
        <is>
          <t>Networth</t>
        </is>
      </c>
      <c r="C34" s="3" t="inlineStr">
        <is>
          <t>/account-detail</t>
        </is>
      </c>
      <c r="D34" s="3" t="inlineStr">
        <is>
          <t>Matures</t>
        </is>
      </c>
      <c r="E34" s="3" t="inlineStr">
        <is>
          <t>matures</t>
        </is>
      </c>
      <c r="F34" s="3" t="inlineStr">
        <is>
          <t>theBonds</t>
        </is>
      </c>
      <c r="G34" s="3" t="inlineStr">
        <is>
          <t>MK-NW-O-001</t>
        </is>
      </c>
      <c r="H34" s="3" t="inlineStr">
        <is>
          <t>years to maturity = (maturity date − today) ÷ 365.25 days;  already past → 0;  NO maturity date, or an unreadable one → no answer (nothing is invented)</t>
        </is>
      </c>
      <c r="I34" s="3" t="inlineStr">
        <is>
          <t>Maturity date minus today, in years (365.25 days to the year). Anything already past → 0. No maturity date, or one that cannot be read → NO answer: the years, the yield to maturity and the rate sensitivity all refuse, and the screen asks for the date.</t>
        </is>
      </c>
      <c r="J34" s="3" t="inlineStr">
        <is>
          <t>MK-NW-I-001 your accounts</t>
        </is>
      </c>
      <c r="K34" s="3" t="inlineStr">
        <is>
          <t>a sentence</t>
        </is>
      </c>
      <c r="L34" s="3" t="inlineStr">
        <is>
          <t>No maturity date → the 'Matures' line is not shown; a matured bond shows '(matured)'.</t>
        </is>
      </c>
      <c r="M34" s="3" t="inlineStr">
        <is>
          <t>one bond</t>
        </is>
      </c>
      <c r="N34" s="3" t="inlineStr">
        <is>
          <t>as of today</t>
        </is>
      </c>
      <c r="O3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34" s="3" t="inlineStr">
        <is>
          <t>Declared by MK-NW-O-001 theBonds</t>
        </is>
      </c>
      <c r="Q34" s="3" t="inlineStr">
        <is>
          <t>NONE RECORDED — the declaration names none.</t>
        </is>
      </c>
      <c r="R34" s="3" t="inlineStr">
        <is>
          <t>NONE RECORDED — the declaration names none.</t>
        </is>
      </c>
      <c r="S34" s="3" t="inlineStr"/>
      <c r="T34" s="3" t="inlineStr">
        <is>
          <t>NONE RECORDED — the declaration names none.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2026-09-09: the 'division with nothing on the bottom' boilerplate is gone; this cell now states the row's real refusal. Where it says 'built', the screen already does it; the rest follow the empty-state mock.</t>
        </is>
      </c>
      <c r="AF34" s="3" t="inlineStr">
        <is>
          <t>ACTIVE</t>
        </is>
      </c>
      <c r="AG34" s="3" t="inlineStr">
        <is>
          <t>2026-10-19</t>
        </is>
      </c>
      <c r="AH34" s="3" t="inlineStr"/>
      <c r="AI34" s="3" t="inlineStr"/>
      <c r="AJ34"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4" s="7" t="inlineStr">
        <is>
          <t>RULED, NOT CODED (Q-NW-4 — one question, one function)</t>
        </is>
      </c>
    </row>
    <row r="35" ht="60" customHeight="1">
      <c r="A35" s="3" t="inlineStr">
        <is>
          <t>MK-NW-M-026</t>
        </is>
      </c>
      <c r="B35" s="3" t="inlineStr">
        <is>
          <t>Networth</t>
        </is>
      </c>
      <c r="C35" s="3" t="inlineStr">
        <is>
          <t>/account-detail</t>
        </is>
      </c>
      <c r="D35" s="3" t="inlineStr">
        <is>
          <t>Yield if held to maturity</t>
        </is>
      </c>
      <c r="E35" s="3" t="inlineStr">
        <is>
          <t>yield_if_held_to_maturity</t>
        </is>
      </c>
      <c r="F35" s="3" t="inlineStr">
        <is>
          <t>theBonds</t>
        </is>
      </c>
      <c r="G35" s="3" t="inlineStr">
        <is>
          <t>MK-NW-O-001</t>
        </is>
      </c>
      <c r="H35" s="3" t="inlineStr">
        <is>
          <t>yield to maturity ≈ (annual coupon + (face − value) ÷ years left) ÷ ((face + value) ÷ 2)   — the straight-line approximation, rounded to 4 decimal places; value = the bond's current value as entered (the balance), on the same total basis as face</t>
        </is>
      </c>
      <c r="I35"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5" s="3" t="inlineStr">
        <is>
          <t>MK-NW-I-001 your accounts</t>
        </is>
      </c>
      <c r="K35" s="3" t="inlineStr">
        <is>
          <t>a percentage, two decimals</t>
        </is>
      </c>
      <c r="L35" s="3" t="inlineStr">
        <is>
          <t>Matured, or no maturity date — it refuses rather than divide by nothing.</t>
        </is>
      </c>
      <c r="M35" s="3" t="inlineStr">
        <is>
          <t>one bond</t>
        </is>
      </c>
      <c r="N35" s="3" t="inlineStr">
        <is>
          <t>as of today</t>
        </is>
      </c>
      <c r="O3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35" s="3" t="inlineStr">
        <is>
          <t>Declared by MK-NW-O-001 theBonds</t>
        </is>
      </c>
      <c r="Q35" s="3" t="inlineStr">
        <is>
          <t>An approximation, and labelled an estimate on screen.</t>
        </is>
      </c>
      <c r="R35" s="3" t="inlineStr">
        <is>
          <t>An approximation, and labelled an estimate on screen.</t>
        </is>
      </c>
      <c r="S35" s="3" t="inlineStr"/>
      <c r="T35" s="3" t="inlineStr">
        <is>
          <t>An approximation, and labelled an estimate on screen.</t>
        </is>
      </c>
      <c r="U35" s="3" t="inlineStr"/>
      <c r="V35" s="9" t="inlineStr">
        <is>
          <t>Q05 — Accrued interest: do we work it out ourselves — which needs a day-count rule per bond type — or only show what the institution gives us?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G20 — CLOSED 2026-09-08: the math column claimed the exact root-solve; the code (MK-NW-F-060) is the approximation, now stated in both columns and labelled; the function header's rounding line corrected (4 decimals). No code change.</t>
        </is>
      </c>
      <c r="AF35" s="3" t="inlineStr">
        <is>
          <t>ACTIVE</t>
        </is>
      </c>
      <c r="AG35" s="3" t="inlineStr">
        <is>
          <t>2026-10-19</t>
        </is>
      </c>
      <c r="AH35" s="3" t="inlineStr"/>
      <c r="AI35" s="3" t="inlineStr"/>
      <c r="AJ35"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MK-NW-O-001 theBonds</t>
        </is>
      </c>
      <c r="AN35" s="3" t="inlineStr">
        <is>
          <t>Two bonds on 28 Sep 2026: a $25,000-face Treasury paying 4.5%, maturing 30 Sep 2029, worth $24,200 today; and a $10,000 Ally CD paying 5.05%, maturing 15 Mar 2027, worth its $10,000.
GIVES: 5.69%
(the test re-runs this through MK-NW-O-001 theBonds on every build)</t>
        </is>
      </c>
      <c r="AO35" s="9" t="inlineStr">
        <is>
          <t>WAITING ON YOU — question Q05 · RULED, NOT CODED (Q-NW-4 — one question, one function)</t>
        </is>
      </c>
    </row>
    <row r="36" ht="60" customHeight="1">
      <c r="A36" s="3" t="inlineStr">
        <is>
          <t>MK-NW-M-027</t>
        </is>
      </c>
      <c r="B36" s="3" t="inlineStr">
        <is>
          <t>Networth</t>
        </is>
      </c>
      <c r="C36" s="3" t="inlineStr">
        <is>
          <t>/account-detail</t>
        </is>
      </c>
      <c r="D36" s="3" t="inlineStr">
        <is>
          <t>Yield on today's value</t>
        </is>
      </c>
      <c r="E36" s="3" t="inlineStr">
        <is>
          <t>yield_on_todays_value</t>
        </is>
      </c>
      <c r="F36" s="3" t="inlineStr">
        <is>
          <t>theBonds</t>
        </is>
      </c>
      <c r="G36" s="3" t="inlineStr">
        <is>
          <t>MK-NW-O-001</t>
        </is>
      </c>
      <c r="H36" s="3" t="inlineStr">
        <is>
          <t>coupon ÷ today’s value</t>
        </is>
      </c>
      <c r="I36" s="3" t="inlineStr">
        <is>
          <t>coupon ÷ today’s value</t>
        </is>
      </c>
      <c r="J36" s="3" t="inlineStr">
        <is>
          <t>MK-NW-I-001 your accounts</t>
        </is>
      </c>
      <c r="K36" s="3" t="inlineStr">
        <is>
          <t>a percentage, two decimals</t>
        </is>
      </c>
      <c r="L36" s="3" t="inlineStr">
        <is>
          <t>No value today.</t>
        </is>
      </c>
      <c r="M36" s="3" t="inlineStr">
        <is>
          <t>one bond</t>
        </is>
      </c>
      <c r="N36" s="3" t="inlineStr">
        <is>
          <t>as of today</t>
        </is>
      </c>
      <c r="O36"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36" s="3" t="inlineStr">
        <is>
          <t>Declared by MK-NW-O-001 theBonds</t>
        </is>
      </c>
      <c r="Q36" s="3" t="inlineStr">
        <is>
          <t>NONE RECORDED — the declaration names none.</t>
        </is>
      </c>
      <c r="R36" s="3" t="inlineStr">
        <is>
          <t>NONE RECORDED — the declaration names none.</t>
        </is>
      </c>
      <c r="S36" s="3" t="inlineStr"/>
      <c r="T36" s="3" t="inlineStr">
        <is>
          <t>NONE RECORDED — the declaration names none.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c r="AF36" s="3" t="inlineStr">
        <is>
          <t>ACTIVE</t>
        </is>
      </c>
      <c r="AG36" s="3" t="inlineStr">
        <is>
          <t>2026-10-19</t>
        </is>
      </c>
      <c r="AH36" s="3" t="inlineStr"/>
      <c r="AI36" s="3" t="inlineStr"/>
      <c r="AJ36"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MK-NW-O-001 theBonds</t>
        </is>
      </c>
      <c r="AN36" s="3" t="inlineStr">
        <is>
          <t>Two bonds on 28 Sep 2026: a $25,000-face Treasury paying 4.5%, maturing 30 Sep 2029, worth $24,200 today; and a $10,000 Ally CD paying 5.05%, maturing 15 Mar 2027, worth its $10,000.
GIVES: 4.65%
(the test re-runs this through MK-NW-O-001 theBonds on every build)</t>
        </is>
      </c>
      <c r="AO36" s="7" t="inlineStr">
        <is>
          <t>RULED, NOT CODED (Q-NW-4 — one question, one function)</t>
        </is>
      </c>
    </row>
    <row r="37" ht="60" customHeight="1">
      <c r="A37" s="3" t="inlineStr">
        <is>
          <t>MK-NW-M-028</t>
        </is>
      </c>
      <c r="B37" s="3" t="inlineStr">
        <is>
          <t>Networth</t>
        </is>
      </c>
      <c r="C37" s="3" t="inlineStr">
        <is>
          <t>/account-detail</t>
        </is>
      </c>
      <c r="D37" s="3" t="inlineStr">
        <is>
          <t>Rates rise 1% → value roughly $X–$Y</t>
        </is>
      </c>
      <c r="E37" s="3" t="inlineStr">
        <is>
          <t>rates_rise_1__value_roughly_xy</t>
        </is>
      </c>
      <c r="F37" s="3" t="inlineStr">
        <is>
          <t>theBonds</t>
        </is>
      </c>
      <c r="G37" s="3" t="inlineStr">
        <is>
          <t>MK-NW-F-064</t>
        </is>
      </c>
      <c r="H37" s="3" t="inlineStr">
        <is>
          <t>value at (yield − 1%) and value at (yield + 1%), each = Σ coupon ÷ (1 + y)^t + face ÷ (1 + y)^n over the whole remaining years;  shown as the range between the two</t>
        </is>
      </c>
      <c r="I37" s="3" t="inlineStr">
        <is>
          <t>price it again at (yield to maturity ± 1%), and show a band of ±1% around that</t>
        </is>
      </c>
      <c r="J37" s="3" t="inlineStr">
        <is>
          <t>MK-NW-I-001 your accounts</t>
        </is>
      </c>
      <c r="K37" s="3" t="inlineStr">
        <is>
          <t>dollars, whole</t>
        </is>
      </c>
      <c r="L37" s="3" t="inlineStr">
        <is>
          <t>Refused for a CD bought from the bank, for a matured bond, and for anything with no coupon or no maturity — and for a bank CD it says plainly why nothing happens.</t>
        </is>
      </c>
      <c r="M37" s="3" t="inlineStr">
        <is>
          <t>one bond</t>
        </is>
      </c>
      <c r="N37" s="3" t="inlineStr">
        <is>
          <t>as of today</t>
        </is>
      </c>
      <c r="O37" s="3" t="inlineStr">
        <is>
          <t>1. MK-NW-F-060 (approxYTM) → number | null
2. MK-NW-F-069 (priceAtYield) → number | null
3. MK-NW-F-131 (pricedLikeBond) → boolean</t>
        </is>
      </c>
      <c r="P37" s="3" t="inlineStr">
        <is>
          <t>Declared by MK-NW-O-001 theBonds</t>
        </is>
      </c>
      <c r="Q37"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R37"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S37" s="3" t="inlineStr"/>
      <c r="T37"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c r="AF37" s="3" t="inlineStr">
        <is>
          <t>ACTIVE</t>
        </is>
      </c>
      <c r="AG37" s="3" t="inlineStr">
        <is>
          <t>2026-10-19</t>
        </is>
      </c>
      <c r="AH37" s="3" t="inlineStr"/>
      <c r="AI37" s="3" t="inlineStr"/>
      <c r="AJ37" s="3" t="inlineStr">
        <is>
          <t>1. MK-XS-I-001 account balance — read by MK-ST-F-027
2. MK-XS-I-002 account type (taxable, pre-tax, Roth) — read by MK-NW-F-011, MK-NW-F-120
3. MK-XS-I-004 holding quantity (shares) — read by MK-ST-F-027
4. MK-XS-I-005 holding price — read by MK-ST-F-027
5. MK-XS-I-007 purchase price and date (per lot) — read by MK-ST-F-027
6. MK-XS-I-011 bond face value — read by MK-NW-F-057, MK-NW-F-060, MK-NW-F-064, MK-NW-F-069, MK-NW-F-119
7. MK-XS-I-012 bond coupon rate — read by MK-NW-F-057, MK-NW-F-060, MK-NW-F-064, MK-NW-F-119
8. MK-XS-I-013 bond maturity date — read by MK-NW-F-058, MK-NW-F-060, MK-NW-F-069, MK-NW-F-119, MK-NW-F-120, MK-NW-F-124, MK
9. MK-XS-I-048 the person’s own asset-class answer — read by MK-NW-F-011, MK-ST-F-027
10. MK-XS-I-049 bond price — what the bond is worth today — read by MK-NW-F-057, MK-NW-F-060, MK-NW-F-064, MK-NW-F-069, MK-NW-F-119, MK-NW-F-131
11. MK-XS-I-055 the wrapper an account sits in — ISA, 401(k), IRA and the rest — read by MK-NW-F-011, MK-NW-F-120
12. MK-XS-I-065 accrued interest on a bond — interest earned since the last coupon — read by MK-NW-F-060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MK-NW-O-001 theBonds</t>
        </is>
      </c>
      <c r="AN37" s="3" t="inlineStr">
        <is>
          <t>Two bonds on 28 Sep 2026: a $25,000-face Treasury paying 4.5%, maturing 30 Sep 2029, worth $24,200 today; and a $10,000 Ally CD paying 5.05%, maturing 15 Mar 2027, worth its $10,000.
GIVES: $23,300–$23,800
(the test re-runs this through MK-NW-O-001 theBonds on every build)</t>
        </is>
      </c>
      <c r="AO37" s="7" t="inlineStr">
        <is>
          <t>RULED, NOT CODED (Q-NW-4 — one question, one function)</t>
        </is>
      </c>
    </row>
    <row r="38" ht="60" customHeight="1">
      <c r="A38" s="3" t="inlineStr">
        <is>
          <t>MK-NW-M-029</t>
        </is>
      </c>
      <c r="B38" s="3" t="inlineStr">
        <is>
          <t>Networth</t>
        </is>
      </c>
      <c r="C38" s="3" t="inlineStr">
        <is>
          <t>/holding-detail</t>
        </is>
      </c>
      <c r="D38" s="3" t="inlineStr">
        <is>
          <t>CURRENT PRICE · LIVE</t>
        </is>
      </c>
      <c r="E38" s="3" t="inlineStr">
        <is>
          <t>current_price__live</t>
        </is>
      </c>
      <c r="F38" s="3" t="inlineStr">
        <is>
          <t>theHolding</t>
        </is>
      </c>
      <c r="G38" s="3" t="inlineStr">
        <is>
          <t>MK-NW-O-006</t>
        </is>
      </c>
      <c r="H38" s="3" t="inlineStr">
        <is>
          <t>the last close the price feed holds for this ticker</t>
        </is>
      </c>
      <c r="I38" s="3" t="inlineStr">
        <is>
          <t>the last close the price feed holds for this ticker</t>
        </is>
      </c>
      <c r="J38" s="3" t="inlineStr">
        <is>
          <t>MK-NW-I-005 the price feed</t>
        </is>
      </c>
      <c r="K38" s="3" t="inlineStr">
        <is>
          <t>dollars, two decimals</t>
        </is>
      </c>
      <c r="L38" s="3" t="inlineStr">
        <is>
          <t>No price — the screen shows what you paid instead, and says so.</t>
        </is>
      </c>
      <c r="M38" s="3" t="inlineStr">
        <is>
          <t>one holding</t>
        </is>
      </c>
      <c r="N38" s="3" t="inlineStr">
        <is>
          <t>as of today</t>
        </is>
      </c>
      <c r="O38"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38" s="3" t="inlineStr">
        <is>
          <t>Declared by MK-NW-O-006 theHolding</t>
        </is>
      </c>
      <c r="Q38" s="3" t="inlineStr">
        <is>
          <t>A price that has gone stale says its age rather than passing as today’s.</t>
        </is>
      </c>
      <c r="R38" s="3" t="inlineStr">
        <is>
          <t>A price that has gone stale says its age rather than passing as today’s.</t>
        </is>
      </c>
      <c r="S38" s="3" t="inlineStr"/>
      <c r="T38" s="3" t="inlineStr">
        <is>
          <t>A price that has gone stale says its age rather than passing as today’s.</t>
        </is>
      </c>
      <c r="U38" s="3" t="inlineStr"/>
      <c r="V38" s="3" t="inlineStr"/>
      <c r="W38" s="3" t="inlineStr"/>
      <c r="X38" s="3" t="inlineStr"/>
      <c r="Y38" s="3" t="inlineStr"/>
      <c r="Z38" s="3" t="inlineStr">
        <is>
          <t>DECLARED IN THE CODE (rule 11) — printed from the door, not typed. RULED 2026-09-28</t>
        </is>
      </c>
      <c r="AA38" s="3" t="inlineStr"/>
      <c r="AB38" s="3" t="inlineStr"/>
      <c r="AC38" s="3" t="inlineStr"/>
      <c r="AD38" s="3" t="inlineStr"/>
      <c r="AE38" s="3" t="inlineStr"/>
      <c r="AF38" s="3" t="inlineStr">
        <is>
          <t>ACTIVE</t>
        </is>
      </c>
      <c r="AG38" s="3" t="inlineStr">
        <is>
          <t>2026-10-19</t>
        </is>
      </c>
      <c r="AH38" s="3" t="inlineStr">
        <is>
          <t>[Formula (mathematical)] Is the formula embedded directly in the code and not as a separate function? Live price was to be sourced from Yahoo or similar engine.</t>
        </is>
      </c>
      <c r="AI38"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8"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2026-09-28; the figure, its formula, inputs and refusal live in MK-NW-O-006 theHolding</t>
        </is>
      </c>
      <c r="AN38"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8" s="8" t="inlineStr">
        <is>
          <t>VERIFIED — TESTED, NOT VERIFIED — you ruled on this row 2026-09-28; the</t>
        </is>
      </c>
    </row>
    <row r="39" ht="60" customHeight="1">
      <c r="A39" s="3" t="inlineStr">
        <is>
          <t>MK-NW-M-030</t>
        </is>
      </c>
      <c r="B39" s="3" t="inlineStr">
        <is>
          <t>Networth</t>
        </is>
      </c>
      <c r="C39" s="3" t="inlineStr">
        <is>
          <t>/holding-detail</t>
        </is>
      </c>
      <c r="D39" s="3" t="inlineStr">
        <is>
          <t>Current value</t>
        </is>
      </c>
      <c r="E39" s="3" t="inlineStr">
        <is>
          <t>current_value</t>
        </is>
      </c>
      <c r="F39" s="3" t="inlineStr">
        <is>
          <t>theHolding</t>
        </is>
      </c>
      <c r="G39" s="3" t="inlineStr">
        <is>
          <t>MK-NW-O-006</t>
        </is>
      </c>
      <c r="H39" s="3" t="inlineStr">
        <is>
          <t>shares × today’s price</t>
        </is>
      </c>
      <c r="I39" s="3" t="inlineStr">
        <is>
          <t>shares × today’s price</t>
        </is>
      </c>
      <c r="J39" s="3" t="inlineStr">
        <is>
          <t>MK-NW-I-001 your accounts
MK-NW-I-005 the price feed</t>
        </is>
      </c>
      <c r="K39" s="3" t="inlineStr">
        <is>
          <t>dollars, whole</t>
        </is>
      </c>
      <c r="L39" s="3" t="inlineStr">
        <is>
          <t>No price — it shows what you paid, labelled as that. Not stated where a purchase has no share count or price paid on record.</t>
        </is>
      </c>
      <c r="M39" s="3" t="inlineStr">
        <is>
          <t>one holding</t>
        </is>
      </c>
      <c r="N39" s="3" t="inlineStr">
        <is>
          <t>as of today</t>
        </is>
      </c>
      <c r="O39"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39" s="3" t="inlineStr">
        <is>
          <t>Declared by MK-NW-O-006 theHolding</t>
        </is>
      </c>
      <c r="Q39" s="3" t="inlineStr">
        <is>
          <t>r30: with NO price it shows what you paid, never a zero — a holding priced at zero would quietly shrink your whole portfolio.</t>
        </is>
      </c>
      <c r="R39" s="3" t="inlineStr">
        <is>
          <t>r30: with NO price it shows what you paid, never a zero — a holding priced at zero would quietly shrink your whole portfolio.</t>
        </is>
      </c>
      <c r="S39" s="3" t="inlineStr"/>
      <c r="T39" s="3" t="inlineStr">
        <is>
          <t>r30: with NO price it shows what you paid, never a zero — a holding priced at zero would quietly shrink your whole portfolio.</t>
        </is>
      </c>
      <c r="U39" s="3" t="inlineStr"/>
      <c r="V39"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9"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9" s="3" t="inlineStr"/>
      <c r="Y39" s="3" t="inlineStr"/>
      <c r="Z39" s="3" t="inlineStr">
        <is>
          <t>DECLARED IN THE CODE (rule 11) — printed from the door, not typed. RULED 2026-09-28</t>
        </is>
      </c>
      <c r="AA39" s="3" t="inlineStr"/>
      <c r="AB39" s="3" t="inlineStr"/>
      <c r="AC39" s="3" t="inlineStr"/>
      <c r="AD39" s="3" t="inlineStr"/>
      <c r="AE39" s="3" t="inlineStr">
        <is>
          <t>Q06 / Q07 / Q08 — ANSWERED 2026-08-26 (see column W), NOT YET IN CODE: no contract multiplier, no quantity rounding, no currency conversion. Open.</t>
        </is>
      </c>
      <c r="AF39" s="3" t="inlineStr">
        <is>
          <t>ACTIVE</t>
        </is>
      </c>
      <c r="AG39" s="3" t="inlineStr">
        <is>
          <t>2026-10-19</t>
        </is>
      </c>
      <c r="AH39" s="3" t="inlineStr">
        <is>
          <t>[Dependency — function ID → the output it uses] why dependency on engine and not function?</t>
        </is>
      </c>
      <c r="AI39"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9"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39" s="9" t="inlineStr">
        <is>
          <t>WAITING ON YOU — question Q42, Q43, Q44 · TESTED, NOT VERIFIED (Q06, Q08)</t>
        </is>
      </c>
    </row>
    <row r="40" ht="60" customHeight="1">
      <c r="A40" s="3" t="inlineStr">
        <is>
          <t>MK-NW-M-031</t>
        </is>
      </c>
      <c r="B40" s="3" t="inlineStr">
        <is>
          <t>Networth</t>
        </is>
      </c>
      <c r="C40" s="3" t="inlineStr">
        <is>
          <t>/holding-detail</t>
        </is>
      </c>
      <c r="D40" s="3" t="inlineStr">
        <is>
          <t>Quantity — n shares</t>
        </is>
      </c>
      <c r="E40" s="3" t="inlineStr">
        <is>
          <t>quantity__n_shares</t>
        </is>
      </c>
      <c r="F40" s="3" t="inlineStr">
        <is>
          <t>theHolding</t>
        </is>
      </c>
      <c r="G40" s="3" t="inlineStr">
        <is>
          <t>MK-NW-O-006</t>
        </is>
      </c>
      <c r="H40" s="3" t="inlineStr">
        <is>
          <t>quantity = Σ(shares on each lot);  a sale of shares REMOVES them from the lots (never a negative lot);  a sale entered as a dollar amount with no shares lowers the account balance instead</t>
        </is>
      </c>
      <c r="I40" s="3" t="inlineStr">
        <is>
          <t>the shares of every lot still held, added up</t>
        </is>
      </c>
      <c r="J40" s="3" t="inlineStr">
        <is>
          <t>MK-NW-I-001 your accounts</t>
        </is>
      </c>
      <c r="K40" s="3" t="inlineStr">
        <is>
          <t>a count</t>
        </is>
      </c>
      <c r="L40" s="3" t="inlineStr">
        <is>
          <t>$0, and under it the one line "Nothing entered yet. Add a holding ›" (mock approved 2026-09-12). A real zero that was entered shows a plain $0 with no line.</t>
        </is>
      </c>
      <c r="M40" s="3" t="inlineStr">
        <is>
          <t>one holding</t>
        </is>
      </c>
      <c r="N40" s="3" t="inlineStr">
        <is>
          <t>as of today</t>
        </is>
      </c>
      <c r="O40"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0" s="3" t="inlineStr">
        <is>
          <t>Declared by MK-NW-O-006 theHolding</t>
        </is>
      </c>
      <c r="Q40" s="3" t="inlineStr">
        <is>
          <t>NONE RECORDED — the declaration names none.</t>
        </is>
      </c>
      <c r="R40" s="3" t="inlineStr">
        <is>
          <t>NONE RECORDED — the declaration names none.</t>
        </is>
      </c>
      <c r="S40" s="3" t="inlineStr"/>
      <c r="T40" s="3" t="inlineStr">
        <is>
          <t>NONE RECORDED — the declaration names none.</t>
        </is>
      </c>
      <c r="U40" s="3" t="inlineStr"/>
      <c r="V40" s="3" t="inlineStr"/>
      <c r="W40" s="3" t="inlineStr">
        <is>
          <t>Q09: Yes, we should always capture units. Worth checking is CHF is held in account, is value displayed in CHF or USD? If USD, we need to make sure to capture Foreign exchange rate to do the conversion.
(typed 2026-08-26)</t>
        </is>
      </c>
      <c r="X40" s="3" t="inlineStr"/>
      <c r="Y40" s="3" t="inlineStr"/>
      <c r="Z40" s="3" t="inlineStr">
        <is>
          <t>DECLARED IN THE CODE (rule 11) — printed from the door, not typed. RULED 2026-09-28</t>
        </is>
      </c>
      <c r="AA40" s="3" t="inlineStr"/>
      <c r="AB40" s="3" t="inlineStr"/>
      <c r="AC40" s="3" t="inlineStr"/>
      <c r="AD40" s="3" t="inlineStr"/>
      <c r="AE40"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40" s="3" t="inlineStr">
        <is>
          <t>ACTIVE</t>
        </is>
      </c>
      <c r="AG40" s="3" t="inlineStr">
        <is>
          <t>2026-10-19</t>
        </is>
      </c>
      <c r="AH40" s="3" t="inlineStr">
        <is>
          <t>[YOUR ANSWER, column W] Q09 typed 2026-08-26 — see W on this row.</t>
        </is>
      </c>
      <c r="AI40"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40"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40" s="8" t="inlineStr">
        <is>
          <t>VERIFIED — TESTED, NOT VERIFIED — you ruled on this row 2026-09-28; the</t>
        </is>
      </c>
    </row>
    <row r="41" ht="60" customHeight="1">
      <c r="A41" s="3" t="inlineStr">
        <is>
          <t>MK-NW-M-032</t>
        </is>
      </c>
      <c r="B41" s="3" t="inlineStr">
        <is>
          <t>Networth</t>
        </is>
      </c>
      <c r="C41" s="3" t="inlineStr">
        <is>
          <t>/holding-detail</t>
        </is>
      </c>
      <c r="D41" s="3" t="inlineStr">
        <is>
          <t>Price paid (average)</t>
        </is>
      </c>
      <c r="E41" s="3" t="inlineStr">
        <is>
          <t>price_paid_average</t>
        </is>
      </c>
      <c r="F41" s="3" t="inlineStr">
        <is>
          <t>theHolding</t>
        </is>
      </c>
      <c r="G41" s="3" t="inlineStr">
        <is>
          <t>MK-NW-O-006</t>
        </is>
      </c>
      <c r="H41" s="3" t="inlineStr">
        <is>
          <t>average price paid = cost basis ÷ shares held  (cost basis = Σ shares × cost per share across the lots)</t>
        </is>
      </c>
      <c r="I41" s="3" t="inlineStr">
        <is>
          <t>Cost basis divided by the shares held across every lot — the average price paid per share.</t>
        </is>
      </c>
      <c r="J41" s="3" t="inlineStr">
        <is>
          <t>MK-NW-I-001 your accounts</t>
        </is>
      </c>
      <c r="K41" s="3" t="inlineStr">
        <is>
          <t>dollars, two decimals</t>
        </is>
      </c>
      <c r="L41" s="3" t="inlineStr">
        <is>
          <t>$0, and under it the one line "Nothing entered yet. Add a holding ›" (mock approved 2026-09-12). A real zero that was entered shows a plain $0 with no line.</t>
        </is>
      </c>
      <c r="M41" s="3" t="inlineStr">
        <is>
          <t>one holding</t>
        </is>
      </c>
      <c r="N41" s="3" t="inlineStr">
        <is>
          <t>as of today</t>
        </is>
      </c>
      <c r="O41"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1" s="3" t="inlineStr">
        <is>
          <t>Declared by MK-NW-O-006 theHolding</t>
        </is>
      </c>
      <c r="Q41" s="3" t="inlineStr">
        <is>
          <t>Kept unrounded inside, rounded once at display (Q49) — rounding it early moved the total it multiplies back into.</t>
        </is>
      </c>
      <c r="R41" s="3" t="inlineStr">
        <is>
          <t>Kept unrounded inside, rounded once at display (Q49) — rounding it early moved the total it multiplies back into.</t>
        </is>
      </c>
      <c r="S41" s="3" t="inlineStr"/>
      <c r="T41" s="3" t="inlineStr">
        <is>
          <t>Kept unrounded inside, rounded once at display (Q49) — rounding it early moved the total it multiplies back into.</t>
        </is>
      </c>
      <c r="U41" s="3" t="inlineStr"/>
      <c r="V41"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41" s="9" t="inlineStr"/>
      <c r="X41" s="3" t="inlineStr"/>
      <c r="Y41" s="3" t="inlineStr"/>
      <c r="Z41" s="3" t="inlineStr">
        <is>
          <t>DECLARED IN THE CODE (rule 11) — printed from the door, not typed. RULED 2026-09-28</t>
        </is>
      </c>
      <c r="AA41" s="3" t="inlineStr"/>
      <c r="AB41" s="3" t="inlineStr"/>
      <c r="AC41" s="3" t="inlineStr"/>
      <c r="AD41" s="3" t="inlineStr"/>
      <c r="AE41"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41" s="3" t="inlineStr">
        <is>
          <t>ACTIVE</t>
        </is>
      </c>
      <c r="AG41" s="3" t="inlineStr">
        <is>
          <t>2026-10-19</t>
        </is>
      </c>
      <c r="AH41"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41"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41"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41" s="9" t="inlineStr">
        <is>
          <t>WAITING ON YOU — question Q34</t>
        </is>
      </c>
    </row>
    <row r="42" ht="60" customHeight="1">
      <c r="A42" s="3" t="inlineStr">
        <is>
          <t>MK-NW-M-033</t>
        </is>
      </c>
      <c r="B42" s="3" t="inlineStr">
        <is>
          <t>Networth</t>
        </is>
      </c>
      <c r="C42" s="3" t="inlineStr">
        <is>
          <t>/holding-detail · /invest</t>
        </is>
      </c>
      <c r="D42" s="3" t="inlineStr">
        <is>
          <t>Total paid</t>
        </is>
      </c>
      <c r="E42" s="3" t="inlineStr">
        <is>
          <t>total_paid</t>
        </is>
      </c>
      <c r="F42" s="3" t="inlineStr">
        <is>
          <t>theHolding</t>
        </is>
      </c>
      <c r="G42" s="3" t="inlineStr">
        <is>
          <t>MK-NW-O-006</t>
        </is>
      </c>
      <c r="H42" s="3" t="inlineStr">
        <is>
          <t>the cost of every lot still held, added up</t>
        </is>
      </c>
      <c r="I42" s="3" t="inlineStr">
        <is>
          <t>the cost of every lot still held, added up</t>
        </is>
      </c>
      <c r="J42" s="3" t="inlineStr">
        <is>
          <t>MK-NW-I-001 your accounts</t>
        </is>
      </c>
      <c r="K42" s="3" t="inlineStr">
        <is>
          <t>dollars, whole</t>
        </is>
      </c>
      <c r="L42" s="3" t="inlineStr">
        <is>
          <t>$0, and under it the one line "Nothing entered yet. Add a holding ›" (mock approved 2026-09-12). A real zero that was entered shows a plain $0 with no line.</t>
        </is>
      </c>
      <c r="M42" s="3" t="inlineStr">
        <is>
          <t>one holding</t>
        </is>
      </c>
      <c r="N42" s="3" t="inlineStr">
        <is>
          <t>as of today</t>
        </is>
      </c>
      <c r="O42"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2" s="3" t="inlineStr">
        <is>
          <t>Declared by MK-NW-O-006 theHolding</t>
        </is>
      </c>
      <c r="Q42" s="3" t="inlineStr">
        <is>
          <t>NONE RECORDED — the declaration names none.</t>
        </is>
      </c>
      <c r="R42" s="3" t="inlineStr">
        <is>
          <t>NONE RECORDED — the declaration names none.</t>
        </is>
      </c>
      <c r="S42" s="3" t="inlineStr"/>
      <c r="T42" s="3" t="inlineStr">
        <is>
          <t>NONE RECORDED — the declaration names none.</t>
        </is>
      </c>
      <c r="U42" s="3" t="inlineStr"/>
      <c r="V42" s="3" t="inlineStr"/>
      <c r="W42" s="3" t="inlineStr"/>
      <c r="X42" s="3" t="inlineStr"/>
      <c r="Y42" s="3" t="inlineStr"/>
      <c r="Z42" s="3" t="inlineStr">
        <is>
          <t>DECLARED IN THE CODE (rule 11) — printed from the door, not typed. RULED 2026-09-28</t>
        </is>
      </c>
      <c r="AA42" s="3" t="inlineStr"/>
      <c r="AB42" s="3" t="inlineStr"/>
      <c r="AC42" s="3" t="inlineStr"/>
      <c r="AD42" s="3" t="inlineStr"/>
      <c r="AE42" s="3" t="inlineStr">
        <is>
          <t>G32 / Q48 — RULED 2026-09-09: $0 stays, with the sentence '$0 — nothing entered yet.' and this row's door ('Add a holding ›'). File written; the screen follows the approved empty-state mock (one pattern, one screen), then every screen.</t>
        </is>
      </c>
      <c r="AF42" s="3" t="inlineStr">
        <is>
          <t>ACTIVE</t>
        </is>
      </c>
      <c r="AG42" s="3" t="inlineStr">
        <is>
          <t>2026-10-19</t>
        </is>
      </c>
      <c r="AH42" s="3" t="inlineStr">
        <is>
          <t>[Formula audit (B16)] Where is Total Price versus Price Paid (Average) displayed in the app? Are we trying to tell two different things to user and need to fix formulas or are we saying same thing and calling it differently?</t>
        </is>
      </c>
      <c r="AI42"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42"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42" s="8" t="inlineStr">
        <is>
          <t>VERIFIED — TESTED, NOT VERIFIED — you ruled on this row 2026-09-28; the</t>
        </is>
      </c>
    </row>
    <row r="43" ht="60" customHeight="1">
      <c r="A43" s="3" t="inlineStr">
        <is>
          <t>MK-NW-M-034</t>
        </is>
      </c>
      <c r="B43" s="3" t="inlineStr">
        <is>
          <t>Networth</t>
        </is>
      </c>
      <c r="C43" s="3" t="inlineStr">
        <is>
          <t>/holding-detail</t>
        </is>
      </c>
      <c r="D43" s="3" t="inlineStr">
        <is>
          <t>Dividends received (12 mo)</t>
        </is>
      </c>
      <c r="E43" s="3" t="inlineStr">
        <is>
          <t>dividends_received_12_mo</t>
        </is>
      </c>
      <c r="F43" s="3" t="inlineStr">
        <is>
          <t>theHolding</t>
        </is>
      </c>
      <c r="G43" s="3" t="inlineStr">
        <is>
          <t>MK-NW-O-006</t>
        </is>
      </c>
      <c r="H43" s="3" t="inlineStr">
        <is>
          <t>the DIVIDEND records naming this ticker, dated within the last year</t>
        </is>
      </c>
      <c r="I43" s="3" t="inlineStr">
        <is>
          <t>the DIVIDEND records naming this ticker, dated within the last year</t>
        </is>
      </c>
      <c r="J43" s="3" t="inlineStr">
        <is>
          <t>MK-NW-I-004 the activity records</t>
        </is>
      </c>
      <c r="K43" s="3" t="inlineStr">
        <is>
          <t>dollars, whole</t>
        </is>
      </c>
      <c r="L43" s="3" t="inlineStr">
        <is>
          <t>$0, and under it the one line "Nothing entered yet. Add your income ›" (mock approved 2026-09-12). A real zero that was entered shows a plain $0 with no line.</t>
        </is>
      </c>
      <c r="M43" s="3" t="inlineStr">
        <is>
          <t>one holding</t>
        </is>
      </c>
      <c r="N43" s="3" t="inlineStr">
        <is>
          <t>as of today</t>
        </is>
      </c>
      <c r="O43"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3" s="3" t="inlineStr">
        <is>
          <t>Declared by MK-NW-O-006 theHolding</t>
        </is>
      </c>
      <c r="Q43" s="3" t="inlineStr">
        <is>
          <t>A record that names no ticker belongs to no holding — the same rule the account page carries.</t>
        </is>
      </c>
      <c r="R43" s="3" t="inlineStr">
        <is>
          <t>A record that names no ticker belongs to no holding — the same rule the account page carries.</t>
        </is>
      </c>
      <c r="S43" s="3" t="inlineStr"/>
      <c r="T43" s="3" t="inlineStr">
        <is>
          <t>A record that names no ticker belongs to no holding — the same rule the account page carries.</t>
        </is>
      </c>
      <c r="U43" s="3" t="inlineStr"/>
      <c r="V43"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3" s="9" t="inlineStr"/>
      <c r="X43" s="3" t="inlineStr"/>
      <c r="Y43" s="3" t="inlineStr"/>
      <c r="Z43" s="3" t="inlineStr">
        <is>
          <t>DECLARED IN THE CODE (rule 11) — printed from the door, not typed. RULED 2026-09-28</t>
        </is>
      </c>
      <c r="AA43" s="3" t="inlineStr"/>
      <c r="AB43" s="3" t="inlineStr"/>
      <c r="AC43" s="3" t="inlineStr"/>
      <c r="AD43" s="3" t="inlineStr"/>
      <c r="AE43"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3" s="3" t="inlineStr">
        <is>
          <t>ACTIVE</t>
        </is>
      </c>
      <c r="AG43" s="3" t="inlineStr">
        <is>
          <t>2026-10-19</t>
        </is>
      </c>
      <c r="AH43" s="3" t="inlineStr">
        <is>
          <t>1. [Name on Screen] Screen should say Trailing Twelve Months and not just 12 months.
2. [Formula audit (B24)] Is it calculated directly in the code without any function?</t>
        </is>
      </c>
      <c r="AI43"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3"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3" s="9" t="inlineStr">
        <is>
          <t>WAITING ON YOU — question Q35, Q36</t>
        </is>
      </c>
    </row>
    <row r="44" ht="60" customHeight="1">
      <c r="A44" s="3" t="inlineStr">
        <is>
          <t>MK-NW-M-035</t>
        </is>
      </c>
      <c r="B44" s="3" t="inlineStr">
        <is>
          <t>Networth</t>
        </is>
      </c>
      <c r="C44" s="3" t="inlineStr">
        <is>
          <t>/holding-detail</t>
        </is>
      </c>
      <c r="D44" s="3" t="inlineStr">
        <is>
          <t>Realized gain from your buys and sells</t>
        </is>
      </c>
      <c r="E44" s="3" t="inlineStr">
        <is>
          <t>realized_gain_from_your_buys_and_sells</t>
        </is>
      </c>
      <c r="F44" s="3" t="inlineStr">
        <is>
          <t>theHolding</t>
        </is>
      </c>
      <c r="G44" s="3" t="inlineStr">
        <is>
          <t>MK-NW-O-006</t>
        </is>
      </c>
      <c r="H44" s="3" t="inlineStr">
        <is>
          <t>for each sale: what it sold for, less what those shares cost</t>
        </is>
      </c>
      <c r="I44" s="3" t="inlineStr">
        <is>
          <t>for each sale: what it sold for, less what those shares cost</t>
        </is>
      </c>
      <c r="J44" s="3" t="inlineStr">
        <is>
          <t>MK-NW-I-004 the activity records</t>
        </is>
      </c>
      <c r="K44" s="3" t="inlineStr">
        <is>
          <t>dollars, whole</t>
        </is>
      </c>
      <c r="L44" s="3" t="inlineStr">
        <is>
          <t>Nothing sold yet.</t>
        </is>
      </c>
      <c r="M44" s="3" t="inlineStr">
        <is>
          <t>one holding</t>
        </is>
      </c>
      <c r="N44" s="3" t="inlineStr">
        <is>
          <t>as of today</t>
        </is>
      </c>
      <c r="O44"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4" s="3" t="inlineStr">
        <is>
          <t>Declared by MK-NW-O-006 theHolding</t>
        </is>
      </c>
      <c r="Q44" s="3" t="inlineStr">
        <is>
          <t>NONE RECORDED — the declaration names none.</t>
        </is>
      </c>
      <c r="R44" s="3" t="inlineStr">
        <is>
          <t>NONE RECORDED — the declaration names none.</t>
        </is>
      </c>
      <c r="S44" s="3" t="inlineStr"/>
      <c r="T44" s="3" t="inlineStr">
        <is>
          <t>NONE RECORDED — the declaration names none.</t>
        </is>
      </c>
      <c r="U44" s="3" t="inlineStr"/>
      <c r="V44" s="9" t="inlineStr">
        <is>
          <t>Q37 — For a connected account: log an 'Opening holding' row per broker lot at first sync (dated the lot's purchase date, at the broker's cost) so every later sale is covered — recommended — or keep 'not counted + say so' for pre-history purchases?</t>
        </is>
      </c>
      <c r="W44" s="9" t="inlineStr"/>
      <c r="X44" s="3" t="inlineStr"/>
      <c r="Y44" s="3" t="inlineStr"/>
      <c r="Z44" s="3" t="inlineStr">
        <is>
          <t>DECLARED IN THE CODE (rule 11) — printed from the door, not typed. RULED 2026-09-28</t>
        </is>
      </c>
      <c r="AA44" s="3" t="inlineStr"/>
      <c r="AB44" s="3" t="inlineStr"/>
      <c r="AC44" s="3" t="inlineStr"/>
      <c r="AD44" s="3" t="inlineStr"/>
      <c r="AE44" s="3" t="inlineStr"/>
      <c r="AF44" s="3" t="inlineStr">
        <is>
          <t>ACTIVE</t>
        </is>
      </c>
      <c r="AG44" s="3" t="inlineStr">
        <is>
          <t>2026-10-19</t>
        </is>
      </c>
      <c r="AH44" s="3" t="inlineStr">
        <is>
          <t>[Formula (mathematical)] The feed from an institution is likely to show quantity held net of sales. So, how do you determine the total quantity before sale?</t>
        </is>
      </c>
      <c r="AI44"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4"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2026-09-28; the figure, its formula, inputs and refusal live in MK-NW-O-006 theHolding</t>
        </is>
      </c>
      <c r="AN44"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4" s="9" t="inlineStr">
        <is>
          <t>WAITING ON YOU — question Q37</t>
        </is>
      </c>
    </row>
    <row r="45" ht="60" customHeight="1">
      <c r="A45" s="3" t="inlineStr">
        <is>
          <t>MK-NW-M-036</t>
        </is>
      </c>
      <c r="B45" s="3" t="inlineStr">
        <is>
          <t>Networth</t>
        </is>
      </c>
      <c r="C45" s="3" t="inlineStr">
        <is>
          <t>/holding-detail</t>
        </is>
      </c>
      <c r="D45" s="3" t="inlineStr">
        <is>
          <t>Gain — long-term (held over 1 yr)</t>
        </is>
      </c>
      <c r="E45" s="3" t="inlineStr">
        <is>
          <t>gain__longterm_held_over_1_yr</t>
        </is>
      </c>
      <c r="F45" s="3" t="inlineStr">
        <is>
          <t>theHolding</t>
        </is>
      </c>
      <c r="G45" s="3" t="inlineStr">
        <is>
          <t>MK-NW-O-006</t>
        </is>
      </c>
      <c r="H45" s="3" t="inlineStr">
        <is>
          <t>per lot: gain = shares × (price − cost per share);  long-term if the lot was held MORE than one year — from the day after the first anniversary of purchase — otherwise short-term;  a lot with no cost recorded is skipped</t>
        </is>
      </c>
      <c r="I45"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5" s="3" t="inlineStr">
        <is>
          <t>MK-NW-I-001 your accounts
MK-NW-I-005 the price feed</t>
        </is>
      </c>
      <c r="K45" s="3" t="inlineStr">
        <is>
          <t>dollars, whole</t>
        </is>
      </c>
      <c r="L45" s="3" t="inlineStr">
        <is>
          <t>No price today — no gain is stated at all. Not stated where a purchase in this part has no price paid or share count on record.</t>
        </is>
      </c>
      <c r="M45" s="3" t="inlineStr">
        <is>
          <t>one holding</t>
        </is>
      </c>
      <c r="N45" s="3" t="inlineStr">
        <is>
          <t>as of today</t>
        </is>
      </c>
      <c r="O45"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5" s="3" t="inlineStr">
        <is>
          <t>Declared by MK-NW-O-006 theHolding</t>
        </is>
      </c>
      <c r="Q45" s="3" t="inlineStr">
        <is>
          <t>NONE RECORDED — the declaration names none.</t>
        </is>
      </c>
      <c r="R45" s="3" t="inlineStr">
        <is>
          <t>NONE RECORDED — the declaration names none.</t>
        </is>
      </c>
      <c r="S45" s="3" t="inlineStr"/>
      <c r="T45" s="3" t="inlineStr">
        <is>
          <t>NONE RECORDED — the declaration names none.</t>
        </is>
      </c>
      <c r="U45" s="3" t="inlineStr"/>
      <c r="V45" s="9" t="inlineStr">
        <is>
          <t>Q20 — A lot with no recorded purchase price is skipped, so its gain is simply absent. Should the screen SAY so — "gain not counted for N shares, no purchase price on record" — rather than quietly reporting less?</t>
        </is>
      </c>
      <c r="W45" s="9" t="inlineStr"/>
      <c r="X45" s="3" t="inlineStr"/>
      <c r="Y45" s="3" t="inlineStr"/>
      <c r="Z45" s="3" t="inlineStr">
        <is>
          <t>DECLARED IN THE CODE (rule 11) — printed from the door, not typed. RULED 2026-09-28</t>
        </is>
      </c>
      <c r="AA45" s="3" t="inlineStr"/>
      <c r="AB45" s="3" t="inlineStr"/>
      <c r="AC45" s="3" t="inlineStr"/>
      <c r="AD45" s="3" t="inlineStr"/>
      <c r="AE45" s="3" t="inlineStr"/>
      <c r="AF45" s="3" t="inlineStr">
        <is>
          <t>ACTIVE</t>
        </is>
      </c>
      <c r="AG45" s="3" t="inlineStr">
        <is>
          <t>2026-10-19</t>
        </is>
      </c>
      <c r="AH45" s="3" t="inlineStr"/>
      <c r="AI45" s="3" t="inlineStr"/>
      <c r="AJ45"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2026-09-28; the figure, its formula, inputs and refusal live in MK-NW-O-006 theHolding</t>
        </is>
      </c>
      <c r="AN45"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5" s="9" t="inlineStr">
        <is>
          <t>WAITING ON YOU — question Q20 · RULED, NOT CODED (Brief E1)</t>
        </is>
      </c>
    </row>
    <row r="46" ht="60" customHeight="1">
      <c r="A46" s="3" t="inlineStr">
        <is>
          <t>MK-NW-M-037</t>
        </is>
      </c>
      <c r="B46" s="3" t="inlineStr">
        <is>
          <t>Networth</t>
        </is>
      </c>
      <c r="C46" s="3" t="inlineStr">
        <is>
          <t>/holding-detail</t>
        </is>
      </c>
      <c r="D46" s="3" t="inlineStr">
        <is>
          <t>Gain — short-term (held 1 yr or less)</t>
        </is>
      </c>
      <c r="E46" s="3" t="inlineStr">
        <is>
          <t>gain__shortterm_held_1_yr_or_less</t>
        </is>
      </c>
      <c r="F46" s="3" t="inlineStr">
        <is>
          <t>theHolding</t>
        </is>
      </c>
      <c r="G46" s="3" t="inlineStr">
        <is>
          <t>MK-NW-O-006</t>
        </is>
      </c>
      <c r="H46" s="3" t="inlineStr">
        <is>
          <t>per lot: gain = shares × (price − cost per share);  long-term if the lot was held MORE than one year — from the day after the first anniversary of purchase — otherwise short-term;  a lot with no cost recorded is skipped</t>
        </is>
      </c>
      <c r="I46"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6" s="3" t="inlineStr">
        <is>
          <t>MK-NW-I-001 your accounts
MK-NW-I-005 the price feed</t>
        </is>
      </c>
      <c r="K46" s="3" t="inlineStr">
        <is>
          <t>dollars, whole</t>
        </is>
      </c>
      <c r="L46" s="3" t="inlineStr">
        <is>
          <t>No price today — no gain is stated at all. Not stated where a purchase in this part has no price paid or share count on record.</t>
        </is>
      </c>
      <c r="M46" s="3" t="inlineStr">
        <is>
          <t>one holding</t>
        </is>
      </c>
      <c r="N46" s="3" t="inlineStr">
        <is>
          <t>as of today</t>
        </is>
      </c>
      <c r="O46"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6" s="3" t="inlineStr">
        <is>
          <t>Declared by MK-NW-O-006 theHolding</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2026-09-28</t>
        </is>
      </c>
      <c r="AA46" s="3" t="inlineStr"/>
      <c r="AB46" s="3" t="inlineStr"/>
      <c r="AC46" s="3" t="inlineStr"/>
      <c r="AD46" s="3" t="inlineStr"/>
      <c r="AE46" s="3" t="inlineStr"/>
      <c r="AF46" s="3" t="inlineStr">
        <is>
          <t>ACTIVE</t>
        </is>
      </c>
      <c r="AG46" s="3" t="inlineStr">
        <is>
          <t>2026-10-19</t>
        </is>
      </c>
      <c r="AH46" s="3" t="inlineStr"/>
      <c r="AI46" s="3" t="inlineStr"/>
      <c r="AJ46"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2026-09-28; the figure, its formula, inputs and refusal live in MK-NW-O-006 theHolding</t>
        </is>
      </c>
      <c r="AN46"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6" s="8" t="inlineStr">
        <is>
          <t>VERIFIED — TESTED, NOT VERIFIED — you ruled on this row 2026-09-28; the</t>
        </is>
      </c>
    </row>
    <row r="47" ht="60" customHeight="1">
      <c r="A47" s="3" t="inlineStr">
        <is>
          <t>MK-NW-M-038</t>
        </is>
      </c>
      <c r="B47" s="3" t="inlineStr">
        <is>
          <t>Networth</t>
        </is>
      </c>
      <c r="C47" s="3" t="inlineStr">
        <is>
          <t>/itemize</t>
        </is>
      </c>
      <c r="D47" s="3" t="inlineStr">
        <is>
          <t>We keep the total at $X</t>
        </is>
      </c>
      <c r="E47" s="3" t="inlineStr">
        <is>
          <t>we_keep_the_total_at_x</t>
        </is>
      </c>
      <c r="F47" s="3" t="inlineStr">
        <is>
          <t>theAccount</t>
        </is>
      </c>
      <c r="G47" s="3" t="inlineStr">
        <is>
          <t>MK-NW-O-002</t>
        </is>
      </c>
      <c r="H47" s="3" t="inlineStr">
        <is>
          <t>the lump account’s balance, unchanged by itemising</t>
        </is>
      </c>
      <c r="I47" s="3" t="inlineStr">
        <is>
          <t>the lump account’s balance, unchanged by itemising</t>
        </is>
      </c>
      <c r="J47" s="3" t="inlineStr">
        <is>
          <t>MK-NW-I-001 your accounts</t>
        </is>
      </c>
      <c r="K47" s="3" t="inlineStr">
        <is>
          <t>dollars, whole</t>
        </is>
      </c>
      <c r="L47" s="3" t="inlineStr">
        <is>
          <t>Nothing to itemise.</t>
        </is>
      </c>
      <c r="M47" s="3" t="inlineStr">
        <is>
          <t>one account</t>
        </is>
      </c>
      <c r="N47" s="3" t="inlineStr">
        <is>
          <t>as of today</t>
        </is>
      </c>
      <c r="O47"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7" s="3" t="inlineStr">
        <is>
          <t>Declared by MK-NW-O-002 theAccount</t>
        </is>
      </c>
      <c r="Q47" s="3" t="inlineStr">
        <is>
          <t>Itemising describes what is inside an account; it never changes what the account is worth.</t>
        </is>
      </c>
      <c r="R47" s="3" t="inlineStr">
        <is>
          <t>Itemising describes what is inside an account; it never changes what the account is worth.</t>
        </is>
      </c>
      <c r="S47" s="3" t="inlineStr"/>
      <c r="T47" s="3" t="inlineStr">
        <is>
          <t>Itemising describes what is inside an account; it never changes what the account is worth.</t>
        </is>
      </c>
      <c r="U47" s="3" t="inlineStr"/>
      <c r="V47" s="3" t="inlineStr"/>
      <c r="W47" s="3" t="inlineStr"/>
      <c r="X47" s="3" t="inlineStr"/>
      <c r="Y47" s="3" t="inlineStr"/>
      <c r="Z47" s="3" t="inlineStr">
        <is>
          <t>DECLARED IN THE CODE (rule 11) — printed from the door, not typed. RULED 2026-09-27</t>
        </is>
      </c>
      <c r="AA47" s="3" t="inlineStr"/>
      <c r="AB47" s="3" t="inlineStr"/>
      <c r="AC47" s="3" t="inlineStr"/>
      <c r="AD47" s="3" t="inlineStr"/>
      <c r="AE47" s="3" t="inlineStr"/>
      <c r="AF47" s="3" t="inlineStr">
        <is>
          <t>ACTIVE</t>
        </is>
      </c>
      <c r="AG47" s="3" t="inlineStr">
        <is>
          <t>2026-10-19</t>
        </is>
      </c>
      <c r="AH47" s="3" t="inlineStr"/>
      <c r="AI47" s="3" t="inlineStr"/>
      <c r="AJ47"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2026-09-27; the figure, its formula, inputs and refusal live in MK-NW-O-002 theAccount</t>
        </is>
      </c>
      <c r="AN47"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7" s="7" t="inlineStr">
        <is>
          <t>RULED, NOT CODED (Q-NW-2 — one question, one function)</t>
        </is>
      </c>
    </row>
    <row r="48" ht="60" customHeight="1">
      <c r="A48" s="3" t="inlineStr">
        <is>
          <t>MK-NW-M-039</t>
        </is>
      </c>
      <c r="B48" s="3" t="inlineStr">
        <is>
          <t>Networth</t>
        </is>
      </c>
      <c r="C48" s="3" t="inlineStr">
        <is>
          <t>/itemize</t>
        </is>
      </c>
      <c r="D48" s="3" t="inlineStr">
        <is>
          <t>$X of $Y itemized · remainder</t>
        </is>
      </c>
      <c r="E48" s="3" t="inlineStr">
        <is>
          <t>x_of_y_itemized__remainder</t>
        </is>
      </c>
      <c r="F48" s="3" t="inlineStr">
        <is>
          <t>theAccount</t>
        </is>
      </c>
      <c r="G48" s="3" t="inlineStr">
        <is>
          <t>MK-NW-O-002</t>
        </is>
      </c>
      <c r="H48" s="3" t="inlineStr">
        <is>
          <t>the sum of the items entered; the remainder is the balance minus that sum</t>
        </is>
      </c>
      <c r="I48" s="3" t="inlineStr">
        <is>
          <t>the sum of the items entered; the remainder is the balance minus that sum</t>
        </is>
      </c>
      <c r="J48" s="3" t="inlineStr">
        <is>
          <t>MK-NW-I-001 your accounts</t>
        </is>
      </c>
      <c r="K48" s="3" t="inlineStr">
        <is>
          <t>dollars, whole</t>
        </is>
      </c>
      <c r="L48" s="3" t="inlineStr">
        <is>
          <t>Nothing entered yet — it reads $0 of the balance.</t>
        </is>
      </c>
      <c r="M48" s="3" t="inlineStr">
        <is>
          <t>one account</t>
        </is>
      </c>
      <c r="N48" s="3" t="inlineStr">
        <is>
          <t>as of today</t>
        </is>
      </c>
      <c r="O48"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8" s="3" t="inlineStr">
        <is>
          <t>Declared by MK-NW-O-002 theAccount</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c r="AF48" s="3" t="inlineStr">
        <is>
          <t>ACTIVE</t>
        </is>
      </c>
      <c r="AG48" s="3" t="inlineStr">
        <is>
          <t>2026-10-19</t>
        </is>
      </c>
      <c r="AH48" s="3" t="inlineStr"/>
      <c r="AI48" s="3" t="inlineStr"/>
      <c r="AJ48"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MK-NW-O-002 theAccount</t>
        </is>
      </c>
      <c r="AN48"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8" s="7" t="inlineStr">
        <is>
          <t>RULED, NOT CODED (Q-NW-2 — one question, one function)</t>
        </is>
      </c>
    </row>
    <row r="49" ht="60" customHeight="1">
      <c r="A49" s="3" t="inlineStr">
        <is>
          <t>MK-NW-M-040</t>
        </is>
      </c>
      <c r="B49" s="3" t="inlineStr">
        <is>
          <t>Networth</t>
        </is>
      </c>
      <c r="C49" s="3" t="inlineStr">
        <is>
          <t>/itemize</t>
        </is>
      </c>
      <c r="D49" s="3" t="inlineStr">
        <is>
          <t>each holding and its value</t>
        </is>
      </c>
      <c r="E49" s="3" t="inlineStr">
        <is>
          <t>each_holding_and_its_value</t>
        </is>
      </c>
      <c r="F49" s="3" t="inlineStr">
        <is>
          <t>theAccount</t>
        </is>
      </c>
      <c r="G49" s="3" t="inlineStr">
        <is>
          <t>MK-NW-O-002</t>
        </is>
      </c>
      <c r="H49" s="3" t="inlineStr">
        <is>
          <t>the value of each thing inside the account, listed under the class it belongs to</t>
        </is>
      </c>
      <c r="I49" s="3" t="inlineStr">
        <is>
          <t>the value of each thing inside the account, listed under the class it belongs to</t>
        </is>
      </c>
      <c r="J49" s="3" t="inlineStr">
        <is>
          <t>MK-NW-I-001 your accounts
MK-XS-I-004 holding quantity (shares)
MK-XS-I-005 holding price</t>
        </is>
      </c>
      <c r="K49" s="3" t="inlineStr">
        <is>
          <t>dollars, whole</t>
        </is>
      </c>
      <c r="L49" s="3" t="inlineStr">
        <is>
          <t>Nothing entered yet.</t>
        </is>
      </c>
      <c r="M49" s="3" t="inlineStr">
        <is>
          <t>one holding</t>
        </is>
      </c>
      <c r="N49" s="3" t="inlineStr">
        <is>
          <t>as of today</t>
        </is>
      </c>
      <c r="O49"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9" s="3" t="inlineStr">
        <is>
          <t>Declared by MK-NW-O-002 theAccount</t>
        </is>
      </c>
      <c r="Q49" s="3" t="inlineStr">
        <is>
          <t>A CLASS HOLDING NOTHING IS NOT LISTED — a $0 line reads as "we checked and it is empty", which is a different claim from "there is none".
Uninvested money in the account is one of the lines, under the words he ruled on 2026-08-11: cash in this account.</t>
        </is>
      </c>
      <c r="R49" s="3" t="inlineStr">
        <is>
          <t>A CLASS HOLDING NOTHING IS NOT LISTED — a $0 line reads as "we checked and it is empty", which is a different claim from "there is none".
Uninvested money in the account is one of the lines, under the words he ruled on 2026-08-11: cash in this account.</t>
        </is>
      </c>
      <c r="S49" s="3" t="inlineStr"/>
      <c r="T49" s="3" t="inlineStr">
        <is>
          <t>A CLASS HOLDING NOTHING IS NOT LISTED — a $0 line reads as "we checked and it is empty", which is a different claim from "there is none".
Uninvested money in the account is one of the lines, under the words he ruled on 2026-08-11: cash in this account.</t>
        </is>
      </c>
      <c r="U49" s="3" t="inlineStr">
        <is>
          <t>THE LAST NET WORTH FIGURE WITHOUT A WORKED EXAMPLE, given one 2026-09-30. Its two lines add to the account’s own total — $6,000 of cash plus $40,600 of fund is the $46,600 the header shows — which is what makes the itemising checkable rather than asserted.</t>
        </is>
      </c>
      <c r="V49" s="3" t="inlineStr"/>
      <c r="W49" s="3" t="inlineStr"/>
      <c r="X49" s="3" t="inlineStr"/>
      <c r="Y49" s="3" t="inlineStr"/>
      <c r="Z49" s="3" t="inlineStr">
        <is>
          <t>DECLARED IN THE CODE (rule 11) — printed from the door, not typed. RULED 2026-09-27</t>
        </is>
      </c>
      <c r="AA49" s="3" t="inlineStr"/>
      <c r="AB49" s="3" t="inlineStr"/>
      <c r="AC49" s="3" t="inlineStr"/>
      <c r="AD49" s="3" t="inlineStr"/>
      <c r="AE49" s="3" t="inlineStr"/>
      <c r="AF49" s="3" t="inlineStr">
        <is>
          <t>ACTIVE</t>
        </is>
      </c>
      <c r="AG49" s="3" t="inlineStr">
        <is>
          <t>2026-10-19</t>
        </is>
      </c>
      <c r="AH49" s="3" t="inlineStr"/>
      <c r="AI49" s="3" t="inlineStr"/>
      <c r="AJ49"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MK-NW-O-002 theAccount</t>
        </is>
      </c>
      <c r="AN49"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9" s="7" t="inlineStr">
        <is>
          <t>RULED, NOT CODED (Q-NW-2 — one question, one function)</t>
        </is>
      </c>
    </row>
    <row r="50" ht="60" customHeight="1">
      <c r="A50" s="3" t="inlineStr">
        <is>
          <t>MK-NW-M-041</t>
        </is>
      </c>
      <c r="B50" s="3" t="inlineStr">
        <is>
          <t>Networth</t>
        </is>
      </c>
      <c r="C50" s="3" t="inlineStr">
        <is>
          <t>/bonds</t>
        </is>
      </c>
      <c r="D50" s="3" t="inlineStr">
        <is>
          <t>total value of your bonds</t>
        </is>
      </c>
      <c r="E50" s="3" t="inlineStr">
        <is>
          <t>total_value_of_your_bonds</t>
        </is>
      </c>
      <c r="F50" s="3" t="inlineStr">
        <is>
          <t>theBonds</t>
        </is>
      </c>
      <c r="G50" s="3" t="inlineStr">
        <is>
          <t>MK-NW-O-001</t>
        </is>
      </c>
      <c r="H50" s="3" t="inlineStr">
        <is>
          <t>the sum of each bond account’s balance</t>
        </is>
      </c>
      <c r="I50" s="3" t="inlineStr">
        <is>
          <t>the sum of each bond account’s balance</t>
        </is>
      </c>
      <c r="J50" s="3" t="inlineStr">
        <is>
          <t>MK-NW-I-001 your accounts</t>
        </is>
      </c>
      <c r="K50" s="3" t="inlineStr">
        <is>
          <t>dollars, whole</t>
        </is>
      </c>
      <c r="L50" s="3" t="inlineStr">
        <is>
          <t>$0, and under it the one line "Nothing entered yet. Add a bond ›" (mock approved 2026-09-12). A real zero that was entered shows a plain $0 with no line.</t>
        </is>
      </c>
      <c r="M50" s="3" t="inlineStr">
        <is>
          <t>one figure per household</t>
        </is>
      </c>
      <c r="N50" s="3" t="inlineStr">
        <is>
          <t>as of today</t>
        </is>
      </c>
      <c r="O50"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50" s="3" t="inlineStr">
        <is>
          <t>Declared by MK-NW-O-001 theBonds</t>
        </is>
      </c>
      <c r="Q50" s="3" t="inlineStr">
        <is>
          <t>NONE RECORDED — the declaration names none.</t>
        </is>
      </c>
      <c r="R50" s="3" t="inlineStr">
        <is>
          <t>NONE RECORDED — the declaration names none.</t>
        </is>
      </c>
      <c r="S50" s="3" t="inlineStr"/>
      <c r="T50" s="3" t="inlineStr">
        <is>
          <t>NONE RECORDED — the declaration names none.</t>
        </is>
      </c>
      <c r="U50" s="3" t="inlineStr"/>
      <c r="V50"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50" s="9" t="inlineStr"/>
      <c r="X50" s="3" t="inlineStr"/>
      <c r="Y50" s="3" t="inlineStr"/>
      <c r="Z50" s="3" t="inlineStr">
        <is>
          <t>DECLARED IN THE CODE (rule 11) — printed from the door, not typed. RULED 2026-09-27</t>
        </is>
      </c>
      <c r="AA50" s="3" t="inlineStr"/>
      <c r="AB50" s="3" t="inlineStr"/>
      <c r="AC50" s="3" t="inlineStr"/>
      <c r="AD50" s="3" t="inlineStr"/>
      <c r="AE50"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50" s="3" t="inlineStr">
        <is>
          <t>ACTIVE</t>
        </is>
      </c>
      <c r="AG50" s="3" t="inlineStr">
        <is>
          <t>2026-10-19</t>
        </is>
      </c>
      <c r="AH50"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50"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50"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MK-NW-O-001 theBonds</t>
        </is>
      </c>
      <c r="AN50" s="3" t="inlineStr">
        <is>
          <t>Two bonds on 28 Sep 2026: a $25,000-face Treasury paying 4.5%, maturing 30 Sep 2029, worth $24,200 today; and a $10,000 Ally CD paying 5.05%, maturing 15 Mar 2027, worth its $10,000.
GIVES: $34,200
(the test re-runs this through MK-NW-O-001 theBonds on every build)</t>
        </is>
      </c>
      <c r="AO50" s="9" t="inlineStr">
        <is>
          <t>WAITING ON YOU — question Q03, Q38 · WAITING ON YOU — answer to read · RULED, NOT CODED (Bond display rule, Q-NW-4 — one question, one function)</t>
        </is>
      </c>
    </row>
    <row r="51" ht="60" customHeight="1">
      <c r="A51" s="3" t="inlineStr">
        <is>
          <t>MK-NW-M-042</t>
        </is>
      </c>
      <c r="B51" s="3" t="inlineStr">
        <is>
          <t>Networth</t>
        </is>
      </c>
      <c r="C51" s="3" t="inlineStr">
        <is>
          <t>/bonds</t>
        </is>
      </c>
      <c r="D51" s="3" t="inlineStr">
        <is>
          <t>n bonds · face $X</t>
        </is>
      </c>
      <c r="E51" s="3" t="inlineStr">
        <is>
          <t>n_bonds__face_x</t>
        </is>
      </c>
      <c r="F51" s="3" t="inlineStr">
        <is>
          <t>theBonds</t>
        </is>
      </c>
      <c r="G51" s="3" t="inlineStr">
        <is>
          <t>MK-NW-O-001</t>
        </is>
      </c>
      <c r="H51" s="3" t="inlineStr">
        <is>
          <t>count of bond accounts, and the sum of their face values</t>
        </is>
      </c>
      <c r="I51" s="3" t="inlineStr">
        <is>
          <t>count of bond accounts, and the sum of their face values</t>
        </is>
      </c>
      <c r="J51" s="3" t="inlineStr">
        <is>
          <t>MK-NW-I-001 your accounts</t>
        </is>
      </c>
      <c r="K51" s="3" t="inlineStr">
        <is>
          <t>a sentence</t>
        </is>
      </c>
      <c r="L51" s="3" t="inlineStr">
        <is>
          <t>$0, and under it the one line "Nothing entered yet. Add a bond ›" (mock approved 2026-09-12). A real zero that was entered shows a plain $0 with no line.</t>
        </is>
      </c>
      <c r="M51" s="3" t="inlineStr">
        <is>
          <t>one figure per household</t>
        </is>
      </c>
      <c r="N51" s="3" t="inlineStr">
        <is>
          <t>as of today</t>
        </is>
      </c>
      <c r="O51"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3" t="inlineStr"/>
      <c r="W51" s="3" t="inlineStr"/>
      <c r="X51" s="3" t="inlineStr"/>
      <c r="Y51" s="3" t="inlineStr"/>
      <c r="Z51" s="3" t="inlineStr">
        <is>
          <t>DECLARED IN THE CODE (rule 11) — printed from the door, not typed. RULED 2026-09-27</t>
        </is>
      </c>
      <c r="AA51" s="3" t="inlineStr"/>
      <c r="AB51" s="3" t="inlineStr"/>
      <c r="AC51" s="3" t="inlineStr"/>
      <c r="AD51" s="3" t="inlineStr"/>
      <c r="AE51" s="3" t="inlineStr">
        <is>
          <t>G32 / Q48 — RULED 2026-09-09: $0 stays, with the sentence '$0 — nothing entered yet.' and this row's door ('Add a bond ›'). File written; the screen follows the approved empty-state mock (one pattern, one screen), then every screen.</t>
        </is>
      </c>
      <c r="AF51" s="3" t="inlineStr">
        <is>
          <t>ACTIVE</t>
        </is>
      </c>
      <c r="AG51" s="3" t="inlineStr">
        <is>
          <t>2026-10-19</t>
        </is>
      </c>
      <c r="AH51"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51"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51"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51" s="6" t="inlineStr">
        <is>
          <t>WAITING ON YOU — answer to read · RULED, NOT CODED (Bond display rule, Q-NW-4 — one question, one function)</t>
        </is>
      </c>
    </row>
    <row r="52" ht="60" customHeight="1">
      <c r="A52" s="3" t="inlineStr">
        <is>
          <t>MK-NW-M-043</t>
        </is>
      </c>
      <c r="B52" s="3" t="inlineStr">
        <is>
          <t>Networth</t>
        </is>
      </c>
      <c r="C52" s="3" t="inlineStr">
        <is>
          <t>/bonds</t>
        </is>
      </c>
      <c r="D52" s="3" t="inlineStr">
        <is>
          <t>COUPON</t>
        </is>
      </c>
      <c r="E52" s="3" t="inlineStr">
        <is>
          <t>coupon</t>
        </is>
      </c>
      <c r="F52" s="3" t="inlineStr">
        <is>
          <t>theBonds</t>
        </is>
      </c>
      <c r="G52" s="3" t="inlineStr">
        <is>
          <t>MK-NW-O-001</t>
        </is>
      </c>
      <c r="H52" s="3" t="inlineStr">
        <is>
          <t>for each bond: face value × coupon rate, and $0 once past its maturity date; then added up</t>
        </is>
      </c>
      <c r="I52" s="3" t="inlineStr">
        <is>
          <t>for each bond: face value × coupon rate, and $0 once past its maturity date; then added up</t>
        </is>
      </c>
      <c r="J52" s="3" t="inlineStr">
        <is>
          <t>MK-NW-I-001 your accounts</t>
        </is>
      </c>
      <c r="K52" s="3" t="inlineStr">
        <is>
          <t>dollars, whole a year</t>
        </is>
      </c>
      <c r="L52" s="3" t="inlineStr">
        <is>
          <t>Nothing entered yet.</t>
        </is>
      </c>
      <c r="M52" s="3" t="inlineStr">
        <is>
          <t>one figure per household</t>
        </is>
      </c>
      <c r="N52" s="3" t="inlineStr">
        <is>
          <t>a year</t>
        </is>
      </c>
      <c r="O52"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52" s="3" t="inlineStr">
        <is>
          <t>Declared by MK-NW-O-001 theBonds</t>
        </is>
      </c>
      <c r="Q52" s="3" t="inlineStr">
        <is>
          <t>NONE RECORDED — the declaration names none.</t>
        </is>
      </c>
      <c r="R52" s="3" t="inlineStr">
        <is>
          <t>NONE RECORDED — the declaration names none.</t>
        </is>
      </c>
      <c r="S52" s="3" t="inlineStr"/>
      <c r="T52" s="3" t="inlineStr">
        <is>
          <t>NONE RECORDED — the declaration names none.</t>
        </is>
      </c>
      <c r="U52" s="3" t="inlineStr"/>
      <c r="V52"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52" s="9" t="inlineStr">
        <is>
          <t>A15 - What the function is currently used as? Function to round off to 2 decimal? If yes, fix it. Column H and M on the functions tab are saying two different things none of which is making sense.
A46:If coupon rate is not available use 0.
(typed 2026-08-26)</t>
        </is>
      </c>
      <c r="X52" s="3" t="inlineStr"/>
      <c r="Y52" s="3" t="inlineStr"/>
      <c r="Z52" s="3" t="inlineStr">
        <is>
          <t>DECLARED IN THE CODE (rule 11) — printed from the door, not typed. RULED 2026-09-27</t>
        </is>
      </c>
      <c r="AA52" s="3" t="inlineStr"/>
      <c r="AB52" s="3" t="inlineStr"/>
      <c r="AC52" s="3" t="inlineStr"/>
      <c r="AD52" s="3" t="inlineStr"/>
      <c r="AE52"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52" s="3" t="inlineStr">
        <is>
          <t>ACTIVE</t>
        </is>
      </c>
      <c r="AG52" s="3" t="inlineStr">
        <is>
          <t>2026-10-19</t>
        </is>
      </c>
      <c r="AH52"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52"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52"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2026-09-27; the figure, its formula, inputs and refusal live in MK-NW-O-001 theBonds</t>
        </is>
      </c>
      <c r="AN52" s="3" t="inlineStr">
        <is>
          <t>Two bonds on 28 Sep 2026: a $25,000-face Treasury paying 4.5%, maturing 30 Sep 2029, worth $24,200 today; and a $10,000 Ally CD paying 5.05%, maturing 15 Mar 2027, worth its $10,000.
GIVES: $1,630/year
(the test re-runs this through MK-NW-O-001 theBonds on every build)</t>
        </is>
      </c>
      <c r="AO52" s="9" t="inlineStr">
        <is>
          <t>WAITING ON YOU — question Q39, Q40 · WAITING ON YOU — answer to read · RULED, NOT CODED (Q-NW-4 — one question, one function)</t>
        </is>
      </c>
    </row>
    <row r="53" ht="60" customHeight="1">
      <c r="A53" s="3" t="inlineStr">
        <is>
          <t>MK-NW-M-044</t>
        </is>
      </c>
      <c r="B53" s="3" t="inlineStr">
        <is>
          <t>Networth</t>
        </is>
      </c>
      <c r="C53" s="3" t="inlineStr">
        <is>
          <t>/bonds</t>
        </is>
      </c>
      <c r="D53" s="3" t="inlineStr">
        <is>
          <t>AVG YIELD</t>
        </is>
      </c>
      <c r="E53" s="3" t="inlineStr">
        <is>
          <t>avg_yield</t>
        </is>
      </c>
      <c r="F53" s="3" t="inlineStr">
        <is>
          <t>theBonds</t>
        </is>
      </c>
      <c r="G53" s="3" t="inlineStr">
        <is>
          <t>MK-NW-O-001</t>
        </is>
      </c>
      <c r="H53" s="3" t="inlineStr">
        <is>
          <t>the coupon each pays ÷ what each is worth today, weighted by value</t>
        </is>
      </c>
      <c r="I53" s="3" t="inlineStr">
        <is>
          <t>the coupon each pays ÷ what each is worth today, weighted by value</t>
        </is>
      </c>
      <c r="J53" s="3" t="inlineStr">
        <is>
          <t>MK-NW-I-001 your accounts</t>
        </is>
      </c>
      <c r="K53" s="3" t="inlineStr">
        <is>
          <t>a percentage, two decimals</t>
        </is>
      </c>
      <c r="L53" s="3" t="inlineStr">
        <is>
          <t>A bond with no price today is left out rather than counted at zero.</t>
        </is>
      </c>
      <c r="M53" s="3" t="inlineStr">
        <is>
          <t>one figure per household</t>
        </is>
      </c>
      <c r="N53" s="3" t="inlineStr">
        <is>
          <t>as of today</t>
        </is>
      </c>
      <c r="O5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53" s="3" t="inlineStr">
        <is>
          <t>Declared by MK-NW-O-001 theBonds</t>
        </is>
      </c>
      <c r="Q53" s="3" t="inlineStr">
        <is>
          <t>NONE RECORDED — the declaration names none.</t>
        </is>
      </c>
      <c r="R53" s="3" t="inlineStr">
        <is>
          <t>NONE RECORDED — the declaration names none.</t>
        </is>
      </c>
      <c r="S53" s="3" t="inlineStr"/>
      <c r="T53" s="3" t="inlineStr">
        <is>
          <t>NONE RECORDED — the declaration names none.</t>
        </is>
      </c>
      <c r="U53" s="3" t="inlineStr"/>
      <c r="V53" s="9" t="inlineStr">
        <is>
          <t>Q45 — Approve the caveat when accrued interest is not recorded: 'Yield uses the value you entered. If that value includes accrued interest, the true yield is slightly higher.'</t>
        </is>
      </c>
      <c r="W53"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3" s="3" t="inlineStr"/>
      <c r="Y53" s="3" t="inlineStr"/>
      <c r="Z53" s="3" t="inlineStr">
        <is>
          <t>DECLARED IN THE CODE (rule 11) — printed from the door, not typed. RULED 2026-09-27</t>
        </is>
      </c>
      <c r="AA53" s="3" t="inlineStr"/>
      <c r="AB53" s="3" t="inlineStr"/>
      <c r="AC53" s="3" t="inlineStr"/>
      <c r="AD53" s="3" t="inlineStr"/>
      <c r="AE53" s="3" t="inlineStr">
        <is>
          <t>A47 — RULED 2026-08-26 (subtract accrued interest when recorded; caveat when not), NOT YET IN CODE: no accrued-interest field exists. Open, sequenced after the bond fields (brief Q-38 (2026-08-20)).</t>
        </is>
      </c>
      <c r="AF53" s="3" t="inlineStr">
        <is>
          <t>ACTIVE</t>
        </is>
      </c>
      <c r="AG53" s="3" t="inlineStr">
        <is>
          <t>2026-10-19</t>
        </is>
      </c>
      <c r="AH53" s="3" t="inlineStr">
        <is>
          <t>[What comes out — unit and rounding] yield should always be two decimal digits</t>
        </is>
      </c>
      <c r="AI53"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3"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2026-09-27; the figure, its formula, inputs and refusal live in MK-NW-O-001 theBonds</t>
        </is>
      </c>
      <c r="AN53" s="3" t="inlineStr">
        <is>
          <t>Two bonds on 28 Sep 2026: a $25,000-face Treasury paying 4.5%, maturing 30 Sep 2029, worth $24,200 today; and a $10,000 Ally CD paying 5.05%, maturing 15 Mar 2027, worth its $10,000.
GIVES: 4.77%
(the test re-runs this through MK-NW-O-001 theBonds on every build)</t>
        </is>
      </c>
      <c r="AO53" s="9" t="inlineStr">
        <is>
          <t>WAITING ON YOU — question Q45 · WAITING ON YOU — answer to read · RULED, NOT CODED (Q-NW-4 — one question, one function)</t>
        </is>
      </c>
    </row>
    <row r="54" ht="60" customHeight="1">
      <c r="A54" s="3" t="inlineStr">
        <is>
          <t>MK-NW-M-045</t>
        </is>
      </c>
      <c r="B54" s="3" t="inlineStr">
        <is>
          <t>Networth</t>
        </is>
      </c>
      <c r="C54" s="3" t="inlineStr">
        <is>
          <t>/bonds</t>
        </is>
      </c>
      <c r="D54" s="3" t="inlineStr">
        <is>
          <t>each bond — face, coupon, yield</t>
        </is>
      </c>
      <c r="E54" s="3" t="inlineStr">
        <is>
          <t>each_bond__face_coupon_yield</t>
        </is>
      </c>
      <c r="F54" s="3" t="inlineStr">
        <is>
          <t>theBonds</t>
        </is>
      </c>
      <c r="G54" s="3" t="inlineStr">
        <is>
          <t>MK-NW-O-001</t>
        </is>
      </c>
      <c r="H54" s="3" t="inlineStr">
        <is>
          <t>face value · coupon rate · coupon ÷ today’s value</t>
        </is>
      </c>
      <c r="I54" s="3" t="inlineStr">
        <is>
          <t>face value · coupon rate · coupon ÷ today’s value</t>
        </is>
      </c>
      <c r="J54" s="3" t="inlineStr">
        <is>
          <t>MK-NW-I-001 your accounts</t>
        </is>
      </c>
      <c r="K54" s="3" t="inlineStr">
        <is>
          <t>a sentence</t>
        </is>
      </c>
      <c r="L54" s="3" t="inlineStr">
        <is>
          <t>A bond fund has no face value or maturity, so it shows none.</t>
        </is>
      </c>
      <c r="M54" s="3" t="inlineStr">
        <is>
          <t>one bond</t>
        </is>
      </c>
      <c r="N54" s="3" t="inlineStr">
        <is>
          <t>as of today</t>
        </is>
      </c>
      <c r="O5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54" s="3" t="inlineStr">
        <is>
          <t>Declared by MK-NW-O-001 theBonds</t>
        </is>
      </c>
      <c r="Q54" s="3" t="inlineStr">
        <is>
          <t>NONE RECORDED — the declaration names none.</t>
        </is>
      </c>
      <c r="R54" s="3" t="inlineStr">
        <is>
          <t>NONE RECORDED — the declaration names none.</t>
        </is>
      </c>
      <c r="S54" s="3" t="inlineStr"/>
      <c r="T54" s="3" t="inlineStr">
        <is>
          <t>NONE RECORDED — the declaration names none.</t>
        </is>
      </c>
      <c r="U54" s="3" t="inlineStr"/>
      <c r="V54"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4" s="9" t="inlineStr">
        <is>
          <t>A46:If coupon rate is not available use 0.
(typed 2026-08-26)</t>
        </is>
      </c>
      <c r="X54" s="3" t="inlineStr"/>
      <c r="Y54" s="3" t="inlineStr"/>
      <c r="Z54" s="3" t="inlineStr">
        <is>
          <t>DECLARED IN THE CODE (rule 11) — printed from the door, not typed. RULED 2026-09-27</t>
        </is>
      </c>
      <c r="AA54" s="3" t="inlineStr"/>
      <c r="AB54" s="3" t="inlineStr"/>
      <c r="AC54" s="3" t="inlineStr"/>
      <c r="AD54" s="3" t="inlineStr"/>
      <c r="AE54" s="3" t="inlineStr">
        <is>
          <t>A46 — RULED 2026-08-26, NOT YET IN CODE (JJ-4). Open.</t>
        </is>
      </c>
      <c r="AF54" s="3" t="inlineStr">
        <is>
          <t>ACTIVE</t>
        </is>
      </c>
      <c r="AG54" s="3" t="inlineStr">
        <is>
          <t>2026-10-19</t>
        </is>
      </c>
      <c r="AH54"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4"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4"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2026-09-27; the figure, its formula, inputs and refusal live in MK-NW-O-001 theBonds</t>
        </is>
      </c>
      <c r="AN54"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4" s="9" t="inlineStr">
        <is>
          <t>WAITING ON YOU — question Q02, Q41 · WAITING ON YOU — answer to read · RULED, NOT CODED (Bond display rule, Q-NW-4 — one question, one function)</t>
        </is>
      </c>
    </row>
    <row r="55" ht="60" customHeight="1">
      <c r="A55" s="3" t="inlineStr">
        <is>
          <t>MK-NW-M-046</t>
        </is>
      </c>
      <c r="B55" s="3" t="inlineStr">
        <is>
          <t>Networth</t>
        </is>
      </c>
      <c r="C55" s="3" t="inlineStr">
        <is>
          <t>/analytics</t>
        </is>
      </c>
      <c r="D55" s="3" t="inlineStr">
        <is>
          <t>at your planned spend</t>
        </is>
      </c>
      <c r="E55" s="3" t="inlineStr">
        <is>
          <t>at_your_planned_spend</t>
        </is>
      </c>
      <c r="F55" s="3" t="inlineStr">
        <is>
          <t>theEmergencyFund</t>
        </is>
      </c>
      <c r="G55" s="3" t="inlineStr">
        <is>
          <t>MK-NW-O-004</t>
        </is>
      </c>
      <c r="H55" s="3" t="inlineStr">
        <is>
          <t>your cash ÷ (everything you budget for a month + the debt payments you cannot stop − the rent from a property that keeps arriving)</t>
        </is>
      </c>
      <c r="I55" s="3" t="inlineStr">
        <is>
          <t>your cash ÷ (everything you budget for a month + the debt payments you cannot stop − the rent from a property that keeps arriving)</t>
        </is>
      </c>
      <c r="J55" s="3" t="inlineStr">
        <is>
          <t>MK-NW-I-001 your accounts
MK-NW-I-002 your debts
MK-CF-I-001 your logged expenses</t>
        </is>
      </c>
      <c r="K55" s="3" t="inlineStr">
        <is>
          <t>a number of months</t>
        </is>
      </c>
      <c r="L55" s="3" t="inlineStr">
        <is>
          <t>No expense figure yet — it shows nothing rather than dividing by nothing.</t>
        </is>
      </c>
      <c r="M55" s="3" t="inlineStr">
        <is>
          <t>the household</t>
        </is>
      </c>
      <c r="N55" s="3" t="inlineStr">
        <is>
          <t>as of today</t>
        </is>
      </c>
      <c r="O55"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5" s="3" t="inlineStr">
        <is>
          <t>Declared by MK-NW-O-004 theEmergencyFund</t>
        </is>
      </c>
      <c r="Q55" s="3" t="inlineStr">
        <is>
          <t>FOUNDER 2026-09-28: "give both numbers." The figure above it is what you could not stop paying; this one is the life you plan to live. Neither is the whole truth alone, so the screen shows both.</t>
        </is>
      </c>
      <c r="R55" s="3" t="inlineStr">
        <is>
          <t>FOUNDER 2026-09-28: "give both numbers." The figure above it is what you could not stop paying; this one is the life you plan to live. Neither is the whole truth alone, so the screen shows both.</t>
        </is>
      </c>
      <c r="S55" s="3" t="inlineStr"/>
      <c r="T55" s="3" t="inlineStr">
        <is>
          <t>FOUNDER 2026-09-28: "give both numbers." The figure above it is what you could not stop paying; this one is the life you plan to live. Neither is the whole truth alone, so the screen shows both.</t>
        </is>
      </c>
      <c r="U55" s="3" t="inlineStr"/>
      <c r="V55" s="3" t="inlineStr"/>
      <c r="W55" s="3" t="inlineStr"/>
      <c r="X55" s="3" t="inlineStr"/>
      <c r="Y55" s="3" t="inlineStr"/>
      <c r="Z55" s="3" t="inlineStr">
        <is>
          <t>DECLARED IN THE CODE (rule 11) — printed from the door, not typed. RULED 2026-09-28</t>
        </is>
      </c>
      <c r="AA55" s="3" t="inlineStr"/>
      <c r="AB55" s="3" t="inlineStr"/>
      <c r="AC55" s="3" t="inlineStr"/>
      <c r="AD55" s="3" t="inlineStr"/>
      <c r="AE55" s="3" t="inlineStr"/>
      <c r="AF55" s="3" t="inlineStr">
        <is>
          <t>ACTIVE</t>
        </is>
      </c>
      <c r="AG55" s="3" t="inlineStr">
        <is>
          <t>2026-10-19</t>
        </is>
      </c>
      <c r="AH55" s="3" t="inlineStr"/>
      <c r="AI55" s="3" t="inlineStr"/>
      <c r="AJ55"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2026-09-28; the figure, its formula, inputs and refusal live in MK-NW-O-004 theEmergencyFund</t>
        </is>
      </c>
      <c r="AN55"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4.7 months
(the test re-runs this through MK-NW-O-004 theEmergencyFund on every build)</t>
        </is>
      </c>
      <c r="AO55" s="3" t="inlineStr">
        <is>
          <t>NOTHING OPEN</t>
        </is>
      </c>
    </row>
    <row r="56" ht="60" customHeight="1">
      <c r="A56" s="3" t="inlineStr">
        <is>
          <t>MK-NW-M-047</t>
        </is>
      </c>
      <c r="B56" s="3" t="inlineStr">
        <is>
          <t>Networth</t>
        </is>
      </c>
      <c r="C56" s="3" t="inlineStr">
        <is>
          <t>/analytics · /insights</t>
        </is>
      </c>
      <c r="D56" s="3" t="inlineStr">
        <is>
          <t>Both include $X/month of debt payments you cannot stop</t>
        </is>
      </c>
      <c r="E56" s="3" t="inlineStr">
        <is>
          <t>both_include_xmonth_of_debt_payments_you</t>
        </is>
      </c>
      <c r="F56" s="3" t="inlineStr">
        <is>
          <t>theEmergencyFund</t>
        </is>
      </c>
      <c r="G56" s="3" t="inlineStr">
        <is>
          <t>MK-NW-O-004</t>
        </is>
      </c>
      <c r="H56" s="3" t="inlineStr">
        <is>
          <t>the minimum monthly payment of every debt, the home’s mortgage included; a balance due in one lump has none</t>
        </is>
      </c>
      <c r="I56" s="3" t="inlineStr">
        <is>
          <t>the minimum monthly payment of every debt, the home’s mortgage included; a balance due in one lump has none</t>
        </is>
      </c>
      <c r="J56" s="3" t="inlineStr">
        <is>
          <t>MK-NW-I-002 your debts</t>
        </is>
      </c>
      <c r="K56" s="3" t="inlineStr">
        <is>
          <t>dollars, whole a month</t>
        </is>
      </c>
      <c r="L56" s="3" t="inlineStr">
        <is>
          <t>No debts entered — the line does not appear at all.</t>
        </is>
      </c>
      <c r="M56" s="3" t="inlineStr">
        <is>
          <t>one figure per household</t>
        </is>
      </c>
      <c r="N56" s="3" t="inlineStr">
        <is>
          <t>a month</t>
        </is>
      </c>
      <c r="O56"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6" s="3" t="inlineStr">
        <is>
          <t>Declared by MK-NW-O-004 theEmergencyFund</t>
        </is>
      </c>
      <c r="Q56"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R56"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S56" s="3" t="inlineStr"/>
      <c r="T56"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U56" s="3" t="inlineStr"/>
      <c r="V56" s="3" t="inlineStr"/>
      <c r="W56" s="3" t="inlineStr"/>
      <c r="X56" s="3" t="inlineStr"/>
      <c r="Y56" s="3" t="inlineStr"/>
      <c r="Z56" s="3" t="inlineStr">
        <is>
          <t>DECLARED IN THE CODE (rule 11) — printed from the door, not typed. RULED 2026-10-04</t>
        </is>
      </c>
      <c r="AA56" s="3" t="inlineStr"/>
      <c r="AB56" s="3" t="inlineStr"/>
      <c r="AC56" s="3" t="inlineStr"/>
      <c r="AD56" s="3" t="inlineStr"/>
      <c r="AE56" s="3" t="inlineStr"/>
      <c r="AF56" s="3" t="inlineStr">
        <is>
          <t>ACTIVE</t>
        </is>
      </c>
      <c r="AG56" s="3" t="inlineStr">
        <is>
          <t>2026-10-19</t>
        </is>
      </c>
      <c r="AH56" s="3" t="inlineStr"/>
      <c r="AI56" s="3" t="inlineStr"/>
      <c r="AJ56"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2026-09-28; the figure, its formula, inputs and refusal live in MK-NW-O-004 theEmergencyFund</t>
        </is>
      </c>
      <c r="AN5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$2,770/month
(the test re-runs this through MK-NW-O-004 theEmergencyFund on every build)</t>
        </is>
      </c>
      <c r="AO56" s="3" t="inlineStr">
        <is>
          <t>NOTHING OPEN</t>
        </is>
      </c>
    </row>
    <row r="57" ht="60" customHeight="1">
      <c r="A57" s="3" t="inlineStr">
        <is>
          <t>MK-NW-M-048</t>
        </is>
      </c>
      <c r="B57" s="3" t="inlineStr">
        <is>
          <t>Networth</t>
        </is>
      </c>
      <c r="C57" s="3" t="inlineStr">
        <is>
          <t>/analytics · /insights</t>
        </is>
      </c>
      <c r="D57" s="3" t="inlineStr">
        <is>
          <t>cash ÷ planned spend</t>
        </is>
      </c>
      <c r="E57" s="3" t="inlineStr">
        <is>
          <t>cash__planned_spend</t>
        </is>
      </c>
      <c r="F57" s="3" t="inlineStr">
        <is>
          <t>theEmergencyFund</t>
        </is>
      </c>
      <c r="G57" s="3" t="inlineStr">
        <is>
          <t>MK-NW-O-004</t>
        </is>
      </c>
      <c r="H57" s="3" t="inlineStr">
        <is>
          <t>everything you budget for a month + the debt payments you cannot stop</t>
        </is>
      </c>
      <c r="I57" s="3" t="inlineStr">
        <is>
          <t>everything you budget for a month + the debt payments you cannot stop</t>
        </is>
      </c>
      <c r="J57" s="3" t="inlineStr">
        <is>
          <t>MK-NW-I-002 your debts
MK-CF-I-001 your logged expenses</t>
        </is>
      </c>
      <c r="K57" s="3" t="inlineStr">
        <is>
          <t>dollars, whole a month</t>
        </is>
      </c>
      <c r="L57" s="3" t="inlineStr">
        <is>
          <t>No expense figure yet.</t>
        </is>
      </c>
      <c r="M57" s="3" t="inlineStr">
        <is>
          <t>the household</t>
        </is>
      </c>
      <c r="N57" s="3" t="inlineStr">
        <is>
          <t>a month</t>
        </is>
      </c>
      <c r="O57"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7" s="3" t="inlineStr">
        <is>
          <t>Declared by MK-NW-O-004 theEmergencyFund</t>
        </is>
      </c>
      <c r="Q57" s="3" t="inlineStr">
        <is>
          <t>NONE RECORDED — the declaration names none.</t>
        </is>
      </c>
      <c r="R57" s="3" t="inlineStr">
        <is>
          <t>NONE RECORDED — the declaration names none.</t>
        </is>
      </c>
      <c r="S57" s="3" t="inlineStr"/>
      <c r="T57" s="3" t="inlineStr">
        <is>
          <t>NONE RECORDED — the declaration names none.</t>
        </is>
      </c>
      <c r="U57" s="3" t="inlineStr"/>
      <c r="V57" s="3" t="inlineStr"/>
      <c r="W57" s="3" t="inlineStr"/>
      <c r="X57" s="3" t="inlineStr"/>
      <c r="Y57" s="3" t="inlineStr"/>
      <c r="Z57" s="3" t="inlineStr">
        <is>
          <t>DECLARED IN THE CODE (rule 11) — printed from the door, not typed. RULED 2026-09-28</t>
        </is>
      </c>
      <c r="AA57" s="3" t="inlineStr"/>
      <c r="AB57" s="3" t="inlineStr"/>
      <c r="AC57" s="3" t="inlineStr"/>
      <c r="AD57" s="3" t="inlineStr"/>
      <c r="AE57" s="3" t="inlineStr"/>
      <c r="AF57" s="3" t="inlineStr">
        <is>
          <t>ACTIVE</t>
        </is>
      </c>
      <c r="AG57" s="3" t="inlineStr">
        <is>
          <t>2026-10-19</t>
        </is>
      </c>
      <c r="AH57" s="3" t="inlineStr"/>
      <c r="AI57" s="3" t="inlineStr"/>
      <c r="AJ57"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2026-09-28; the figure, its formula, inputs and refusal live in MK-NW-O-004 theEmergencyFund</t>
        </is>
      </c>
      <c r="AN5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$3,870/month
(the test re-runs this through MK-NW-O-004 theEmergencyFund on every build)</t>
        </is>
      </c>
      <c r="AO57" s="3" t="inlineStr">
        <is>
          <t>NOTHING OPEN</t>
        </is>
      </c>
    </row>
    <row r="58" ht="60" customHeight="1">
      <c r="A58" s="3" t="inlineStr">
        <is>
          <t>MK-NW-M-049</t>
        </is>
      </c>
      <c r="B58" s="3" t="inlineStr">
        <is>
          <t>Networth</t>
        </is>
      </c>
      <c r="C58" s="3" t="inlineStr">
        <is>
          <t>/other-investments</t>
        </is>
      </c>
      <c r="D58" s="3" t="inlineStr">
        <is>
          <t>Total value</t>
        </is>
      </c>
      <c r="E58" s="3" t="inlineStr">
        <is>
          <t>total_value</t>
        </is>
      </c>
      <c r="F58" s="3" t="inlineStr">
        <is>
          <t>theNetWorth</t>
        </is>
      </c>
      <c r="G58" s="3" t="inlineStr">
        <is>
          <t>MK-NW-O-003</t>
        </is>
      </c>
      <c r="H58" s="3" t="inlineStr">
        <is>
          <t>the sum of every account whose class is alternatives</t>
        </is>
      </c>
      <c r="I58" s="3" t="inlineStr">
        <is>
          <t>the sum of every account whose class is alternatives</t>
        </is>
      </c>
      <c r="J58" s="3" t="inlineStr">
        <is>
          <t>MK-NW-I-001 your accounts</t>
        </is>
      </c>
      <c r="K58" s="3" t="inlineStr">
        <is>
          <t>dollars, whole</t>
        </is>
      </c>
      <c r="L58" s="3" t="inlineStr">
        <is>
          <t>None entered yet.</t>
        </is>
      </c>
      <c r="M58" s="3" t="inlineStr">
        <is>
          <t>one figure per household</t>
        </is>
      </c>
      <c r="N58" s="3" t="inlineStr">
        <is>
          <t>as of today</t>
        </is>
      </c>
      <c r="O58"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58" s="3" t="inlineStr">
        <is>
          <t>Declared by MK-NW-O-003 theNetWorth</t>
        </is>
      </c>
      <c r="Q58" s="3" t="inlineStr">
        <is>
          <t>It is the Alternatives SLICE of net worth and must equal what the Net worth tab shows for that class — which is why it sits behind this door (founder, 2026-09-27: "ok").</t>
        </is>
      </c>
      <c r="R58" s="3" t="inlineStr">
        <is>
          <t>It is the Alternatives SLICE of net worth and must equal what the Net worth tab shows for that class — which is why it sits behind this door (founder, 2026-09-27: "ok").</t>
        </is>
      </c>
      <c r="S58" s="3" t="inlineStr"/>
      <c r="T58" s="3" t="inlineStr">
        <is>
          <t>It is the Alternatives SLICE of net worth and must equal what the Net worth tab shows for that class — which is why it sits behind this door (founder, 2026-09-27: "ok").</t>
        </is>
      </c>
      <c r="U58" s="3" t="inlineStr"/>
      <c r="V58" s="3" t="inlineStr"/>
      <c r="W58" s="3" t="inlineStr"/>
      <c r="X58" s="3" t="inlineStr"/>
      <c r="Y58" s="3" t="inlineStr"/>
      <c r="Z58" s="3" t="inlineStr">
        <is>
          <t>DECLARED IN THE CODE (rule 11) — printed from the door, not typed. RULED 2026-09-27</t>
        </is>
      </c>
      <c r="AA58" s="3" t="inlineStr"/>
      <c r="AB58" s="3" t="inlineStr"/>
      <c r="AC58" s="3" t="inlineStr"/>
      <c r="AD58" s="3" t="inlineStr"/>
      <c r="AE58" s="3" t="inlineStr"/>
      <c r="AF58" s="3" t="inlineStr">
        <is>
          <t>ACTIVE</t>
        </is>
      </c>
      <c r="AG58" s="3" t="inlineStr">
        <is>
          <t>2026-10-19</t>
        </is>
      </c>
      <c r="AH58" s="3" t="inlineStr"/>
      <c r="AI58" s="3" t="inlineStr"/>
      <c r="AJ58"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2026-09-27; the figure, its formula, inputs and refusal live in MK-NW-O-003 theNetWorth</t>
        </is>
      </c>
      <c r="AN5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$9,000
(the test re-runs this through MK-NW-O-003 theNetWorth on every build)</t>
        </is>
      </c>
      <c r="AO58" s="3" t="inlineStr">
        <is>
          <t>NOTHING OPEN</t>
        </is>
      </c>
    </row>
    <row r="59" ht="60" customHeight="1">
      <c r="A59" s="3" t="inlineStr">
        <is>
          <t>MK-NW-M-050</t>
        </is>
      </c>
      <c r="B59" s="3" t="inlineStr">
        <is>
          <t>Networth</t>
        </is>
      </c>
      <c r="C59" s="3" t="inlineStr">
        <is>
          <t>/other-investments</t>
        </is>
      </c>
      <c r="D59" s="3" t="inlineStr">
        <is>
          <t>EST. GROWTH /year</t>
        </is>
      </c>
      <c r="E59" s="3" t="inlineStr">
        <is>
          <t>est_growth_year</t>
        </is>
      </c>
      <c r="F59" s="3" t="inlineStr">
        <is>
          <t>theAlternativesOutlook</t>
        </is>
      </c>
      <c r="G59" s="3" t="inlineStr">
        <is>
          <t>MK-NW-O-005</t>
        </is>
      </c>
      <c r="H59" s="3" t="inlineStr">
        <is>
          <t>each holding’s value × the historical benchmark for its kind, added up</t>
        </is>
      </c>
      <c r="I59" s="3" t="inlineStr">
        <is>
          <t>each holding’s value × the historical benchmark for its kind, added up</t>
        </is>
      </c>
      <c r="J59" s="3" t="inlineStr">
        <is>
          <t>MK-NW-I-001 your accounts</t>
        </is>
      </c>
      <c r="K59" s="3" t="inlineStr">
        <is>
          <t>dollars, whole a year</t>
        </is>
      </c>
      <c r="L59" s="3" t="inlineStr">
        <is>
          <t>Nothing held — no figure at all, because a $0 forecast reads as a forecast.</t>
        </is>
      </c>
      <c r="M59" s="3" t="inlineStr">
        <is>
          <t>one figure per household</t>
        </is>
      </c>
      <c r="N59" s="3" t="inlineStr">
        <is>
          <t>a year</t>
        </is>
      </c>
      <c r="O59"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59" s="3" t="inlineStr">
        <is>
          <t>Declared by MK-NW-O-005 theAlternativesOutlook</t>
        </is>
      </c>
      <c r="Q59"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59"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59" s="3" t="inlineStr"/>
      <c r="T59"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59" s="3" t="inlineStr"/>
      <c r="V59" s="3" t="inlineStr"/>
      <c r="W59" s="3" t="inlineStr"/>
      <c r="X59" s="3" t="inlineStr"/>
      <c r="Y59" s="3" t="inlineStr"/>
      <c r="Z59" s="3" t="inlineStr">
        <is>
          <t>DECLARED IN THE CODE (rule 11) — printed from the door, not typed. RULED 2026-09-27</t>
        </is>
      </c>
      <c r="AA59" s="3" t="inlineStr"/>
      <c r="AB59" s="3" t="inlineStr"/>
      <c r="AC59" s="3" t="inlineStr"/>
      <c r="AD59" s="3" t="inlineStr"/>
      <c r="AE59" s="3" t="inlineStr"/>
      <c r="AF59" s="3" t="inlineStr">
        <is>
          <t>ACTIVE</t>
        </is>
      </c>
      <c r="AG59" s="3" t="inlineStr">
        <is>
          <t>2026-10-19</t>
        </is>
      </c>
      <c r="AH59" s="3" t="inlineStr"/>
      <c r="AI59" s="3" t="inlineStr"/>
      <c r="AJ59" s="3" t="inlineStr">
        <is>
          <t>1. MK-XS-I-001 account balance — read by MK-CF-F-031, MK-CF-F-200, MK-CF-O-006, MK-NW-F-027, MK-NW-F-031, MK-NW-F-032, MK
2. MK-XS-I-002 account type (taxable, pre-tax, Roth) — read by MK-NW-F-011, MK-NW-F-027, MK-NW-F-054, MK-NW-F-120, MK-NW-F-132, MK-NW-O-001
3. MK-XS-I-003 institution name — read by MK-NW-F-072, MK-NW-F-134,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MK-NW-F-132,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MK-NW-F-001, MK-NW-F-002, MK-NW-F-011,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2026-09-27; the figure, its formula, inputs and refusal live in MK-NW-O-005 theAlternativesOutlook</t>
        </is>
      </c>
      <c r="AN59" s="3" t="inlineStr">
        <is>
          <t>$9,000 of gold and $6,000 of bitcoin — $15,000 of other investments, at their kinds' own benchmark rates.
GIVES: $1,218/year
(the test re-runs this through MK-NW-O-005 theAlternativesOutlook on every build)</t>
        </is>
      </c>
      <c r="AO59" s="3" t="inlineStr">
        <is>
          <t>NOTHING OPEN</t>
        </is>
      </c>
    </row>
    <row r="60" ht="60" customHeight="1">
      <c r="A60" s="3" t="inlineStr">
        <is>
          <t>MK-NW-M-051</t>
        </is>
      </c>
      <c r="B60" s="3" t="inlineStr">
        <is>
          <t>Networth</t>
        </is>
      </c>
      <c r="C60" s="3" t="inlineStr">
        <is>
          <t>/other-investments</t>
        </is>
      </c>
      <c r="D60" s="3" t="inlineStr">
        <is>
          <t>EXP. RETURN</t>
        </is>
      </c>
      <c r="E60" s="3" t="inlineStr">
        <is>
          <t>exp_return</t>
        </is>
      </c>
      <c r="F60" s="3" t="inlineStr">
        <is>
          <t>theAlternativesOutlook</t>
        </is>
      </c>
      <c r="G60" s="3" t="inlineStr">
        <is>
          <t>MK-NW-O-005</t>
        </is>
      </c>
      <c r="H60" s="3" t="inlineStr">
        <is>
          <t>each holding's value × the benchmark for its kind, added up, ÷ the total value</t>
        </is>
      </c>
      <c r="I60" s="3" t="inlineStr">
        <is>
          <t>each holding's value × the benchmark for its kind, added up, ÷ the total value</t>
        </is>
      </c>
      <c r="J60" s="3" t="inlineStr">
        <is>
          <t>MK-XS-I-001 account balance</t>
        </is>
      </c>
      <c r="K60" s="3" t="inlineStr">
        <is>
          <t>a percentage, two decimals</t>
        </is>
      </c>
      <c r="L60" s="3" t="inlineStr">
        <is>
          <t>Nothing held — no figure at all, because a 0.00% expected return reads as a forecast of nothing rather than an absence of holdings.</t>
        </is>
      </c>
      <c r="M60" s="3" t="inlineStr">
        <is>
          <t>the household</t>
        </is>
      </c>
      <c r="N60" s="3" t="inlineStr">
        <is>
          <t>as of today</t>
        </is>
      </c>
      <c r="O60"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60" s="3" t="inlineStr">
        <is>
          <t>Declared by MK-NW-O-005 theAlternativesOutlook</t>
        </is>
      </c>
      <c r="Q60"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60"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60" s="3" t="inlineStr"/>
      <c r="T60"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60" s="3" t="inlineStr"/>
      <c r="V60" s="3" t="inlineStr"/>
      <c r="W60" s="3" t="inlineStr"/>
      <c r="X60" s="3" t="inlineStr"/>
      <c r="Y60" s="3" t="inlineStr"/>
      <c r="Z60" s="3" t="inlineStr">
        <is>
          <t>DECLARED IN THE CODE (rule 11) — printed from the door, not typed. RULED 2026-10-01</t>
        </is>
      </c>
      <c r="AA60" s="3" t="inlineStr"/>
      <c r="AB60" s="3" t="inlineStr"/>
      <c r="AC60" s="3" t="inlineStr"/>
      <c r="AD60" s="3" t="inlineStr"/>
      <c r="AE60" s="3" t="inlineStr"/>
      <c r="AF60" s="3" t="inlineStr">
        <is>
          <t>ACTIVE</t>
        </is>
      </c>
      <c r="AG60" s="3" t="inlineStr">
        <is>
          <t>2026-10-19</t>
        </is>
      </c>
      <c r="AH60" s="3" t="inlineStr"/>
      <c r="AI60" s="3" t="inlineStr"/>
      <c r="AJ60" s="3" t="inlineStr">
        <is>
          <t>1. MK-XS-I-001 account balance — read by MK-CF-F-031, MK-CF-F-200, MK-CF-O-006, MK-NW-F-027, MK-NW-F-031, MK-NW-F-032, MK
2. MK-XS-I-002 account type (taxable, pre-tax, Roth) — read by MK-NW-F-011, MK-NW-F-027, MK-NW-F-054, MK-NW-F-120, MK-NW-F-132, MK-NW-O-001
3. MK-XS-I-003 institution name — read by MK-NW-F-072, MK-NW-F-134,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MK-NW-F-132,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MK-NW-F-001, MK-NW-F-002, MK-NW-F-011,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2026-10-01; the figure, its formula, inputs and refusal live in MK-NW-O-005 theAlternativesOutlook</t>
        </is>
      </c>
      <c r="AN60" s="3" t="inlineStr">
        <is>
          <t>$9,000 of gold and $6,000 of bitcoin — $15,000 of other investments, at their kinds' own benchmark rates.
GIVES: 8.12%
(the test re-runs this through MK-NW-O-005 theAlternativesOutlook on every build)</t>
        </is>
      </c>
      <c r="AO60" s="3" t="inlineStr">
        <is>
          <t>NOTHING OPEN</t>
        </is>
      </c>
    </row>
    <row r="61" ht="60" customHeight="1">
      <c r="A61" s="3" t="inlineStr">
        <is>
          <t>MK-NW-M-052</t>
        </is>
      </c>
      <c r="B61" s="3" t="inlineStr">
        <is>
          <t>Networth</t>
        </is>
      </c>
      <c r="C61" s="3" t="inlineStr">
        <is>
          <t>/other-investments</t>
        </is>
      </c>
      <c r="D61" s="3" t="inlineStr">
        <is>
          <t>each alternative and what it is worth</t>
        </is>
      </c>
      <c r="E61" s="3" t="inlineStr">
        <is>
          <t>each_alternative_and_what_it_is_worth</t>
        </is>
      </c>
      <c r="F61" s="3" t="inlineStr">
        <is>
          <t>theAlternativesOutlook</t>
        </is>
      </c>
      <c r="G61" s="3" t="inlineStr">
        <is>
          <t>MK-NW-O-005</t>
        </is>
      </c>
      <c r="H61" s="3" t="inlineStr">
        <is>
          <t>one row per account whose class is alternatives, its own balance beside it</t>
        </is>
      </c>
      <c r="I61" s="3" t="inlineStr">
        <is>
          <t>one row per account whose class is alternatives, its own balance beside it</t>
        </is>
      </c>
      <c r="J61" s="3" t="inlineStr">
        <is>
          <t>MK-XS-I-001 account balance</t>
        </is>
      </c>
      <c r="K61" s="3" t="inlineStr">
        <is>
          <t>dollars, whole</t>
        </is>
      </c>
      <c r="L61" s="3" t="inlineStr">
        <is>
          <t>No rows, and the screen shows the sentence that says what belongs here instead.</t>
        </is>
      </c>
      <c r="M61" s="3" t="inlineStr">
        <is>
          <t>one alternative holding</t>
        </is>
      </c>
      <c r="N61" s="3" t="inlineStr">
        <is>
          <t>as of today</t>
        </is>
      </c>
      <c r="O61"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61" s="3" t="inlineStr">
        <is>
          <t>Declared by MK-NW-O-005 theAlternativesOutlook</t>
        </is>
      </c>
      <c r="Q61" s="3" t="inlineStr">
        <is>
          <t>THE ROWS MUST ADD TO THE TOTAL ABOVE THEM. That is the whole reason the rows exist: a total nobody can take apart is a number you have to trust rather than check.</t>
        </is>
      </c>
      <c r="R61" s="3" t="inlineStr">
        <is>
          <t>THE ROWS MUST ADD TO THE TOTAL ABOVE THEM. That is the whole reason the rows exist: a total nobody can take apart is a number you have to trust rather than check.</t>
        </is>
      </c>
      <c r="S61" s="3" t="inlineStr"/>
      <c r="T61" s="3" t="inlineStr">
        <is>
          <t>THE ROWS MUST ADD TO THE TOTAL ABOVE THEM. That is the whole reason the rows exist: a total nobody can take apart is a number you have to trust rather than check.</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2026-10-19</t>
        </is>
      </c>
      <c r="AH61" s="3" t="inlineStr"/>
      <c r="AI61" s="3" t="inlineStr"/>
      <c r="AJ61" s="3" t="inlineStr">
        <is>
          <t>1. MK-XS-I-001 account balance — read by MK-CF-F-031, MK-CF-F-200, MK-CF-O-006, MK-NW-F-027, MK-NW-F-031, MK-NW-F-032, MK
2. MK-XS-I-002 account type (taxable, pre-tax, Roth) — read by MK-NW-F-011, MK-NW-F-027, MK-NW-F-054, MK-NW-F-120, MK-NW-F-132, MK-NW-O-001
3. MK-XS-I-003 institution name — read by MK-NW-F-072, MK-NW-F-134,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MK-NW-F-132,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MK-NW-F-001, MK-NW-F-002, MK-NW-F-011,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MK-NW-O-005 theAlternativesOutlook</t>
        </is>
      </c>
      <c r="AN61" s="3" t="inlineStr">
        <is>
          <t>$9,000 of gold and $6,000 of bitcoin — $15,000 of other investments, at their kinds' own benchmark rates.
GIVES: $9,000
(the test re-runs this through MK-NW-O-005 theAlternativesOutlook on every build)</t>
        </is>
      </c>
      <c r="AO61" s="3" t="inlineStr">
        <is>
          <t>NOTHING OPEN</t>
        </is>
      </c>
    </row>
    <row r="62" ht="60" customHeight="1">
      <c r="A62" s="3" t="inlineStr">
        <is>
          <t>MK-NW-M-053</t>
        </is>
      </c>
      <c r="B62" s="3" t="inlineStr">
        <is>
          <t>Networth</t>
        </is>
      </c>
      <c r="C62" s="3" t="inlineStr">
        <is>
          <t>/bonds</t>
        </is>
      </c>
      <c r="D62" s="3" t="inlineStr">
        <is>
          <t>face</t>
        </is>
      </c>
      <c r="E62" s="3" t="inlineStr">
        <is>
          <t>face</t>
        </is>
      </c>
      <c r="F62" s="3" t="inlineStr">
        <is>
          <t>theBonds</t>
        </is>
      </c>
      <c r="G62" s="3" t="inlineStr">
        <is>
          <t>MK-NW-O-001</t>
        </is>
      </c>
      <c r="H62" s="3" t="inlineStr">
        <is>
          <t>the sum of each bond’s face value</t>
        </is>
      </c>
      <c r="I62" s="3" t="inlineStr">
        <is>
          <t>the sum of each bond’s face value</t>
        </is>
      </c>
      <c r="J62" s="3" t="inlineStr">
        <is>
          <t>MK-XS-I-001 account balance</t>
        </is>
      </c>
      <c r="K62" s="3" t="inlineStr">
        <is>
          <t>dollars, whole</t>
        </is>
      </c>
      <c r="L62" s="3" t="inlineStr">
        <is>
          <t>No bonds entered yet, so no face total either.</t>
        </is>
      </c>
      <c r="M62" s="3" t="inlineStr">
        <is>
          <t>the household</t>
        </is>
      </c>
      <c r="N62" s="3" t="inlineStr">
        <is>
          <t>as of today</t>
        </is>
      </c>
      <c r="O62"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2" s="3" t="inlineStr">
        <is>
          <t>Declared by MK-NW-O-001 theBonds</t>
        </is>
      </c>
      <c r="Q62" s="3" t="inlineStr">
        <is>
          <t>FACE AND VALUE ARE SHOWN SIDE BY SIDE because they differ, and the difference is the whole point: a bond bought below face pays back more than it is worth today.</t>
        </is>
      </c>
      <c r="R62" s="3" t="inlineStr">
        <is>
          <t>FACE AND VALUE ARE SHOWN SIDE BY SIDE because they differ, and the difference is the whole point: a bond bought below face pays back more than it is worth today.</t>
        </is>
      </c>
      <c r="S62" s="3" t="inlineStr"/>
      <c r="T62" s="3" t="inlineStr">
        <is>
          <t>FACE AND VALUE ARE SHOWN SIDE BY SIDE because they differ, and the difference is the whole point: a bond bought below face pays back more than it is worth today.</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2026-10-19</t>
        </is>
      </c>
      <c r="AH62" s="3" t="inlineStr"/>
      <c r="AI62" s="3" t="inlineStr"/>
      <c r="AJ62"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MK-NW-O-001 theBonds</t>
        </is>
      </c>
      <c r="AN62" s="3" t="inlineStr">
        <is>
          <t>Two bonds on 28 Sep 2026: a $25,000-face Treasury paying 4.5%, maturing 30 Sep 2029, worth $24,200 today; and a $10,000 Ally CD paying 5.05%, maturing 15 Mar 2027, worth its $10,000.
GIVES: $35,000
(the test re-runs this through MK-NW-O-001 theBonds on every build)</t>
        </is>
      </c>
      <c r="AO62" s="3" t="inlineStr">
        <is>
          <t>NOTHING OPEN</t>
        </is>
      </c>
    </row>
    <row r="63" ht="60" customHeight="1">
      <c r="A63" s="3" t="inlineStr">
        <is>
          <t>MK-NW-M-054</t>
        </is>
      </c>
      <c r="B63" s="3" t="inlineStr">
        <is>
          <t>Networth</t>
        </is>
      </c>
      <c r="C63" s="3" t="inlineStr">
        <is>
          <t>/bonds</t>
        </is>
      </c>
      <c r="D63" s="3" t="inlineStr">
        <is>
          <t>one bond’s value</t>
        </is>
      </c>
      <c r="E63" s="3" t="inlineStr">
        <is>
          <t>one_bonds_value</t>
        </is>
      </c>
      <c r="F63" s="3" t="inlineStr">
        <is>
          <t>theBonds</t>
        </is>
      </c>
      <c r="G63" s="3" t="inlineStr">
        <is>
          <t>MK-NW-O-001</t>
        </is>
      </c>
      <c r="H63" s="3" t="inlineStr">
        <is>
          <t>the bond account’s own balance</t>
        </is>
      </c>
      <c r="I63" s="3" t="inlineStr">
        <is>
          <t>the bond account’s own balance</t>
        </is>
      </c>
      <c r="J63" s="3" t="inlineStr">
        <is>
          <t>MK-XS-I-001 account balance</t>
        </is>
      </c>
      <c r="K63" s="3" t="inlineStr">
        <is>
          <t>dollars, whole</t>
        </is>
      </c>
      <c r="L63" s="3" t="inlineStr">
        <is>
          <t>— the row is not drawn at all when there is no bond.</t>
        </is>
      </c>
      <c r="M63" s="3" t="inlineStr">
        <is>
          <t>one bond</t>
        </is>
      </c>
      <c r="N63" s="3" t="inlineStr">
        <is>
          <t>as of today</t>
        </is>
      </c>
      <c r="O6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3" s="3" t="inlineStr">
        <is>
          <t>Declared by MK-NW-O-001 theBonds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2026-10-19</t>
        </is>
      </c>
      <c r="AH63" s="3" t="inlineStr"/>
      <c r="AI63" s="3" t="inlineStr"/>
      <c r="AJ63"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$10,000
(the test re-runs this through MK-NW-O-001 theBonds on every build)</t>
        </is>
      </c>
      <c r="AO63" s="3" t="inlineStr">
        <is>
          <t>NOTHING OPEN</t>
        </is>
      </c>
    </row>
    <row r="64" ht="60" customHeight="1">
      <c r="A64" s="3" t="inlineStr">
        <is>
          <t>MK-NW-M-055</t>
        </is>
      </c>
      <c r="B64" s="3" t="inlineStr">
        <is>
          <t>Networth</t>
        </is>
      </c>
      <c r="C64" s="3" t="inlineStr">
        <is>
          <t>/bonds</t>
        </is>
      </c>
      <c r="D64" s="3" t="inlineStr">
        <is>
          <t>one bond’s face</t>
        </is>
      </c>
      <c r="E64" s="3" t="inlineStr">
        <is>
          <t>one_bonds_face</t>
        </is>
      </c>
      <c r="F64" s="3" t="inlineStr">
        <is>
          <t>theBonds</t>
        </is>
      </c>
      <c r="G64" s="3" t="inlineStr">
        <is>
          <t>MK-NW-O-001</t>
        </is>
      </c>
      <c r="H64" s="3" t="inlineStr">
        <is>
          <t>the face value as entered; a face never entered stays blank, never the balance and never $0</t>
        </is>
      </c>
      <c r="I64" s="3" t="inlineStr">
        <is>
          <t>the face value as entered; a face never entered stays blank, never the balance and never $0</t>
        </is>
      </c>
      <c r="J64" s="3" t="inlineStr">
        <is>
          <t>MK-XS-I-011 bond face value</t>
        </is>
      </c>
      <c r="K64" s="3" t="inlineStr">
        <is>
          <t>dollars, whole</t>
        </is>
      </c>
      <c r="L64" s="3" t="inlineStr">
        <is>
          <t>No face value entered — the row says “face value not entered”.</t>
        </is>
      </c>
      <c r="M64" s="3" t="inlineStr">
        <is>
          <t>one bond</t>
        </is>
      </c>
      <c r="N64" s="3" t="inlineStr">
        <is>
          <t>as of today</t>
        </is>
      </c>
      <c r="O6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4" s="3" t="inlineStr">
        <is>
          <t>Declared by MK-NW-O-001 theBonds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2026-10-19</t>
        </is>
      </c>
      <c r="AH64" s="3" t="inlineStr"/>
      <c r="AI64" s="3" t="inlineStr"/>
      <c r="AJ64"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$10,000
(the test re-runs this through MK-NW-O-001 theBonds on every build)</t>
        </is>
      </c>
      <c r="AO64" s="3" t="inlineStr">
        <is>
          <t>NOTHING OPEN</t>
        </is>
      </c>
    </row>
    <row r="65" ht="60" customHeight="1">
      <c r="A65" s="3" t="inlineStr">
        <is>
          <t>MK-NW-M-056</t>
        </is>
      </c>
      <c r="B65" s="3" t="inlineStr">
        <is>
          <t>Networth</t>
        </is>
      </c>
      <c r="C65" s="3" t="inlineStr">
        <is>
          <t>/bonds</t>
        </is>
      </c>
      <c r="D65" s="3" t="inlineStr">
        <is>
          <t>coupon</t>
        </is>
      </c>
      <c r="E65" s="3" t="inlineStr">
        <is>
          <t>coupon</t>
        </is>
      </c>
      <c r="F65" s="3" t="inlineStr">
        <is>
          <t>theBonds</t>
        </is>
      </c>
      <c r="G65" s="3" t="inlineStr">
        <is>
          <t>MK-NW-O-001</t>
        </is>
      </c>
      <c r="H65" s="3" t="inlineStr">
        <is>
          <t>its face value × its coupon rate</t>
        </is>
      </c>
      <c r="I65" s="3" t="inlineStr">
        <is>
          <t>its face value × its coupon rate</t>
        </is>
      </c>
      <c r="J65" s="3" t="inlineStr">
        <is>
          <t>MK-XS-I-001 account balance</t>
        </is>
      </c>
      <c r="K65" s="3" t="inlineStr">
        <is>
          <t>dollars, whole a year</t>
        </is>
      </c>
      <c r="L65" s="3" t="inlineStr">
        <is>
          <t>No coupon rate entered — the figure is left out rather than shown as $0.</t>
        </is>
      </c>
      <c r="M65" s="3" t="inlineStr">
        <is>
          <t>one bond</t>
        </is>
      </c>
      <c r="N65" s="3" t="inlineStr">
        <is>
          <t>a year</t>
        </is>
      </c>
      <c r="O6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5" s="3" t="inlineStr">
        <is>
          <t>Declared by MK-NW-O-001 theBonds</t>
        </is>
      </c>
      <c r="Q65" s="3" t="inlineStr">
        <is>
          <t>IT IS PAID ON FACE, NOT ON VALUE. A $25,000 bond worth $24,200 still pays 4.5% of $25,000 — computing it on the market value understates the income.</t>
        </is>
      </c>
      <c r="R65" s="3" t="inlineStr">
        <is>
          <t>IT IS PAID ON FACE, NOT ON VALUE. A $25,000 bond worth $24,200 still pays 4.5% of $25,000 — computing it on the market value understates the income.</t>
        </is>
      </c>
      <c r="S65" s="3" t="inlineStr"/>
      <c r="T65" s="3" t="inlineStr">
        <is>
          <t>IT IS PAID ON FACE, NOT ON VALUE. A $25,000 bond worth $24,200 still pays 4.5% of $25,000 — computing it on the market value understates the income.</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2026-10-19</t>
        </is>
      </c>
      <c r="AH65" s="3" t="inlineStr"/>
      <c r="AI65" s="3" t="inlineStr"/>
      <c r="AJ65"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MK-NW-O-001 theBonds</t>
        </is>
      </c>
      <c r="AN65" s="3" t="inlineStr">
        <is>
          <t>Two bonds on 28 Sep 2026: a $25,000-face Treasury paying 4.5%, maturing 30 Sep 2029, worth $24,200 today; and a $10,000 Ally CD paying 5.05%, maturing 15 Mar 2027, worth its $10,000.
GIVES: $505/year
(the test re-runs this through MK-NW-O-001 theBonds on every build)</t>
        </is>
      </c>
      <c r="AO65" s="3" t="inlineStr">
        <is>
          <t>NOTHING OPEN</t>
        </is>
      </c>
    </row>
    <row r="66" ht="60" customHeight="1">
      <c r="A66" s="3" t="inlineStr">
        <is>
          <t>MK-NW-M-057</t>
        </is>
      </c>
      <c r="B66" s="3" t="inlineStr">
        <is>
          <t>Networth</t>
        </is>
      </c>
      <c r="C66" s="3" t="inlineStr">
        <is>
          <t>/bonds</t>
        </is>
      </c>
      <c r="D66" s="3" t="inlineStr">
        <is>
          <t>yield</t>
        </is>
      </c>
      <c r="E66" s="3" t="inlineStr">
        <is>
          <t>yield</t>
        </is>
      </c>
      <c r="F66" s="3" t="inlineStr">
        <is>
          <t>theBonds</t>
        </is>
      </c>
      <c r="G66" s="3" t="inlineStr">
        <is>
          <t>MK-NW-O-001</t>
        </is>
      </c>
      <c r="H66" s="3" t="inlineStr">
        <is>
          <t>its coupon a year ÷ its value today, less accrued interest where that was entered</t>
        </is>
      </c>
      <c r="I66" s="3" t="inlineStr">
        <is>
          <t>its coupon a year ÷ its value today, less accrued interest where that was entered</t>
        </is>
      </c>
      <c r="J66" s="3" t="inlineStr">
        <is>
          <t>MK-XS-I-001 account balance
MK-XS-I-065 accrued interest</t>
        </is>
      </c>
      <c r="K66" s="3" t="inlineStr">
        <is>
          <t>a percentage, two decimals</t>
        </is>
      </c>
      <c r="L66" s="3" t="inlineStr">
        <is>
          <t>— when there is no coupon rate or no value to divide by.</t>
        </is>
      </c>
      <c r="M66" s="3" t="inlineStr">
        <is>
          <t>one bond</t>
        </is>
      </c>
      <c r="N66" s="3" t="inlineStr">
        <is>
          <t>as of today</t>
        </is>
      </c>
      <c r="O66"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6" s="3" t="inlineStr">
        <is>
          <t>Declared by MK-NW-O-001 theBonds</t>
        </is>
      </c>
      <c r="Q66" s="3" t="inlineStr">
        <is>
          <t>WHERE ACCRUED INTEREST WAS NOT ENTERED the row says so beneath the figures rather than quietly leaving it in the price (his ruling, DEC-0280).</t>
        </is>
      </c>
      <c r="R66" s="3" t="inlineStr">
        <is>
          <t>WHERE ACCRUED INTEREST WAS NOT ENTERED the row says so beneath the figures rather than quietly leaving it in the price (his ruling, DEC-0280).</t>
        </is>
      </c>
      <c r="S66" s="3" t="inlineStr"/>
      <c r="T66" s="3" t="inlineStr">
        <is>
          <t>WHERE ACCRUED INTEREST WAS NOT ENTERED the row says so beneath the figures rather than quietly leaving it in the price (his ruling, DEC-0280).</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2026-10-19</t>
        </is>
      </c>
      <c r="AH66" s="3" t="inlineStr"/>
      <c r="AI66" s="3" t="inlineStr"/>
      <c r="AJ66"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MK-NW-O-001 theBonds</t>
        </is>
      </c>
      <c r="AN66" s="3" t="inlineStr">
        <is>
          <t>Two bonds on 28 Sep 2026: a $25,000-face Treasury paying 4.5%, maturing 30 Sep 2029, worth $24,200 today; and a $10,000 Ally CD paying 5.05%, maturing 15 Mar 2027, worth its $10,000.
GIVES: 5.05%
(the test re-runs this through MK-NW-O-001 theBonds on every build)</t>
        </is>
      </c>
      <c r="AO66" s="3" t="inlineStr">
        <is>
          <t>NOTHING OPEN</t>
        </is>
      </c>
    </row>
    <row r="67" ht="60" customHeight="1">
      <c r="A67" s="3" t="inlineStr">
        <is>
          <t>MK-NW-M-058</t>
        </is>
      </c>
      <c r="B67" s="3" t="inlineStr">
        <is>
          <t>Networth</t>
        </is>
      </c>
      <c r="C67" s="3" t="inlineStr">
        <is>
          <t>/bonds</t>
        </is>
      </c>
      <c r="D67" s="3" t="inlineStr">
        <is>
          <t>Yield to maturity</t>
        </is>
      </c>
      <c r="E67" s="3" t="inlineStr">
        <is>
          <t>yield_to_maturity</t>
        </is>
      </c>
      <c r="F67" s="3" t="inlineStr">
        <is>
          <t>theBonds</t>
        </is>
      </c>
      <c r="G67" s="3" t="inlineStr">
        <is>
          <t>MK-NW-O-001</t>
        </is>
      </c>
      <c r="H67" s="3" t="inlineStr">
        <is>
          <t>the coupon a year plus (face − value) spread over the years left, ÷ the value today</t>
        </is>
      </c>
      <c r="I67" s="3" t="inlineStr">
        <is>
          <t>the coupon a year plus (face − value) spread over the years left, ÷ the value today</t>
        </is>
      </c>
      <c r="J67" s="3" t="inlineStr">
        <is>
          <t>MK-XS-I-001 account balance</t>
        </is>
      </c>
      <c r="K67" s="3" t="inlineStr">
        <is>
          <t>a percentage, two decimals</t>
        </is>
      </c>
      <c r="L67" s="3" t="inlineStr">
        <is>
          <t>— with no maturity date there are no years to spread the difference over.</t>
        </is>
      </c>
      <c r="M67" s="3" t="inlineStr">
        <is>
          <t>one bond</t>
        </is>
      </c>
      <c r="N67" s="3" t="inlineStr">
        <is>
          <t>as of today</t>
        </is>
      </c>
      <c r="O67"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7" s="3" t="inlineStr">
        <is>
          <t>Declared by MK-NW-O-001 theBonds</t>
        </is>
      </c>
      <c r="Q67"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R67"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S67" s="3" t="inlineStr"/>
      <c r="T67"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2026-10-19</t>
        </is>
      </c>
      <c r="AH67" s="3" t="inlineStr"/>
      <c r="AI67" s="3" t="inlineStr"/>
      <c r="AJ67"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MK-NW-O-001 theBonds</t>
        </is>
      </c>
      <c r="AN67" s="3" t="inlineStr">
        <is>
          <t>Two bonds on 28 Sep 2026: a $25,000-face Treasury paying 4.5%, maturing 30 Sep 2029, worth $24,200 today; and a $10,000 Ally CD paying 5.05%, maturing 15 Mar 2027, worth its $10,000.
GIVES: 5.05%
(the test re-runs this through MK-NW-O-001 theBonds on every build)</t>
        </is>
      </c>
      <c r="AO67" s="3" t="inlineStr">
        <is>
          <t>NOTHING OPEN</t>
        </is>
      </c>
    </row>
    <row r="68" ht="60" customHeight="1">
      <c r="A68" s="3" t="inlineStr">
        <is>
          <t>MK-NW-M-059</t>
        </is>
      </c>
      <c r="B68" s="3" t="inlineStr">
        <is>
          <t>Networth</t>
        </is>
      </c>
      <c r="C68" s="3" t="inlineStr">
        <is>
          <t>/holding-detail</t>
        </is>
      </c>
      <c r="D68" s="3" t="inlineStr">
        <is>
          <t>Change since purchase</t>
        </is>
      </c>
      <c r="E68" s="3" t="inlineStr">
        <is>
          <t>change_since_purchase</t>
        </is>
      </c>
      <c r="F68" s="3" t="inlineStr">
        <is>
          <t>theHolding</t>
        </is>
      </c>
      <c r="G68" s="3" t="inlineStr">
        <is>
          <t>MK-NW-O-006</t>
        </is>
      </c>
      <c r="H68" s="3" t="inlineStr">
        <is>
          <t>what it is worth today − what was paid for it</t>
        </is>
      </c>
      <c r="I68" s="3" t="inlineStr">
        <is>
          <t>what it is worth today − what was paid for it</t>
        </is>
      </c>
      <c r="J68" s="3" t="inlineStr">
        <is>
          <t>MK-XS-I-001 account balance</t>
        </is>
      </c>
      <c r="K68" s="3" t="inlineStr">
        <is>
          <t>dollars, whole</t>
        </is>
      </c>
      <c r="L68" s="3" t="inlineStr">
        <is>
          <t>No price — the row is left out, and the screen says what was paid instead.</t>
        </is>
      </c>
      <c r="M68" s="3" t="inlineStr">
        <is>
          <t>one holding</t>
        </is>
      </c>
      <c r="N68" s="3" t="inlineStr">
        <is>
          <t>as of today</t>
        </is>
      </c>
      <c r="O68"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68" s="3" t="inlineStr">
        <is>
          <t>Declared by MK-NW-O-006 theHolding</t>
        </is>
      </c>
      <c r="Q68"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8"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8" s="3" t="inlineStr"/>
      <c r="T68"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2026-10-19</t>
        </is>
      </c>
      <c r="AH68" s="3" t="inlineStr"/>
      <c r="AI68" s="3" t="inlineStr"/>
      <c r="AJ68"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MK-NW-O-006 theHolding</t>
        </is>
      </c>
      <c r="AN68"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8" s="3" t="inlineStr">
        <is>
          <t>NOTHING OPEN</t>
        </is>
      </c>
    </row>
    <row r="69" ht="60" customHeight="1">
      <c r="A69" s="3" t="inlineStr">
        <is>
          <t>MK-NW-M-060</t>
        </is>
      </c>
      <c r="B69" s="3" t="inlineStr">
        <is>
          <t>Networth</t>
        </is>
      </c>
      <c r="C69" s="3" t="inlineStr">
        <is>
          <t>/holding-detail</t>
        </is>
      </c>
      <c r="D69" s="3" t="inlineStr">
        <is>
          <t>up</t>
        </is>
      </c>
      <c r="E69" s="3" t="inlineStr">
        <is>
          <t>up</t>
        </is>
      </c>
      <c r="F69" s="3" t="inlineStr">
        <is>
          <t>theHolding</t>
        </is>
      </c>
      <c r="G69" s="3" t="inlineStr">
        <is>
          <t>MK-NW-O-006</t>
        </is>
      </c>
      <c r="H69" s="3" t="inlineStr">
        <is>
          <t>the last close − the close before it</t>
        </is>
      </c>
      <c r="I69" s="3" t="inlineStr">
        <is>
          <t>the last close − the close before it</t>
        </is>
      </c>
      <c r="J69" s="3" t="inlineStr">
        <is>
          <t>MK-XS-I-006 price fetched at</t>
        </is>
      </c>
      <c r="K69" s="3" t="inlineStr">
        <is>
          <t>dollars, two decimals</t>
        </is>
      </c>
      <c r="L69" s="3" t="inlineStr">
        <is>
          <t>Fewer than two closes known, or a previous close of zero — the line is not drawn.</t>
        </is>
      </c>
      <c r="M69" s="3" t="inlineStr">
        <is>
          <t>one holding</t>
        </is>
      </c>
      <c r="N69" s="3" t="inlineStr">
        <is>
          <t>as of today</t>
        </is>
      </c>
      <c r="O69"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69" s="3" t="inlineStr">
        <is>
          <t>Declared by MK-NW-O-006 theHolding</t>
        </is>
      </c>
      <c r="Q69"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69"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69" s="3" t="inlineStr"/>
      <c r="T69"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2026-10-19</t>
        </is>
      </c>
      <c r="AH69" s="3" t="inlineStr"/>
      <c r="AI69" s="3" t="inlineStr"/>
      <c r="AJ69"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MK-NW-O-006 theHolding</t>
        </is>
      </c>
      <c r="AN69"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69" s="3" t="inlineStr">
        <is>
          <t>NOTHING OPEN</t>
        </is>
      </c>
    </row>
    <row r="70" ht="60" customHeight="1">
      <c r="A70" s="3" t="inlineStr">
        <is>
          <t>MK-NW-M-061</t>
        </is>
      </c>
      <c r="B70" s="3" t="inlineStr">
        <is>
          <t>Networth</t>
        </is>
      </c>
      <c r="C70" s="3" t="inlineStr">
        <is>
          <t>/holding-detail · /invest</t>
        </is>
      </c>
      <c r="D70" s="3" t="inlineStr">
        <is>
          <t>sh @</t>
        </is>
      </c>
      <c r="E70" s="3" t="inlineStr">
        <is>
          <t>sh</t>
        </is>
      </c>
      <c r="F70" s="3" t="inlineStr">
        <is>
          <t>theHolding</t>
        </is>
      </c>
      <c r="G70" s="3" t="inlineStr">
        <is>
          <t>MK-NW-O-006</t>
        </is>
      </c>
      <c r="H70" s="3" t="inlineStr">
        <is>
          <t>the cost per share as recorded on that purchase</t>
        </is>
      </c>
      <c r="I70" s="3" t="inlineStr">
        <is>
          <t>the cost per share as recorded on that purchase</t>
        </is>
      </c>
      <c r="J70" s="3" t="inlineStr">
        <is>
          <t>MK-XS-I-001 account balance</t>
        </is>
      </c>
      <c r="K70" s="3" t="inlineStr">
        <is>
          <t>dollars, two decimals</t>
        </is>
      </c>
      <c r="L70" s="3" t="inlineStr">
        <is>
          <t>No purchases recorded — the section is not drawn.</t>
        </is>
      </c>
      <c r="M70" s="3" t="inlineStr">
        <is>
          <t>one purchase</t>
        </is>
      </c>
      <c r="N70" s="3" t="inlineStr">
        <is>
          <t>as of today</t>
        </is>
      </c>
      <c r="O70"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70" s="3" t="inlineStr">
        <is>
          <t>Declared by MK-NW-O-006 theHolding</t>
        </is>
      </c>
      <c r="Q70" s="3" t="inlineStr">
        <is>
          <t>EACH PURCHASE KEEPS ITS OWN PRICE. They are what the average above them is made of, so a person can check the average rather than having to trust it.</t>
        </is>
      </c>
      <c r="R70" s="3" t="inlineStr">
        <is>
          <t>EACH PURCHASE KEEPS ITS OWN PRICE. They are what the average above them is made of, so a person can check the average rather than having to trust it.</t>
        </is>
      </c>
      <c r="S70" s="3" t="inlineStr"/>
      <c r="T70" s="3" t="inlineStr">
        <is>
          <t>EACH PURCHASE KEEPS ITS OWN PRICE. They are what the average above them is made of, so a person can check the average rather than having to trust it.</t>
        </is>
      </c>
      <c r="U70" s="3" t="inlineStr"/>
      <c r="V70" s="3" t="inlineStr"/>
      <c r="W70" s="3" t="inlineStr"/>
      <c r="X70" s="3" t="inlineStr"/>
      <c r="Y70" s="3" t="inlineStr"/>
      <c r="Z70" s="3" t="inlineStr">
        <is>
          <t>DECLARED IN THE CODE (rule 11) — printed from the door, not typed. RULED 2026-10-01</t>
        </is>
      </c>
      <c r="AA70" s="3" t="inlineStr"/>
      <c r="AB70" s="3" t="inlineStr"/>
      <c r="AC70" s="3" t="inlineStr"/>
      <c r="AD70" s="3" t="inlineStr"/>
      <c r="AE70" s="3" t="inlineStr"/>
      <c r="AF70" s="3" t="inlineStr">
        <is>
          <t>ACTIVE</t>
        </is>
      </c>
      <c r="AG70" s="3" t="inlineStr">
        <is>
          <t>2026-10-19</t>
        </is>
      </c>
      <c r="AH70" s="3" t="inlineStr"/>
      <c r="AI70" s="3" t="inlineStr"/>
      <c r="AJ70"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2026-10-01; the figure, its formula, inputs and refusal live in MK-NW-O-006 theHolding</t>
        </is>
      </c>
      <c r="AN70"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70" s="3" t="inlineStr">
        <is>
          <t>NOTHING OPEN</t>
        </is>
      </c>
    </row>
    <row r="71" ht="60" customHeight="1">
      <c r="A71" s="3" t="inlineStr">
        <is>
          <t>MK-NW-M-062</t>
        </is>
      </c>
      <c r="B71" s="3" t="inlineStr">
        <is>
          <t>Networth</t>
        </is>
      </c>
      <c r="C71" s="3" t="inlineStr">
        <is>
          <t>/account-detail · /invest</t>
        </is>
      </c>
      <c r="D71" s="3" t="inlineStr">
        <is>
          <t>what one record moved</t>
        </is>
      </c>
      <c r="E71" s="3" t="inlineStr">
        <is>
          <t>what_one_record_moved</t>
        </is>
      </c>
      <c r="F71" s="3" t="inlineStr">
        <is>
          <t>theAccount</t>
        </is>
      </c>
      <c r="G71" s="3" t="inlineStr">
        <is>
          <t>MK-NW-O-002</t>
        </is>
      </c>
      <c r="H71" s="3" t="inlineStr">
        <is>
          <t>the amount on the record, positive where it came in and negative where it went out</t>
        </is>
      </c>
      <c r="I71" s="3" t="inlineStr">
        <is>
          <t>the amount on the record, positive where it came in and negative where it went out</t>
        </is>
      </c>
      <c r="J71" s="3" t="inlineStr">
        <is>
          <t>MK-NW-I-004 the activity records</t>
        </is>
      </c>
      <c r="K71" s="3" t="inlineStr">
        <is>
          <t>dollars, whole</t>
        </is>
      </c>
      <c r="L71" s="3" t="inlineStr">
        <is>
          <t>No records yet — the section keeps its heading and says so.</t>
        </is>
      </c>
      <c r="M71" s="3" t="inlineStr">
        <is>
          <t>one record</t>
        </is>
      </c>
      <c r="N71" s="3" t="inlineStr">
        <is>
          <t>as of today</t>
        </is>
      </c>
      <c r="O71"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71" s="3" t="inlineStr">
        <is>
          <t>Declared by MK-NW-O-002 theAccount</t>
        </is>
      </c>
      <c r="Q71"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71"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71" s="3" t="inlineStr"/>
      <c r="T71"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71" s="3" t="inlineStr"/>
      <c r="V71" s="3" t="inlineStr"/>
      <c r="W71" s="3" t="inlineStr"/>
      <c r="X71" s="3" t="inlineStr"/>
      <c r="Y71" s="3" t="inlineStr"/>
      <c r="Z71" s="3" t="inlineStr">
        <is>
          <t>DECLARED IN THE CODE (rule 11) — printed from the door, not typed. RULED 2026-10-01</t>
        </is>
      </c>
      <c r="AA71" s="3" t="inlineStr"/>
      <c r="AB71" s="3" t="inlineStr"/>
      <c r="AC71" s="3" t="inlineStr"/>
      <c r="AD71" s="3" t="inlineStr"/>
      <c r="AE71" s="3" t="inlineStr"/>
      <c r="AF71" s="3" t="inlineStr">
        <is>
          <t>ACTIVE</t>
        </is>
      </c>
      <c r="AG71" s="3" t="inlineStr">
        <is>
          <t>2026-10-19</t>
        </is>
      </c>
      <c r="AH71" s="3" t="inlineStr"/>
      <c r="AI71" s="3" t="inlineStr"/>
      <c r="AJ71"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2026-10-01; the figure, its formula, inputs and refusal live in MK-NW-O-002 theAccount</t>
        </is>
      </c>
      <c r="AN71"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71" s="3" t="inlineStr">
        <is>
          <t>NOTHING OPEN</t>
        </is>
      </c>
    </row>
    <row r="72" ht="60" customHeight="1">
      <c r="A72" s="3" t="inlineStr">
        <is>
          <t>MK-NW-M-063</t>
        </is>
      </c>
      <c r="B72" s="3" t="inlineStr">
        <is>
          <t>Networth</t>
        </is>
      </c>
      <c r="C72" s="3" t="inlineStr">
        <is>
          <t>/analytics</t>
        </is>
      </c>
      <c r="D72" s="3" t="inlineStr">
        <is>
          <t>what is inside this institution</t>
        </is>
      </c>
      <c r="E72" s="3" t="inlineStr">
        <is>
          <t>what_is_inside_this_institution</t>
        </is>
      </c>
      <c r="F72" s="3" t="inlineStr">
        <is>
          <t>theNetWorth</t>
        </is>
      </c>
      <c r="G72" s="3" t="inlineStr">
        <is>
          <t>MK-NW-O-003</t>
        </is>
      </c>
      <c r="H72" s="3" t="inlineStr">
        <is>
          <t>the accounts at this institution, added up within each kind</t>
        </is>
      </c>
      <c r="I72" s="3" t="inlineStr">
        <is>
          <t>the accounts at this institution, added up within each kind</t>
        </is>
      </c>
      <c r="J72" s="3" t="inlineStr">
        <is>
          <t>MK-XS-I-001 account balance</t>
        </is>
      </c>
      <c r="K72" s="3" t="inlineStr">
        <is>
          <t>money-compact</t>
        </is>
      </c>
      <c r="L72" s="3" t="inlineStr">
        <is>
          <t>One kind only — the line is left out, because a roll-up of one thing is just the thing.</t>
        </is>
      </c>
      <c r="M72" s="3" t="inlineStr">
        <is>
          <t>one class in one institution</t>
        </is>
      </c>
      <c r="N72" s="3" t="inlineStr">
        <is>
          <t>as of today</t>
        </is>
      </c>
      <c r="O7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72" s="3" t="inlineStr">
        <is>
          <t>Declared by MK-NW-O-003 theNetWorth</t>
        </is>
      </c>
      <c r="Q72"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72"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72" s="3" t="inlineStr"/>
      <c r="T72"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72" s="3" t="inlineStr"/>
      <c r="V72" s="3" t="inlineStr"/>
      <c r="W72" s="3" t="inlineStr"/>
      <c r="X72" s="3" t="inlineStr"/>
      <c r="Y72" s="3" t="inlineStr"/>
      <c r="Z72" s="3" t="inlineStr">
        <is>
          <t>DECLARED IN THE CODE (rule 11) — printed from the door, not typed. RULED 2026-10-01</t>
        </is>
      </c>
      <c r="AA72" s="3" t="inlineStr"/>
      <c r="AB72" s="3" t="inlineStr"/>
      <c r="AC72" s="3" t="inlineStr"/>
      <c r="AD72" s="3" t="inlineStr"/>
      <c r="AE72" s="3" t="inlineStr"/>
      <c r="AF72" s="3" t="inlineStr">
        <is>
          <t>ACTIVE</t>
        </is>
      </c>
      <c r="AG72" s="3" t="inlineStr">
        <is>
          <t>2026-10-19</t>
        </is>
      </c>
      <c r="AH72" s="3" t="inlineStr"/>
      <c r="AI72" s="3" t="inlineStr"/>
      <c r="AJ72"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2026-10-01; the figure, its formula, inputs and refusal live in MK-NW-O-003 theNetWorth</t>
        </is>
      </c>
      <c r="AN7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$18K
(the test re-runs this through MK-NW-O-003 theNetWorth on every build)</t>
        </is>
      </c>
      <c r="AO72" s="3" t="inlineStr">
        <is>
          <t>NOTHING OPEN</t>
        </is>
      </c>
    </row>
    <row r="73" ht="60" customHeight="1">
      <c r="A73" s="3" t="inlineStr">
        <is>
          <t>MK-NW-M-064</t>
        </is>
      </c>
      <c r="B73" s="3" t="inlineStr">
        <is>
          <t>Networth</t>
        </is>
      </c>
      <c r="C73" s="3" t="inlineStr">
        <is>
          <t>/analytics · /insights · /stress-test · /jobsafety</t>
        </is>
      </c>
      <c r="D73" s="3" t="inlineStr">
        <is>
          <t>rent from your property, which keeps arriving</t>
        </is>
      </c>
      <c r="E73" s="3" t="inlineStr">
        <is>
          <t>rent_from_your_property_which_keeps_arri</t>
        </is>
      </c>
      <c r="F73" s="3" t="inlineStr">
        <is>
          <t>theEmergencyFund</t>
        </is>
      </c>
      <c r="G73" s="3" t="inlineStr">
        <is>
          <t>MK-NW-O-004</t>
        </is>
      </c>
      <c r="H73" s="3" t="inlineStr">
        <is>
          <t>the Rent row of your Income summary: rent less what the property costs to run, less the calculated tax when the tax rate is calculated</t>
        </is>
      </c>
      <c r="I73" s="3" t="inlineStr">
        <is>
          <t>the Rent row of your Income summary: rent less what the property costs to run, less the calculated tax when the tax rate is calculated</t>
        </is>
      </c>
      <c r="J73" s="3" t="inlineStr">
        <is>
          <t>MK-CF-I-007 rental income</t>
        </is>
      </c>
      <c r="K73" s="3" t="inlineStr">
        <is>
          <t>dollars, whole a month</t>
        </is>
      </c>
      <c r="L73" s="3" t="inlineStr">
        <is>
          <t>No rental entered — the line does not appear at all.</t>
        </is>
      </c>
      <c r="M73" s="3" t="inlineStr">
        <is>
          <t>the household</t>
        </is>
      </c>
      <c r="N73" s="3" t="inlineStr">
        <is>
          <t>a month</t>
        </is>
      </c>
      <c r="O73"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73" s="3" t="inlineStr">
        <is>
          <t>Declared by MK-NW-O-004 theEmergencyFund</t>
        </is>
      </c>
      <c r="Q73" s="3" t="inlineStr">
        <is>
          <t>FOUNDER 2026-10-04: "add it to the cash as losing job does not mean loosing rental income too."
It is the same figure as the Income summary's Rent row, read from that function, so the two screens cannot show two rents.</t>
        </is>
      </c>
      <c r="R73" s="3" t="inlineStr">
        <is>
          <t>FOUNDER 2026-10-04: "add it to the cash as losing job does not mean loosing rental income too."
It is the same figure as the Income summary's Rent row, read from that function, so the two screens cannot show two rents.</t>
        </is>
      </c>
      <c r="S73" s="3" t="inlineStr"/>
      <c r="T73" s="3" t="inlineStr">
        <is>
          <t>FOUNDER 2026-10-04: "add it to the cash as losing job does not mean loosing rental income too."
It is the same figure as the Income summary's Rent row, read from that function, so the two screens cannot show two rents.</t>
        </is>
      </c>
      <c r="U73" s="3" t="inlineStr"/>
      <c r="V73" s="3" t="inlineStr"/>
      <c r="W73" s="3" t="inlineStr"/>
      <c r="X73" s="3" t="inlineStr"/>
      <c r="Y73" s="3" t="inlineStr"/>
      <c r="Z73" s="3" t="inlineStr">
        <is>
          <t>DECLARED IN THE CODE (rule 11) — printed from the door, not typed. RULED 2026-10-04</t>
        </is>
      </c>
      <c r="AA73" s="3" t="inlineStr"/>
      <c r="AB73" s="3" t="inlineStr"/>
      <c r="AC73" s="3" t="inlineStr"/>
      <c r="AD73" s="3" t="inlineStr"/>
      <c r="AE73" s="3" t="inlineStr"/>
      <c r="AF73" s="3" t="inlineStr">
        <is>
          <t>ACTIVE</t>
        </is>
      </c>
      <c r="AG73" s="3" t="inlineStr">
        <is>
          <t>2026-10-19</t>
        </is>
      </c>
      <c r="AH73" s="3" t="inlineStr"/>
      <c r="AI73" s="3" t="inlineStr"/>
      <c r="AJ73"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2026-10-04; the figure, its formula, inputs and refusal live in MK-NW-O-004 theEmergencyFund</t>
        </is>
      </c>
      <c r="AN7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And a rental house: $2,000/month of rent, $500/month to run, less $190/year of calculated tax on it, which is $15.83/month.
GIVES: $1,484/month
(the test re-runs this through MK-NW-O-004 theEmergencyFund on every build)</t>
        </is>
      </c>
      <c r="AO73" s="3" t="inlineStr">
        <is>
          <t>NOTHING OPEN</t>
        </is>
      </c>
    </row>
  </sheetData>
  <autoFilter ref="A1:AO7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Performance</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/bonds</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/holding-detail</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/itemize</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Performance</t>
        </is>
      </c>
      <c r="C7" s="3" t="inlineStr">
        <is>
          <t>/look-back</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60" customHeight="1">
      <c r="A8" s="3" t="inlineStr">
        <is>
          <t>MK-PF-M-001</t>
        </is>
      </c>
      <c r="B8" s="3" t="inlineStr">
        <is>
          <t>Performance</t>
        </is>
      </c>
      <c r="C8" s="3" t="inlineStr">
        <is>
          <t>/invest</t>
        </is>
      </c>
      <c r="D8" s="3" t="inlineStr">
        <is>
          <t>Ending value</t>
        </is>
      </c>
      <c r="E8" s="3" t="inlineStr">
        <is>
          <t>ending_value</t>
        </is>
      </c>
      <c r="F8" s="3" t="inlineStr">
        <is>
          <t>thePerformance</t>
        </is>
      </c>
      <c r="G8" s="3" t="inlineStr">
        <is>
          <t>MK-ST-F-031</t>
        </is>
      </c>
      <c r="H8" s="3" t="inlineStr">
        <is>
          <t>ending value = Σ over the accounts in scope of (snapshot value on the end date)</t>
        </is>
      </c>
      <c r="I8" s="3" t="inlineStr">
        <is>
          <t>the sum of every investment account’s value today</t>
        </is>
      </c>
      <c r="J8" s="3" t="inlineStr">
        <is>
          <t>MK-NW-I-001 your accounts
MK-NW-I-005 the price feed</t>
        </is>
      </c>
      <c r="K8" s="3" t="inlineStr">
        <is>
          <t>dollars, whole</t>
        </is>
      </c>
      <c r="L8" s="3" t="inlineStr">
        <is>
          <t>Nothing invested yet.</t>
        </is>
      </c>
      <c r="M8" s="3" t="inlineStr">
        <is>
          <t>one figure per household</t>
        </is>
      </c>
      <c r="N8" s="3" t="inlineStr">
        <is>
          <t>as of today</t>
        </is>
      </c>
      <c r="O8" s="3" t="inlineStr">
        <is>
          <t>1. MK-ST-F-083 (accountValuesOn) → Map&lt;string, number&gt;
2. MK-ST-F-056 (has) → NOT DECLARED — the code does not say what it gives back
3. MK-ST-F-033 (onOrBefore) → T | null</t>
        </is>
      </c>
      <c r="P8" s="3" t="inlineStr">
        <is>
          <t>Declared by MK-NW-O-008 thePerformance</t>
        </is>
      </c>
      <c r="Q8" s="3" t="inlineStr">
        <is>
          <t>NONE RECORDED — the declaration names none.</t>
        </is>
      </c>
      <c r="R8" s="3" t="inlineStr">
        <is>
          <t>NONE RECORDED — the declaration names none.</t>
        </is>
      </c>
      <c r="S8" s="3" t="inlineStr"/>
      <c r="T8" s="3" t="inlineStr">
        <is>
          <t>NONE RECORDED — the declaration names none.</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2026-10-19</t>
        </is>
      </c>
      <c r="AH8" s="3" t="inlineStr"/>
      <c r="AI8" s="3" t="inlineStr"/>
      <c r="AJ8"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$38,400 at the close of 1 Apr — the day $6,000 was paid in — and $46,600 on 28 Sep 2026, with $825 of dividends received.
GIVES: $46,600
(the test re-runs this through MK-NW-O-008 thePerformance on every build)</t>
        </is>
      </c>
      <c r="AO8" s="7" t="inlineStr">
        <is>
          <t>RULED, NOT CODED (Q-PF-1 — one question, one function)</t>
        </is>
      </c>
    </row>
    <row r="9" ht="60" customHeight="1">
      <c r="A9" s="3" t="inlineStr">
        <is>
          <t>MK-PF-M-002</t>
        </is>
      </c>
      <c r="B9" s="3" t="inlineStr">
        <is>
          <t>Performance</t>
        </is>
      </c>
      <c r="C9" s="3" t="inlineStr">
        <is>
          <t>/invest</t>
        </is>
      </c>
      <c r="D9" s="3" t="inlineStr">
        <is>
          <t>Wealth generated</t>
        </is>
      </c>
      <c r="E9" s="3" t="inlineStr">
        <is>
          <t>wealth_generated</t>
        </is>
      </c>
      <c r="F9" s="3" t="inlineStr">
        <is>
          <t>thePerformance</t>
        </is>
      </c>
      <c r="G9" s="3" t="inlineStr">
        <is>
          <t>MK-NW-O-008</t>
        </is>
      </c>
      <c r="H9" s="3" t="inlineStr">
        <is>
          <t>wealth generated = ending value − beginning value − net money in  (money in = deposits and transfers in − withdrawals and transfers out over the window)</t>
        </is>
      </c>
      <c r="I9" s="3" t="inlineStr">
        <is>
          <t>ending − beginning − what you put in + what you took out</t>
        </is>
      </c>
      <c r="J9" s="3" t="inlineStr">
        <is>
          <t>MK-NW-I-001 your accounts
MK-NW-I-004 the activity records
MK-NW-I-003 the recorded history</t>
        </is>
      </c>
      <c r="K9" s="3" t="inlineStr">
        <is>
          <t>dollars, whole</t>
        </is>
      </c>
      <c r="L9" s="3" t="inlineStr">
        <is>
          <t>The record cannot reach the start of this window, so there is nothing honest to subtract from.</t>
        </is>
      </c>
      <c r="M9" s="3" t="inlineStr">
        <is>
          <t>one figure per household</t>
        </is>
      </c>
      <c r="N9" s="3" t="inlineStr">
        <is>
          <t>as of today</t>
        </is>
      </c>
      <c r="O9"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MK-CF-F-132 (map) → NOT DECLARED — the code does not say what it gives back
15. MK-ST-F-082 (movementsOf) → NOT DECLARED — the code does not say what it gives back
16. MK-NW-F-130 (notIncludedSentence) → string
17. MK-PF-F-010 (periodReturn) → number | null
18. MK-ST-F-013 (personalFlowTotals) → PersonalFlowTotals
19. MK-NW-F-091 (pricedGainOf) → number | null
20. MK-ST-F-030 (record) → SnapshotDay[]
21. MK-ST-F-081 (timeWeightedReturn) → TimeWeightedVerdict
22. MK-ST-F-021 (toNumber) → number | null
23. MK-ST-F-031 (valueOn) → number | null
24. MK-ST-F-060 (verdict) → Reconciliation
25. MK-NW-F-105 (whyNoReturn) → string
26. MK-ST-F-038 (windowBounds) → WindowBounds
27. MK-NW-F-090 (windowStartKey) → string | null
28. MK-PF-F-042 (windowTotal) → number | null</t>
        </is>
      </c>
      <c r="P9" s="3" t="inlineStr">
        <is>
          <t>Declared by MK-NW-O-008 thePerformance</t>
        </is>
      </c>
      <c r="Q9" s="3" t="inlineStr">
        <is>
          <t>ONE MEANING OF RETURN (B-97, 2026-09-25): dividends and interest are part of this, so the return beside it counts them too.</t>
        </is>
      </c>
      <c r="R9" s="3" t="inlineStr">
        <is>
          <t>ONE MEANING OF RETURN (B-97, 2026-09-25): dividends and interest are part of this, so the return beside it counts them too.</t>
        </is>
      </c>
      <c r="S9" s="3" t="inlineStr"/>
      <c r="T9" s="3" t="inlineStr">
        <is>
          <t>ONE MEANING OF RETURN (B-97, 2026-09-25): dividends and interest are part of this, so the return beside it counts them too.</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2026-10-19</t>
        </is>
      </c>
      <c r="AH9" s="3" t="inlineStr"/>
      <c r="AI9" s="3" t="inlineStr"/>
      <c r="AJ9"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9" s="7" t="inlineStr">
        <is>
          <t>RULED, NOT CODED (Q-PF-1 — one question, one function)</t>
        </is>
      </c>
    </row>
    <row r="10" ht="60" customHeight="1">
      <c r="A10" s="3" t="inlineStr">
        <is>
          <t>MK-PF-M-003</t>
        </is>
      </c>
      <c r="B10" s="3" t="inlineStr">
        <is>
          <t>Performance</t>
        </is>
      </c>
      <c r="C10" s="3" t="inlineStr">
        <is>
          <t>/invest</t>
        </is>
      </c>
      <c r="D10" s="3" t="inlineStr">
        <is>
          <t>HOW $X BECAME $Y · ALL ACCOUNTS</t>
        </is>
      </c>
      <c r="E10" s="3" t="inlineStr">
        <is>
          <t>how_x_became_y__all_accounts</t>
        </is>
      </c>
      <c r="F10" s="3" t="inlineStr">
        <is>
          <t>thePerformance</t>
        </is>
      </c>
      <c r="G10" s="3" t="inlineStr">
        <is>
          <t>MK-NW-O-008</t>
        </is>
      </c>
      <c r="H10" s="3" t="inlineStr">
        <is>
          <t>beginning + contributions − withdrawals + wealth generated = ending, by construction</t>
        </is>
      </c>
      <c r="I10" s="3" t="inlineStr">
        <is>
          <t>beginning + contributions − withdrawals + wealth generated = ending, by construction</t>
        </is>
      </c>
      <c r="J10" s="3" t="inlineStr">
        <is>
          <t>MK-NW-I-003 the recorded history
MK-NW-I-004 the activity records</t>
        </is>
      </c>
      <c r="K10" s="3" t="inlineStr">
        <is>
          <t>a sentence</t>
        </is>
      </c>
      <c r="L10" s="3" t="inlineStr">
        <is>
          <t>No beginning to walk from.</t>
        </is>
      </c>
      <c r="M10" s="3" t="inlineStr">
        <is>
          <t>one figure per household</t>
        </is>
      </c>
      <c r="N10" s="3" t="inlineStr">
        <is>
          <t>as of today</t>
        </is>
      </c>
      <c r="O10"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MK-CF-F-132 (map) → NOT DECLARED — the code does not say what it gives back
15. MK-ST-F-082 (movementsOf) → NOT DECLARED — the code does not say what it gives back
16. MK-NW-F-130 (notIncludedSentence) → string
17. MK-PF-F-010 (periodReturn) → number | null
18. MK-ST-F-013 (personalFlowTotals) → PersonalFlowTotals
19. MK-NW-F-091 (pricedGainOf) → number | null
20. MK-ST-F-030 (record) → SnapshotDay[]
21. MK-ST-F-081 (timeWeightedReturn) → TimeWeightedVerdict
22. MK-ST-F-021 (toNumber) → number | null
23. MK-ST-F-031 (valueOn) → number | null
24. MK-ST-F-060 (verdict) → Reconciliation
25. MK-NW-F-105 (whyNoReturn) → string
26. MK-ST-F-038 (windowBounds) → WindowBounds
27. MK-NW-F-090 (windowStartKey) → string | null
28. MK-PF-F-042 (windowTotal) → number | null</t>
        </is>
      </c>
      <c r="P10" s="3" t="inlineStr">
        <is>
          <t>Declared by MK-NW-O-008 thePerformance</t>
        </is>
      </c>
      <c r="Q10" s="3" t="inlineStr">
        <is>
          <t>Whatever the records cannot explain lands in the change-in-value line rather than being silently dropped.</t>
        </is>
      </c>
      <c r="R10" s="3" t="inlineStr">
        <is>
          <t>Whatever the records cannot explain lands in the change-in-value line rather than being silently dropped.</t>
        </is>
      </c>
      <c r="S10" s="3" t="inlineStr"/>
      <c r="T10" s="3" t="inlineStr">
        <is>
          <t>Whatever the records cannot explain lands in the change-in-value line rather than being silently dropped.</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2026-10-19</t>
        </is>
      </c>
      <c r="AH10" s="3" t="inlineStr"/>
      <c r="AI10" s="3" t="inlineStr"/>
      <c r="AJ10"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$38,400 at the close of 1 Apr — the day $6,000 was paid in — and $46,600 on 28 Sep 2026, with $825 of dividends received.
GIVES: HOW $30,000 BECAME $46,600 · ALL ACCOUNTS
(the test re-runs this through MK-NW-O-008 thePerformance on every build)</t>
        </is>
      </c>
      <c r="AO10" s="7" t="inlineStr">
        <is>
          <t>RULED, NOT CODED (Q-PF-1 — one question, one function)</t>
        </is>
      </c>
    </row>
    <row r="11" ht="60" customHeight="1">
      <c r="A11" s="3" t="inlineStr">
        <is>
          <t>MK-PF-M-004</t>
        </is>
      </c>
      <c r="B11" s="3" t="inlineStr">
        <is>
          <t>Performance</t>
        </is>
      </c>
      <c r="C11" s="3" t="inlineStr">
        <is>
          <t>/invest · /account-detail</t>
        </is>
      </c>
      <c r="D11" s="3" t="inlineStr">
        <is>
          <t>Ending market value (per account)</t>
        </is>
      </c>
      <c r="E11" s="3" t="inlineStr">
        <is>
          <t>ending_market_value_per_account</t>
        </is>
      </c>
      <c r="F11" s="3" t="inlineStr">
        <is>
          <t>thePerformance</t>
        </is>
      </c>
      <c r="G11" s="3" t="inlineStr">
        <is>
          <t>MK-ST-F-031</t>
        </is>
      </c>
      <c r="H11" s="3" t="inlineStr">
        <is>
          <t>ending market value (this account) = snapshot value of the account on the end date</t>
        </is>
      </c>
      <c r="I11" s="3" t="inlineStr">
        <is>
          <t>the sum of that account’s holdings, at today’s prices, plus its cash</t>
        </is>
      </c>
      <c r="J11" s="3" t="inlineStr">
        <is>
          <t>MK-NW-I-001 your accounts
MK-NW-I-005 the price feed</t>
        </is>
      </c>
      <c r="K11" s="3" t="inlineStr">
        <is>
          <t>dollars, whole</t>
        </is>
      </c>
      <c r="L11" s="3" t="inlineStr">
        <is>
          <t>Nothing in it.</t>
        </is>
      </c>
      <c r="M11" s="3" t="inlineStr">
        <is>
          <t>one account</t>
        </is>
      </c>
      <c r="N11" s="3" t="inlineStr">
        <is>
          <t>as of today</t>
        </is>
      </c>
      <c r="O11" s="3" t="inlineStr">
        <is>
          <t>1. MK-ST-F-083 (accountValuesOn) → Map&lt;string, number&gt;
2. MK-ST-F-056 (has) → NOT DECLARED — the code does not say what it gives back
3. MK-ST-F-033 (onOrBefore) → T | null</t>
        </is>
      </c>
      <c r="P11" s="3" t="inlineStr">
        <is>
          <t>Declared by MK-NW-O-008 thePerformance</t>
        </is>
      </c>
      <c r="Q11" s="3" t="inlineStr">
        <is>
          <t>NONE RECORDED — the declaration names none.</t>
        </is>
      </c>
      <c r="R11" s="3" t="inlineStr">
        <is>
          <t>NONE RECORDED — the declaration names none.</t>
        </is>
      </c>
      <c r="S11" s="3" t="inlineStr"/>
      <c r="T11" s="3" t="inlineStr">
        <is>
          <t>NONE RECORDED — the declaration names none.</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c r="AF11" s="3" t="inlineStr">
        <is>
          <t>ACTIVE</t>
        </is>
      </c>
      <c r="AG11" s="3" t="inlineStr">
        <is>
          <t>2026-10-19</t>
        </is>
      </c>
      <c r="AH11" s="3" t="inlineStr"/>
      <c r="AI11" s="3" t="inlineStr"/>
      <c r="AJ11"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$38,400 at the close of 1 Apr — the day $6,000 was paid in — and $46,600 on 28 Sep 2026, with $825 of dividends received. Asked of that one account.
GIVES: $46,600
(the test re-runs this through MK-NW-O-008 thePerformance on every build)</t>
        </is>
      </c>
      <c r="AO11" s="7" t="inlineStr">
        <is>
          <t>RULED, NOT CODED (Q-PF-1 — one question, one function)</t>
        </is>
      </c>
    </row>
    <row r="12" ht="60" customHeight="1">
      <c r="A12" s="3" t="inlineStr">
        <is>
          <t>MK-PF-M-005</t>
        </is>
      </c>
      <c r="B12" s="3" t="inlineStr">
        <is>
          <t>Performance</t>
        </is>
      </c>
      <c r="C12" s="3" t="inlineStr">
        <is>
          <t>/invest</t>
        </is>
      </c>
      <c r="D12" s="3" t="inlineStr">
        <is>
          <t>each account and its ending value</t>
        </is>
      </c>
      <c r="E12" s="3" t="inlineStr">
        <is>
          <t>each_account_and_its_ending_value</t>
        </is>
      </c>
      <c r="F12" s="3" t="inlineStr">
        <is>
          <t>thePerformance</t>
        </is>
      </c>
      <c r="G12" s="3" t="inlineStr">
        <is>
          <t>MK-NW-O-008</t>
        </is>
      </c>
      <c r="H12" s="3" t="inlineStr">
        <is>
          <t>each investment account’s value, named by the account</t>
        </is>
      </c>
      <c r="I12" s="3" t="inlineStr">
        <is>
          <t>each investment account’s value, named by the account</t>
        </is>
      </c>
      <c r="J12" s="3" t="inlineStr">
        <is>
          <t>MK-NW-I-001 your accounts</t>
        </is>
      </c>
      <c r="K12" s="3" t="inlineStr">
        <is>
          <t>dollars, whole</t>
        </is>
      </c>
      <c r="L12" s="3" t="inlineStr">
        <is>
          <t>$0, and under it the one line "Nothing entered yet. Add your accounts ›" (mock approved 2026-09-12). A real zero that was entered shows a plain $0 with no line.</t>
        </is>
      </c>
      <c r="M12" s="3" t="inlineStr">
        <is>
          <t>one account</t>
        </is>
      </c>
      <c r="N12" s="3" t="inlineStr">
        <is>
          <t>as of today</t>
        </is>
      </c>
      <c r="O12"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MK-CF-F-132 (map) → NOT DECLARED — the code does not say what it gives back
15. MK-ST-F-082 (movementsOf) → NOT DECLARED — the code does not say what it gives back
16. MK-NW-F-130 (notIncludedSentence) → string
17. MK-PF-F-010 (periodReturn) → number | null
18. MK-ST-F-013 (personalFlowTotals) → PersonalFlowTotals
19. MK-NW-F-091 (pricedGainOf) → number | null
20. MK-ST-F-030 (record) → SnapshotDay[]
21. MK-ST-F-081 (timeWeightedReturn) → TimeWeightedVerdict
22. MK-ST-F-021 (toNumber) → number | null
23. MK-ST-F-031 (valueOn) → number | null
24. MK-ST-F-060 (verdict) → Reconciliation
25. MK-NW-F-105 (whyNoReturn) → string
26. MK-ST-F-038 (windowBounds) → WindowBounds
27. MK-NW-F-090 (windowStartKey) → string | null
28. MK-PF-F-042 (windowTotal) → number | null</t>
        </is>
      </c>
      <c r="P12" s="3" t="inlineStr">
        <is>
          <t>Declared by MK-NW-O-008 thePerformance</t>
        </is>
      </c>
      <c r="Q12" s="3" t="inlineStr">
        <is>
          <t>Named by ACCOUNT, not by institution — two accounts at one broker must be tellable apart (founder screenshot, 2026-08-17).</t>
        </is>
      </c>
      <c r="R12" s="3" t="inlineStr">
        <is>
          <t>Named by ACCOUNT, not by institution — two accounts at one broker must be tellable apart (founder screenshot, 2026-08-17).</t>
        </is>
      </c>
      <c r="S12" s="3" t="inlineStr"/>
      <c r="T12" s="3" t="inlineStr">
        <is>
          <t>Named by ACCOUNT, not by institution — two accounts at one broker must be tellable apart (founder screenshot, 2026-08-17).</t>
        </is>
      </c>
      <c r="U12" s="3" t="inlineStr"/>
      <c r="V12" s="3" t="inlineStr"/>
      <c r="W12" s="3" t="inlineStr"/>
      <c r="X12" s="3" t="inlineStr"/>
      <c r="Y12" s="3" t="inlineStr"/>
      <c r="Z12" s="3" t="inlineStr">
        <is>
          <t>DECLARED IN THE CODE (rule 11) — printed from the door, not typed. RULED 2026-09-27</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2026-10-19</t>
        </is>
      </c>
      <c r="AH12" s="3" t="inlineStr"/>
      <c r="AI12" s="3" t="inlineStr"/>
      <c r="AJ12"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2026-09-27; the figure, its formula, inputs and refusal live in MK-NW-O-008 thePerformance</t>
        </is>
      </c>
      <c r="AN12" s="3" t="inlineStr">
        <is>
          <t>An account worth $30,000 on 31 Dec 2025 (100 VTI at $260 plus $4,000 cash), $38,400 at the close of 1 Apr — the day $6,000 was paid in — and $46,600 on 28 Sep 2026, with $825 of dividends received. Each account is asked separately, from the same door as the total.
GIVES: $46,600
(the test re-runs this through MK-NW-O-008 thePerformance on every build)</t>
        </is>
      </c>
      <c r="AO12" s="7" t="inlineStr">
        <is>
          <t>RULED, NOT CODED (Q-PF-1 — one question, one function)</t>
        </is>
      </c>
    </row>
    <row r="13" ht="60" customHeight="1">
      <c r="A13" s="3" t="inlineStr">
        <is>
          <t>MK-PF-M-006</t>
        </is>
      </c>
      <c r="B13" s="3" t="inlineStr">
        <is>
          <t>Performance</t>
        </is>
      </c>
      <c r="C13" s="3" t="inlineStr">
        <is>
          <t>/invest</t>
        </is>
      </c>
      <c r="D13" s="3" t="inlineStr">
        <is>
          <t>WHAT EACH CATEGORY EARNED — RETURN</t>
        </is>
      </c>
      <c r="E13" s="3" t="inlineStr">
        <is>
          <t>what_each_category_earned__return</t>
        </is>
      </c>
      <c r="F13" s="3" t="inlineStr">
        <is>
          <t>thePerformance</t>
        </is>
      </c>
      <c r="G13" s="3" t="inlineStr">
        <is>
          <t>MK-NW-O-008</t>
        </is>
      </c>
      <c r="H13" s="3" t="inlineStr">
        <is>
          <t>each class's own growth over the window: what its holdings are worth now ÷ what they were worth when the window began (each now ÷ (1 + its own return over the whole window, never a yearly rate)), less 1</t>
        </is>
      </c>
      <c r="I13" s="3" t="inlineStr">
        <is>
          <t>each class's own growth over the window: what its holdings are worth now ÷ what they were worth when the window began (each now ÷ (1 + its own return over the whole window, never a yearly rate)), less 1</t>
        </is>
      </c>
      <c r="J13" s="3" t="inlineStr">
        <is>
          <t>MK-NW-I-001 your accounts
MK-XS-I-006 the price fetched at</t>
        </is>
      </c>
      <c r="K13" s="3" t="inlineStr">
        <is>
          <t>a return with its sign, two decimals</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MK-CF-F-132 (map) → NOT DECLARED — the code does not say what it gives back
15. MK-ST-F-082 (movementsOf) → NOT DECLARED — the code does not say what it gives back
16. MK-NW-F-130 (notIncludedSentence) → string
17. MK-PF-F-010 (periodReturn) → number | null
18. MK-ST-F-013 (personalFlowTotals) → PersonalFlowTotals
19. MK-NW-F-091 (pricedGainOf) → number | null
20. MK-ST-F-030 (record) → SnapshotDay[]
21. MK-ST-F-081 (timeWeightedReturn) → TimeWeightedVerdict
22. MK-ST-F-021 (toNumber) → number | null
23. MK-ST-F-031 (valueOn) → number | null
24. MK-ST-F-060 (verdict) → Reconciliation
25. MK-NW-F-105 (whyNoReturn) → string
26. MK-ST-F-038 (windowBounds) → WindowBounds
27. MK-NW-F-090 (windowStartKey) → string | null
28. MK-PF-F-042 (windowTotal) → number | null</t>
        </is>
      </c>
      <c r="P13" s="3" t="inlineStr">
        <is>
          <t>Declared by MK-NW-O-008 thePerformance</t>
        </is>
      </c>
      <c r="Q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3" s="3" t="inlineStr"/>
      <c r="T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2026-10-19</t>
        </is>
      </c>
      <c r="AH13" s="3" t="inlineStr"/>
      <c r="AI13" s="3" t="inlineStr"/>
      <c r="AJ13"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3" s="7" t="inlineStr">
        <is>
          <t>RULED, NOT CODED (Q-PF-1 — one question, one function)</t>
        </is>
      </c>
    </row>
    <row r="14" ht="60" customHeight="1">
      <c r="A14" s="3" t="inlineStr">
        <is>
          <t>MK-PF-M-007</t>
        </is>
      </c>
      <c r="B14" s="3" t="inlineStr">
        <is>
          <t>Performance</t>
        </is>
      </c>
      <c r="C14" s="3" t="inlineStr">
        <is>
          <t>/invest</t>
        </is>
      </c>
      <c r="D14" s="3" t="inlineStr">
        <is>
          <t>All categories</t>
        </is>
      </c>
      <c r="E14" s="3" t="inlineStr">
        <is>
          <t>all_categories</t>
        </is>
      </c>
      <c r="F14" s="3" t="inlineStr">
        <is>
          <t>thePerformance</t>
        </is>
      </c>
      <c r="G14" s="3" t="inlineStr">
        <is>
          <t>MK-NW-O-008</t>
        </is>
      </c>
      <c r="H14" s="3" t="inlineStr">
        <is>
          <t>every dividend and interest record inside the window, added up by the class of the holding that paid it</t>
        </is>
      </c>
      <c r="I14" s="3" t="inlineStr">
        <is>
          <t>every dividend and interest record inside the window, added up by the class of the holding that paid it</t>
        </is>
      </c>
      <c r="J14" s="3" t="inlineStr">
        <is>
          <t>MK-XS-I-020 the records of money movements</t>
        </is>
      </c>
      <c r="K14" s="3" t="inlineStr">
        <is>
          <t>dollars, whole</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MK-CF-F-132 (map) → NOT DECLARED — the code does not say what it gives back
15. MK-ST-F-082 (movementsOf) → NOT DECLARED — the code does not say what it gives back
16. MK-NW-F-130 (notIncludedSentence) → string
17. MK-PF-F-010 (periodReturn) → number | null
18. MK-ST-F-013 (personalFlowTotals) → PersonalFlowTotals
19. MK-NW-F-091 (pricedGainOf) → number | null
20. MK-ST-F-030 (record) → SnapshotDay[]
21. MK-ST-F-081 (timeWeightedReturn) → TimeWeightedVerdict
22. MK-ST-F-021 (toNumber) → number | null
23. MK-ST-F-031 (valueOn) → number | null
24. MK-ST-F-060 (verdict) → Reconciliation
25. MK-NW-F-105 (whyNoReturn) → string
26. MK-ST-F-038 (windowBounds) → WindowBounds
27. MK-NW-F-090 (windowStartKey) → string | null
28. MK-PF-F-042 (windowTotal) → number | null</t>
        </is>
      </c>
      <c r="P14" s="3" t="inlineStr">
        <is>
          <t>Declared by MK-NW-O-008 thePerformance</t>
        </is>
      </c>
      <c r="Q14"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4"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4" s="3" t="inlineStr"/>
      <c r="T14"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4" s="3" t="inlineStr"/>
      <c r="V14" s="3" t="inlineStr"/>
      <c r="W14" s="3" t="inlineStr"/>
      <c r="X14" s="3" t="inlineStr"/>
      <c r="Y14" s="3" t="inlineStr"/>
      <c r="Z14" s="3" t="inlineStr">
        <is>
          <t>DECLARED IN THE CODE (rule 11) — printed from the door, not typed. RULED 2026-09-03</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2026-10-19</t>
        </is>
      </c>
      <c r="AH14" s="3" t="inlineStr"/>
      <c r="AI14" s="3" t="inlineStr"/>
      <c r="AJ14"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2026-09-03; the figure, its formula, inputs and refusal live in MK-NW-O-008 thePerformance</t>
        </is>
      </c>
      <c r="AN14"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4" s="7" t="inlineStr">
        <is>
          <t>RULED, NOT CODED (Q-PF-1 — one question, one function)</t>
        </is>
      </c>
    </row>
    <row r="15" ht="60" customHeight="1">
      <c r="A15" s="3" t="inlineStr">
        <is>
          <t>MK-PF-M-008</t>
        </is>
      </c>
      <c r="B15" s="3" t="inlineStr">
        <is>
          <t>Performance</t>
        </is>
      </c>
      <c r="C15" s="3" t="inlineStr">
        <is>
          <t>/home</t>
        </is>
      </c>
      <c r="D15" s="3" t="inlineStr">
        <is>
          <t>market +X%</t>
        </is>
      </c>
      <c r="E15" s="3" t="inlineStr">
        <is>
          <t>market_x</t>
        </is>
      </c>
      <c r="F15" s="3" t="inlineStr">
        <is>
          <t>thePerformance</t>
        </is>
      </c>
      <c r="G15" s="3" t="inlineStr">
        <is>
          <t>MK-NW-O-008</t>
        </is>
      </c>
      <c r="H15" s="3" t="inlineStr">
        <is>
          <t>each holding's own benchmark return over the same dates, weighted by what that holding was worth when the window began (its value now ÷ (1 + its own return)); a holding with no return of its own is left out of the blend</t>
        </is>
      </c>
      <c r="I15" s="3" t="inlineStr">
        <is>
          <t>each holding's own benchmark return over the same dates, weighted by what that holding was worth when the window began (its value now ÷ (1 + its own return)); a holding with no return of its own is left out of the blend</t>
        </is>
      </c>
      <c r="J15" s="3" t="inlineStr">
        <is>
          <t>MK-NW-I-001 your accounts
MK-XS-I-006 the price fetched at</t>
        </is>
      </c>
      <c r="K15" s="3" t="inlineStr">
        <is>
          <t>a percentage, two decimals</t>
        </is>
      </c>
      <c r="L15" s="3" t="inlineStr">
        <is>
          <t>$0, and under it the one line "Nothing entered yet. Add your accounts ›" (mock approved 2026-09-12). A real zero that was entered shows a plain $0 with no line.</t>
        </is>
      </c>
      <c r="M15" s="3" t="inlineStr">
        <is>
          <t>one figure per household</t>
        </is>
      </c>
      <c r="N15" s="3" t="inlineStr">
        <is>
          <t>as of today</t>
        </is>
      </c>
      <c r="O15"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MK-CF-F-132 (map) → NOT DECLARED — the code does not say what it gives back
15. MK-ST-F-082 (movementsOf) → NOT DECLARED — the code does not say what it gives back
16. MK-NW-F-130 (notIncludedSentence) → string
17. MK-PF-F-010 (periodReturn) → number | null
18. MK-ST-F-013 (personalFlowTotals) → PersonalFlowTotals
19. MK-NW-F-091 (pricedGainOf) → number | null
20. MK-ST-F-030 (record) → SnapshotDay[]
21. MK-ST-F-081 (timeWeightedReturn) → TimeWeightedVerdict
22. MK-ST-F-021 (toNumber) → number | null
23. MK-ST-F-031 (valueOn) → number | null
24. MK-ST-F-060 (verdict) → Reconciliation
25. MK-NW-F-105 (whyNoReturn) → string
26. MK-ST-F-038 (windowBounds) → WindowBounds
27. MK-NW-F-090 (windowStartKey) → string | null
28. MK-PF-F-042 (windowTotal) → number | null</t>
        </is>
      </c>
      <c r="P15" s="3" t="inlineStr">
        <is>
          <t>Declared by MK-NW-O-008 thePerformance</t>
        </is>
      </c>
      <c r="Q15" s="3" t="inlineStr">
        <is>
          <t>The benchmark runs over the SAME DATES as your return — including where your window is cut short at your own purchase date. Comparing your three months against the market's twelve is not a comparison.
Weighted by what each holding was worth when the window began, so the blend answers "the market, matched to my mix" rather than a plain average of indices — and a holding that grew does not grow its yardstick's weight (outside review Claude Performance, 2026-10-11, DEC-1669, DEC-3035b).
THE MARKET INCLUDES ITS DIVIDENDS AND INTEREST (DEC-4645, 2026-10-12): SPY and AGG are read through the same dividend-adjusted closes as every holding (src/services/marketData.ts, adjclose).</t>
        </is>
      </c>
      <c r="R15" s="3" t="inlineStr">
        <is>
          <t>The benchmark runs over the SAME DATES as your return — including where your window is cut short at your own purchase date. Comparing your three months against the market's twelve is not a comparison.
Weighted by what each holding was worth when the window began, so the blend answers "the market, matched to my mix" rather than a plain average of indices — and a holding that grew does not grow its yardstick's weight (outside review Claude Performance, 2026-10-11, DEC-1669, DEC-3035b).
THE MARKET INCLUDES ITS DIVIDENDS AND INTEREST (DEC-4645, 2026-10-12): SPY and AGG are read through the same dividend-adjusted closes as every holding (src/services/marketData.ts, adjclose).</t>
        </is>
      </c>
      <c r="S15" s="3" t="inlineStr"/>
      <c r="T15" s="3" t="inlineStr">
        <is>
          <t>The benchmark runs over the SAME DATES as your return — including where your window is cut short at your own purchase date. Comparing your three months against the market's twelve is not a comparison.
Weighted by what each holding was worth when the window began, so the blend answers "the market, matched to my mix" rather than a plain average of indices — and a holding that grew does not grow its yardstick's weight (outside review Claude Performance, 2026-10-11, DEC-1669, DEC-3035b).
THE MARKET INCLUDES ITS DIVIDENDS AND INTEREST (DEC-4645, 2026-10-12): SPY and AGG are read through the same dividend-adjusted closes as every holding (src/services/marketData.ts, adjclose).</t>
        </is>
      </c>
      <c r="U15"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 Corrected 2026-10-12: the market figure uses SPY and AGG adjusted closes, which include their dividends and interest. Both sides of "ahead by" therefore count income, and the line is like-for-like; his approved wording stays word for word (DEC-4645).</t>
        </is>
      </c>
      <c r="V15"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 [Corrected 2026-10-12: the market figure uses SPY and AGG adjusted closes, which include their dividends and interest. The premise above was wrong; his approved line stands word for word (DEC-4645).]</t>
        </is>
      </c>
      <c r="W15"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5" s="3" t="inlineStr"/>
      <c r="Y15" s="3" t="inlineStr"/>
      <c r="Z15" s="3" t="inlineStr">
        <is>
          <t>DRAFT — declared in the code and printed here, WAITING FOR YOUR VERDICT before the screens move behind the door (rule 10)</t>
        </is>
      </c>
      <c r="AA15" s="3" t="inlineStr"/>
      <c r="AB15" s="3" t="inlineStr"/>
      <c r="AC15" s="3" t="inlineStr"/>
      <c r="AD15" s="3" t="inlineStr"/>
      <c r="AE15" s="3" t="inlineStr">
        <is>
          <t>G32 / Q48 — RULED 2026-09-09: $0 stays, with the sentence '$0 — nothing entered yet.' and this row's door ('Add your accounts ›'). File written; the screen follows the approved empty-state mock (one pattern, one screen), then every screen.</t>
        </is>
      </c>
      <c r="AF15" s="3" t="inlineStr">
        <is>
          <t>ACTIVE</t>
        </is>
      </c>
      <c r="AG15" s="3" t="inlineStr">
        <is>
          <t>2026-10-19</t>
        </is>
      </c>
      <c r="AH15" s="3" t="inlineStr"/>
      <c r="AI15" s="3" t="inlineStr"/>
      <c r="AJ15"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RULED? NOT YET — read this row and say yes, or say what changes. Nothing moves behind MK-NW-O-008 thePerformance until you do.</t>
        </is>
      </c>
      <c r="AN15" s="3" t="inlineStr">
        <is>
          <t>$40,000 of shares against a benchmark up 10% over the window, and $10,000 of bonds against one up 4% over the same days; neither holding moved, so each was worth then what it is worth now.
GIVES: 8.80%
(the test re-runs this through MK-NW-O-008 thePerformance on every build)</t>
        </is>
      </c>
      <c r="AO15" s="9" t="inlineStr">
        <is>
          <t>WAITING ON YOU — question Q33 · WAITING ON YOU — row to approve: say yes in YOUR ANSWER, or say what changes · RULED, NOT CODED (Q-PF-1 — one question, one function)</t>
        </is>
      </c>
    </row>
    <row r="16" ht="60" customHeight="1">
      <c r="A16" s="3" t="inlineStr">
        <is>
          <t>MK-PF-M-010</t>
        </is>
      </c>
      <c r="B16" s="3" t="inlineStr">
        <is>
          <t>Performance</t>
        </is>
      </c>
      <c r="C16" s="3" t="inlineStr">
        <is>
          <t>/look-back</t>
        </is>
      </c>
      <c r="D16" s="3" t="inlineStr">
        <is>
          <t>Left in &lt;fund&gt; it became $X (up/down $Y, Z%)</t>
        </is>
      </c>
      <c r="E16" s="3" t="inlineStr">
        <is>
          <t>left_in_fund_it_became_x_updown_y_z</t>
        </is>
      </c>
      <c r="F16" s="3" t="inlineStr">
        <is>
          <t>theLookBack</t>
        </is>
      </c>
      <c r="G16" s="3" t="inlineStr">
        <is>
          <t>MK-NW-O-007</t>
        </is>
      </c>
      <c r="H16" s="3" t="inlineStr">
        <is>
          <t>the amount × (the fund’s price today ÷ its price at the start of the window)</t>
        </is>
      </c>
      <c r="I16" s="3" t="inlineStr">
        <is>
          <t>the amount × (the fund’s price today ÷ its price at the start of the window)</t>
        </is>
      </c>
      <c r="J16" s="3" t="inlineStr">
        <is>
          <t>MK-NW-I-005 the price feed</t>
        </is>
      </c>
      <c r="K16" s="3" t="inlineStr">
        <is>
          <t>dollars, whole</t>
        </is>
      </c>
      <c r="L16" s="3" t="inlineStr">
        <is>
          <t>No price history over the whole window — the screen shows nothing rather than a shortened one.</t>
        </is>
      </c>
      <c r="M16" s="3" t="inlineStr">
        <is>
          <t>one figure per household</t>
        </is>
      </c>
      <c r="N16" s="3" t="inlineStr">
        <is>
          <t>as of today</t>
        </is>
      </c>
      <c r="O16" s="3" t="inlineStr">
        <is>
          <t>MK-PF-F-023 (lookBack) → LookBackResult | null</t>
        </is>
      </c>
      <c r="P16" s="3" t="inlineStr">
        <is>
          <t>Declared by MK-NW-O-007 theLookBack</t>
        </is>
      </c>
      <c r="Q16" s="3" t="inlineStr">
        <is>
          <t>Dividends and distributions are in it: the closes it reads are adjusted for them (corrected 2026-10-12; it said price changes only).</t>
        </is>
      </c>
      <c r="R16" s="3" t="inlineStr">
        <is>
          <t>Dividends and distributions are in it: the closes it reads are adjusted for them (corrected 2026-10-12; it said price changes only).</t>
        </is>
      </c>
      <c r="S16" s="3" t="inlineStr"/>
      <c r="T16" s="3" t="inlineStr">
        <is>
          <t>Dividends and distributions are in it: the closes it reads are adjusted for them (corrected 2026-10-12; it said price changes only).</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2026-10-19</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$10,250
(the test re-runs this through MK-NW-O-007 theLookBack on every build)</t>
        </is>
      </c>
      <c r="AO16" s="3" t="inlineStr">
        <is>
          <t>NOTHING OPEN</t>
        </is>
      </c>
    </row>
    <row r="17" ht="60" customHeight="1">
      <c r="A17" s="3" t="inlineStr">
        <is>
          <t>MK-PF-M-011</t>
        </is>
      </c>
      <c r="B17" s="3" t="inlineStr">
        <is>
          <t>Performance</t>
        </is>
      </c>
      <c r="C17" s="3" t="inlineStr">
        <is>
          <t>/look-back</t>
        </is>
      </c>
      <c r="D17" s="3" t="inlineStr">
        <is>
          <t>Moved to &lt;fund&gt; it would be $X</t>
        </is>
      </c>
      <c r="E17" s="3" t="inlineStr">
        <is>
          <t>moved_to_fund_it_would_be_x</t>
        </is>
      </c>
      <c r="F17" s="3" t="inlineStr">
        <is>
          <t>theLookBack</t>
        </is>
      </c>
      <c r="G17" s="3" t="inlineStr">
        <is>
          <t>MK-NW-O-007</t>
        </is>
      </c>
      <c r="H17" s="3" t="inlineStr">
        <is>
          <t>the amount × (the other fund’s price today ÷ its price at the start of the window)</t>
        </is>
      </c>
      <c r="I17" s="3" t="inlineStr">
        <is>
          <t>the amount × (the other fund’s price today ÷ its price at the start of the window)</t>
        </is>
      </c>
      <c r="J17" s="3" t="inlineStr">
        <is>
          <t>MK-NW-I-005 the price feed</t>
        </is>
      </c>
      <c r="K17" s="3" t="inlineStr">
        <is>
          <t>dollars, whole</t>
        </is>
      </c>
      <c r="L17" s="3" t="inlineStr">
        <is>
          <t>No price history for the other fund over the whole window.</t>
        </is>
      </c>
      <c r="M17" s="3" t="inlineStr">
        <is>
          <t>one figure per household</t>
        </is>
      </c>
      <c r="N17" s="3" t="inlineStr">
        <is>
          <t>as of today</t>
        </is>
      </c>
      <c r="O17" s="3" t="inlineStr">
        <is>
          <t>MK-PF-F-023 (lookBack) → LookBackResult | null</t>
        </is>
      </c>
      <c r="P17" s="3" t="inlineStr">
        <is>
          <t>Declared by MK-NW-O-007 theLookBack</t>
        </is>
      </c>
      <c r="Q17" s="3" t="inlineStr">
        <is>
          <t>A road not taken, priced from real history — never a projection forward.</t>
        </is>
      </c>
      <c r="R17" s="3" t="inlineStr">
        <is>
          <t>A road not taken, priced from real history — never a projection forward.</t>
        </is>
      </c>
      <c r="S17" s="3" t="inlineStr"/>
      <c r="T17" s="3" t="inlineStr">
        <is>
          <t>A road not taken, priced from real history — never a projection forward.</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2026-10-19</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$11,600
(the test re-runs this through MK-NW-O-007 theLookBack on every build)</t>
        </is>
      </c>
      <c r="AO17" s="3" t="inlineStr">
        <is>
          <t>NOTHING OPEN</t>
        </is>
      </c>
    </row>
    <row r="18" ht="60" customHeight="1">
      <c r="A18" s="3" t="inlineStr">
        <is>
          <t>MK-PF-M-012</t>
        </is>
      </c>
      <c r="B18" s="3" t="inlineStr">
        <is>
          <t>Performance</t>
        </is>
      </c>
      <c r="C18" s="3" t="inlineStr">
        <is>
          <t>/look-back</t>
        </is>
      </c>
      <c r="D18" s="3" t="inlineStr">
        <is>
          <t>Difference: $X more/less if you had moved</t>
        </is>
      </c>
      <c r="E18" s="3" t="inlineStr">
        <is>
          <t>difference_x_moreless_if_you_had_moved</t>
        </is>
      </c>
      <c r="F18" s="3" t="inlineStr">
        <is>
          <t>theLookBack</t>
        </is>
      </c>
      <c r="G18" s="3" t="inlineStr">
        <is>
          <t>MK-NW-O-007</t>
        </is>
      </c>
      <c r="H18" s="3" t="inlineStr">
        <is>
          <t>what it would have become, less what it did become</t>
        </is>
      </c>
      <c r="I18" s="3" t="inlineStr">
        <is>
          <t>what it would have become, less what it did become</t>
        </is>
      </c>
      <c r="J18" s="3" t="inlineStr">
        <is>
          <t>MK-NW-I-005 the price feed</t>
        </is>
      </c>
      <c r="K18" s="3" t="inlineStr">
        <is>
          <t>dollars, whole</t>
        </is>
      </c>
      <c r="L18" s="3" t="inlineStr">
        <is>
          <t>Either fund missing its history means no difference is stated.</t>
        </is>
      </c>
      <c r="M18" s="3" t="inlineStr">
        <is>
          <t>one figure per household</t>
        </is>
      </c>
      <c r="N18" s="3" t="inlineStr">
        <is>
          <t>as of today</t>
        </is>
      </c>
      <c r="O18" s="3" t="inlineStr">
        <is>
          <t>MK-PF-F-023 (lookBack) → LookBackResult | null</t>
        </is>
      </c>
      <c r="P18" s="3" t="inlineStr">
        <is>
          <t>Declared by MK-NW-O-007 theLookBack</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2026-09-28</t>
        </is>
      </c>
      <c r="AA18" s="3" t="inlineStr"/>
      <c r="AB18" s="3" t="inlineStr"/>
      <c r="AC18" s="3" t="inlineStr"/>
      <c r="AD18" s="3" t="inlineStr"/>
      <c r="AE18" s="3" t="inlineStr"/>
      <c r="AF18" s="3" t="inlineStr">
        <is>
          <t>ACTIVE</t>
        </is>
      </c>
      <c r="AG18" s="3" t="inlineStr">
        <is>
          <t>2026-10-19</t>
        </is>
      </c>
      <c r="AH18" s="3" t="inlineStr"/>
      <c r="AI18" s="3" t="inlineStr"/>
      <c r="AJ18" s="3" t="inlineStr">
        <is>
          <t>MK-XS-I-005 holding price — read by MK-NW-O-007, MK-PF-F-022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2026-09-28; the figure, its formula, inputs and refusal live in MK-NW-O-007 theLookBack</t>
        </is>
      </c>
      <c r="AN18" s="3" t="inlineStr">
        <is>
          <t>$10,000 left in BND for 12 months, against moving it to VTI. BND closed $72.00 a year ago and $73.80 now; VTI closed $250.00 and $290.00.
GIVES: $1,350
(the test re-runs this through MK-NW-O-007 theLookBack on every build)</t>
        </is>
      </c>
      <c r="AO18" s="3" t="inlineStr">
        <is>
          <t>NOTHING OPEN</t>
        </is>
      </c>
    </row>
    <row r="19" ht="60" customHeight="1">
      <c r="A19" s="3" t="inlineStr">
        <is>
          <t>MK-PF-M-013</t>
        </is>
      </c>
      <c r="B19" s="3" t="inlineStr">
        <is>
          <t>Performance</t>
        </is>
      </c>
      <c r="C19" s="3" t="inlineStr">
        <is>
          <t>/account-detail · /invest</t>
        </is>
      </c>
      <c r="D19" s="3" t="inlineStr">
        <is>
          <t>Beginning market value</t>
        </is>
      </c>
      <c r="E19" s="3" t="inlineStr">
        <is>
          <t>beginning_market_value</t>
        </is>
      </c>
      <c r="F19" s="3" t="inlineStr">
        <is>
          <t>thePerformance</t>
        </is>
      </c>
      <c r="G19" s="3" t="inlineStr">
        <is>
          <t>MK-NW-O-008</t>
        </is>
      </c>
      <c r="H19" s="3" t="inlineStr">
        <is>
          <t>the account’s value on the day before the window opens, as recorded</t>
        </is>
      </c>
      <c r="I19" s="3" t="inlineStr">
        <is>
          <t>the account’s value on the day before the window opens, as recorded</t>
        </is>
      </c>
      <c r="J19" s="3" t="inlineStr">
        <is>
          <t>MK-NW-I-003 the recorded history</t>
        </is>
      </c>
      <c r="K19" s="3" t="inlineStr">
        <is>
          <t>dollars, whole</t>
        </is>
      </c>
      <c r="L19" s="3" t="inlineStr">
        <is>
          <t>The record does not reach back that far, so the walk is not drawn at all rather than started from a guess.</t>
        </is>
      </c>
      <c r="M19" s="3" t="inlineStr">
        <is>
          <t>one account</t>
        </is>
      </c>
      <c r="N19" s="3" t="inlineStr">
        <is>
          <t>as of today</t>
        </is>
      </c>
      <c r="O19"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MK-CF-F-132 (map) → NOT DECLARED — the code does not say what it gives back
15. MK-ST-F-082 (movementsOf) → NOT DECLARED — the code does not say what it gives back
16. MK-NW-F-130 (notIncludedSentence) → string
17. MK-PF-F-010 (periodReturn) → number | null
18. MK-ST-F-013 (personalFlowTotals) → PersonalFlowTotals
19. MK-NW-F-091 (pricedGainOf) → number | null
20. MK-ST-F-030 (record) → SnapshotDay[]
21. MK-ST-F-081 (timeWeightedReturn) → TimeWeightedVerdict
22. MK-ST-F-021 (toNumber) → number | null
23. MK-ST-F-031 (valueOn) → number | null
24. MK-ST-F-060 (verdict) → Reconciliation
25. MK-NW-F-105 (whyNoReturn) → string
26. MK-ST-F-038 (windowBounds) → WindowBounds
27. MK-NW-F-090 (windowStartKey) → string | null
28. MK-PF-F-042 (windowTotal) → number | null</t>
        </is>
      </c>
      <c r="P19" s="3" t="inlineStr">
        <is>
          <t>Declared by MK-NW-O-008 thePerformance</t>
        </is>
      </c>
      <c r="Q19" s="3" t="inlineStr">
        <is>
          <t>IT IS READ, NOT BACK-SOLVED. Working it out from today’s value less the flows would make the walk add up by construction and prove nothing (his ruling behind MK-NW-F-090).
THE DAY BEFORE THE WINDOW OPENS, not the day it opens — B-115, found 2026-09-30.</t>
        </is>
      </c>
      <c r="R19" s="3" t="inlineStr">
        <is>
          <t>IT IS READ, NOT BACK-SOLVED. Working it out from today’s value less the flows would make the walk add up by construction and prove nothing (his ruling behind MK-NW-F-090).
THE DAY BEFORE THE WINDOW OPENS, not the day it opens — B-115, found 2026-09-30.</t>
        </is>
      </c>
      <c r="S19" s="3" t="inlineStr"/>
      <c r="T19" s="3" t="inlineStr">
        <is>
          <t>IT IS READ, NOT BACK-SOLVED. Working it out from today’s value less the flows would make the walk add up by construction and prove nothing (his ruling behind MK-NW-F-090).
THE DAY BEFORE THE WINDOW OPENS, not the day it opens — B-115, found 2026-09-30.</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2026-10-19</t>
        </is>
      </c>
      <c r="AH19" s="3" t="inlineStr"/>
      <c r="AI19" s="3" t="inlineStr"/>
      <c r="AJ19"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19" s="3" t="inlineStr">
        <is>
          <t>NOTHING OPEN</t>
        </is>
      </c>
    </row>
    <row r="20" ht="60" customHeight="1">
      <c r="A20" s="3" t="inlineStr">
        <is>
          <t>MK-PF-M-014</t>
        </is>
      </c>
      <c r="B20" s="3" t="inlineStr">
        <is>
          <t>Performance</t>
        </is>
      </c>
      <c r="C20" s="3" t="inlineStr">
        <is>
          <t>/account-detail</t>
        </is>
      </c>
      <c r="D20" s="3" t="inlineStr">
        <is>
          <t>Wealth generated</t>
        </is>
      </c>
      <c r="E20" s="3" t="inlineStr">
        <is>
          <t>wealth_generated</t>
        </is>
      </c>
      <c r="F20" s="3" t="inlineStr">
        <is>
          <t>thePerformance</t>
        </is>
      </c>
      <c r="G20" s="3" t="inlineStr">
        <is>
          <t>MK-NW-O-008</t>
        </is>
      </c>
      <c r="H20" s="3" t="inlineStr">
        <is>
          <t>ending − beginning − contributions + withdrawals</t>
        </is>
      </c>
      <c r="I20" s="3" t="inlineStr">
        <is>
          <t>ending − beginning − contributions + withdrawals</t>
        </is>
      </c>
      <c r="J20" s="3" t="inlineStr">
        <is>
          <t>MK-NW-I-003 the recorded history
MK-NW-I-004 the activity records</t>
        </is>
      </c>
      <c r="K20" s="3" t="inlineStr">
        <is>
          <t>dollars, whole</t>
        </is>
      </c>
      <c r="L20" s="3" t="inlineStr">
        <is>
          <t>No beginning to measure from — the line shows nothing rather than a change.</t>
        </is>
      </c>
      <c r="M20" s="3" t="inlineStr">
        <is>
          <t>one account</t>
        </is>
      </c>
      <c r="N20" s="3" t="inlineStr">
        <is>
          <t>as of today</t>
        </is>
      </c>
      <c r="O20"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MK-CF-F-132 (map) → NOT DECLARED — the code does not say what it gives back
15. MK-ST-F-082 (movementsOf) → NOT DECLARED — the code does not say what it gives back
16. MK-NW-F-130 (notIncludedSentence) → string
17. MK-PF-F-010 (periodReturn) → number | null
18. MK-ST-F-013 (personalFlowTotals) → PersonalFlowTotals
19. MK-NW-F-091 (pricedGainOf) → number | null
20. MK-ST-F-030 (record) → SnapshotDay[]
21. MK-ST-F-081 (timeWeightedReturn) → TimeWeightedVerdict
22. MK-ST-F-021 (toNumber) → number | null
23. MK-ST-F-031 (valueOn) → number | null
24. MK-ST-F-060 (verdict) → Reconciliation
25. MK-NW-F-105 (whyNoReturn) → string
26. MK-ST-F-038 (windowBounds) → WindowBounds
27. MK-NW-F-090 (windowStartKey) → string | null
28. MK-PF-F-042 (windowTotal) → number | null</t>
        </is>
      </c>
      <c r="P20" s="3" t="inlineStr">
        <is>
          <t>Declared by MK-NW-O-008 thePerformance</t>
        </is>
      </c>
      <c r="Q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20" s="3" t="inlineStr"/>
      <c r="T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2026-10-19</t>
        </is>
      </c>
      <c r="AH20" s="3" t="inlineStr"/>
      <c r="AI20" s="3" t="inlineStr"/>
      <c r="AJ20"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20" s="3" t="inlineStr">
        <is>
          <t>NOTHING OPEN</t>
        </is>
      </c>
    </row>
    <row r="21" ht="60" customHeight="1">
      <c r="A21" s="3" t="inlineStr">
        <is>
          <t>MK-PF-M-015</t>
        </is>
      </c>
      <c r="B21" s="3" t="inlineStr">
        <is>
          <t>Performance</t>
        </is>
      </c>
      <c r="C21" s="3" t="inlineStr">
        <is>
          <t>/account-detail · /invest</t>
        </is>
      </c>
      <c r="D21" s="3" t="inlineStr">
        <is>
          <t>one line of the walk</t>
        </is>
      </c>
      <c r="E21" s="3" t="inlineStr">
        <is>
          <t>one_line_of_the_walk</t>
        </is>
      </c>
      <c r="F21" s="3" t="inlineStr">
        <is>
          <t>thePerformance</t>
        </is>
      </c>
      <c r="G21" s="3" t="inlineStr">
        <is>
          <t>MK-NW-O-008</t>
        </is>
      </c>
      <c r="H21" s="3" t="inlineStr">
        <is>
          <t>each recorded flow over the window, and the remainder as the change in value</t>
        </is>
      </c>
      <c r="I21" s="3" t="inlineStr">
        <is>
          <t>each recorded flow over the window, and the remainder as the change in value</t>
        </is>
      </c>
      <c r="J21" s="3" t="inlineStr">
        <is>
          <t>MK-NW-I-004 the activity records</t>
        </is>
      </c>
      <c r="K21" s="3" t="inlineStr">
        <is>
          <t>dollars, whole</t>
        </is>
      </c>
      <c r="L21" s="3" t="inlineStr">
        <is>
          <t>No flows recorded — the line is not drawn.</t>
        </is>
      </c>
      <c r="M21" s="3" t="inlineStr">
        <is>
          <t>one line of one account’s walk</t>
        </is>
      </c>
      <c r="N21" s="3" t="inlineStr">
        <is>
          <t>as of today</t>
        </is>
      </c>
      <c r="O21"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MK-CF-F-132 (map) → NOT DECLARED — the code does not say what it gives back
15. MK-ST-F-082 (movementsOf) → NOT DECLARED — the code does not say what it gives back
16. MK-NW-F-130 (notIncludedSentence) → string
17. MK-PF-F-010 (periodReturn) → number | null
18. MK-ST-F-013 (personalFlowTotals) → PersonalFlowTotals
19. MK-NW-F-091 (pricedGainOf) → number | null
20. MK-ST-F-030 (record) → SnapshotDay[]
21. MK-ST-F-081 (timeWeightedReturn) → TimeWeightedVerdict
22. MK-ST-F-021 (toNumber) → number | null
23. MK-ST-F-031 (valueOn) → number | null
24. MK-ST-F-060 (verdict) → Reconciliation
25. MK-NW-F-105 (whyNoReturn) → string
26. MK-ST-F-038 (windowBounds) → WindowBounds
27. MK-NW-F-090 (windowStartKey) → string | null
28. MK-PF-F-042 (windowTotal) → number | null</t>
        </is>
      </c>
      <c r="P21" s="3" t="inlineStr">
        <is>
          <t>Declared by MK-NW-O-008 thePerformance</t>
        </is>
      </c>
      <c r="Q21" s="3" t="inlineStr">
        <is>
          <t>THE LINES ALWAYS SUM TO THE ENDING, by construction. Whatever the records cannot explain lands in the change-in-value line rather than being silently dropped — a walk that does not add up is worse than no walk.</t>
        </is>
      </c>
      <c r="R21" s="3" t="inlineStr">
        <is>
          <t>THE LINES ALWAYS SUM TO THE ENDING, by construction. Whatever the records cannot explain lands in the change-in-value line rather than being silently dropped — a walk that does not add up is worse than no walk.</t>
        </is>
      </c>
      <c r="S21" s="3" t="inlineStr"/>
      <c r="T21" s="3" t="inlineStr">
        <is>
          <t>THE LINES ALWAYS SUM TO THE ENDING, by construction. Whatever the records cannot explain lands in the change-in-value line rather than being silently dropped — a walk that does not add up is worse than no walk.</t>
        </is>
      </c>
      <c r="U21" s="3" t="inlineStr"/>
      <c r="V21" s="3" t="inlineStr"/>
      <c r="W21" s="3" t="inlineStr"/>
      <c r="X21" s="3" t="inlineStr"/>
      <c r="Y21" s="3" t="inlineStr"/>
      <c r="Z21" s="3" t="inlineStr">
        <is>
          <t>DECLARED IN THE CODE (rule 11) — printed from the door, not typed. RULED 2026-10-01</t>
        </is>
      </c>
      <c r="AA21" s="3" t="inlineStr"/>
      <c r="AB21" s="3" t="inlineStr"/>
      <c r="AC21" s="3" t="inlineStr"/>
      <c r="AD21" s="3" t="inlineStr"/>
      <c r="AE21" s="3" t="inlineStr"/>
      <c r="AF21" s="3" t="inlineStr">
        <is>
          <t>ACTIVE</t>
        </is>
      </c>
      <c r="AG21" s="3" t="inlineStr">
        <is>
          <t>2026-10-19</t>
        </is>
      </c>
      <c r="AH21" s="3" t="inlineStr"/>
      <c r="AI21" s="3" t="inlineStr"/>
      <c r="AJ21"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1" s="3" t="inlineStr">
        <is>
          <t>NOTHING OPEN</t>
        </is>
      </c>
    </row>
    <row r="22" ht="60" customHeight="1">
      <c r="A22" s="3" t="inlineStr">
        <is>
          <t>MK-PF-M-016</t>
        </is>
      </c>
      <c r="B22" s="3" t="inlineStr">
        <is>
          <t>Performance</t>
        </is>
      </c>
      <c r="C22" s="3" t="inlineStr">
        <is>
          <t>/account-detail · /invest</t>
        </is>
      </c>
      <c r="D22" s="3" t="inlineStr">
        <is>
          <t>Return</t>
        </is>
      </c>
      <c r="E22" s="3" t="inlineStr">
        <is>
          <t>return</t>
        </is>
      </c>
      <c r="F22" s="3" t="inlineStr">
        <is>
          <t>thePerformance</t>
        </is>
      </c>
      <c r="G22" s="3" t="inlineStr">
        <is>
          <t>MK-NW-O-008</t>
        </is>
      </c>
      <c r="H22" s="3" t="inlineStr">
        <is>
          <t>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I22" s="3" t="inlineStr">
        <is>
          <t>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J22" s="3" t="inlineStr">
        <is>
          <t>MK-NW-I-003 the recorded history
MK-NW-I-004 the activity records</t>
        </is>
      </c>
      <c r="K22" s="3" t="inlineStr">
        <is>
          <t>a return with its sign, two decimals</t>
        </is>
      </c>
      <c r="L22" s="3" t="inlineStr">
        <is>
          <t>No percent, and a sentence saying why: the record does not reach the start, money moved on a day with no recorded value, shares were moved in or out, or there was nothing to grow from that day (the previous evening plus the money moved is zero or less while the day holds a value). It never shows another kind of figure in its place.</t>
        </is>
      </c>
      <c r="M22" s="3" t="inlineStr">
        <is>
          <t>one account</t>
        </is>
      </c>
      <c r="N22" s="3" t="inlineStr">
        <is>
          <t>as of today</t>
        </is>
      </c>
      <c r="O22"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MK-CF-F-132 (map) → NOT DECLARED — the code does not say what it gives back
15. MK-ST-F-082 (movementsOf) → NOT DECLARED — the code does not say what it gives back
16. MK-NW-F-130 (notIncludedSentence) → string
17. MK-PF-F-010 (periodReturn) → number | null
18. MK-ST-F-013 (personalFlowTotals) → PersonalFlowTotals
19. MK-NW-F-091 (pricedGainOf) → number | null
20. MK-ST-F-030 (record) → SnapshotDay[]
21. MK-ST-F-081 (timeWeightedReturn) → TimeWeightedVerdict
22. MK-ST-F-021 (toNumber) → number | null
23. MK-ST-F-031 (valueOn) → number | null
24. MK-ST-F-060 (verdict) → Reconciliation
25. MK-NW-F-105 (whyNoReturn) → string
26. MK-ST-F-038 (windowBounds) → WindowBounds
27. MK-NW-F-090 (windowStartKey) → string | null
28. MK-PF-F-042 (windowTotal) → number | null</t>
        </is>
      </c>
      <c r="P22" s="3" t="inlineStr">
        <is>
          <t>Declared by MK-NW-O-008 thePerformance</t>
        </is>
      </c>
      <c r="Q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R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S22" s="3" t="inlineStr"/>
      <c r="T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U22" s="3" t="inlineStr"/>
      <c r="V22" s="3" t="inlineStr"/>
      <c r="W22" s="3" t="inlineStr"/>
      <c r="X22" s="3" t="inlineStr"/>
      <c r="Y22" s="3" t="inlineStr"/>
      <c r="Z22" s="3" t="inlineStr">
        <is>
          <t>DECLARED IN THE CODE (rule 11) — printed from the door, not typed. RULED 2026-10-04</t>
        </is>
      </c>
      <c r="AA22" s="3" t="inlineStr"/>
      <c r="AB22" s="3" t="inlineStr"/>
      <c r="AC22" s="3" t="inlineStr"/>
      <c r="AD22" s="3" t="inlineStr"/>
      <c r="AE22" s="3" t="inlineStr"/>
      <c r="AF22" s="3" t="inlineStr">
        <is>
          <t>ACTIVE</t>
        </is>
      </c>
      <c r="AG22" s="3" t="inlineStr">
        <is>
          <t>2026-10-19</t>
        </is>
      </c>
      <c r="AH22" s="3" t="inlineStr"/>
      <c r="AI22" s="3" t="inlineStr"/>
      <c r="AJ22"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2026-10-01; the figure, its formula, inputs and refusal live in MK-NW-O-008 thePerformance</t>
        </is>
      </c>
      <c r="AN22" s="3" t="inlineStr">
        <is>
          <t>An account worth $30,000 on 31 Dec 2025 (100 VTI at $260 plus $4,000 cash) and $32,000 on 28 Sep 2026, with nothing paid in or taken out and $825 of it arriving as dividends.
GIVES: +6.67%
(the test re-runs this through MK-NW-O-008 thePerformance on every build)</t>
        </is>
      </c>
      <c r="AO22" s="3" t="inlineStr">
        <is>
          <t>NOTHING OPEN</t>
        </is>
      </c>
    </row>
    <row r="23" ht="60" customHeight="1">
      <c r="A23" s="3" t="inlineStr">
        <is>
          <t>MK-PF-M-017</t>
        </is>
      </c>
      <c r="B23" s="3" t="inlineStr">
        <is>
          <t>Performance</t>
        </is>
      </c>
      <c r="C23" s="3" t="inlineStr">
        <is>
          <t>/invest</t>
        </is>
      </c>
      <c r="D23" s="3" t="inlineStr">
        <is>
          <t>Return</t>
        </is>
      </c>
      <c r="E23" s="3" t="inlineStr">
        <is>
          <t>return</t>
        </is>
      </c>
      <c r="F23" s="3" t="inlineStr">
        <is>
          <t>thePerformance</t>
        </is>
      </c>
      <c r="G23" s="3" t="inlineStr">
        <is>
          <t>MK-NW-O-008</t>
        </is>
      </c>
      <c r="H23" s="3" t="inlineStr">
        <is>
          <t>over every investment account together: 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I23" s="3" t="inlineStr">
        <is>
          <t>over every investment account together: 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J23" s="3" t="inlineStr">
        <is>
          <t>MK-NW-I-003 the recorded history
MK-NW-I-004 the activity records</t>
        </is>
      </c>
      <c r="K23" s="3" t="inlineStr">
        <is>
          <t>a return with its sign, two decimals</t>
        </is>
      </c>
      <c r="L23" s="3" t="inlineStr">
        <is>
          <t>No percent, and a sentence saying why: the record does not reach the start, money moved on a day with no recorded value, shares were moved in or out, or there was nothing to grow from that day (the previous evening plus the money moved is zero or less while the day holds a value). It never shows another kind of figure in its place.</t>
        </is>
      </c>
      <c r="M23" s="3" t="inlineStr">
        <is>
          <t>every account together</t>
        </is>
      </c>
      <c r="N23" s="3" t="inlineStr">
        <is>
          <t>as of today</t>
        </is>
      </c>
      <c r="O23"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MK-CF-F-132 (map) → NOT DECLARED — the code does not say what it gives back
15. MK-ST-F-082 (movementsOf) → NOT DECLARED — the code does not say what it gives back
16. MK-NW-F-130 (notIncludedSentence) → string
17. MK-PF-F-010 (periodReturn) → number | null
18. MK-ST-F-013 (personalFlowTotals) → PersonalFlowTotals
19. MK-NW-F-091 (pricedGainOf) → number | null
20. MK-ST-F-030 (record) → SnapshotDay[]
21. MK-ST-F-081 (timeWeightedReturn) → TimeWeightedVerdict
22. MK-ST-F-021 (toNumber) → number | null
23. MK-ST-F-031 (valueOn) → number | null
24. MK-ST-F-060 (verdict) → Reconciliation
25. MK-NW-F-105 (whyNoReturn) → string
26. MK-ST-F-038 (windowBounds) → WindowBounds
27. MK-NW-F-090 (windowStartKey) → string | null
28. MK-PF-F-042 (windowTotal) → number | null</t>
        </is>
      </c>
      <c r="P23" s="3" t="inlineStr">
        <is>
          <t>Declared by MK-NW-O-008 thePerformance</t>
        </is>
      </c>
      <c r="Q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when money was added to it that day, that money is what arrived and it was worth $0 the evening before (DEC-4439).
THE SAME DOOR AS ONE ACCOUNT’S RETURN (MK-PF-M-016), asked for every account at once — one method, never two.</t>
        </is>
      </c>
      <c r="R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when money was added to it that day, that money is what arrived and it was worth $0 the evening before (DEC-4439).
THE SAME DOOR AS ONE ACCOUNT’S RETURN (MK-PF-M-016), asked for every account at once — one method, never two.</t>
        </is>
      </c>
      <c r="S23" s="3" t="inlineStr"/>
      <c r="T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when money was added to it that day, that money is what arrived and it was worth $0 the evening before (DEC-4439).
THE SAME DOOR AS ONE ACCOUNT’S RETURN (MK-PF-M-016), asked for every account at once — one method, never two.</t>
        </is>
      </c>
      <c r="U23" s="3" t="inlineStr"/>
      <c r="V23" s="3" t="inlineStr"/>
      <c r="W23" s="3" t="inlineStr"/>
      <c r="X23" s="3" t="inlineStr"/>
      <c r="Y23" s="3" t="inlineStr"/>
      <c r="Z23" s="3" t="inlineStr">
        <is>
          <t>DECLARED IN THE CODE (rule 11) — printed from the door, not typed. RULED 2026-10-04</t>
        </is>
      </c>
      <c r="AA23" s="3" t="inlineStr"/>
      <c r="AB23" s="3" t="inlineStr"/>
      <c r="AC23" s="3" t="inlineStr"/>
      <c r="AD23" s="3" t="inlineStr"/>
      <c r="AE23" s="3" t="inlineStr"/>
      <c r="AF23" s="3" t="inlineStr">
        <is>
          <t>ACTIVE</t>
        </is>
      </c>
      <c r="AG23" s="3" t="inlineStr">
        <is>
          <t>2026-10-19</t>
        </is>
      </c>
      <c r="AH23" s="3" t="inlineStr"/>
      <c r="AI23" s="3" t="inlineStr"/>
      <c r="AJ23"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2026-10-01; the figure, its formula, inputs and refusal live in MK-NW-O-008 thePerformance</t>
        </is>
      </c>
      <c r="AN23" s="3" t="inlineStr">
        <is>
          <t>An account worth $30,000 on 31 Dec 2025 (100 VTI at $260 plus $4,000 cash) and $32,000 on 28 Sep 2026, with nothing paid in or taken out and $825 of it arriving as dividends.
GIVES: +6.67%
(the test re-runs this through MK-NW-O-008 thePerformance on every build)</t>
        </is>
      </c>
      <c r="AO23" s="3" t="inlineStr">
        <is>
          <t>NOTHING OPEN</t>
        </is>
      </c>
    </row>
    <row r="24" ht="60" customHeight="1">
      <c r="A24" s="3" t="inlineStr">
        <is>
          <t>MK-PF-M-018</t>
        </is>
      </c>
      <c r="B24" s="3" t="inlineStr">
        <is>
          <t>Performance</t>
        </is>
      </c>
      <c r="C24" s="3" t="inlineStr">
        <is>
          <t>/invest</t>
        </is>
      </c>
      <c r="D24" s="3" t="inlineStr">
        <is>
          <t>Beginning market value</t>
        </is>
      </c>
      <c r="E24" s="3" t="inlineStr">
        <is>
          <t>beginning_market_value</t>
        </is>
      </c>
      <c r="F24" s="3" t="inlineStr">
        <is>
          <t>thePerformance</t>
        </is>
      </c>
      <c r="G24" s="3" t="inlineStr">
        <is>
          <t>MK-NW-O-008</t>
        </is>
      </c>
      <c r="H24" s="3" t="inlineStr">
        <is>
          <t>the recorded value of every investment account at the close of the day before the window opens</t>
        </is>
      </c>
      <c r="I24" s="3" t="inlineStr">
        <is>
          <t>the recorded value of every investment account at the close of the day before the window opens</t>
        </is>
      </c>
      <c r="J24" s="3" t="inlineStr">
        <is>
          <t>MK-NW-I-003 the recorded history</t>
        </is>
      </c>
      <c r="K24" s="3" t="inlineStr">
        <is>
          <t>dollars, whole</t>
        </is>
      </c>
      <c r="L24" s="3" t="inlineStr">
        <is>
          <t>No recorded value that far back — the walk starts the day the record does, and says so.</t>
        </is>
      </c>
      <c r="M24" s="3" t="inlineStr">
        <is>
          <t>every account together</t>
        </is>
      </c>
      <c r="N24" s="3" t="inlineStr">
        <is>
          <t>as of today</t>
        </is>
      </c>
      <c r="O24"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MK-CF-F-132 (map) → NOT DECLARED — the code does not say what it gives back
15. MK-ST-F-082 (movementsOf) → NOT DECLARED — the code does not say what it gives back
16. MK-NW-F-130 (notIncludedSentence) → string
17. MK-PF-F-010 (periodReturn) → number | null
18. MK-ST-F-013 (personalFlowTotals) → PersonalFlowTotals
19. MK-NW-F-091 (pricedGainOf) → number | null
20. MK-ST-F-030 (record) → SnapshotDay[]
21. MK-ST-F-081 (timeWeightedReturn) → TimeWeightedVerdict
22. MK-ST-F-021 (toNumber) → number | null
23. MK-ST-F-031 (valueOn) → number | null
24. MK-ST-F-060 (verdict) → Reconciliation
25. MK-NW-F-105 (whyNoReturn) → string
26. MK-ST-F-038 (windowBounds) → WindowBounds
27. MK-NW-F-090 (windowStartKey) → string | null
28. MK-PF-F-042 (windowTotal) → number | null</t>
        </is>
      </c>
      <c r="P24" s="3" t="inlineStr">
        <is>
          <t>Declared by MK-NW-O-008 thePerformance</t>
        </is>
      </c>
      <c r="Q24" s="3" t="inlineStr">
        <is>
          <t>READ, NEVER BACK-SOLVED: with no recorded value the walk says so instead of inventing a start.</t>
        </is>
      </c>
      <c r="R24" s="3" t="inlineStr">
        <is>
          <t>READ, NEVER BACK-SOLVED: with no recorded value the walk says so instead of inventing a start.</t>
        </is>
      </c>
      <c r="S24" s="3" t="inlineStr"/>
      <c r="T24" s="3" t="inlineStr">
        <is>
          <t>READ, NEVER BACK-SOLVED: with no recorded value the walk says so instead of inventing a start.</t>
        </is>
      </c>
      <c r="U24" s="3" t="inlineStr"/>
      <c r="V24" s="3" t="inlineStr"/>
      <c r="W24" s="3" t="inlineStr"/>
      <c r="X24" s="3" t="inlineStr"/>
      <c r="Y24" s="3" t="inlineStr"/>
      <c r="Z24" s="3" t="inlineStr">
        <is>
          <t>DECLARED IN THE CODE (rule 11) — printed from the door, not typed. RULED 2026-10-01</t>
        </is>
      </c>
      <c r="AA24" s="3" t="inlineStr"/>
      <c r="AB24" s="3" t="inlineStr"/>
      <c r="AC24" s="3" t="inlineStr"/>
      <c r="AD24" s="3" t="inlineStr"/>
      <c r="AE24" s="3" t="inlineStr"/>
      <c r="AF24" s="3" t="inlineStr">
        <is>
          <t>ACTIVE</t>
        </is>
      </c>
      <c r="AG24" s="3" t="inlineStr">
        <is>
          <t>2026-10-19</t>
        </is>
      </c>
      <c r="AH24" s="3" t="inlineStr"/>
      <c r="AI24" s="3" t="inlineStr"/>
      <c r="AJ24"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2026-10-01; the figure, its formula, inputs and refusal live in MK-NW-O-008 thePerformance</t>
        </is>
      </c>
      <c r="AN24"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24" s="3" t="inlineStr">
        <is>
          <t>NOTHING OPEN</t>
        </is>
      </c>
    </row>
    <row r="25" ht="60" customHeight="1">
      <c r="A25" s="3" t="inlineStr">
        <is>
          <t>MK-PF-M-019</t>
        </is>
      </c>
      <c r="B25" s="3" t="inlineStr">
        <is>
          <t>Performance</t>
        </is>
      </c>
      <c r="C25" s="3" t="inlineStr">
        <is>
          <t>/invest</t>
        </is>
      </c>
      <c r="D25" s="3" t="inlineStr">
        <is>
          <t>one line of the walk</t>
        </is>
      </c>
      <c r="E25" s="3" t="inlineStr">
        <is>
          <t>one_line_of_the_walk</t>
        </is>
      </c>
      <c r="F25" s="3" t="inlineStr">
        <is>
          <t>thePerformance</t>
        </is>
      </c>
      <c r="G25" s="3" t="inlineStr">
        <is>
          <t>MK-NW-O-008</t>
        </is>
      </c>
      <c r="H25" s="3" t="inlineStr">
        <is>
          <t>contributions and withdrawals from the records inside the window; dividends and interest received; change in value = ending − beginning − contributions + withdrawals − dividends − interest</t>
        </is>
      </c>
      <c r="I25" s="3" t="inlineStr">
        <is>
          <t>contributions and withdrawals from the records inside the window; dividends and interest received; change in value = ending − beginning − contributions + withdrawals − dividends − interest</t>
        </is>
      </c>
      <c r="J25" s="3" t="inlineStr">
        <is>
          <t>MK-NW-I-003 the recorded history
MK-NW-I-004 the activity records</t>
        </is>
      </c>
      <c r="K25" s="3" t="inlineStr">
        <is>
          <t>dollars, whole</t>
        </is>
      </c>
      <c r="L25" s="3" t="inlineStr">
        <is>
          <t>A real $0 — a line with nothing in it still prints, so the structure never changes.</t>
        </is>
      </c>
      <c r="M25" s="3" t="inlineStr">
        <is>
          <t>every account together</t>
        </is>
      </c>
      <c r="N25" s="3" t="inlineStr">
        <is>
          <t>as of today</t>
        </is>
      </c>
      <c r="O25"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MK-CF-F-132 (map) → NOT DECLARED — the code does not say what it gives back
15. MK-ST-F-082 (movementsOf) → NOT DECLARED — the code does not say what it gives back
16. MK-NW-F-130 (notIncludedSentence) → string
17. MK-PF-F-010 (periodReturn) → number | null
18. MK-ST-F-013 (personalFlowTotals) → PersonalFlowTotals
19. MK-NW-F-091 (pricedGainOf) → number | null
20. MK-ST-F-030 (record) → SnapshotDay[]
21. MK-ST-F-081 (timeWeightedReturn) → TimeWeightedVerdict
22. MK-ST-F-021 (toNumber) → number | null
23. MK-ST-F-031 (valueOn) → number | null
24. MK-ST-F-060 (verdict) → Reconciliation
25. MK-NW-F-105 (whyNoReturn) → string
26. MK-ST-F-038 (windowBounds) → WindowBounds
27. MK-NW-F-090 (windowStartKey) → string | null
28. MK-PF-F-042 (windowTotal) → number | null</t>
        </is>
      </c>
      <c r="P25" s="3" t="inlineStr">
        <is>
          <t>Declared by MK-NW-O-008 thePerformance</t>
        </is>
      </c>
      <c r="Q25" s="3" t="inlineStr">
        <is>
          <t>THE LINES ALWAYS ADD UP TO THE ENDING — the change in investment value is what is left, so nothing is lost between the lines.</t>
        </is>
      </c>
      <c r="R25" s="3" t="inlineStr">
        <is>
          <t>THE LINES ALWAYS ADD UP TO THE ENDING — the change in investment value is what is left, so nothing is lost between the lines.</t>
        </is>
      </c>
      <c r="S25" s="3" t="inlineStr"/>
      <c r="T25" s="3" t="inlineStr">
        <is>
          <t>THE LINES ALWAYS ADD UP TO THE ENDING — the change in investment value is what is left, so nothing is lost between the lines.</t>
        </is>
      </c>
      <c r="U25" s="3" t="inlineStr"/>
      <c r="V25" s="3" t="inlineStr"/>
      <c r="W25" s="3" t="inlineStr"/>
      <c r="X25" s="3" t="inlineStr"/>
      <c r="Y25" s="3" t="inlineStr"/>
      <c r="Z25" s="3" t="inlineStr">
        <is>
          <t>DECLARED IN THE CODE (rule 11) — printed from the door, not typed. RULED 2026-10-01</t>
        </is>
      </c>
      <c r="AA25" s="3" t="inlineStr"/>
      <c r="AB25" s="3" t="inlineStr"/>
      <c r="AC25" s="3" t="inlineStr"/>
      <c r="AD25" s="3" t="inlineStr"/>
      <c r="AE25" s="3" t="inlineStr"/>
      <c r="AF25" s="3" t="inlineStr">
        <is>
          <t>ACTIVE</t>
        </is>
      </c>
      <c r="AG25" s="3" t="inlineStr">
        <is>
          <t>2026-10-19</t>
        </is>
      </c>
      <c r="AH25" s="3" t="inlineStr"/>
      <c r="AI25" s="3" t="inlineStr"/>
      <c r="AJ25"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2026-10-01; the figure, its formula, inputs and refusal live in MK-NW-O-008 thePerformance</t>
        </is>
      </c>
      <c r="AN25"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5" s="3" t="inlineStr">
        <is>
          <t>NOTHING OPEN</t>
        </is>
      </c>
    </row>
    <row r="26" ht="60" customHeight="1">
      <c r="A26" s="3" t="inlineStr">
        <is>
          <t>MK-PF-M-020</t>
        </is>
      </c>
      <c r="B26" s="3" t="inlineStr">
        <is>
          <t>Performance</t>
        </is>
      </c>
      <c r="C26" s="3" t="inlineStr">
        <is>
          <t>/invest</t>
        </is>
      </c>
      <c r="D26" s="3" t="inlineStr">
        <is>
          <t>Available cash</t>
        </is>
      </c>
      <c r="E26" s="3" t="inlineStr">
        <is>
          <t>available_cash</t>
        </is>
      </c>
      <c r="F26" s="3" t="inlineStr">
        <is>
          <t>thePerformance</t>
        </is>
      </c>
      <c r="G26" s="3" t="inlineStr">
        <is>
          <t>MK-NW-O-008</t>
        </is>
      </c>
      <c r="H26" s="3" t="inlineStr">
        <is>
          <t>the cash sleeve of a brokerage account; the whole balance of a cash account</t>
        </is>
      </c>
      <c r="I26" s="3" t="inlineStr">
        <is>
          <t>the cash sleeve of a brokerage account; the whole balance of a cash account</t>
        </is>
      </c>
      <c r="J26" s="3" t="inlineStr">
        <is>
          <t>MK-NW-I-001 your accounts</t>
        </is>
      </c>
      <c r="K26" s="3" t="inlineStr">
        <is>
          <t>dollars, whole</t>
        </is>
      </c>
      <c r="L26" s="3" t="inlineStr">
        <is>
          <t>No account picked — the line is not shown.</t>
        </is>
      </c>
      <c r="M26" s="3" t="inlineStr">
        <is>
          <t>one account</t>
        </is>
      </c>
      <c r="N26" s="3" t="inlineStr">
        <is>
          <t>as of today</t>
        </is>
      </c>
      <c r="O26"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MK-CF-F-132 (map) → NOT DECLARED — the code does not say what it gives back
15. MK-ST-F-082 (movementsOf) → NOT DECLARED — the code does not say what it gives back
16. MK-NW-F-130 (notIncludedSentence) → string
17. MK-PF-F-010 (periodReturn) → number | null
18. MK-ST-F-013 (personalFlowTotals) → PersonalFlowTotals
19. MK-NW-F-091 (pricedGainOf) → number | null
20. MK-ST-F-030 (record) → SnapshotDay[]
21. MK-ST-F-081 (timeWeightedReturn) → TimeWeightedVerdict
22. MK-ST-F-021 (toNumber) → number | null
23. MK-ST-F-031 (valueOn) → number | null
24. MK-ST-F-060 (verdict) → Reconciliation
25. MK-NW-F-105 (whyNoReturn) → string
26. MK-ST-F-038 (windowBounds) → WindowBounds
27. MK-NW-F-090 (windowStartKey) → string | null
28. MK-PF-F-042 (windowTotal) → number | null</t>
        </is>
      </c>
      <c r="P26" s="3" t="inlineStr">
        <is>
          <t>Declared by MK-NW-O-008 thePerformance</t>
        </is>
      </c>
      <c r="Q26" s="3" t="inlineStr">
        <is>
          <t>A BUY OR WITHDRAWAL BIGGER THAN THIS IS REFUSED on the sheet, with the words to deposit or transfer cash in first.</t>
        </is>
      </c>
      <c r="R26" s="3" t="inlineStr">
        <is>
          <t>A BUY OR WITHDRAWAL BIGGER THAN THIS IS REFUSED on the sheet, with the words to deposit or transfer cash in first.</t>
        </is>
      </c>
      <c r="S26" s="3" t="inlineStr"/>
      <c r="T26" s="3" t="inlineStr">
        <is>
          <t>A BUY OR WITHDRAWAL BIGGER THAN THIS IS REFUSED on the sheet, with the words to deposit or transfer cash in first.</t>
        </is>
      </c>
      <c r="U26" s="3" t="inlineStr"/>
      <c r="V26" s="3" t="inlineStr"/>
      <c r="W26" s="3" t="inlineStr"/>
      <c r="X26" s="3" t="inlineStr"/>
      <c r="Y26" s="3" t="inlineStr"/>
      <c r="Z26" s="3" t="inlineStr">
        <is>
          <t>DECLARED IN THE CODE (rule 11) — printed from the door, not typed. RULED 2026-10-01</t>
        </is>
      </c>
      <c r="AA26" s="3" t="inlineStr"/>
      <c r="AB26" s="3" t="inlineStr"/>
      <c r="AC26" s="3" t="inlineStr"/>
      <c r="AD26" s="3" t="inlineStr"/>
      <c r="AE26" s="3" t="inlineStr"/>
      <c r="AF26" s="3" t="inlineStr">
        <is>
          <t>ACTIVE</t>
        </is>
      </c>
      <c r="AG26" s="3" t="inlineStr">
        <is>
          <t>2026-10-19</t>
        </is>
      </c>
      <c r="AH26" s="3" t="inlineStr"/>
      <c r="AI26" s="3" t="inlineStr"/>
      <c r="AJ26"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2026-10-01; the figure, its formula, inputs and refusal live in MK-NW-O-008 thePerformance</t>
        </is>
      </c>
      <c r="AN26" s="3" t="inlineStr">
        <is>
          <t>A savings account holding $5,000 and nothing else.
GIVES: $5,000
(the test re-runs this through MK-NW-O-008 thePerformance on every build)</t>
        </is>
      </c>
      <c r="AO26" s="3" t="inlineStr">
        <is>
          <t>NOTHING OPEN</t>
        </is>
      </c>
    </row>
  </sheetData>
  <autoFilter ref="A1:AO2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7"/>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MK-ST-F-049 — Rounds the answer to a whole number.
6. MK-CF-F-150 — Uses a built-in s h o w f i r s t of 5.
7. MK-CF-F-023 — If monthly payment is missing it uses 0.</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MK-NW-F-133, MK-PL-F-026, MK-ST-F-027
2. MK-XS-I-002 account type (taxable, pre-tax, Roth) — read by MK-NW-F-011, MK-NW-F-120
3. MK-XS-I-003 institution name — read by MK-NW-F-134
4. MK-XS-I-004 holding quantity (shares) — read by MK-ST-F-027
5. MK-XS-I-005 holding price — read by MK-ST-F-027
6. MK-XS-I-007 purchase price and date (per lot) — read by MK-ST-F-027
7. MK-XS-I-013 bond maturity date — read by MK-NW-F-120, MK-NW-F-124, MK-ST-F-010
8. MK-XS-I-016 debt minimum payment — read by MK-CF-F-023
9. MK-XS-I-017 birth year — read by MK-PL-F-026
10. MK-XS-I-024 logged expenses — read by MK-CF-F-150, MK-CF-F-151, MK-CF-F-153, MK-CF-O-002, MK-NW-F-115
11. MK-XS-I-041 the payment the person chose to make on a debt — read by MK-CF-F-023
12. MK-XS-I-042 how a stream is paid — monthly, yearly or one lump — read by MK-CF-F-021, MK-CF-F-022, MK-CF-F-023, MK-CF-F-149, MK-CF-F-150, MK-CF-F-152
13. MK-XS-I-048 the person’s own asset-class answer — read by MK-NW-F-011, MK-ST-F-027
14. MK-XS-I-050 the share of an account earmarked for retirement — read by MK-NW-F-032
15. MK-XS-I-055 the wrapper an account sits in — ISA, 401(k), IRA and the rest — read by MK-NW-F-011, MK-NW-F-030, MK-NW-F-031, MK-NW-F-120, MK-NW-F-134,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MK-ST-F-049 — Rounds the answer to a whole number.
6. MK-CF-F-150 — Uses a built-in s h o w f i r s t of 5.
7. MK-CF-F-023 — If monthly payment is missing it uses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MK-NW-F-133, MK-PL-F-026, MK-ST-F-027
2. MK-XS-I-002 account type (taxable, pre-tax, Roth) — read by MK-NW-F-011, MK-NW-F-120
3. MK-XS-I-003 institution name — read by MK-NW-F-134
4. MK-XS-I-004 holding quantity (shares) — read by MK-ST-F-027
5. MK-XS-I-005 holding price — read by MK-ST-F-027
6. MK-XS-I-007 purchase price and date (per lot) — read by MK-ST-F-027
7. MK-XS-I-013 bond maturity date — read by MK-NW-F-120, MK-NW-F-124, MK-ST-F-010
8. MK-XS-I-016 debt minimum payment — read by MK-CF-F-023
9. MK-XS-I-017 birth year — read by MK-PL-F-026
10. MK-XS-I-024 logged expenses — read by MK-CF-F-150, MK-CF-F-151, MK-CF-F-153, MK-CF-O-002, MK-NW-F-115
11. MK-XS-I-041 the payment the person chose to make on a debt — read by MK-CF-F-023
12. MK-XS-I-042 how a stream is paid — monthly, yearly or one lump — read by MK-CF-F-021, MK-CF-F-022, MK-CF-F-023, MK-CF-F-149, MK-CF-F-150, MK-CF-F-152
13. MK-XS-I-048 the person’s own asset-class answer — read by MK-NW-F-011, MK-ST-F-027
14. MK-XS-I-050 the share of an account earmarked for retirement — read by MK-NW-F-032
15. MK-XS-I-055 the wrapper an account sits in — ISA, 401(k), IRA and the rest — read by MK-NW-F-011, MK-NW-F-030, MK-NW-F-031, MK-NW-F-120, MK-NW-F-134,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9"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MK-NW-F-037 — Uses a built-in d e f a u l t r e t u r n of 7%.
14. MK-NW-F-035 — If v is missing it uses 12%.
15. MK-PL-F-083 — Founder ruling brief Q-50 (2026-08-20), executed 2026-09-08 (G30): the default is the dated 30-year average — 2.5% a year, Bureau of Labor Statistics CPI-U 1996–2025, checked 2026-09-08 — never a live feed; the person's own rate outranks it.
16. MK-CF-F-089 — Uses today's date from the device clock, so the answer changes by itself overnight.
17. MK-PL-F-060 — If statement monthly is missing it counts as zero, so nothing recorded and a real zero look the same.
18. MK-CF-F-083 — Turns a monthly figure into a year by multiplying by twelve.
19. MK-CF-F-083 — Uses today's date from the device clock, so the answer changes by itself overnight.
20. MK-PL-F-065 — Never lets the answer fall below 5% or rise above 20%.
21. MK-XS-F-017 — Uses today's date from the device clock, so the answer changes by itself overnight.
22. MK-NW-F-034 — If return is missing it uses 6%.
23. MK-NW-F-032 — If balance is missing it counts as zero, so nothing recorded and a real zero look the same.
24. MK-NW-F-032 — Caps percent at 100.
25. MK-NW-F-031 — If balance is missing it counts as zero, so nothing recorded and a real zero look the same.
… and 45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MK-NW-F-037,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MK-NW-F-124,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TaxSplit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MK-NW-F-031 — If balance is missing it counts as zero, so nothing recorded and a real zero look the same.
5. MK-CF-F-023 — If monthly payment is missing it uses 0.
6. MK-ST-F-049 — Rounds the answer to a whole number.</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MK-NW-F-031, MK-NW-F-032, MK-NW-F-133, MK-ST-F-027
2. MK-XS-I-002 account type (taxable, pre-tax, Roth) — read by MK-NW-F-011, MK-NW-F-012, MK-NW-F-025, MK-NW-F-120, MK-PL-F-086
3. MK-XS-I-003 institution name — read by MK-NW-F-025, MK-NW-F-026, MK-NW-F-134
4. MK-XS-I-004 holding quantity (shares) — read by MK-ST-F-027
5. MK-XS-I-005 holding price — read by MK-ST-F-027
6. MK-XS-I-007 purchase price and date (per lot) — read by MK-ST-F-027
7. MK-XS-I-013 bond maturity date — read by MK-NW-F-120, MK-NW-F-124, MK-ST-F-010
8. MK-XS-I-016 debt minimum payment — read by MK-CF-F-023
9. MK-XS-I-018 retirement age — read by MK-PL-F-049
10. MK-XS-I-019 monthly expenses in retirement — read by MK-PL-F-049
11. MK-XS-I-022 pension monthly amount — read by MK-PL-F-049
12. MK-XS-I-024 logged expenses — read by MK-CF-F-150, MK-CF-F-151, MK-CF-F-153, MK-CF-O-002, MK-NW-F-115
13. MK-XS-I-028 assumed return — read by MK-PL-F-049
14. MK-XS-I-029 inflation rate — read by MK-PL-F-049
15. MK-XS-I-035 annuity income — read by MK-PL-F-049
16. MK-XS-I-036 other guaranteed income — read by MK-PL-F-049
17. MK-XS-I-041 the payment the person chose to make on a debt — read by MK-CF-F-023
18. MK-XS-I-042 how a stream is paid — monthly, yearly or one lump — read by MK-CF-F-021, MK-CF-F-022, MK-CF-F-023, MK-CF-F-149, MK-CF-F-150, MK-CF-F-152
19. MK-XS-I-043 their own retirement contribution — read by MK-PL-F-049
20. MK-XS-I-044 the person’s own plan overrides — read by MK-PL-F-049
21. MK-XS-I-045 where they will live in retirement — read by MK-PL-F-049
22. MK-XS-I-048 the person’s own asset-class answer — read by MK-NW-F-011, MK-ST-F-027
23. MK-XS-I-050 the share of an account earmarked for retirement — read by MK-NW-F-032
24. MK-XS-I-055 the wrapper an account sits in — ISA, 401(k), IRA and the rest — read by MK-NW-F-011, MK-NW-F-012, MK-NW-F-023, MK-NW-F-025, MK-NW-F-030, MK-NW-F-031, MK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12"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MK-NW-F-037 — Uses a built-in d e f a u l t r e t u r n of 7%.
14. MK-NW-F-035 — If v is missing it uses 12%.
15. MK-PL-F-083 — Founder ruling brief Q-50 (2026-08-20), executed 2026-09-08 (G30): the default is the dated 30-year average — 2.5% a year, Bureau of Labor Statistics CPI-U 1996–2025, checked 2026-09-08 — never a live feed; the person's own rate outranks it.
16. MK-CF-F-089 — Uses today's date from the device clock, so the answer changes by itself overnight.
17. MK-PL-F-060 — If statement monthly is missing it counts as zero, so nothing recorded and a real zero look the same.
18. MK-CF-F-083 — Turns a monthly figure into a year by multiplying by twelve.
19. MK-CF-F-083 — Uses today's date from the device clock, so the answer changes by itself overnight.
20. MK-PL-F-065 — Never lets the answer fall below 5% or rise above 20%.
21. MK-XS-F-017 — Uses today's date from the device clock, so the answer changes by itself overnight.
22. MK-NW-F-034 — If return is missing it uses 6%.
23. MK-NW-F-032 — If balance is missing it counts as zero, so nothing recorded and a real zero look the same.
24. MK-NW-F-032 — Caps percent at 100.
25. MK-NW-F-031 — If balance is missing it counts as zero, so nothing recorded and a real zero look the same.
… and 45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MK-NW-F-037,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MK-NW-F-124,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1. MK-NW-F-120 classEvidenceOf → MK-NW-F-011 assetClassOf → MK-NW-F-007 assetKind → MK-NW-F-034 benchmarkReturn → MK-NW-F-037 blendedReturn → MK-NW-F-003 valueFreshness
2. MK-XS-F-122 n → MK-CF-F-155 cash → MK-NW-F-007 assetKind → MK-NW-F-034 benchmarkReturn → MK-NW-F-037 blendedReturn → MK-NW-F-003 valueFreshness
3. MK-NW-F-120 classEvidenceOf → MK-NW-F-011 assetClassOf → MK-NW-F-030 earmarkDefault → MK-NW-F-032 earmarkedAmount → MK-NW-F-037 blendedReturn → MK-NW-F-003 valueFreshness
4. MK-CF-F-132 map → MK-NW-F-134 carValueNotEnteredNotes → MK-NW-F-031 primaryCarIdOf → MK-NW-F-037 blendedReturn → MK-NW-F-003 valueFreshness
5. MK-ST-F-049 formatMoney → MK-ST-F-053 money → MK-NW-F-134 carValueNotEnteredNotes → MK-NW-F-031 primaryCarIdOf → MK-NW-F-037 blendedReturn → MK-NW-F-003 valueFreshness
6. MK-XS-F-122 n → MK-ST-F-053 money → MK-NW-F-134 carValueNotEnteredNotes → MK-NW-F-031 primaryCarIdOf → MK-NW-F-037 blendedReturn → MK-NW-F-003 valueFreshness
7. primaryCarIdOf (already above — a loop) → MK-NW-F-134 carValueNotEnteredNotes → MK-NW-F-031 primaryCarIdOf → MK-NW-F-037 blendedReturn → MK-NW-F-003 valueFreshness
8. MK-NW-F-032 earmarkedAmount → MK-NW-F-033 retirementEarmarkedValue → MK-NW-F-134 carValueNotEnteredNotes → MK-NW-F-031 primaryCarIdOf → MK-NW-F-037 blendedReturn → MK-NW-F-003 valueFreshness
9. … and 4 more paths</t>
        </is>
      </c>
      <c r="Q17" s="3" t="inlineStr">
        <is>
          <t>1. MK-NW-F-003 — Turns a monthly figure into a year by multiplying by twelve.
2. MK-NW-F-003 — Uses today's date from the device clock, so the answer changes by itself overnight.
3. MK-NW-F-037 — Uses a built-in d e f a u l t r e t u r n of 7%.
4. MK-NW-F-034 — If return is missing it uses 6%.
5. MK-NW-F-032 — If balance is missing it counts as zero, so nothing recorded and a real zero look the same.
6. MK-NW-F-032 — Caps percent at 100.
7. MK-NW-F-031 — If balance is missing it counts as zero, so nothing recorded and a real zero look the same.
8. MK-ST-F-049 — Rounds the answer to a whole number.
9. MK-CF-F-150 — Uses a built-in s h o w f i r s t of 5.
10. MK-CF-F-023 — If monthly payment is missing it uses 0.</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30"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MK-NW-F-037 — Uses a built-in d e f a u l t r e t u r n of 7%.
14. MK-NW-F-035 — If v is missing it uses 12%.
15. MK-PL-F-083 — Founder ruling brief Q-50 (2026-08-20), executed 2026-09-08 (G30): the default is the dated 30-year average — 2.5% a year, Bureau of Labor Statistics CPI-U 1996–2025, checked 2026-09-08 — never a live feed; the person's own rate outranks it.
16. MK-CF-F-089 — Uses today's date from the device clock, so the answer changes by itself overnight.
17. MK-PL-F-060 — If statement monthly is missing it counts as zero, so nothing recorded and a real zero look the same.
18. MK-CF-F-083 — Turns a monthly figure into a year by multiplying by twelve.
19. MK-CF-F-083 — Uses today's date from the device clock, so the answer changes by itself overnight.
20. MK-PL-F-065 — Never lets the answer fall below 5% or rise above 20%.
21. MK-XS-F-017 — Uses today's date from the device clock, so the answer changes by itself overnight.
22. MK-NW-F-034 — If return is missing it uses 6%.
23. MK-NW-F-032 — If balance is missing it counts as zero, so nothing recorded and a real zero look the same.
24. MK-NW-F-032 — Caps percent at 100.
25. MK-NW-F-031 — If balance is missing it counts as zero, so nothing recorded and a real zero look the same.
… and 45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MK-NW-F-037,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MK-NW-F-124,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MK-CF-F-132 map → MK-NW-F-134 carValueNotEnteredNotes → MK-NW-F-031 primaryCarIdOf → MK-NW-F-033 retirementEarmarkedValue → MK-PL-F-068 selectWillItLast
5. MK-ST-F-049 formatMoney → MK-ST-F-053 money → MK-NW-F-134 carValueNotEnteredNotes → MK-NW-F-031 primaryCarIdOf → MK-NW-F-033 retirementEarmarkedValue → MK-PL-F-068 selectWillItLast
6. MK-XS-F-122 n → MK-ST-F-053 money → MK-NW-F-134 carValueNotEnteredNotes → MK-NW-F-031 primaryCarIdOf → MK-NW-F-033 retirementEarmarkedValue → MK-PL-F-068 selectWillItLast
7. primaryCarIdOf (already above — a loop) → MK-NW-F-134 carValueNotEnteredNotes → MK-NW-F-031 primaryCarIdOf → MK-NW-F-033 retirementEarmarkedValue → MK-PL-F-068 selectWillItLast
8. retirementEarmarkedValue (already above — a loop) → MK-NW-F-134 carValueNotEnteredNotes → MK-NW-F-031 primaryCarIdOf → MK-NW-F-033 retirementEarmarkedValue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46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MK-NW-F-037,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MK-NW-F-124,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MK-PL-F-068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60" customHeight="1">
      <c r="A40" s="3" t="inlineStr"/>
      <c r="B40" s="3" t="inlineStr">
        <is>
          <t>Plan</t>
        </is>
      </c>
      <c r="C40" s="3" t="inlineStr">
        <is>
          <t>/add-account</t>
        </is>
      </c>
      <c r="D40" s="3" t="inlineStr">
        <is>
          <t>—</t>
        </is>
      </c>
      <c r="E40" s="3" t="inlineStr">
        <is>
          <t>—</t>
        </is>
      </c>
      <c r="F40" s="3" t="inlineStr">
        <is>
          <t>—</t>
        </is>
      </c>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DETERMINED</t>
        </is>
      </c>
      <c r="Y40" s="3" t="inlineStr">
        <is>
          <t>READ 2026-08-22 — no calculated figure on this screen</t>
        </is>
      </c>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/bonds</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/holding-detail</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/itemize</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/look-back</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45" customHeight="1">
      <c r="A45" s="3" t="inlineStr"/>
      <c r="B45" s="3" t="inlineStr">
        <is>
          <t>Plan</t>
        </is>
      </c>
      <c r="C45" s="3" t="inlineStr">
        <is>
          <t>/monthly-income</t>
        </is>
      </c>
      <c r="D45" s="3" t="inlineStr"/>
      <c r="E45" s="3" t="inlineStr"/>
      <c r="F45" s="3" t="inlineStr"/>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STARTED — screen not yet read</t>
        </is>
      </c>
      <c r="Y45" s="3" t="n"/>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/performance</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the same screen as /invest, reached by a second route</t>
        </is>
      </c>
      <c r="Z46" s="3" t="n"/>
      <c r="AA46" s="3" t="n"/>
      <c r="AB46" s="3" t="n"/>
      <c r="AC46" s="3" t="n"/>
      <c r="AD46" s="3" t="n"/>
      <c r="AE46" s="3" t="n"/>
      <c r="AF46" s="3" t="n"/>
      <c r="AG46" s="3" t="n"/>
      <c r="AH46" s="3" t="n"/>
      <c r="AI46" s="3" t="n"/>
      <c r="AJ46" s="3" t="n"/>
      <c r="AK46" s="3" t="n"/>
      <c r="AL46" s="3" t="n"/>
      <c r="AM46" s="3" t="n"/>
      <c r="AN46" s="3" t="n"/>
      <c r="AO46" s="3" t="n"/>
    </row>
    <row r="47" ht="60" customHeight="1">
      <c r="A47" s="3" t="inlineStr"/>
      <c r="B47" s="3" t="inlineStr">
        <is>
          <t>Plan</t>
        </is>
      </c>
      <c r="C47" s="3" t="inlineStr">
        <is>
          <t>/sharpen</t>
        </is>
      </c>
      <c r="D47" s="3" t="inlineStr">
        <is>
          <t>—</t>
        </is>
      </c>
      <c r="E47" s="3" t="inlineStr">
        <is>
          <t>—</t>
        </is>
      </c>
      <c r="F47" s="3" t="inlineStr">
        <is>
          <t>—</t>
        </is>
      </c>
      <c r="G47" s="3" t="inlineStr"/>
      <c r="H47" s="3" t="inlineStr"/>
      <c r="I47" s="3" t="inlineStr"/>
      <c r="J47" s="3" t="inlineStr"/>
      <c r="K47" s="3" t="inlineStr"/>
      <c r="L47" s="3" t="inlineStr"/>
      <c r="M47" s="3" t="inlineStr"/>
      <c r="N47" s="3" t="inlineStr"/>
      <c r="O47" s="3" t="inlineStr"/>
      <c r="P47" s="3" t="inlineStr"/>
      <c r="Q47" s="3" t="inlineStr"/>
      <c r="R47" s="3" t="inlineStr"/>
      <c r="S47" s="3" t="inlineStr"/>
      <c r="T47" s="3" t="inlineStr"/>
      <c r="U47" s="3" t="inlineStr"/>
      <c r="V47" s="3" t="inlineStr"/>
      <c r="W47" s="3" t="inlineStr"/>
      <c r="X47" s="3" t="inlineStr">
        <is>
          <t>NOT DETERMINED</t>
        </is>
      </c>
      <c r="Y47" s="3" t="inlineStr">
        <is>
          <t>READ 2026-08-22 — no calculated figure on this screen</t>
        </is>
      </c>
      <c r="Z47" s="3" t="n"/>
      <c r="AA47" s="3" t="n"/>
      <c r="AB47" s="3" t="n"/>
      <c r="AC47" s="3" t="n"/>
      <c r="AD47" s="3" t="n"/>
      <c r="AE47" s="3" t="n"/>
      <c r="AF47" s="3" t="n"/>
      <c r="AG47" s="3" t="n"/>
      <c r="AH47" s="3" t="n"/>
      <c r="AI47" s="3" t="n"/>
      <c r="AJ47" s="3" t="n"/>
      <c r="AK47" s="3" t="n"/>
      <c r="AL47" s="3" t="n"/>
      <c r="AM47" s="3" t="n"/>
      <c r="AN47" s="3" t="n"/>
      <c r="AO47" s="3" t="n"/>
    </row>
  </sheetData>
  <autoFilter ref="A1:AO47"/>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7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Cashflow</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Cashflow</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Cashflow</t>
        </is>
      </c>
      <c r="C4" s="3" t="inlineStr">
        <is>
          <t>/bill-calendar</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Cashflow</t>
        </is>
      </c>
      <c r="C5" s="3" t="inlineStr">
        <is>
          <t>/bonds</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Cashflow</t>
        </is>
      </c>
      <c r="C6" s="3" t="inlineStr">
        <is>
          <t>/holding-detail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Cashflow</t>
        </is>
      </c>
      <c r="C7" s="3" t="inlineStr">
        <is>
          <t>/income-manager</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Cashflow</t>
        </is>
      </c>
      <c r="C8" s="3" t="inlineStr">
        <is>
          <t>/itemize</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Cashflow</t>
        </is>
      </c>
      <c r="C9" s="3" t="inlineStr">
        <is>
          <t>/look-back</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45" customHeight="1">
      <c r="A10" s="3" t="inlineStr"/>
      <c r="B10" s="3" t="inlineStr">
        <is>
          <t>Cashflow</t>
        </is>
      </c>
      <c r="C10" s="3" t="inlineStr">
        <is>
          <t>/monthly-income</t>
        </is>
      </c>
      <c r="D10" s="3" t="inlineStr"/>
      <c r="E10" s="3" t="inlineStr"/>
      <c r="F10" s="3" t="inlineStr"/>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STARTED — screen not yet read</t>
        </is>
      </c>
      <c r="Y10" s="3" t="n"/>
      <c r="Z10" s="3" t="n"/>
      <c r="AA10" s="3" t="n"/>
      <c r="AB10" s="3" t="n"/>
      <c r="AC10" s="3" t="n"/>
      <c r="AD10" s="3" t="n"/>
      <c r="AE10" s="3" t="n"/>
      <c r="AF10" s="3" t="n"/>
      <c r="AG10" s="3" t="n"/>
      <c r="AH10" s="3" t="n"/>
      <c r="AI10" s="3" t="n"/>
      <c r="AJ10" s="3" t="n"/>
      <c r="AK10" s="3" t="n"/>
      <c r="AL10" s="3" t="n"/>
      <c r="AM10" s="3" t="n"/>
      <c r="AN10" s="3" t="n"/>
      <c r="AO10" s="3" t="n"/>
    </row>
    <row r="11" ht="60" customHeight="1">
      <c r="A11" s="3" t="inlineStr"/>
      <c r="B11" s="3" t="inlineStr">
        <is>
          <t>Cashflow</t>
        </is>
      </c>
      <c r="C11" s="3" t="inlineStr">
        <is>
          <t>/onboarding</t>
        </is>
      </c>
      <c r="D11" s="3" t="inlineStr">
        <is>
          <t>—</t>
        </is>
      </c>
      <c r="E11" s="3" t="inlineStr">
        <is>
          <t>—</t>
        </is>
      </c>
      <c r="F11" s="3" t="inlineStr">
        <is>
          <t>—</t>
        </is>
      </c>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DETERMINED</t>
        </is>
      </c>
      <c r="Y11" s="3" t="inlineStr">
        <is>
          <t>READ 2026-08-22 — no calculated figure on this screen</t>
        </is>
      </c>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Cashflow</t>
        </is>
      </c>
      <c r="C12" s="3" t="inlineStr">
        <is>
          <t>/performance</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the same screen as /invest, reached by a second route</t>
        </is>
      </c>
      <c r="Z12" s="3" t="n"/>
      <c r="AA12" s="3" t="n"/>
      <c r="AB12" s="3" t="n"/>
      <c r="AC12" s="3" t="n"/>
      <c r="AD12" s="3" t="n"/>
      <c r="AE12" s="3" t="n"/>
      <c r="AF12" s="3" t="n"/>
      <c r="AG12" s="3" t="n"/>
      <c r="AH12" s="3" t="n"/>
      <c r="AI12" s="3" t="n"/>
      <c r="AJ12" s="3" t="n"/>
      <c r="AK12" s="3" t="n"/>
      <c r="AL12" s="3" t="n"/>
      <c r="AM12" s="3" t="n"/>
      <c r="AN12" s="3" t="n"/>
      <c r="AO12" s="3" t="n"/>
    </row>
    <row r="13" ht="60" customHeight="1">
      <c r="A13" s="3" t="inlineStr">
        <is>
          <t>MK-CF-M-001</t>
        </is>
      </c>
      <c r="B13" s="3" t="inlineStr">
        <is>
          <t>Cashflow</t>
        </is>
      </c>
      <c r="C13" s="3" t="inlineStr">
        <is>
          <t>/cashflow</t>
        </is>
      </c>
      <c r="D13" s="3" t="inlineStr">
        <is>
          <t>Expenses</t>
        </is>
      </c>
      <c r="E13" s="3" t="inlineStr">
        <is>
          <t>expenses</t>
        </is>
      </c>
      <c r="F13" s="3" t="inlineStr">
        <is>
          <t>theMonth</t>
        </is>
      </c>
      <c r="G13" s="3" t="inlineStr">
        <is>
          <t>MK-CF-O-010</t>
        </is>
      </c>
      <c r="H13" s="3" t="inlineStr">
        <is>
          <t>your budget — the per-category plan added up</t>
        </is>
      </c>
      <c r="I13" s="3" t="inlineStr">
        <is>
          <t>your budget — the per-category plan added up</t>
        </is>
      </c>
      <c r="J13" s="3" t="inlineStr">
        <is>
          <t>MK-CF-I-001 your logged expenses</t>
        </is>
      </c>
      <c r="K13" s="3" t="inlineStr">
        <is>
          <t>dollars, whole a month</t>
        </is>
      </c>
      <c r="L13" s="3" t="inlineStr">
        <is>
          <t>$0, and under it the one line "Nothing entered yet. Add your income ›" (mock approved 2026-09-12). A real zero that was entered shows a plain $0 with no line.</t>
        </is>
      </c>
      <c r="M13" s="3" t="inlineStr">
        <is>
          <t>one figure per household</t>
        </is>
      </c>
      <c r="N13" s="3" t="inlineStr">
        <is>
          <t>a month</t>
        </is>
      </c>
      <c r="O13" s="3" t="inlineStr">
        <is>
          <t>1. MK-CF-F-203 (MONTH) → NOT DECLARED — the code does not say what it gives back
2. MK-CF-F-155 (cash) → number
3. MK-CF-O-002 (expenses) → Expenses
4. MK-CF-O-003 (thisMonth) → ThisMonth</t>
        </is>
      </c>
      <c r="P13" s="3" t="inlineStr">
        <is>
          <t>Declared by MK-CF-O-010 theMonth</t>
        </is>
      </c>
      <c r="Q13" s="3" t="inlineStr">
        <is>
          <t>One line on This month, and the Expenses tab is its detail — not a second answer to the same question (his correction, 2026-09-28).</t>
        </is>
      </c>
      <c r="R13" s="3" t="inlineStr">
        <is>
          <t>One line on This month, and the Expenses tab is its detail — not a second answer to the same question (his correction, 2026-09-28).</t>
        </is>
      </c>
      <c r="S13" s="3" t="inlineStr"/>
      <c r="T13" s="3" t="inlineStr">
        <is>
          <t>One line on This month, and the Expenses tab is its detail — not a second answer to the same question (his correction, 2026-09-28).</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income ›'). File written; the screen follows the approved empty-state mock (one pattern, one screen), then every screen.</t>
        </is>
      </c>
      <c r="AF13" s="3" t="inlineStr">
        <is>
          <t>ACTIVE</t>
        </is>
      </c>
      <c r="AG13" s="3" t="inlineStr">
        <is>
          <t>2026-10-19</t>
        </is>
      </c>
      <c r="AH13" s="3" t="inlineStr"/>
      <c r="AI13" s="3" t="inlineStr"/>
      <c r="AJ1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MK-CF-O-010 theMonth</t>
        </is>
      </c>
      <c r="AN13"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−$3,400/month
(the test re-runs this through MK-CF-O-010 theMonth on every build)</t>
        </is>
      </c>
      <c r="AO13" s="7" t="inlineStr">
        <is>
          <t>RULED, NOT CODED (Q-CF-2 — one question, one function)</t>
        </is>
      </c>
    </row>
    <row r="14" ht="60" customHeight="1">
      <c r="A14" s="3" t="inlineStr">
        <is>
          <t>MK-CF-M-002</t>
        </is>
      </c>
      <c r="B14" s="3" t="inlineStr">
        <is>
          <t>Cashflow</t>
        </is>
      </c>
      <c r="C14" s="3" t="inlineStr">
        <is>
          <t>/cashflow · /home</t>
        </is>
      </c>
      <c r="D14" s="3">
        <f> Planned surplus</f>
        <v/>
      </c>
      <c r="E14" s="3" t="inlineStr">
        <is>
          <t>planned_surplus</t>
        </is>
      </c>
      <c r="F14" s="3" t="inlineStr">
        <is>
          <t>theMonth</t>
        </is>
      </c>
      <c r="G14" s="3" t="inlineStr">
        <is>
          <t>MK-CF-O-010</t>
        </is>
      </c>
      <c r="H14" s="3" t="inlineStr">
        <is>
          <t>the inflow, less every debt payment due, less the budget, less each big-ticket item</t>
        </is>
      </c>
      <c r="I14" s="3" t="inlineStr">
        <is>
          <t>the inflow, less every debt payment due, less the budget, less each big-ticket item</t>
        </is>
      </c>
      <c r="J14" s="3" t="inlineStr">
        <is>
          <t>MK-XS-I-023 salary and other income
MK-NW-I-002 your debts
MK-CF-I-001 your logged expenses</t>
        </is>
      </c>
      <c r="K14" s="3" t="inlineStr">
        <is>
          <t>dollars, whole a month</t>
        </is>
      </c>
      <c r="L14" s="3" t="inlineStr">
        <is>
          <t>$0, and under it the one line "Nothing entered yet. Add your bills ›" (mock approved 2026-09-12). A real zero that was entered shows a plain $0 with no line.</t>
        </is>
      </c>
      <c r="M14" s="3" t="inlineStr">
        <is>
          <t>one figure per household</t>
        </is>
      </c>
      <c r="N14" s="3" t="inlineStr">
        <is>
          <t>a month</t>
        </is>
      </c>
      <c r="O14" s="3" t="inlineStr">
        <is>
          <t>1. MK-CF-F-203 (MONTH) → NOT DECLARED — the code does not say what it gives back
2. MK-CF-F-155 (cash) → number
3. MK-CF-O-002 (expenses) → Expenses
4. MK-CF-O-003 (thisMonth) → ThisMonth</t>
        </is>
      </c>
      <c r="P14" s="3" t="inlineStr">
        <is>
          <t>Declared by MK-CF-O-010 theMonth</t>
        </is>
      </c>
      <c r="Q14" s="3" t="inlineStr">
        <is>
          <t>EVERY ROW SHOWN IS A ROW DEDUCTED (his rule under the approved design): nothing appears on This month without being in the sum.</t>
        </is>
      </c>
      <c r="R14" s="3" t="inlineStr">
        <is>
          <t>EVERY ROW SHOWN IS A ROW DEDUCTED (his rule under the approved design): nothing appears on This month without being in the sum.</t>
        </is>
      </c>
      <c r="S14" s="3" t="inlineStr"/>
      <c r="T14"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bills ›'). File written; the screen follows the approved empty-state mock (one pattern, one screen), then every screen.</t>
        </is>
      </c>
      <c r="AF14" s="3" t="inlineStr">
        <is>
          <t>ACTIVE</t>
        </is>
      </c>
      <c r="AG14" s="3" t="inlineStr">
        <is>
          <t>2026-10-19</t>
        </is>
      </c>
      <c r="AH14" s="3" t="inlineStr"/>
      <c r="AI14" s="3" t="inlineStr"/>
      <c r="AJ1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MK-CF-O-010 theMonth</t>
        </is>
      </c>
      <c r="AN1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$1,150/month
(the test re-runs this through MK-CF-O-010 theMonth on every build)</t>
        </is>
      </c>
      <c r="AO14" s="7" t="inlineStr">
        <is>
          <t>RULED, NOT CODED (Q-CF-2 — one question, one function)</t>
        </is>
      </c>
    </row>
    <row r="15" ht="60" customHeight="1">
      <c r="A15" s="3" t="inlineStr">
        <is>
          <t>MK-CF-M-003</t>
        </is>
      </c>
      <c r="B15" s="3" t="inlineStr">
        <is>
          <t>Cashflow</t>
        </is>
      </c>
      <c r="C15" s="3" t="inlineStr">
        <is>
          <t>/cashflow</t>
        </is>
      </c>
      <c r="D15" s="3">
        <f> Actual surplus so far</f>
        <v/>
      </c>
      <c r="E15" s="3" t="inlineStr">
        <is>
          <t>actual_surplus_so_far</t>
        </is>
      </c>
      <c r="F15" s="3" t="inlineStr">
        <is>
          <t>theMonth</t>
        </is>
      </c>
      <c r="G15" s="3" t="inlineStr">
        <is>
          <t>MK-CF-O-010</t>
        </is>
      </c>
      <c r="H15" s="3" t="inlineStr">
        <is>
          <t>the inflow received, less each debt actually paid, less everything logged by hand and imported</t>
        </is>
      </c>
      <c r="I15" s="3" t="inlineStr">
        <is>
          <t>the inflow received, less each debt actually paid, less everything logged by hand and imported</t>
        </is>
      </c>
      <c r="J15" s="3" t="inlineStr">
        <is>
          <t>MK-NW-I-004 the activity records
MK-CF-I-001 your logged expenses</t>
        </is>
      </c>
      <c r="K15" s="3" t="inlineStr">
        <is>
          <t>dollars, whole a month</t>
        </is>
      </c>
      <c r="L15" s="3" t="inlineStr">
        <is>
          <t>Nothing logged and no card linked — it says so and offers the door.</t>
        </is>
      </c>
      <c r="M15" s="3" t="inlineStr">
        <is>
          <t>one figure per household</t>
        </is>
      </c>
      <c r="N15" s="3" t="inlineStr">
        <is>
          <t>a month</t>
        </is>
      </c>
      <c r="O15" s="3" t="inlineStr">
        <is>
          <t>1. MK-CF-F-203 (MONTH) → NOT DECLARED — the code does not say what it gives back
2. MK-CF-F-155 (cash) → number
3. MK-CF-O-002 (expenses) → Expenses
4. MK-CF-O-003 (thisMonth) → ThisMonth</t>
        </is>
      </c>
      <c r="P15" s="3" t="inlineStr">
        <is>
          <t>Declared by MK-CF-O-010 theMonth</t>
        </is>
      </c>
      <c r="Q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15" s="3" t="inlineStr"/>
      <c r="T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c r="AF15" s="3" t="inlineStr">
        <is>
          <t>ACTIVE</t>
        </is>
      </c>
      <c r="AG15" s="3" t="inlineStr">
        <is>
          <t>2026-10-19</t>
        </is>
      </c>
      <c r="AH15" s="3" t="inlineStr"/>
      <c r="AI15" s="3" t="inlineStr"/>
      <c r="AJ1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MK-CF-O-010 theMonth</t>
        </is>
      </c>
      <c r="AN1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$3,952/month
(the test re-runs this through MK-CF-O-010 theMonth on every build)</t>
        </is>
      </c>
      <c r="AO15" s="7" t="inlineStr">
        <is>
          <t>RULED, NOT CODED (Q-CF-2 — one question, one function)</t>
        </is>
      </c>
    </row>
    <row r="16" ht="60" customHeight="1">
      <c r="A16" s="3" t="inlineStr">
        <is>
          <t>MK-CF-M-004</t>
        </is>
      </c>
      <c r="B16" s="3" t="inlineStr">
        <is>
          <t>Cashflow</t>
        </is>
      </c>
      <c r="C16" s="3" t="inlineStr">
        <is>
          <t>/cashflow</t>
        </is>
      </c>
      <c r="D16" s="3" t="inlineStr">
        <is>
          <t>each row of the month — what it is and what it costs</t>
        </is>
      </c>
      <c r="E16" s="3" t="inlineStr">
        <is>
          <t>each_row_of_the_month__what_it_is_and_wh</t>
        </is>
      </c>
      <c r="F16" s="3" t="inlineStr">
        <is>
          <t>theMonth</t>
        </is>
      </c>
      <c r="G16" s="3" t="inlineStr">
        <is>
          <t>MK-CF-F-194</t>
        </is>
      </c>
      <c r="H16" s="3" t="inlineStr">
        <is>
          <t>outflow = expenses this month + debt actually paid this month  (a month with a saved snapshot: its expenses + debt paid; a month without one: the expenses logged so far)</t>
        </is>
      </c>
      <c r="I16" s="3" t="inlineStr">
        <is>
          <t>This month's outflow: everything logged as an expense plus every debt payment actually made — from one function (MK-CF-F-194 monthOutflow), never added on the screen. The label says what is inside: "Outflow (expenses + debt)".</t>
        </is>
      </c>
      <c r="J16" s="3" t="inlineStr">
        <is>
          <t>MK-XS-I-023 salary and other income
MK-NW-I-002 your debts
MK-CF-I-001 your logged expenses</t>
        </is>
      </c>
      <c r="K16" s="3" t="inlineStr">
        <is>
          <t>dollars, whole</t>
        </is>
      </c>
      <c r="L16" s="3" t="inlineStr">
        <is>
          <t>$0, and under it the one line "Nothing entered yet. Log your expenses ›" (mock approved 2026-09-12). A real zero that was entered shows a plain $0 with no line.</t>
        </is>
      </c>
      <c r="M16" s="3" t="inlineStr">
        <is>
          <t>one row</t>
        </is>
      </c>
      <c r="N16" s="3" t="inlineStr">
        <is>
          <t>as of today</t>
        </is>
      </c>
      <c r="O16" s="3" t="inlineStr">
        <is>
          <t>None — it reads its inputs and answers</t>
        </is>
      </c>
      <c r="P16" s="3" t="inlineStr">
        <is>
          <t>Declared by MK-CF-O-010 theMonth</t>
        </is>
      </c>
      <c r="Q16" s="3" t="inlineStr">
        <is>
          <t>Drawn from the approved design (cash-flow_v01): the flow is SPELLED OUT, not summarised into three numbers.</t>
        </is>
      </c>
      <c r="R16" s="3" t="inlineStr">
        <is>
          <t>Drawn from the approved design (cash-flow_v01): the flow is SPELLED OUT, not summarised into three numbers.</t>
        </is>
      </c>
      <c r="S16" s="3" t="inlineStr"/>
      <c r="T16"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6" s="3" t="inlineStr"/>
      <c r="V16"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16" s="9" t="inlineStr">
        <is>
          <t>count them</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('Log your expenses ›'). File written; the screen follows the approved empty-state mock (one pattern, one screen), then every screen.</t>
        </is>
      </c>
      <c r="AF16" s="3" t="inlineStr">
        <is>
          <t>ACTIVE</t>
        </is>
      </c>
      <c r="AG16" s="3" t="inlineStr">
        <is>
          <t>2026-10-19</t>
        </is>
      </c>
      <c r="AH16" s="3" t="inlineStr"/>
      <c r="AI16" s="3" t="inlineStr"/>
      <c r="AJ16" s="3" t="inlineStr">
        <is>
          <t>NONE — no function in this chain reads a stored input the sweep knows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MK-CF-O-010 theMonth</t>
        </is>
      </c>
      <c r="AN1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−$250
(the test re-runs this through MK-CF-O-010 theMonth on every build)</t>
        </is>
      </c>
      <c r="AO16" s="9" t="inlineStr">
        <is>
          <t>WAITING ON YOU — question Q50 · RULED, NOT CODED (Q-CF-2 — one question, one function)</t>
        </is>
      </c>
    </row>
    <row r="17" ht="60" customHeight="1">
      <c r="A17" s="3" t="inlineStr">
        <is>
          <t>MK-CF-M-006</t>
        </is>
      </c>
      <c r="B17" s="3" t="inlineStr">
        <is>
          <t>Cashflow</t>
        </is>
      </c>
      <c r="C17" s="3" t="inlineStr">
        <is>
          <t>/cashflow</t>
        </is>
      </c>
      <c r="D17" s="3" t="inlineStr">
        <is>
          <t>YOUR SOURCES — Base salary</t>
        </is>
      </c>
      <c r="E17" s="3" t="inlineStr">
        <is>
          <t>your_sources__base_salary</t>
        </is>
      </c>
      <c r="F17" s="3" t="inlineStr">
        <is>
          <t>incomeSummary</t>
        </is>
      </c>
      <c r="G17" s="3" t="inlineStr">
        <is>
          <t>MK-CF-O-004</t>
        </is>
      </c>
      <c r="H17" s="3" t="inlineStr">
        <is>
          <t>the base salary of each earner, in the period it was entered</t>
        </is>
      </c>
      <c r="I17" s="3" t="inlineStr">
        <is>
          <t>the base salary of each earner, in the period it was entered</t>
        </is>
      </c>
      <c r="J17" s="3" t="inlineStr">
        <is>
          <t>MK-XS-I-023 salary and other income
MK-XS-I-060 how a person is paid — weekly, fortnightly, monthly</t>
        </is>
      </c>
      <c r="K17" s="3" t="inlineStr">
        <is>
          <t>dollars, whole</t>
        </is>
      </c>
      <c r="L17" s="3" t="inlineStr">
        <is>
          <t>$0, and under it the one line "Nothing entered yet. Add your income ›" (mock approved 2026-09-12). A real zero that was entered shows a plain $0 with no line.</t>
        </is>
      </c>
      <c r="M17" s="3" t="inlineStr">
        <is>
          <t>one earner</t>
        </is>
      </c>
      <c r="N17" s="3" t="inlineStr">
        <is>
          <t>as of today</t>
        </is>
      </c>
      <c r="O1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7" s="3" t="inlineStr">
        <is>
          <t>Declared by MK-CF-O-004 incomeSummary</t>
        </is>
      </c>
      <c r="Q17" s="3" t="inlineStr">
        <is>
          <t>NEVER CONVERTED SILENTLY: the amount is shown in the period it was entered, and the period is said beside it.</t>
        </is>
      </c>
      <c r="R17" s="3" t="inlineStr">
        <is>
          <t>NEVER CONVERTED SILENTLY: the amount is shown in the period it was entered, and the period is said beside it.</t>
        </is>
      </c>
      <c r="S17" s="3" t="inlineStr"/>
      <c r="T17" s="3" t="inlineStr">
        <is>
          <t>NEVER CONVERTED SILENTLY: the amount is shown in the period it was entered, and the period is said beside it.</t>
        </is>
      </c>
      <c r="U17" s="3" t="inlineStr"/>
      <c r="V17" s="3" t="inlineStr"/>
      <c r="W17" s="3" t="inlineStr"/>
      <c r="X17" s="3" t="inlineStr"/>
      <c r="Y17" s="3" t="inlineStr"/>
      <c r="Z17" s="3" t="inlineStr">
        <is>
          <t>DECLARED IN THE CODE (rule 11) — printed from the door, not typed. RULED 2026-10-02</t>
        </is>
      </c>
      <c r="AA17" s="3" t="inlineStr"/>
      <c r="AB17" s="3" t="inlineStr"/>
      <c r="AC17" s="3" t="inlineStr"/>
      <c r="AD17" s="3" t="inlineStr"/>
      <c r="AE17" s="3" t="inlineStr">
        <is>
          <t>G32 / Q48 — 2026-09-09: the 'division with nothing on the bottom' boilerplate is gone; this cell now states the row's real refusal. Where it says 'built', the screen already does it; the rest follow the empty-state mock.</t>
        </is>
      </c>
      <c r="AF17" s="3" t="inlineStr">
        <is>
          <t>ACTIVE</t>
        </is>
      </c>
      <c r="AG17" s="3" t="inlineStr">
        <is>
          <t>2026-10-19</t>
        </is>
      </c>
      <c r="AH17" s="3" t="inlineStr"/>
      <c r="AI17" s="3" t="inlineStr"/>
      <c r="AJ1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2026-10-02; the figure, its formula, inputs and refusal live in MK-CF-O-004 incomeSummary</t>
        </is>
      </c>
      <c r="AN17" s="3" t="inlineStr">
        <is>
          <t>The two earners above, plus $24,000/year of self-employment, a $12,000 bonus in March, 50 shares vesting at $400, a rental bringing in $2,000/month against $800 of costs, and $2,100/month of Social Security.
GIVES: $4,200
(the test re-runs this through MK-CF-O-004 incomeSummary on every build)</t>
        </is>
      </c>
      <c r="AO17" s="7" t="inlineStr">
        <is>
          <t>RULED, NOT CODED (Q-CF-1 — one question, one function)</t>
        </is>
      </c>
    </row>
    <row r="18" ht="60" customHeight="1">
      <c r="A18" s="3" t="inlineStr">
        <is>
          <t>MK-CF-M-007</t>
        </is>
      </c>
      <c r="B18" s="3" t="inlineStr">
        <is>
          <t>Cashflow</t>
        </is>
      </c>
      <c r="C18" s="3" t="inlineStr">
        <is>
          <t>/cashflow</t>
        </is>
      </c>
      <c r="D18" s="3" t="inlineStr">
        <is>
          <t>YOUR SOURCES — Self-employment</t>
        </is>
      </c>
      <c r="E18" s="3" t="inlineStr">
        <is>
          <t>your_sources__selfemployment</t>
        </is>
      </c>
      <c r="F18" s="3" t="inlineStr">
        <is>
          <t>incomeSummary</t>
        </is>
      </c>
      <c r="G18" s="3" t="inlineStr">
        <is>
          <t>MK-CF-O-004</t>
        </is>
      </c>
      <c r="H18" s="3" t="inlineStr">
        <is>
          <t>the self-employment amount as entered, monthly or yearly</t>
        </is>
      </c>
      <c r="I18" s="3" t="inlineStr">
        <is>
          <t>the self-employment amount as entered, monthly or yearly</t>
        </is>
      </c>
      <c r="J18" s="3" t="inlineStr">
        <is>
          <t>MK-XS-I-023 salary and other income</t>
        </is>
      </c>
      <c r="K18" s="3" t="inlineStr">
        <is>
          <t>dollars, whole</t>
        </is>
      </c>
      <c r="L18" s="3" t="inlineStr">
        <is>
          <t>$0, and under it the one line "Nothing entered yet. Add your income ›" (mock approved 2026-09-12). A real zero that was entered shows a plain $0 with no line.</t>
        </is>
      </c>
      <c r="M18" s="3" t="inlineStr">
        <is>
          <t>one figure per household</t>
        </is>
      </c>
      <c r="N18" s="3" t="inlineStr">
        <is>
          <t>as of today</t>
        </is>
      </c>
      <c r="O1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8" s="3" t="inlineStr">
        <is>
          <t>Declared by MK-CF-O-004 incomeSummary</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2026-10-02</t>
        </is>
      </c>
      <c r="AA18" s="3" t="inlineStr"/>
      <c r="AB18" s="3" t="inlineStr"/>
      <c r="AC18" s="3" t="inlineStr"/>
      <c r="AD18" s="3" t="inlineStr"/>
      <c r="AE18" s="3" t="inlineStr">
        <is>
          <t>G32 / Q48 — 2026-09-09: the 'division with nothing on the bottom' boilerplate is gone; this cell now states the row's real refusal. Where it says 'built', the screen already does it; the rest follow the empty-state mock.</t>
        </is>
      </c>
      <c r="AF18" s="3" t="inlineStr">
        <is>
          <t>ACTIVE</t>
        </is>
      </c>
      <c r="AG18" s="3" t="inlineStr">
        <is>
          <t>2026-10-19</t>
        </is>
      </c>
      <c r="AH18" s="3" t="inlineStr"/>
      <c r="AI18" s="3" t="inlineStr"/>
      <c r="AJ1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2026-10-02; the figure, its formula, inputs and refusal live in MK-CF-O-004 incomeSummary</t>
        </is>
      </c>
      <c r="AN18" s="3" t="inlineStr">
        <is>
          <t>The two earners above, plus $24,000/year of self-employment, a $12,000 bonus in March, 50 shares vesting at $400, a rental bringing in $2,000/month against $800 of costs, and $2,100/month of Social Security.
GIVES: $24,000
(the test re-runs this through MK-CF-O-004 incomeSummary on every build)</t>
        </is>
      </c>
      <c r="AO18" s="7" t="inlineStr">
        <is>
          <t>RULED, NOT CODED (Q-CF-1 — one question, one function)</t>
        </is>
      </c>
    </row>
    <row r="19" ht="60" customHeight="1">
      <c r="A19" s="3" t="inlineStr">
        <is>
          <t>MK-CF-M-008</t>
        </is>
      </c>
      <c r="B19" s="3" t="inlineStr">
        <is>
          <t>Cashflow</t>
        </is>
      </c>
      <c r="C19" s="3" t="inlineStr">
        <is>
          <t>/cashflow · /income-manager</t>
        </is>
      </c>
      <c r="D19" s="3" t="inlineStr">
        <is>
          <t>YOUR SOURCES — Bonus</t>
        </is>
      </c>
      <c r="E19" s="3" t="inlineStr">
        <is>
          <t>your_sources__bonus</t>
        </is>
      </c>
      <c r="F19" s="3" t="inlineStr">
        <is>
          <t>incomeSummary</t>
        </is>
      </c>
      <c r="G19" s="3" t="inlineStr">
        <is>
          <t>MK-CF-O-004</t>
        </is>
      </c>
      <c r="H19" s="3" t="inlineStr">
        <is>
          <t>the bonus as entered, a year; shown in the month it lands, never spread</t>
        </is>
      </c>
      <c r="I19" s="3" t="inlineStr">
        <is>
          <t>the bonus as entered, a year; shown in the month it lands, never spread</t>
        </is>
      </c>
      <c r="J19" s="3" t="inlineStr">
        <is>
          <t>MK-CF-I-009 bonus
MK-XS-I-059 the month a bonus lands</t>
        </is>
      </c>
      <c r="K19" s="3" t="inlineStr">
        <is>
          <t>dollars, whole a year</t>
        </is>
      </c>
      <c r="L19" s="3" t="inlineStr">
        <is>
          <t>$0, and under it the one line "Nothing entered yet. Add your income ›" (mock approved 2026-09-12). A real zero that was entered shows a plain $0 with no line.</t>
        </is>
      </c>
      <c r="M19" s="3" t="inlineStr">
        <is>
          <t>one figure per household</t>
        </is>
      </c>
      <c r="N19" s="3" t="inlineStr">
        <is>
          <t>a year</t>
        </is>
      </c>
      <c r="O1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9" s="3" t="inlineStr">
        <is>
          <t>Declared by MK-CF-O-004 incomeSummary</t>
        </is>
      </c>
      <c r="Q19" s="3" t="inlineStr">
        <is>
          <t>A LUMP THAT LANDS ONCE IS NEVER AVERAGED across the year (founder, 2026-08-28).</t>
        </is>
      </c>
      <c r="R19" s="3" t="inlineStr">
        <is>
          <t>A LUMP THAT LANDS ONCE IS NEVER AVERAGED across the year (founder, 2026-08-28).</t>
        </is>
      </c>
      <c r="S19" s="3" t="inlineStr"/>
      <c r="T19" s="3" t="inlineStr">
        <is>
          <t>A LUMP THAT LANDS ONCE IS NEVER AVERAGED across the year (founder, 2026-08-28).</t>
        </is>
      </c>
      <c r="U19" s="3" t="inlineStr"/>
      <c r="V19" s="3" t="inlineStr"/>
      <c r="W19" s="3" t="inlineStr"/>
      <c r="X19" s="3" t="inlineStr"/>
      <c r="Y19" s="3" t="inlineStr"/>
      <c r="Z19" s="3" t="inlineStr">
        <is>
          <t>DECLARED IN THE CODE (rule 11) — printed from the door, not typed. RULED 2026-10-02</t>
        </is>
      </c>
      <c r="AA19" s="3" t="inlineStr"/>
      <c r="AB19" s="3" t="inlineStr"/>
      <c r="AC19" s="3" t="inlineStr"/>
      <c r="AD19" s="3" t="inlineStr"/>
      <c r="AE19" s="3" t="inlineStr">
        <is>
          <t>G32 / Q48 — 2026-09-09: the 'division with nothing on the bottom' boilerplate is gone; this cell now states the row's real refusal. Where it says 'built', the screen already does it; the rest follow the empty-state mock.</t>
        </is>
      </c>
      <c r="AF19" s="3" t="inlineStr">
        <is>
          <t>ACTIVE</t>
        </is>
      </c>
      <c r="AG19" s="3" t="inlineStr">
        <is>
          <t>2026-10-19</t>
        </is>
      </c>
      <c r="AH19" s="3" t="inlineStr"/>
      <c r="AI19" s="3" t="inlineStr"/>
      <c r="AJ1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2026-10-02; the figure, its formula, inputs and refusal live in MK-CF-O-004 incomeSummary</t>
        </is>
      </c>
      <c r="AN19" s="3" t="inlineStr">
        <is>
          <t>The two earners above, plus $24,000/year of self-employment, a $12,000 bonus in March, 50 shares vesting at $400, a rental bringing in $2,000/month against $800 of costs, and $2,100/month of Social Security.
GIVES: $12,000/year
(the test re-runs this through MK-CF-O-004 incomeSummary on every build)</t>
        </is>
      </c>
      <c r="AO19" s="7" t="inlineStr">
        <is>
          <t>RULED, NOT CODED (Q-CF-1 — one question, one function)</t>
        </is>
      </c>
    </row>
    <row r="20" ht="60" customHeight="1">
      <c r="A20" s="3" t="inlineStr">
        <is>
          <t>MK-CF-M-009</t>
        </is>
      </c>
      <c r="B20" s="3" t="inlineStr">
        <is>
          <t>Cashflow</t>
        </is>
      </c>
      <c r="C20" s="3" t="inlineStr">
        <is>
          <t>/cashflow · /income-manager</t>
        </is>
      </c>
      <c r="D20" s="3" t="inlineStr">
        <is>
          <t>YOUR SOURCES — Stock vesting (equity)</t>
        </is>
      </c>
      <c r="E20" s="3" t="inlineStr">
        <is>
          <t>your_sources__stock_vesting_equity</t>
        </is>
      </c>
      <c r="F20" s="3" t="inlineStr">
        <is>
          <t>incomeSummary</t>
        </is>
      </c>
      <c r="G20" s="3" t="inlineStr">
        <is>
          <t>MK-CF-O-004</t>
        </is>
      </c>
      <c r="H20" s="3" t="inlineStr">
        <is>
          <t>shares vesting × price per share; with a grant schedule, the total ÷ the years it vests over</t>
        </is>
      </c>
      <c r="I20" s="3" t="inlineStr">
        <is>
          <t>shares vesting × price per share; with a grant schedule, the total ÷ the years it vests over</t>
        </is>
      </c>
      <c r="J20" s="3" t="inlineStr">
        <is>
          <t>MK-CF-I-010 equity vesting
MK-XS-I-005 holding price</t>
        </is>
      </c>
      <c r="K20" s="3" t="inlineStr">
        <is>
          <t>dollars, whole a year</t>
        </is>
      </c>
      <c r="L20" s="3" t="inlineStr">
        <is>
          <t>$0, and under it the one line "Nothing entered yet. Add your income ›" (mock approved 2026-09-12). A real zero that was entered shows a plain $0 with no line.</t>
        </is>
      </c>
      <c r="M20" s="3" t="inlineStr">
        <is>
          <t>one figure per household</t>
        </is>
      </c>
      <c r="N20" s="3" t="inlineStr">
        <is>
          <t>a year</t>
        </is>
      </c>
      <c r="O2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0" s="3" t="inlineStr">
        <is>
          <t>Declared by MK-CF-O-004 incomeSummary</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2026-10-02</t>
        </is>
      </c>
      <c r="AA20" s="3" t="inlineStr"/>
      <c r="AB20" s="3" t="inlineStr"/>
      <c r="AC20" s="3" t="inlineStr"/>
      <c r="AD20" s="3" t="inlineStr"/>
      <c r="AE20" s="3" t="inlineStr">
        <is>
          <t>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2026-10-19</t>
        </is>
      </c>
      <c r="AH20" s="3" t="inlineStr"/>
      <c r="AI20" s="3" t="inlineStr"/>
      <c r="AJ2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2026-10-02; the figure, its formula, inputs and refusal live in MK-CF-O-004 incomeSummary</t>
        </is>
      </c>
      <c r="AN20" s="3" t="inlineStr">
        <is>
          <t>The two earners above, plus $24,000/year of self-employment, a $12,000 bonus in March, 50 shares vesting at $400, a rental bringing in $2,000/month against $800 of costs, and $2,100/month of Social Security.
GIVES: $20,000/year
(the test re-runs this through MK-CF-O-004 incomeSummary on every build)</t>
        </is>
      </c>
      <c r="AO20" s="7" t="inlineStr">
        <is>
          <t>RULED, NOT CODED (Q-CF-1 — one question, one function)</t>
        </is>
      </c>
    </row>
    <row r="21" ht="60" customHeight="1">
      <c r="A21" s="3" t="inlineStr">
        <is>
          <t>MK-CF-M-010</t>
        </is>
      </c>
      <c r="B21" s="3" t="inlineStr">
        <is>
          <t>Cashflow</t>
        </is>
      </c>
      <c r="C21" s="3" t="inlineStr">
        <is>
          <t>/cashflow · /income-manager</t>
        </is>
      </c>
      <c r="D21" s="3" t="inlineStr">
        <is>
          <t>YOUR SOURCES — Rental property</t>
        </is>
      </c>
      <c r="E21" s="3" t="inlineStr">
        <is>
          <t>your_sources__rental_property</t>
        </is>
      </c>
      <c r="F21" s="3" t="inlineStr">
        <is>
          <t>incomeSummary</t>
        </is>
      </c>
      <c r="G21" s="3" t="inlineStr">
        <is>
          <t>MK-CF-O-004</t>
        </is>
      </c>
      <c r="H21" s="3" t="inlineStr">
        <is>
          <t>(rent − running costs) for each rental, added up</t>
        </is>
      </c>
      <c r="I21" s="3" t="inlineStr">
        <is>
          <t>(rent − running costs) for each rental, added up</t>
        </is>
      </c>
      <c r="J21" s="3" t="inlineStr">
        <is>
          <t>MK-CF-I-007 rental income</t>
        </is>
      </c>
      <c r="K21" s="3" t="inlineStr">
        <is>
          <t>dollars, whole a month</t>
        </is>
      </c>
      <c r="L21" s="3" t="inlineStr">
        <is>
          <t>No rental entered — the row does not appear.</t>
        </is>
      </c>
      <c r="M21" s="3" t="inlineStr">
        <is>
          <t>one figure per household</t>
        </is>
      </c>
      <c r="N21" s="3" t="inlineStr">
        <is>
          <t>a month</t>
        </is>
      </c>
      <c r="O21"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1" s="3" t="inlineStr">
        <is>
          <t>Declared by MK-CF-O-004 incomeSummary</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c r="W21" s="3" t="inlineStr"/>
      <c r="X21" s="3" t="inlineStr"/>
      <c r="Y21" s="3" t="inlineStr"/>
      <c r="Z21" s="3" t="inlineStr">
        <is>
          <t>DECLARED IN THE CODE (rule 11) — printed from the door, not typed. RULED 2026-10-02</t>
        </is>
      </c>
      <c r="AA21" s="3" t="inlineStr"/>
      <c r="AB21" s="3" t="inlineStr"/>
      <c r="AC21" s="3" t="inlineStr"/>
      <c r="AD21" s="3" t="inlineStr"/>
      <c r="AE21" s="3" t="inlineStr"/>
      <c r="AF21" s="3" t="inlineStr">
        <is>
          <t>ACTIVE</t>
        </is>
      </c>
      <c r="AG21" s="3" t="inlineStr">
        <is>
          <t>2026-10-19</t>
        </is>
      </c>
      <c r="AH21" s="3" t="inlineStr"/>
      <c r="AI21" s="3" t="inlineStr"/>
      <c r="AJ2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2026-10-02; the figure, its formula, inputs and refusal live in MK-CF-O-004 incomeSummary</t>
        </is>
      </c>
      <c r="AN21" s="3" t="inlineStr">
        <is>
          <t>The two earners above, plus $24,000/year of self-employment, a $12,000 bonus in March, 50 shares vesting at $400, a rental bringing in $2,000/month against $800 of costs, and $2,100/month of Social Security.
GIVES: $1,200/month
(the test re-runs this through MK-CF-O-004 incomeSummary on every build)</t>
        </is>
      </c>
      <c r="AO21" s="7" t="inlineStr">
        <is>
          <t>RULED, NOT CODED (Q-CF-1 — one question, one function)</t>
        </is>
      </c>
    </row>
    <row r="22" ht="60" customHeight="1">
      <c r="A22" s="3" t="inlineStr">
        <is>
          <t>MK-CF-M-011</t>
        </is>
      </c>
      <c r="B22" s="3" t="inlineStr">
        <is>
          <t>Cashflow</t>
        </is>
      </c>
      <c r="C22" s="3" t="inlineStr">
        <is>
          <t>/cashflow</t>
        </is>
      </c>
      <c r="D22" s="3" t="inlineStr">
        <is>
          <t>YOUR SOURCES — Social Security · pension</t>
        </is>
      </c>
      <c r="E22" s="3" t="inlineStr">
        <is>
          <t>your_sources__social_security__pension</t>
        </is>
      </c>
      <c r="F22" s="3" t="inlineStr">
        <is>
          <t>incomeSummary</t>
        </is>
      </c>
      <c r="G22" s="3" t="inlineStr">
        <is>
          <t>MK-CF-O-004</t>
        </is>
      </c>
      <c r="H22" s="3" t="inlineStr">
        <is>
          <t>Social Security + pension + annuity + other, each brought to a monthly amount</t>
        </is>
      </c>
      <c r="I22" s="3" t="inlineStr">
        <is>
          <t>Social Security + pension + annuity + other, each brought to a monthly amount</t>
        </is>
      </c>
      <c r="J22" s="3" t="inlineStr">
        <is>
          <t>MK-XS-I-020 Social Security monthly amount
MK-XS-I-022 pension monthly amount
MK-XS-I-035 annuity income
MK-XS-I-036 other guaranteed income</t>
        </is>
      </c>
      <c r="K22" s="3" t="inlineStr">
        <is>
          <t>dollars, whole a month</t>
        </is>
      </c>
      <c r="L22" s="3" t="inlineStr">
        <is>
          <t>$0, and under it the one line "Nothing entered yet. Add your income ›" (mock approved 2026-09-12). A real zero that was entered shows a plain $0 with no line.</t>
        </is>
      </c>
      <c r="M22" s="3" t="inlineStr">
        <is>
          <t>one figure per household</t>
        </is>
      </c>
      <c r="N22" s="3" t="inlineStr">
        <is>
          <t>a month</t>
        </is>
      </c>
      <c r="O2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2" s="3" t="inlineStr">
        <is>
          <t>Declared by MK-CF-O-004 incomeSummary</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c r="W22" s="3" t="inlineStr"/>
      <c r="X22" s="3" t="inlineStr"/>
      <c r="Y22" s="3" t="inlineStr"/>
      <c r="Z22" s="3" t="inlineStr">
        <is>
          <t>DECLARED IN THE CODE (rule 11) — printed from the door, not typed. RULED 2026-10-02</t>
        </is>
      </c>
      <c r="AA22" s="3" t="inlineStr"/>
      <c r="AB22" s="3" t="inlineStr"/>
      <c r="AC22" s="3" t="inlineStr"/>
      <c r="AD22" s="3" t="inlineStr"/>
      <c r="AE22" s="3" t="inlineStr">
        <is>
          <t>G32 / Q48 — RULED 2026-09-09: $0 stays, with the sentence '$0 — nothing entered yet.' and this row's door ('Add your income ›'). File written; the screen follows the approved empty-state mock (one pattern, one screen), then every screen.</t>
        </is>
      </c>
      <c r="AF22" s="3" t="inlineStr">
        <is>
          <t>ACTIVE</t>
        </is>
      </c>
      <c r="AG22" s="3" t="inlineStr">
        <is>
          <t>2026-10-19</t>
        </is>
      </c>
      <c r="AH22" s="3" t="inlineStr"/>
      <c r="AI22" s="3" t="inlineStr"/>
      <c r="AJ2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2026-10-02; the figure, its formula, inputs and refusal live in MK-CF-O-004 incomeSummary</t>
        </is>
      </c>
      <c r="AN2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22" s="7" t="inlineStr">
        <is>
          <t>RULED, NOT CODED (Q-PL-2 — one question, one function)</t>
        </is>
      </c>
    </row>
    <row r="23" ht="60" customHeight="1">
      <c r="A23" s="3" t="inlineStr">
        <is>
          <t>MK-CF-M-012</t>
        </is>
      </c>
      <c r="B23" s="3" t="inlineStr">
        <is>
          <t>Cashflow</t>
        </is>
      </c>
      <c r="C23" s="3" t="inlineStr">
        <is>
          <t>/cashflow · /income-manager</t>
        </is>
      </c>
      <c r="D23" s="3" t="inlineStr">
        <is>
          <t>RECEIVED · &lt;month&gt; — each payment</t>
        </is>
      </c>
      <c r="E23" s="3" t="inlineStr">
        <is>
          <t>received__month__each_payment</t>
        </is>
      </c>
      <c r="F23" s="3" t="inlineStr">
        <is>
          <t>whatsComing</t>
        </is>
      </c>
      <c r="G23" s="3" t="inlineStr">
        <is>
          <t>MK-CF-O-008</t>
        </is>
      </c>
      <c r="H23" s="3" t="inlineStr">
        <is>
          <t>the income records dated inside the month</t>
        </is>
      </c>
      <c r="I23" s="3" t="inlineStr">
        <is>
          <t>the income records dated inside the month</t>
        </is>
      </c>
      <c r="J23" s="3" t="inlineStr">
        <is>
          <t>MK-NW-I-004 the activity records</t>
        </is>
      </c>
      <c r="K23" s="3" t="inlineStr">
        <is>
          <t>dollars, two decimals</t>
        </is>
      </c>
      <c r="L23" s="3" t="inlineStr">
        <is>
          <t>Nothing received yet this month.</t>
        </is>
      </c>
      <c r="M23" s="3" t="inlineStr">
        <is>
          <t>one payment</t>
        </is>
      </c>
      <c r="N23" s="3" t="inlineStr">
        <is>
          <t>as of today</t>
        </is>
      </c>
      <c r="O23" s="3" t="inlineStr">
        <is>
          <t>MK-CF-F-019 (upcomingBills) → NOT DECLARED — the code does not say what it gives back</t>
        </is>
      </c>
      <c r="P23" s="3" t="inlineStr">
        <is>
          <t>Declared by MK-CF-O-008 whatsComing</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c r="AF23" s="3" t="inlineStr">
        <is>
          <t>ACTIVE</t>
        </is>
      </c>
      <c r="AG23" s="3" t="inlineStr">
        <is>
          <t>2026-10-19</t>
        </is>
      </c>
      <c r="AH23" s="3" t="inlineStr"/>
      <c r="AI23" s="3" t="inlineStr"/>
      <c r="AJ23"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MK-CF-O-008 whatsComing</t>
        </is>
      </c>
      <c r="AN23" s="3" t="inlineStr">
        <is>
          <t>Two $3,600 salary payments landed in September, on the 15th and the 30th; one landed on 31 August.
GIVES: $3,600.00
(the test re-runs this through MK-CF-O-008 whatsComing on every build)</t>
        </is>
      </c>
      <c r="AO23" s="7" t="inlineStr">
        <is>
          <t>RULED, NOT CODED (Q-CF-3 — one question, one function)</t>
        </is>
      </c>
    </row>
    <row r="24" ht="60" customHeight="1">
      <c r="A24" s="3" t="inlineStr">
        <is>
          <t>MK-CF-M-013</t>
        </is>
      </c>
      <c r="B24" s="3" t="inlineStr">
        <is>
          <t>Cashflow</t>
        </is>
      </c>
      <c r="C24" s="3" t="inlineStr">
        <is>
          <t>/cashflow</t>
        </is>
      </c>
      <c r="D24" s="3" t="inlineStr">
        <is>
          <t>Actual expenses</t>
        </is>
      </c>
      <c r="E24" s="3" t="inlineStr">
        <is>
          <t>actual_expenses</t>
        </is>
      </c>
      <c r="F24" s="3" t="inlineStr">
        <is>
          <t>theMonth</t>
        </is>
      </c>
      <c r="G24" s="3" t="inlineStr">
        <is>
          <t>MK-CF-O-010</t>
        </is>
      </c>
      <c r="H24" s="3" t="inlineStr">
        <is>
          <t>every expense logged inside the month, added up — a debt payment logged as an expense is counted with the debts, not here</t>
        </is>
      </c>
      <c r="I24" s="3" t="inlineStr">
        <is>
          <t>every expense logged inside the month, added up — a debt payment logged as an expense is counted with the debts, not here</t>
        </is>
      </c>
      <c r="J24" s="3" t="inlineStr">
        <is>
          <t>MK-CF-I-001 your logged expenses</t>
        </is>
      </c>
      <c r="K24" s="3" t="inlineStr">
        <is>
          <t>dollars, whole</t>
        </is>
      </c>
      <c r="L24" s="3" t="inlineStr">
        <is>
          <t>$0, and under it the one line "Nothing entered yet. Log your expenses ›" (mock approved 2026-09-12). A real zero that was entered shows a plain $0 with no line.</t>
        </is>
      </c>
      <c r="M24" s="3" t="inlineStr">
        <is>
          <t>one figure per household</t>
        </is>
      </c>
      <c r="N24" s="3" t="inlineStr">
        <is>
          <t>as of today</t>
        </is>
      </c>
      <c r="O24" s="3" t="inlineStr">
        <is>
          <t>1. MK-CF-F-203 (MONTH) → NOT DECLARED — the code does not say what it gives back
2. MK-CF-F-155 (cash) → number
3. MK-CF-O-002 (expenses) → Expenses
4. MK-CF-O-003 (thisMonth) → ThisMonth</t>
        </is>
      </c>
      <c r="P24" s="3" t="inlineStr">
        <is>
          <t>Declared by MK-CF-O-010 theMonth</t>
        </is>
      </c>
      <c r="Q24" s="3" t="inlineStr">
        <is>
          <t>NONE RECORDED — the declaration names none.</t>
        </is>
      </c>
      <c r="R24" s="3" t="inlineStr">
        <is>
          <t>NONE RECORDED — the declaration names none.</t>
        </is>
      </c>
      <c r="S24" s="3" t="inlineStr"/>
      <c r="T24" s="3" t="inlineStr">
        <is>
          <t>NONE RECORDED — the declaration names none.</t>
        </is>
      </c>
      <c r="U24" s="3" t="inlineStr"/>
      <c r="V24" s="3" t="inlineStr"/>
      <c r="W24" s="3" t="inlineStr"/>
      <c r="X24" s="3" t="inlineStr"/>
      <c r="Y24" s="3" t="inlineStr"/>
      <c r="Z24" s="3" t="inlineStr">
        <is>
          <t>DECLARED IN THE CODE (rule 11) — printed from the door, not typed. RULED 2026-10-02</t>
        </is>
      </c>
      <c r="AA24" s="3" t="inlineStr"/>
      <c r="AB24" s="3" t="inlineStr"/>
      <c r="AC24" s="3" t="inlineStr"/>
      <c r="AD24" s="3" t="inlineStr"/>
      <c r="AE24" s="3" t="inlineStr">
        <is>
          <t>G32 / Q48 — RULED 2026-09-09: $0 stays, with the sentence '$0 — nothing entered yet.' and this row's door ('Log your expenses ›'). File written; the screen follows the approved empty-state mock (one pattern, one screen), then every screen.</t>
        </is>
      </c>
      <c r="AF24" s="3" t="inlineStr">
        <is>
          <t>ACTIVE</t>
        </is>
      </c>
      <c r="AG24" s="3" t="inlineStr">
        <is>
          <t>2026-10-19</t>
        </is>
      </c>
      <c r="AH24" s="3" t="inlineStr"/>
      <c r="AI24" s="3" t="inlineStr"/>
      <c r="AJ2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2026-10-02; the figure, its formula, inputs and refusal live in MK-CF-O-010 theMonth</t>
        </is>
      </c>
      <c r="AN2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$2,998
(the test re-runs this through MK-CF-O-010 theMonth on every build)</t>
        </is>
      </c>
      <c r="AO24" s="7" t="inlineStr">
        <is>
          <t>RULED, NOT CODED (Q-CF-2 — one question, one function)</t>
        </is>
      </c>
    </row>
    <row r="25" ht="60" customHeight="1">
      <c r="A25" s="3" t="inlineStr">
        <is>
          <t>MK-CF-M-014</t>
        </is>
      </c>
      <c r="B25" s="3" t="inlineStr">
        <is>
          <t>Cashflow</t>
        </is>
      </c>
      <c r="C25" s="3" t="inlineStr">
        <is>
          <t>/cashflow</t>
        </is>
      </c>
      <c r="D25" s="3" t="inlineStr">
        <is>
          <t>each expense and its amount</t>
        </is>
      </c>
      <c r="E25" s="3" t="inlineStr">
        <is>
          <t>each_expense_and_its_amount</t>
        </is>
      </c>
      <c r="F25" s="3" t="inlineStr">
        <is>
          <t>theMonth</t>
        </is>
      </c>
      <c r="G25" s="3" t="inlineStr">
        <is>
          <t>MK-CF-O-010</t>
        </is>
      </c>
      <c r="H25" s="3" t="inlineStr">
        <is>
          <t>the amount as logged</t>
        </is>
      </c>
      <c r="I25" s="3" t="inlineStr">
        <is>
          <t>the amount as logged</t>
        </is>
      </c>
      <c r="J25" s="3" t="inlineStr">
        <is>
          <t>MK-CF-I-016 logged expense</t>
        </is>
      </c>
      <c r="K25" s="3" t="inlineStr">
        <is>
          <t>dollars, two decimals</t>
        </is>
      </c>
      <c r="L25" s="3" t="inlineStr">
        <is>
          <t>$0, and under it the one line "Nothing entered yet. Log your expenses ›" (mock approved 2026-09-12). A real zero that was entered shows a plain $0 with no line.</t>
        </is>
      </c>
      <c r="M25" s="3" t="inlineStr">
        <is>
          <t>one expense</t>
        </is>
      </c>
      <c r="N25" s="3" t="inlineStr">
        <is>
          <t>as of today</t>
        </is>
      </c>
      <c r="O25" s="3" t="inlineStr">
        <is>
          <t>1. MK-CF-F-203 (MONTH) → NOT DECLARED — the code does not say what it gives back
2. MK-CF-F-155 (cash) → number
3. MK-CF-O-002 (expenses) → Expenses
4. MK-CF-O-003 (thisMonth) → ThisMonth</t>
        </is>
      </c>
      <c r="P25" s="3" t="inlineStr">
        <is>
          <t>Declared by MK-CF-O-010 theMonth</t>
        </is>
      </c>
      <c r="Q25" s="3" t="inlineStr">
        <is>
          <t>NONE RECORDED — the declaration names none.</t>
        </is>
      </c>
      <c r="R25" s="3" t="inlineStr">
        <is>
          <t>NONE RECORDED — the declaration names none.</t>
        </is>
      </c>
      <c r="S25" s="3" t="inlineStr"/>
      <c r="T25" s="3" t="inlineStr">
        <is>
          <t>NONE RECORDED — the declaration names none.</t>
        </is>
      </c>
      <c r="U25" s="3" t="inlineStr"/>
      <c r="V25" s="3" t="inlineStr"/>
      <c r="W25" s="3" t="inlineStr"/>
      <c r="X25" s="3" t="inlineStr"/>
      <c r="Y25" s="3" t="inlineStr"/>
      <c r="Z25" s="3" t="inlineStr">
        <is>
          <t>DECLARED IN THE CODE (rule 11) — printed from the door, not typed. RULED 2026-10-02</t>
        </is>
      </c>
      <c r="AA25" s="3" t="inlineStr"/>
      <c r="AB25" s="3" t="inlineStr"/>
      <c r="AC25" s="3" t="inlineStr"/>
      <c r="AD25" s="3" t="inlineStr"/>
      <c r="AE25" s="3" t="inlineStr">
        <is>
          <t>G32 / Q48 — RULED 2026-09-09: $0 stays, with the sentence '$0 — nothing entered yet.' and this row's door ('Log your expenses ›'). File written; the screen follows the approved empty-state mock (one pattern, one screen), then every screen.</t>
        </is>
      </c>
      <c r="AF25" s="3" t="inlineStr">
        <is>
          <t>ACTIVE</t>
        </is>
      </c>
      <c r="AG25" s="3" t="inlineStr">
        <is>
          <t>2026-10-19</t>
        </is>
      </c>
      <c r="AH25" s="3" t="inlineStr"/>
      <c r="AI25" s="3" t="inlineStr"/>
      <c r="AJ2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2026-10-02; the figure, its formula, inputs and refusal live in MK-CF-O-010 theMonth</t>
        </is>
      </c>
      <c r="AN2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$186.00
(the test re-runs this through MK-CF-O-010 theMonth on every build)</t>
        </is>
      </c>
      <c r="AO25" s="7" t="inlineStr">
        <is>
          <t>RULED, NOT CODED (Q-CF-2 — one question, one function)</t>
        </is>
      </c>
    </row>
    <row r="26" ht="60" customHeight="1">
      <c r="A26" s="3" t="inlineStr">
        <is>
          <t>MK-CF-M-015</t>
        </is>
      </c>
      <c r="B26" s="3" t="inlineStr">
        <is>
          <t>Cashflow</t>
        </is>
      </c>
      <c r="C26" s="3" t="inlineStr">
        <is>
          <t>/cashflow</t>
        </is>
      </c>
      <c r="D26" s="3" t="inlineStr">
        <is>
          <t>Planned expenses — each category</t>
        </is>
      </c>
      <c r="E26" s="3" t="inlineStr">
        <is>
          <t>planned_expenses__each_category</t>
        </is>
      </c>
      <c r="F26" s="3" t="inlineStr">
        <is>
          <t>theMonth</t>
        </is>
      </c>
      <c r="G26" s="3" t="inlineStr">
        <is>
          <t>MK-CF-O-010</t>
        </is>
      </c>
      <c r="H26" s="3" t="inlineStr">
        <is>
          <t>planned = the category’s budget line; spent = the expenses logged in that category inside the month</t>
        </is>
      </c>
      <c r="I26" s="3" t="inlineStr">
        <is>
          <t>planned = the category’s budget line; spent = the expenses logged in that category inside the month</t>
        </is>
      </c>
      <c r="J26" s="3" t="inlineStr">
        <is>
          <t>MK-CF-I-012 planned expenses
MK-CF-I-001 your logged expenses</t>
        </is>
      </c>
      <c r="K26" s="3" t="inlineStr">
        <is>
          <t>dollars, whole</t>
        </is>
      </c>
      <c r="L26" s="3" t="inlineStr">
        <is>
          <t>$0, and under it the one line "Nothing entered yet. Log your expenses ›" (mock approved 2026-09-12). A real zero that was entered shows a plain $0 with no line.</t>
        </is>
      </c>
      <c r="M26" s="3" t="inlineStr">
        <is>
          <t>one category</t>
        </is>
      </c>
      <c r="N26" s="3" t="inlineStr">
        <is>
          <t>as of today</t>
        </is>
      </c>
      <c r="O26" s="3" t="inlineStr">
        <is>
          <t>1. MK-CF-F-203 (MONTH) → NOT DECLARED — the code does not say what it gives back
2. MK-CF-F-155 (cash) → number
3. MK-CF-O-002 (expenses) → Expenses
4. MK-CF-O-003 (thisMonth) → ThisMonth</t>
        </is>
      </c>
      <c r="P26" s="3" t="inlineStr">
        <is>
          <t>Declared by MK-CF-O-010 theMonth</t>
        </is>
      </c>
      <c r="Q26" s="3" t="inlineStr">
        <is>
          <t>NONE RECORDED — the declaration names none.</t>
        </is>
      </c>
      <c r="R26" s="3" t="inlineStr">
        <is>
          <t>NONE RECORDED — the declaration names none.</t>
        </is>
      </c>
      <c r="S26" s="3" t="inlineStr"/>
      <c r="T26" s="3" t="inlineStr">
        <is>
          <t>NONE RECORDED — the declaration names none.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6" s="3" t="inlineStr"/>
      <c r="V26" s="3" t="inlineStr"/>
      <c r="W26" s="3" t="inlineStr"/>
      <c r="X26" s="3" t="inlineStr"/>
      <c r="Y26" s="3" t="inlineStr"/>
      <c r="Z26" s="3" t="inlineStr">
        <is>
          <t>DECLARED IN THE CODE (rule 11) — printed from the door, not typed. RULED 2026-10-02</t>
        </is>
      </c>
      <c r="AA26" s="3" t="inlineStr"/>
      <c r="AB26" s="3" t="inlineStr"/>
      <c r="AC26" s="3" t="inlineStr"/>
      <c r="AD26" s="3" t="inlineStr"/>
      <c r="AE26" s="3" t="inlineStr">
        <is>
          <t>G32 / Q48 — RULED 2026-09-09: $0 stays, with the sentence '$0 — nothing entered yet.' and this row's door ('Log your expenses ›'). File written; the screen follows the approved empty-state mock (one pattern, one screen), then every screen.</t>
        </is>
      </c>
      <c r="AF26" s="3" t="inlineStr">
        <is>
          <t>ACTIVE</t>
        </is>
      </c>
      <c r="AG26" s="3" t="inlineStr">
        <is>
          <t>2026-10-19</t>
        </is>
      </c>
      <c r="AH26" s="3" t="inlineStr"/>
      <c r="AI26" s="3" t="inlineStr"/>
      <c r="AJ2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2026-10-02; the figure, its formula, inputs and refusal live in MK-CF-O-010 theMonth</t>
        </is>
      </c>
      <c r="AN2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$2,300
(the test re-runs this through MK-CF-O-010 theMonth on every build)</t>
        </is>
      </c>
      <c r="AO26" s="7" t="inlineStr">
        <is>
          <t>RULED, NOT CODED (Q-CF-2 — one question, one function)</t>
        </is>
      </c>
    </row>
    <row r="27" ht="60" customHeight="1">
      <c r="A27" s="3" t="inlineStr">
        <is>
          <t>MK-CF-M-016</t>
        </is>
      </c>
      <c r="B27" s="3" t="inlineStr">
        <is>
          <t>Cashflow</t>
        </is>
      </c>
      <c r="C27" s="3" t="inlineStr">
        <is>
          <t>/cashflow · /bill-calendar</t>
        </is>
      </c>
      <c r="D27" s="3" t="inlineStr">
        <is>
          <t>BIG-TICKET RADAR — &lt;bill&gt; · due &lt;month&gt;</t>
        </is>
      </c>
      <c r="E27" s="3" t="inlineStr">
        <is>
          <t>bigticket_radar__bill__due_month</t>
        </is>
      </c>
      <c r="F27" s="3" t="inlineStr">
        <is>
          <t>whatsComing</t>
        </is>
      </c>
      <c r="G27" s="3" t="inlineStr">
        <is>
          <t>MK-CF-O-008</t>
        </is>
      </c>
      <c r="H27" s="3" t="inlineStr">
        <is>
          <t>the dated bills above the everyday size, in date order</t>
        </is>
      </c>
      <c r="I27" s="3" t="inlineStr">
        <is>
          <t>the dated bills above the everyday size, in date order</t>
        </is>
      </c>
      <c r="J27" s="3" t="inlineStr">
        <is>
          <t>MK-CF-I-002 your bills</t>
        </is>
      </c>
      <c r="K27" s="3" t="inlineStr">
        <is>
          <t>dollars, whole</t>
        </is>
      </c>
      <c r="L27" s="3" t="inlineStr">
        <is>
          <t>Nothing unusual ahead — the section keeps its heading and says so.</t>
        </is>
      </c>
      <c r="M27" s="3" t="inlineStr">
        <is>
          <t>one bill</t>
        </is>
      </c>
      <c r="N27" s="3" t="inlineStr">
        <is>
          <t>as of today</t>
        </is>
      </c>
      <c r="O27" s="3" t="inlineStr">
        <is>
          <t>MK-CF-F-019 (upcomingBills) → NOT DECLARED — the code does not say what it gives back</t>
        </is>
      </c>
      <c r="P27" s="3" t="inlineStr">
        <is>
          <t>Declared by MK-CF-O-008 whatsComing</t>
        </is>
      </c>
      <c r="Q27" s="3" t="inlineStr">
        <is>
          <t>A regular monthly debt is never a radar item: a warning you see every month stops being a warning.</t>
        </is>
      </c>
      <c r="R27" s="3" t="inlineStr">
        <is>
          <t>A regular monthly debt is never a radar item: a warning you see every month stops being a warning.</t>
        </is>
      </c>
      <c r="S27" s="3" t="inlineStr"/>
      <c r="T27" s="3" t="inlineStr">
        <is>
          <t>A regular monthly debt is never a radar item: a warning you see every month stops being a warning.</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2026-10-19</t>
        </is>
      </c>
      <c r="AH27" s="3" t="inlineStr"/>
      <c r="AI27" s="3" t="inlineStr"/>
      <c r="AJ27"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MK-CF-O-008 whatsComing</t>
        </is>
      </c>
      <c r="AN27" s="3" t="inlineStr">
        <is>
          <t>On 28 Sep 2026, with $8,000 in the account: car insurance of $1,400 due 15 Oct and property tax of $4,800 due 1 Nov. Nothing else is dated.
GIVES: $1,400
(the test re-runs this through MK-CF-O-008 whatsComing on every build)</t>
        </is>
      </c>
      <c r="AO27" s="7" t="inlineStr">
        <is>
          <t>RULED, NOT CODED (Q-CF-3 — one question, one function)</t>
        </is>
      </c>
    </row>
    <row r="28" ht="60" customHeight="1">
      <c r="A28" s="3" t="inlineStr">
        <is>
          <t>MK-CF-M-020</t>
        </is>
      </c>
      <c r="B28" s="3" t="inlineStr">
        <is>
          <t>Cashflow</t>
        </is>
      </c>
      <c r="C28" s="3" t="inlineStr">
        <is>
          <t>/cashflow</t>
        </is>
      </c>
      <c r="D28" s="3" t="inlineStr">
        <is>
          <t>THIS MONTH — free to use</t>
        </is>
      </c>
      <c r="E28" s="3" t="inlineStr">
        <is>
          <t>this_month__free_to_use</t>
        </is>
      </c>
      <c r="F28" s="3" t="inlineStr">
        <is>
          <t>theMonth</t>
        </is>
      </c>
      <c r="G28" s="3" t="inlineStr">
        <is>
          <t>MK-CF-O-010</t>
        </is>
      </c>
      <c r="H28" s="3">
        <f> Planned surplus (MK-CF-M-002) − the goals’ commitments (MK-CF-M-021)</f>
        <v/>
      </c>
      <c r="I28" s="3">
        <f> Planned surplus (MK-CF-M-002) − the goals’ commitments (MK-CF-M-021)</f>
        <v/>
      </c>
      <c r="J28" s="3" t="inlineStr">
        <is>
          <t>MK-XS-I-023 salary and other income
MK-NW-I-002 your debts
MK-CF-I-012 planned expenses
MK-XS-I-027 goals (target, saved, date)</t>
        </is>
      </c>
      <c r="K28" s="3" t="inlineStr">
        <is>
          <t>dollars, whole</t>
        </is>
      </c>
      <c r="L28" s="3" t="inlineStr">
        <is>
          <t>No budget set — nothing is called free until there is a plan to be free of.</t>
        </is>
      </c>
      <c r="M28" s="3" t="inlineStr">
        <is>
          <t>one figure per household</t>
        </is>
      </c>
      <c r="N28" s="3" t="inlineStr">
        <is>
          <t>as of today</t>
        </is>
      </c>
      <c r="O28" s="3" t="inlineStr">
        <is>
          <t>1. MK-CF-F-203 (MONTH) → NOT DECLARED — the code does not say what it gives back
2. MK-CF-F-155 (cash) → number
3. MK-CF-O-002 (expenses) → Expenses
4. MK-CF-O-003 (thisMonth) → ThisMonth</t>
        </is>
      </c>
      <c r="P28" s="3" t="inlineStr">
        <is>
          <t>Declared by MK-CF-O-010 theMonth</t>
        </is>
      </c>
      <c r="Q28" s="3" t="inlineStr">
        <is>
          <t>A PROMISE TO A GOAL IS MONEY ALREADY SPOKEN FOR — it never reads as free.</t>
        </is>
      </c>
      <c r="R28" s="3" t="inlineStr">
        <is>
          <t>A PROMISE TO A GOAL IS MONEY ALREADY SPOKEN FOR — it never reads as free.</t>
        </is>
      </c>
      <c r="S28" s="3" t="inlineStr"/>
      <c r="T28" s="3" t="inlineStr">
        <is>
          <t>A PROMISE TO A GOAL IS MONEY ALREADY SPOKEN FOR — it never reads as free.</t>
        </is>
      </c>
      <c r="U28" s="3" t="inlineStr"/>
      <c r="V28" s="3" t="inlineStr"/>
      <c r="W28" s="3" t="inlineStr"/>
      <c r="X28" s="3" t="inlineStr"/>
      <c r="Y28" s="3" t="inlineStr"/>
      <c r="Z28" s="3" t="inlineStr">
        <is>
          <t>DECLARED IN THE CODE (rule 11) — printed from the door, not typed. RULED 2026-10-02</t>
        </is>
      </c>
      <c r="AA28" s="3" t="inlineStr"/>
      <c r="AB28" s="3" t="inlineStr"/>
      <c r="AC28" s="3" t="inlineStr"/>
      <c r="AD28" s="3" t="inlineStr"/>
      <c r="AE28" s="3" t="inlineStr"/>
      <c r="AF28" s="3" t="inlineStr">
        <is>
          <t>ACTIVE</t>
        </is>
      </c>
      <c r="AG28" s="3" t="inlineStr">
        <is>
          <t>2026-10-19</t>
        </is>
      </c>
      <c r="AH28" s="3" t="inlineStr"/>
      <c r="AI28" s="3" t="inlineStr"/>
      <c r="AJ2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2026-10-02; the figure, its formula, inputs and refusal live in MK-CF-O-010 theMonth</t>
        </is>
      </c>
      <c r="AN28"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$850
(the test re-runs this through MK-CF-O-010 theMonth on every build)</t>
        </is>
      </c>
      <c r="AO28" s="7" t="inlineStr">
        <is>
          <t>RULED, NOT CODED (Q-CF-2 — one question, one function)</t>
        </is>
      </c>
    </row>
    <row r="29" ht="60" customHeight="1">
      <c r="A29" s="3" t="inlineStr">
        <is>
          <t>MK-CF-M-021</t>
        </is>
      </c>
      <c r="B29" s="3" t="inlineStr">
        <is>
          <t>Cashflow</t>
        </is>
      </c>
      <c r="C29" s="3" t="inlineStr">
        <is>
          <t>/cashflow</t>
        </is>
      </c>
      <c r="D29" s="3" t="inlineStr">
        <is>
          <t>&lt;goal&gt; · from your Plan</t>
        </is>
      </c>
      <c r="E29" s="3" t="inlineStr">
        <is>
          <t>goal__from_your_plan</t>
        </is>
      </c>
      <c r="F29" s="3" t="inlineStr">
        <is>
          <t>theMonth</t>
        </is>
      </c>
      <c r="G29" s="3" t="inlineStr">
        <is>
          <t>MK-CF-O-010</t>
        </is>
      </c>
      <c r="H29" s="3" t="inlineStr">
        <is>
          <t>the goal’s monthly amount, as the Plan set it</t>
        </is>
      </c>
      <c r="I29" s="3" t="inlineStr">
        <is>
          <t>the goal’s monthly amount, as the Plan set it</t>
        </is>
      </c>
      <c r="J29" s="3" t="inlineStr">
        <is>
          <t>MK-XS-I-027 goals (target, saved, date)</t>
        </is>
      </c>
      <c r="K29" s="3" t="inlineStr">
        <is>
          <t>dollars, whole a month</t>
        </is>
      </c>
      <c r="L29" s="3" t="inlineStr">
        <is>
          <t>$0, and under it the one line "Nothing entered yet. Add a goal ›" (mock approved 2026-09-12). A real zero that was entered shows a plain $0 with no line.</t>
        </is>
      </c>
      <c r="M29" s="3" t="inlineStr">
        <is>
          <t>one goal</t>
        </is>
      </c>
      <c r="N29" s="3" t="inlineStr">
        <is>
          <t>a month</t>
        </is>
      </c>
      <c r="O29" s="3" t="inlineStr">
        <is>
          <t>1. MK-CF-F-203 (MONTH) → NOT DECLARED — the code does not say what it gives back
2. MK-CF-F-155 (cash) → number
3. MK-CF-O-002 (expenses) → Expenses
4. MK-CF-O-003 (thisMonth) → ThisMonth</t>
        </is>
      </c>
      <c r="P29" s="3" t="inlineStr">
        <is>
          <t>Declared by MK-CF-O-010 theMonth</t>
        </is>
      </c>
      <c r="Q29" s="3" t="inlineStr">
        <is>
          <t>NONE RECORDED — the declaration names none.</t>
        </is>
      </c>
      <c r="R29" s="3" t="inlineStr">
        <is>
          <t>NONE RECORDED — the declaration names none.</t>
        </is>
      </c>
      <c r="S29" s="3" t="inlineStr"/>
      <c r="T29" s="3" t="inlineStr">
        <is>
          <t>NONE RECORDED — the declaration names none.</t>
        </is>
      </c>
      <c r="U29" s="3" t="inlineStr"/>
      <c r="V29" s="3" t="inlineStr"/>
      <c r="W29" s="3" t="inlineStr"/>
      <c r="X29" s="3" t="inlineStr"/>
      <c r="Y29" s="3" t="inlineStr"/>
      <c r="Z29" s="3" t="inlineStr">
        <is>
          <t>DECLARED IN THE CODE (rule 11) — printed from the door, not typed. RULED 2026-10-02</t>
        </is>
      </c>
      <c r="AA29" s="3" t="inlineStr"/>
      <c r="AB29" s="3" t="inlineStr"/>
      <c r="AC29" s="3" t="inlineStr"/>
      <c r="AD29" s="3" t="inlineStr"/>
      <c r="AE29" s="3" t="inlineStr">
        <is>
          <t>G32 / Q48 — RULED 2026-09-09: $0 stays, with the sentence '$0 — nothing entered yet.' and this row's door ('Add a goal ›'). File written; the screen follows the approved empty-state mock (one pattern, one screen), then every screen.</t>
        </is>
      </c>
      <c r="AF29" s="3" t="inlineStr">
        <is>
          <t>ACTIVE</t>
        </is>
      </c>
      <c r="AG29" s="3" t="inlineStr">
        <is>
          <t>2026-10-19</t>
        </is>
      </c>
      <c r="AH29" s="3" t="inlineStr"/>
      <c r="AI29" s="3" t="inlineStr"/>
      <c r="AJ2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2026-10-02; the figure, its formula, inputs and refusal live in MK-CF-O-010 theMonth</t>
        </is>
      </c>
      <c r="AN29"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$300/month
(the test re-runs this through MK-CF-O-010 theMonth on every build)</t>
        </is>
      </c>
      <c r="AO29" s="7" t="inlineStr">
        <is>
          <t>RULED, NOT CODED (Q-PL-6 — one question, one function)</t>
        </is>
      </c>
    </row>
    <row r="30" ht="60" customHeight="1">
      <c r="A30" s="3" t="inlineStr">
        <is>
          <t>MK-CF-M-022</t>
        </is>
      </c>
      <c r="B30" s="3" t="inlineStr">
        <is>
          <t>Cashflow</t>
        </is>
      </c>
      <c r="C30" s="3" t="inlineStr">
        <is>
          <t>/cashflow</t>
        </is>
      </c>
      <c r="D30" s="3" t="inlineStr">
        <is>
          <t>YOUR FUTURE PAYCHECK — At &lt;age&gt;: ~$X/month</t>
        </is>
      </c>
      <c r="E30" s="3" t="inlineStr">
        <is>
          <t>your_future_paycheck__at_age_xmonth</t>
        </is>
      </c>
      <c r="F30" s="3" t="inlineStr">
        <is>
          <t>1. buildPaycheckYear (the draw from savings)
2. guaranteedOutsideStreams (summed)
3. simulate (the projected pot it draws from)</t>
        </is>
      </c>
      <c r="G30" s="3" t="inlineStr">
        <is>
          <t>1. MK-CF-F-107
2. MK-CF-F-076
3. MK-PL-F-050</t>
        </is>
      </c>
      <c r="H30"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30"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30" s="3" t="inlineStr">
        <is>
          <t>MK-NW-I-001 your accounts
MK-XS-I-017 birth year
MK-XS-I-018 retirement age
MK-XS-I-028 assumed return
MK-XS-I-020 Social Security monthly amount</t>
        </is>
      </c>
      <c r="K30" s="3" t="inlineStr">
        <is>
          <t>dollars, whole a month</t>
        </is>
      </c>
      <c r="L30" s="3" t="inlineStr">
        <is>
          <t>No pot to project from, or retirement age already reached — the card is not drawn.</t>
        </is>
      </c>
      <c r="M30" s="3" t="inlineStr">
        <is>
          <t>one figure per household</t>
        </is>
      </c>
      <c r="N30" s="3" t="inlineStr">
        <is>
          <t>a month</t>
        </is>
      </c>
      <c r="O30"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30" s="3" t="inlineStr">
        <is>
          <t>Declared by MK-CF-O-017 futurePaycheck</t>
        </is>
      </c>
      <c r="Q30" s="3" t="inlineStr">
        <is>
          <t>AN ESTIMATE, SAID TO BE ONE on the screen — never a promise.
NOTHING BEFORE THERE IS A POT: with no accounts, or past retirement age, the card is not drawn.</t>
        </is>
      </c>
      <c r="R30" s="3" t="inlineStr">
        <is>
          <t>AN ESTIMATE, SAID TO BE ONE on the screen — never a promise.
NOTHING BEFORE THERE IS A POT: with no accounts, or past retirement age, the card is not drawn.</t>
        </is>
      </c>
      <c r="S30" s="3" t="inlineStr"/>
      <c r="T30" s="3" t="inlineStr">
        <is>
          <t>AN ESTIMATE, SAID TO BE ONE on the screen — never a promise.
NOTHING BEFORE THERE IS A POT: with no accounts, or past retirement age, the card is not drawn.</t>
        </is>
      </c>
      <c r="U30" s="3" t="inlineStr"/>
      <c r="V30" s="3" t="inlineStr"/>
      <c r="W30" s="3" t="inlineStr"/>
      <c r="X30" s="3" t="inlineStr"/>
      <c r="Y30" s="3" t="inlineStr"/>
      <c r="Z30" s="3" t="inlineStr">
        <is>
          <t>DECLARED IN THE CODE (rule 11) — printed from the door, not typed. RULED 2026-10-02</t>
        </is>
      </c>
      <c r="AA30" s="3" t="inlineStr"/>
      <c r="AB30" s="3" t="inlineStr"/>
      <c r="AC30" s="3" t="inlineStr"/>
      <c r="AD30" s="3" t="inlineStr"/>
      <c r="AE30" s="3" t="inlineStr">
        <is>
          <t>G17 — the draw from savings behind this figure now runs 1,000 futures (was 300). Closed 2026-09-08.
G14 — CLOSED 2026-09-08: the row now names the three real producers and states the draw rule. File matches code; no code change.</t>
        </is>
      </c>
      <c r="AF30" s="3" t="inlineStr">
        <is>
          <t>ACTIVE</t>
        </is>
      </c>
      <c r="AG30" s="3" t="inlineStr">
        <is>
          <t>2026-10-19</t>
        </is>
      </c>
      <c r="AH30" s="3" t="inlineStr"/>
      <c r="AI30" s="3" t="inlineStr"/>
      <c r="AJ30" s="3" t="inlineStr">
        <is>
          <t>1. MK-XS-I-001 account balance — read by MK-NW-F-031, MK-NW-F-032, MK-NW-F-056, MK-NW-F-078, MK-NW-F-133, MK-NW-O-001, MK
2. MK-XS-I-002 account type (taxable, pre-tax, Roth) — read by MK-NW-F-011, MK-NW-F-120, MK-NW-O-001
3. MK-XS-I-003 institution name — read by MK-NW-F-072, MK-NW-F-134,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MK-CF-F-204, MK-PL-F-012
21. MK-XS-I-028 assumed return — read by MK-CF-F-106, MK-NW-O-001, MK-PL-F-050
22. MK-XS-I-029 inflation rate — read by MK-CF-F-106, MK-PL-F-050
23. MK-XS-I-030 tax filing status and age — read by MK-CF-F-085, MK-CF-F-089, MK-CF-F-099, MK-CF-F-100, MK-CF-F-101, MK-CF-F-187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MK-CF-F-092,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2026-10-02; the figure, its formula, inputs and refusal live in MK-CF-O-017 futurePaycheck</t>
        </is>
      </c>
      <c r="AN30" s="3" t="inlineStr">
        <is>
          <t>Born in 1981, retiring at 67, with $200,000 in a 401(k) earning 6% and $2,000/month of Social Security from 67.
GIVES: $4,345/month
(the test re-runs this through MK-CF-O-017 futurePaycheck on every build)</t>
        </is>
      </c>
      <c r="AO30" s="7" t="inlineStr">
        <is>
          <t>RULED, NOT CODED (Q-PL-2 — one question, one function)</t>
        </is>
      </c>
    </row>
    <row r="31" ht="60" customHeight="1">
      <c r="A31" s="3" t="inlineStr">
        <is>
          <t>MK-CF-M-023</t>
        </is>
      </c>
      <c r="B31" s="3" t="inlineStr">
        <is>
          <t>Cashflow</t>
        </is>
      </c>
      <c r="C31" s="3" t="inlineStr">
        <is>
          <t>/cashflow</t>
        </is>
      </c>
      <c r="D31" s="3" t="inlineStr">
        <is>
          <t>YOUR FUTURE PAYCHECK — Social Security · pension</t>
        </is>
      </c>
      <c r="E31" s="3" t="inlineStr">
        <is>
          <t>your_future_paycheck__social_security__p</t>
        </is>
      </c>
      <c r="F31" s="3" t="inlineStr">
        <is>
          <t>guaranteedOutsideStreams (summed)</t>
        </is>
      </c>
      <c r="G31" s="3" t="inlineStr">
        <is>
          <t>MK-CF-F-076</t>
        </is>
      </c>
      <c r="H31" s="3" t="inlineStr">
        <is>
          <t>guaranteed income a month = Social Security + pension + annuity + other stated income — the four OUTSIDE sources, each converted to a monthly figure</t>
        </is>
      </c>
      <c r="I31"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31" s="3" t="inlineStr">
        <is>
          <t>1. Social Security → ri_ss [MK-XS-I-020]
2. pension → ri_pension [MK-XS-I-022]
3. annuity → ri_annuities [MK-XS-I-035]
4. other → ri_other [MK-XS-I-036]
5. how often each arrives → the matching frequency [MK-XS-I-039]</t>
        </is>
      </c>
      <c r="K31" s="3" t="inlineStr">
        <is>
          <t>dollars, whole a month</t>
        </is>
      </c>
      <c r="L31" s="3" t="inlineStr">
        <is>
          <t>No pot to project from, or retirement age already reached — the card is not drawn.</t>
        </is>
      </c>
      <c r="M31" s="3" t="inlineStr">
        <is>
          <t>one figure per household</t>
        </is>
      </c>
      <c r="N31" s="3" t="inlineStr">
        <is>
          <t>a month</t>
        </is>
      </c>
      <c r="O31" s="3" t="inlineStr">
        <is>
          <t>MK-ST-F-052 (toNum) → number</t>
        </is>
      </c>
      <c r="P31" s="3" t="inlineStr">
        <is>
          <t>Declared by MK-CF-O-017 futurePaycheck</t>
        </is>
      </c>
      <c r="Q31" s="3" t="inlineStr">
        <is>
          <t>NONE RECORDED — the declaration names none.</t>
        </is>
      </c>
      <c r="R31" s="3" t="inlineStr">
        <is>
          <t>NONE RECORDED — the declaration names none.</t>
        </is>
      </c>
      <c r="S31" s="3" t="inlineStr"/>
      <c r="T31" s="3" t="inlineStr">
        <is>
          <t>NONE RECORDED — the declaration names none.
[Founder] brief Q-38 (2026-08-20): the paycheck DISPLAY shows every line; the plan's guaranteed INPUT — and this card's guaranteed line, which sits beside a savings draw — takes outside money only.</t>
        </is>
      </c>
      <c r="U31" s="3" t="inlineStr"/>
      <c r="V31" s="3" t="inlineStr"/>
      <c r="W31" s="3" t="inlineStr"/>
      <c r="X31" s="3" t="inlineStr"/>
      <c r="Y31" s="3" t="inlineStr"/>
      <c r="Z31" s="3" t="inlineStr">
        <is>
          <t>DECLARED IN THE CODE (rule 11) — printed from the door, not typed. RULED 2026-10-02</t>
        </is>
      </c>
      <c r="AA31" s="3" t="inlineStr"/>
      <c r="AB31" s="3" t="inlineStr"/>
      <c r="AC31" s="3" t="inlineStr"/>
      <c r="AD31" s="3" t="inlineStr"/>
      <c r="AE31" s="3" t="inlineStr">
        <is>
          <t>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31" s="3" t="inlineStr">
        <is>
          <t>ACTIVE</t>
        </is>
      </c>
      <c r="AG31" s="3" t="inlineStr">
        <is>
          <t>2026-10-19</t>
        </is>
      </c>
      <c r="AH31" s="3" t="inlineStr"/>
      <c r="AI31" s="3" t="inlineStr"/>
      <c r="AJ31"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2026-10-02; the figure, its formula, inputs and refusal live in MK-CF-O-017 futurePaycheck</t>
        </is>
      </c>
      <c r="AN31" s="3" t="inlineStr">
        <is>
          <t>Born in 1981, retiring at 67, with $200,000 in a 401(k) earning 6% and $2,000/month of Social Security from 67.
GIVES: $2,000/month
(the test re-runs this through MK-CF-O-017 futurePaycheck on every build)</t>
        </is>
      </c>
      <c r="AO31" s="7" t="inlineStr">
        <is>
          <t>RULED, NOT CODED (Q-PL-2 — one question, one function)</t>
        </is>
      </c>
    </row>
    <row r="32" ht="60" customHeight="1">
      <c r="A32" s="3" t="inlineStr">
        <is>
          <t>MK-CF-M-024</t>
        </is>
      </c>
      <c r="B32" s="3" t="inlineStr">
        <is>
          <t>Cashflow</t>
        </is>
      </c>
      <c r="C32" s="3" t="inlineStr">
        <is>
          <t>/monthly-income</t>
        </is>
      </c>
      <c r="D32" s="3" t="inlineStr">
        <is>
          <t>each source of guaranteed income</t>
        </is>
      </c>
      <c r="E32" s="3" t="inlineStr">
        <is>
          <t>each_source_of_guaranteed_income</t>
        </is>
      </c>
      <c r="F32" s="3" t="inlineStr">
        <is>
          <t>incomeSummary</t>
        </is>
      </c>
      <c r="G32" s="3" t="inlineStr">
        <is>
          <t>MK-CF-O-004</t>
        </is>
      </c>
      <c r="H32" s="3" t="inlineStr">
        <is>
          <t>each stream as entered, brought to a monthly amount</t>
        </is>
      </c>
      <c r="I32" s="3" t="inlineStr">
        <is>
          <t>each stream as entered, brought to a monthly amount</t>
        </is>
      </c>
      <c r="J32" s="3" t="inlineStr">
        <is>
          <t>MK-XS-I-020 Social Security monthly amount
MK-XS-I-022 pension monthly amount
MK-XS-I-035 annuity income
MK-XS-I-036 other guaranteed income</t>
        </is>
      </c>
      <c r="K32" s="3" t="inlineStr">
        <is>
          <t>dollars, whole a month</t>
        </is>
      </c>
      <c r="L32" s="3" t="inlineStr">
        <is>
          <t>Nothing entered — the list is replaced by the door to enter it.</t>
        </is>
      </c>
      <c r="M32" s="3" t="inlineStr">
        <is>
          <t>one source</t>
        </is>
      </c>
      <c r="N32" s="3" t="inlineStr">
        <is>
          <t>a month</t>
        </is>
      </c>
      <c r="O3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2" s="3" t="inlineStr">
        <is>
          <t>Declared by MK-CF-O-004 incomeSummary</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2026-10-02</t>
        </is>
      </c>
      <c r="AA32" s="3" t="inlineStr"/>
      <c r="AB32" s="3" t="inlineStr"/>
      <c r="AC32" s="3" t="inlineStr"/>
      <c r="AD32" s="3" t="inlineStr"/>
      <c r="AE32" s="3" t="inlineStr"/>
      <c r="AF32" s="3" t="inlineStr">
        <is>
          <t>ACTIVE</t>
        </is>
      </c>
      <c r="AG32" s="3" t="inlineStr">
        <is>
          <t>2026-10-19</t>
        </is>
      </c>
      <c r="AH32" s="3" t="inlineStr"/>
      <c r="AI32" s="3" t="inlineStr"/>
      <c r="AJ3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2026-10-02; the figure, its formula, inputs and refusal live in MK-CF-O-004 incomeSummary</t>
        </is>
      </c>
      <c r="AN3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32" s="7" t="inlineStr">
        <is>
          <t>RULED, NOT CODED (Q-PL-2 — one question, one function)</t>
        </is>
      </c>
    </row>
    <row r="33" ht="60" customHeight="1">
      <c r="A33" s="3" t="inlineStr">
        <is>
          <t>MK-CF-M-027</t>
        </is>
      </c>
      <c r="B33" s="3" t="inlineStr">
        <is>
          <t>Cashflow</t>
        </is>
      </c>
      <c r="C33" s="3" t="inlineStr">
        <is>
          <t>/income-manager</t>
        </is>
      </c>
      <c r="D33" s="3" t="inlineStr">
        <is>
          <t>each income source and its amount</t>
        </is>
      </c>
      <c r="E33" s="3" t="inlineStr">
        <is>
          <t>each_income_source_and_its_amount</t>
        </is>
      </c>
      <c r="F33" s="3" t="inlineStr">
        <is>
          <t>incomeSummary</t>
        </is>
      </c>
      <c r="G33" s="3" t="inlineStr">
        <is>
          <t>MK-CF-O-004</t>
        </is>
      </c>
      <c r="H33" s="3" t="inlineStr">
        <is>
          <t>each source as it was entered: rent after its running costs, in a month; interest and dividends, a bonus, scholarships and loans, in a year; the rest in a month</t>
        </is>
      </c>
      <c r="I33" s="3" t="inlineStr">
        <is>
          <t>each source as it was entered: rent after its running costs, in a month; interest and dividends, a bonus, scholarships and loans, in a year; the rest in a month</t>
        </is>
      </c>
      <c r="J33" s="3" t="inlineStr">
        <is>
          <t>MK-XS-I-023 salary and other income
MK-CF-I-009 bonus
MK-CF-I-010 equity vesting
MK-CF-I-007 rental income</t>
        </is>
      </c>
      <c r="K33" s="3" t="inlineStr">
        <is>
          <t>dollars, whole</t>
        </is>
      </c>
      <c r="L33" s="3" t="inlineStr">
        <is>
          <t>$0, and under it the one line "Nothing entered yet. Add your income ›" (mock approved 2026-09-12). A real zero that was entered shows a plain $0 with no line.</t>
        </is>
      </c>
      <c r="M33" s="3" t="inlineStr">
        <is>
          <t>one source</t>
        </is>
      </c>
      <c r="N33" s="3" t="inlineStr">
        <is>
          <t>as of today</t>
        </is>
      </c>
      <c r="O3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3" s="3" t="inlineStr">
        <is>
          <t>Declared by MK-CF-O-004 incomeSummary</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2026-10-02</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2026-10-19</t>
        </is>
      </c>
      <c r="AH33" s="3" t="inlineStr"/>
      <c r="AI33" s="3" t="inlineStr"/>
      <c r="AJ3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2026-10-02; the figure, its formula, inputs and refusal live in MK-CF-O-004 incomeSummary</t>
        </is>
      </c>
      <c r="AN33" s="3" t="inlineStr">
        <is>
          <t>The two earners above, plus $24,000/year of self-employment, a $12,000 bonus in March, 50 shares vesting at $400, a rental bringing in $2,000/month against $800 of costs, and $2,100/month of Social Security. The line shown is the rental’s: what it brings in a month after its costs.
GIVES: $1,200
(the test re-runs this through MK-CF-O-004 incomeSummary on every build)</t>
        </is>
      </c>
      <c r="AO33" s="7" t="inlineStr">
        <is>
          <t>RULED, NOT CODED (Q-CF-1 — one question, one function)</t>
        </is>
      </c>
    </row>
    <row r="34" ht="60" customHeight="1">
      <c r="A34" s="3" t="inlineStr">
        <is>
          <t>MK-CF-M-028</t>
        </is>
      </c>
      <c r="B34" s="3" t="inlineStr">
        <is>
          <t>Cashflow</t>
        </is>
      </c>
      <c r="C34" s="3" t="inlineStr">
        <is>
          <t>/bill-calendar</t>
        </is>
      </c>
      <c r="D34" s="3" t="inlineStr">
        <is>
          <t>each bill and the day it falls</t>
        </is>
      </c>
      <c r="E34" s="3" t="inlineStr">
        <is>
          <t>each_bill_and_the_day_it_falls</t>
        </is>
      </c>
      <c r="F34" s="3" t="inlineStr">
        <is>
          <t>whatsComing</t>
        </is>
      </c>
      <c r="G34" s="3" t="inlineStr">
        <is>
          <t>MK-CF-O-008</t>
        </is>
      </c>
      <c r="H34" s="3" t="inlineStr">
        <is>
          <t>each dated bill in the window, in date order, with the running balance after it</t>
        </is>
      </c>
      <c r="I34" s="3" t="inlineStr">
        <is>
          <t>each dated bill in the window, in date order, with the running balance after it</t>
        </is>
      </c>
      <c r="J34" s="3" t="inlineStr">
        <is>
          <t>MK-CF-I-002 your bills
MK-NW-I-001 your accounts</t>
        </is>
      </c>
      <c r="K34" s="3" t="inlineStr">
        <is>
          <t>dollars, whole</t>
        </is>
      </c>
      <c r="L34" s="3" t="inlineStr">
        <is>
          <t>$0, and under it the one line "Nothing entered yet. Add your bills ›" (mock approved 2026-09-12). A real zero that was entered shows a plain $0 with no line.</t>
        </is>
      </c>
      <c r="M34" s="3" t="inlineStr">
        <is>
          <t>one bill</t>
        </is>
      </c>
      <c r="N34" s="3" t="inlineStr">
        <is>
          <t>as of today</t>
        </is>
      </c>
      <c r="O34" s="3" t="inlineStr">
        <is>
          <t>MK-CF-F-019 (upcomingBills) → NOT DECLARED — the code does not say what it gives back</t>
        </is>
      </c>
      <c r="P34" s="3" t="inlineStr">
        <is>
          <t>Declared by MK-CF-O-008 whatsComing</t>
        </is>
      </c>
      <c r="Q34" s="3" t="inlineStr">
        <is>
          <t>A bill with NO date is not on the calendar — a date nobody gave would be read as one they did. It is still counted in the month’s total.</t>
        </is>
      </c>
      <c r="R34" s="3" t="inlineStr">
        <is>
          <t>A bill with NO date is not on the calendar — a date nobody gave would be read as one they did. It is still counted in the month’s total.</t>
        </is>
      </c>
      <c r="S34" s="3" t="inlineStr"/>
      <c r="T34" s="3" t="inlineStr">
        <is>
          <t>A bill with NO date is not on the calendar — a date nobody gave would be read as one they did. It is still counted in the month’s total.</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('Add your bills ›'). File written; the screen follows the approved empty-state mock (one pattern, one screen), then every screen.</t>
        </is>
      </c>
      <c r="AF34" s="3" t="inlineStr">
        <is>
          <t>ACTIVE</t>
        </is>
      </c>
      <c r="AG34" s="3" t="inlineStr">
        <is>
          <t>2026-10-19</t>
        </is>
      </c>
      <c r="AH34" s="3" t="inlineStr"/>
      <c r="AI34" s="3" t="inlineStr"/>
      <c r="AJ34"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On 28 Sep 2026, with $8,000 in the account: car insurance of $1,400 due 15 Oct and property tax of $4,800 due 1 Nov. Nothing else is dated.
GIVES: $4,800
(the test re-runs this through MK-CF-O-008 whatsComing on every build)</t>
        </is>
      </c>
      <c r="AO34" s="7" t="inlineStr">
        <is>
          <t>RULED, NOT CODED (Q-CF-3 — one question, one function)</t>
        </is>
      </c>
    </row>
    <row r="35" ht="60" customHeight="1">
      <c r="A35" s="3" t="inlineStr">
        <is>
          <t>MK-CF-M-030</t>
        </is>
      </c>
      <c r="B35" s="3" t="inlineStr">
        <is>
          <t>Cashflow</t>
        </is>
      </c>
      <c r="C35" s="3" t="inlineStr">
        <is>
          <t>/base-pay</t>
        </is>
      </c>
      <c r="D35" s="3" t="inlineStr">
        <is>
          <t>Each person’s pay</t>
        </is>
      </c>
      <c r="E35" s="3" t="inlineStr">
        <is>
          <t>each_persons_pay</t>
        </is>
      </c>
      <c r="F35" s="3" t="inlineStr">
        <is>
          <t>basePay</t>
        </is>
      </c>
      <c r="G35" s="3" t="inlineStr">
        <is>
          <t>MK-CF-O-001</t>
        </is>
      </c>
      <c r="H35" s="3" t="inlineStr">
        <is>
          <t>gross a year = the sum of every earner’s wage, each annualised from the rhythm they are paid in</t>
        </is>
      </c>
      <c r="I35" s="3" t="inlineStr">
        <is>
          <t>gross a year = the sum of every earner’s wage, each annualised from the rhythm they are paid in</t>
        </is>
      </c>
      <c r="J35" s="3" t="inlineStr">
        <is>
          <t>MK-CF-I-001 wage
MK-CF-I-002 how often it is paid
MK-XS-I-021 spouse wage</t>
        </is>
      </c>
      <c r="K35" s="3" t="inlineStr">
        <is>
          <t>dollars, whole a year</t>
        </is>
      </c>
      <c r="L35" s="3" t="inlineStr">
        <is>
          <t>Shows $0 until a wage is entered; the screen offers the door to enter one.</t>
        </is>
      </c>
      <c r="M35" s="3" t="inlineStr">
        <is>
          <t>one figure per household</t>
        </is>
      </c>
      <c r="N35" s="3" t="inlineStr">
        <is>
          <t>a year</t>
        </is>
      </c>
      <c r="O3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5" s="3" t="inlineStr">
        <is>
          <t>Declared by MK-CF-O-001 basePay</t>
        </is>
      </c>
      <c r="Q35" s="3" t="inlineStr">
        <is>
          <t>A wage entered for a rhythm is annualised by that rhythm, never by a flat twelve.</t>
        </is>
      </c>
      <c r="R35" s="3" t="inlineStr">
        <is>
          <t>A wage entered for a rhythm is annualised by that rhythm, never by a flat twelve.</t>
        </is>
      </c>
      <c r="S35" s="3" t="inlineStr"/>
      <c r="T35" s="3" t="inlineStr">
        <is>
          <t>A wage entered for a rhythm is annualised by that rhythm, never by a flat twelve.</t>
        </is>
      </c>
      <c r="U35" s="3" t="inlineStr"/>
      <c r="V35" s="3" t="inlineStr"/>
      <c r="W35" s="3" t="inlineStr"/>
      <c r="X35" s="3" t="inlineStr"/>
      <c r="Y35" s="3" t="inlineStr"/>
      <c r="Z35" s="3" t="inlineStr">
        <is>
          <t>DECLARED IN THE CODE (rule 11) — printed from the door, not typed. RULED 2026-09-14</t>
        </is>
      </c>
      <c r="AA35" s="3" t="inlineStr"/>
      <c r="AB35" s="3" t="inlineStr"/>
      <c r="AC35" s="3" t="inlineStr"/>
      <c r="AD35" s="3" t="inlineStr"/>
      <c r="AE35" s="3" t="inlineStr"/>
      <c r="AF35" s="3" t="inlineStr">
        <is>
          <t>ACTIVE</t>
        </is>
      </c>
      <c r="AG35" s="3" t="inlineStr">
        <is>
          <t>2026-10-19</t>
        </is>
      </c>
      <c r="AH35" s="3" t="inlineStr"/>
      <c r="AI35" s="3" t="inlineStr"/>
      <c r="AJ3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2026-09-14; the figure, its formula, inputs and refusal live in MK-CF-O-001 basePay</t>
        </is>
      </c>
      <c r="AN35"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5" s="7" t="inlineStr">
        <is>
          <t>RULED, NOT CODED (Q-CF-1 — one question, one function)</t>
        </is>
      </c>
    </row>
    <row r="36" ht="60" customHeight="1">
      <c r="A36" s="3" t="inlineStr">
        <is>
          <t>MK-CF-M-031</t>
        </is>
      </c>
      <c r="B36" s="3" t="inlineStr">
        <is>
          <t>Cashflow</t>
        </is>
      </c>
      <c r="C36" s="3" t="inlineStr">
        <is>
          <t>/base-pay · /cashflow · /income-manager</t>
        </is>
      </c>
      <c r="D36" s="3" t="inlineStr">
        <is>
          <t>Take-home</t>
        </is>
      </c>
      <c r="E36" s="3" t="inlineStr">
        <is>
          <t>takehome</t>
        </is>
      </c>
      <c r="F36" s="3" t="inlineStr">
        <is>
          <t>basePay</t>
        </is>
      </c>
      <c r="G36" s="3" t="inlineStr">
        <is>
          <t>MK-CF-O-001</t>
        </is>
      </c>
      <c r="H36" s="3" t="inlineStr">
        <is>
          <t>for one earner: what they entered, or their gross less federal tax less their own 401(k). For the household: the sum of the earners’ figures, never a second calculation.</t>
        </is>
      </c>
      <c r="I36" s="3" t="inlineStr">
        <is>
          <t>for one earner: what they entered, or their gross less federal tax less their own 401(k). For the household: the sum of the earners’ figures, never a second calculation.</t>
        </is>
      </c>
      <c r="J36" s="3" t="inlineStr">
        <is>
          <t>MK-CF-I-001 wage
MK-CF-I-003 take-home as entered
MK-CF-I-004 401(k) contribution
MK-CF-I-005 tax rate as entered</t>
        </is>
      </c>
      <c r="K36" s="3" t="inlineStr">
        <is>
          <t>dollars, whole a month</t>
        </is>
      </c>
      <c r="L36" s="3" t="inlineStr">
        <is>
          <t>Shows $0 until a wage is entered.</t>
        </is>
      </c>
      <c r="M36" s="3" t="inlineStr">
        <is>
          <t>one figure per household</t>
        </is>
      </c>
      <c r="N36" s="3" t="inlineStr">
        <is>
          <t>a month</t>
        </is>
      </c>
      <c r="O3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6" s="3" t="inlineStr">
        <is>
          <t>Declared by MK-CF-O-001 basePay</t>
        </is>
      </c>
      <c r="Q36" s="3" t="inlineStr">
        <is>
          <t>Federal income tax only when it is calculated — no Social Security, Medicare or state tax (MK-CF-D-001).</t>
        </is>
      </c>
      <c r="R36" s="3" t="inlineStr">
        <is>
          <t>Federal income tax only when it is calculated — no Social Security, Medicare or state tax (MK-CF-D-001).</t>
        </is>
      </c>
      <c r="S36" s="3" t="inlineStr"/>
      <c r="T36" s="3" t="inlineStr">
        <is>
          <t>Federal income tax only when it is calculated — no Social Security, Medicare or state tax (MK-CF-D-001).</t>
        </is>
      </c>
      <c r="U36" s="3" t="inlineStr">
        <is>
          <t>ONE figure over two sets: one earner, and the household — so a total and its parts cannot disagree (rule 2). It wears ≈ whenever the figure was calculated rather than entered.</t>
        </is>
      </c>
      <c r="V36" s="3" t="inlineStr"/>
      <c r="W36" s="3" t="inlineStr"/>
      <c r="X36" s="3" t="inlineStr"/>
      <c r="Y36" s="3" t="inlineStr"/>
      <c r="Z36" s="3" t="inlineStr">
        <is>
          <t>DECLARED IN THE CODE (rule 11) — printed from the door, not typed. RULED 2026-09-14</t>
        </is>
      </c>
      <c r="AA36" s="3" t="inlineStr"/>
      <c r="AB36" s="3" t="inlineStr"/>
      <c r="AC36" s="3" t="inlineStr"/>
      <c r="AD36" s="3" t="inlineStr"/>
      <c r="AE36" s="3" t="inlineStr"/>
      <c r="AF36" s="3" t="inlineStr">
        <is>
          <t>ACTIVE</t>
        </is>
      </c>
      <c r="AG36" s="3" t="inlineStr">
        <is>
          <t>2026-10-19</t>
        </is>
      </c>
      <c r="AH36" s="3" t="inlineStr"/>
      <c r="AI36" s="3" t="inlineStr"/>
      <c r="AJ3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2026-09-14; the figure, its formula, inputs and refusal live in MK-CF-O-001 basePay</t>
        </is>
      </c>
      <c r="AN36"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36" s="7" t="inlineStr">
        <is>
          <t>RULED, NOT CODED (Q-CF-1 — one question, one function)</t>
        </is>
      </c>
    </row>
    <row r="37" ht="60" customHeight="1">
      <c r="A37" s="3" t="inlineStr">
        <is>
          <t>MK-CF-M-032</t>
        </is>
      </c>
      <c r="B37" s="3" t="inlineStr">
        <is>
          <t>Cashflow</t>
        </is>
      </c>
      <c r="C37" s="3" t="inlineStr">
        <is>
          <t>/base-pay</t>
        </is>
      </c>
      <c r="D37" s="3" t="inlineStr">
        <is>
          <t>Federal tax bracket</t>
        </is>
      </c>
      <c r="E37" s="3" t="inlineStr">
        <is>
          <t>federal_tax_bracket</t>
        </is>
      </c>
      <c r="F37" s="3" t="inlineStr">
        <is>
          <t>basePay</t>
        </is>
      </c>
      <c r="G37" s="3" t="inlineStr">
        <is>
          <t>MK-CF-O-001</t>
        </is>
      </c>
      <c r="H37" s="3" t="inlineStr">
        <is>
          <t>the published bracket the household’s gross falls in, for their filing status</t>
        </is>
      </c>
      <c r="I37" s="3" t="inlineStr">
        <is>
          <t>the published bracket the household’s gross falls in, for their filing status</t>
        </is>
      </c>
      <c r="J37" s="3" t="inlineStr">
        <is>
          <t>MK-CF-M-030 gross a year
MK-XS-I-024 filing status</t>
        </is>
      </c>
      <c r="K37" s="3" t="inlineStr">
        <is>
          <t>a percentage, whole</t>
        </is>
      </c>
      <c r="L37" s="3" t="inlineStr">
        <is>
          <t>The row is not shown until a wage is entered.</t>
        </is>
      </c>
      <c r="M37" s="3" t="inlineStr">
        <is>
          <t>one figure per household</t>
        </is>
      </c>
      <c r="N37" s="3" t="inlineStr">
        <is>
          <t>as of today</t>
        </is>
      </c>
      <c r="O37"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7" s="3" t="inlineStr">
        <is>
          <t>Declared by MK-CF-O-001 basePay</t>
        </is>
      </c>
      <c r="Q37" s="3" t="inlineStr">
        <is>
          <t>Filing status is assumed to be jointly when two people earn and nobody has said (MK-CF-D-004).</t>
        </is>
      </c>
      <c r="R37" s="3" t="inlineStr">
        <is>
          <t>Filing status is assumed to be jointly when two people earn and nobody has said (MK-CF-D-004).</t>
        </is>
      </c>
      <c r="S37" s="3" t="inlineStr"/>
      <c r="T37" s="3" t="inlineStr">
        <is>
          <t>Filing status is assumed to be jointly when two people earn and nobody has said (MK-CF-D-004).</t>
        </is>
      </c>
      <c r="U37" s="3" t="inlineStr"/>
      <c r="V37" s="3" t="inlineStr"/>
      <c r="W37" s="3" t="inlineStr"/>
      <c r="X37" s="3" t="inlineStr"/>
      <c r="Y37" s="3" t="inlineStr"/>
      <c r="Z37" s="3" t="inlineStr">
        <is>
          <t>DECLARED IN THE CODE (rule 11) — printed from the door, not typed. RULED 2026-09-14</t>
        </is>
      </c>
      <c r="AA37" s="3" t="inlineStr"/>
      <c r="AB37" s="3" t="inlineStr"/>
      <c r="AC37" s="3" t="inlineStr"/>
      <c r="AD37" s="3" t="inlineStr"/>
      <c r="AE37" s="3" t="inlineStr"/>
      <c r="AF37" s="3" t="inlineStr">
        <is>
          <t>ACTIVE</t>
        </is>
      </c>
      <c r="AG37" s="3" t="inlineStr">
        <is>
          <t>2026-10-19</t>
        </is>
      </c>
      <c r="AH37" s="3" t="inlineStr"/>
      <c r="AI37" s="3" t="inlineStr"/>
      <c r="AJ3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2026-09-14; the figure, its formula, inputs and refusal live in MK-CF-O-001 basePay</t>
        </is>
      </c>
      <c r="AN37"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37" s="7" t="inlineStr">
        <is>
          <t>RULED, NOT CODED (Q-CF-1 — one question, one function)</t>
        </is>
      </c>
    </row>
    <row r="38" ht="60" customHeight="1">
      <c r="A38" s="3" t="inlineStr">
        <is>
          <t>MK-CF-M-033</t>
        </is>
      </c>
      <c r="B38" s="3" t="inlineStr">
        <is>
          <t>Cashflow</t>
        </is>
      </c>
      <c r="C38" s="3" t="inlineStr">
        <is>
          <t>/base-pay</t>
        </is>
      </c>
      <c r="D38" s="3" t="inlineStr">
        <is>
          <t>Calculated federal tax</t>
        </is>
      </c>
      <c r="E38" s="3" t="inlineStr">
        <is>
          <t>calculated_federal_tax</t>
        </is>
      </c>
      <c r="F38" s="3" t="inlineStr">
        <is>
          <t>basePay</t>
        </is>
      </c>
      <c r="G38" s="3" t="inlineStr">
        <is>
          <t>MK-CF-O-001</t>
        </is>
      </c>
      <c r="H38" s="3" t="inlineStr">
        <is>
          <t>tax a month = federal tax on (everything taxable, less the 401(k)s and the standard deduction, at the published bands) ÷ 12 — the same in every month</t>
        </is>
      </c>
      <c r="I38" s="3" t="inlineStr">
        <is>
          <t>tax a month = federal tax on (everything taxable, less the 401(k)s and the standard deduction, at the published bands) ÷ 12 — the same in every month</t>
        </is>
      </c>
      <c r="J38" s="3" t="inlineStr">
        <is>
          <t>MK-CF-M-030 gross a year
MK-XS-I-024 filing status
MK-XS-I-025 how many are over 65</t>
        </is>
      </c>
      <c r="K38" s="3" t="inlineStr">
        <is>
          <t>dollars, whole a month</t>
        </is>
      </c>
      <c r="L38" s="3" t="inlineStr">
        <is>
          <t>The row appears only when the figure is ours; an entered take-home already has tax inside it.</t>
        </is>
      </c>
      <c r="M38" s="3" t="inlineStr">
        <is>
          <t>one figure per household</t>
        </is>
      </c>
      <c r="N38" s="3" t="inlineStr">
        <is>
          <t>a month</t>
        </is>
      </c>
      <c r="O38"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8" s="3" t="inlineStr">
        <is>
          <t>Declared by MK-CF-O-001 basePay</t>
        </is>
      </c>
      <c r="Q38" s="3" t="inlineStr">
        <is>
          <t>Assumes the standard deduction, never itemised (MK-CF-D-002).</t>
        </is>
      </c>
      <c r="R38" s="3" t="inlineStr">
        <is>
          <t>Assumes the standard deduction, never itemised (MK-CF-D-002).</t>
        </is>
      </c>
      <c r="S38" s="3" t="inlineStr"/>
      <c r="T38" s="3" t="inlineStr">
        <is>
          <t>Assumes the standard deduction, never itemised (MK-CF-D-002).</t>
        </is>
      </c>
      <c r="U38" s="3" t="inlineStr"/>
      <c r="V38" s="3" t="inlineStr"/>
      <c r="W38" s="3" t="inlineStr"/>
      <c r="X38" s="3" t="inlineStr"/>
      <c r="Y38" s="3" t="inlineStr"/>
      <c r="Z38" s="3" t="inlineStr">
        <is>
          <t>DECLARED IN THE CODE (rule 11) — printed from the door, not typed. RULED 2026-09-14</t>
        </is>
      </c>
      <c r="AA38" s="3" t="inlineStr"/>
      <c r="AB38" s="3" t="inlineStr"/>
      <c r="AC38" s="3" t="inlineStr"/>
      <c r="AD38" s="3" t="inlineStr"/>
      <c r="AE38" s="3" t="inlineStr"/>
      <c r="AF38" s="3" t="inlineStr">
        <is>
          <t>ACTIVE</t>
        </is>
      </c>
      <c r="AG38" s="3" t="inlineStr">
        <is>
          <t>2026-10-19</t>
        </is>
      </c>
      <c r="AH38" s="3" t="inlineStr"/>
      <c r="AI38" s="3" t="inlineStr"/>
      <c r="AJ3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2026-09-14; the figure, its formula, inputs and refusal live in MK-CF-O-001 basePay</t>
        </is>
      </c>
      <c r="AN38"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38" s="7" t="inlineStr">
        <is>
          <t>RULED, NOT CODED (Q-CF-1 — one question, one function)</t>
        </is>
      </c>
    </row>
    <row r="39" ht="60" customHeight="1">
      <c r="A39" s="3" t="inlineStr">
        <is>
          <t>MK-CF-M-034</t>
        </is>
      </c>
      <c r="B39" s="3" t="inlineStr">
        <is>
          <t>Cashflow</t>
        </is>
      </c>
      <c r="C39" s="3" t="inlineStr">
        <is>
          <t>/base-pay</t>
        </is>
      </c>
      <c r="D39" s="3" t="inlineStr">
        <is>
          <t>Your 401(k)s</t>
        </is>
      </c>
      <c r="E39" s="3" t="inlineStr">
        <is>
          <t>your_401ks</t>
        </is>
      </c>
      <c r="F39" s="3" t="inlineStr">
        <is>
          <t>basePay</t>
        </is>
      </c>
      <c r="G39" s="3" t="inlineStr">
        <is>
          <t>MK-CF-O-001</t>
        </is>
      </c>
      <c r="H39" s="3" t="inlineStr">
        <is>
          <t>401(k) a month = the sum of every earner’s own contribution, the employer’s match excluded</t>
        </is>
      </c>
      <c r="I39" s="3" t="inlineStr">
        <is>
          <t>401(k) a month = the sum of every earner’s own contribution, the employer’s match excluded</t>
        </is>
      </c>
      <c r="J39" s="3" t="inlineStr">
        <is>
          <t>MK-CF-I-004 401(k) contribution</t>
        </is>
      </c>
      <c r="K39" s="3" t="inlineStr">
        <is>
          <t>dollars, whole a month</t>
        </is>
      </c>
      <c r="L39" s="3" t="inlineStr">
        <is>
          <t>The row is hidden when nobody contributes.</t>
        </is>
      </c>
      <c r="M39" s="3" t="inlineStr">
        <is>
          <t>one figure per household</t>
        </is>
      </c>
      <c r="N39" s="3" t="inlineStr">
        <is>
          <t>a month</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The employer’s match is not counted here — it is not taken out of take-home (MK-CF-D-003).</t>
        </is>
      </c>
      <c r="R39" s="3" t="inlineStr">
        <is>
          <t>The employer’s match is not counted here — it is not taken out of take-home (MK-CF-D-003).</t>
        </is>
      </c>
      <c r="S39" s="3" t="inlineStr"/>
      <c r="T39" s="3" t="inlineStr">
        <is>
          <t>The employer’s match is not counted here — it is not taken out of take-home (MK-CF-D-003).</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2026-10-19</t>
        </is>
      </c>
      <c r="AH39" s="3" t="inlineStr"/>
      <c r="AI39" s="3" t="inlineStr"/>
      <c r="AJ3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39" s="7" t="inlineStr">
        <is>
          <t>RULED, NOT CODED (Q-CF-1 — one question, one function)</t>
        </is>
      </c>
    </row>
    <row r="40" ht="60" customHeight="1">
      <c r="A40" s="3" t="inlineStr">
        <is>
          <t>MK-CF-M-035</t>
        </is>
      </c>
      <c r="B40" s="3" t="inlineStr">
        <is>
          <t>Cashflow</t>
        </is>
      </c>
      <c r="C40" s="3" t="inlineStr">
        <is>
          <t>/base-pay</t>
        </is>
      </c>
      <c r="D40" s="3" t="inlineStr">
        <is>
          <t>The take-home above is higher than it will really be</t>
        </is>
      </c>
      <c r="E40" s="3" t="inlineStr">
        <is>
          <t>the_takehome_above_is_higher_than_it_wil</t>
        </is>
      </c>
      <c r="F40" s="3" t="inlineStr">
        <is>
          <t>basePay</t>
        </is>
      </c>
      <c r="G40" s="3" t="inlineStr">
        <is>
          <t>MK-CF-O-001</t>
        </is>
      </c>
      <c r="H40" s="3" t="inlineStr">
        <is>
          <t>overstated by = Σ over earners of (Social Security 6.2% of the wage up to the wage base + Medicare 1.45% of the whole wage + 0.9% of the wage above the additional-tax threshold) ÷ 12</t>
        </is>
      </c>
      <c r="I40" s="3" t="inlineStr">
        <is>
          <t>overstated by = Σ over earners of (Social Security 6.2% of the wage up to the wage base + Medicare 1.45% of the whole wage + 0.9% of the wage above the additional-tax threshold) ÷ 12</t>
        </is>
      </c>
      <c r="J40" s="3" t="inlineStr">
        <is>
          <t>MK-CF-I-001 wage
MK-ST-I-030 Social Security wage base
MK-ST-I-031 Medicare additional-tax threshold</t>
        </is>
      </c>
      <c r="K40" s="3" t="inlineStr">
        <is>
          <t>dollars, whole a month</t>
        </is>
      </c>
      <c r="L40" s="3" t="inlineStr">
        <is>
          <t>The warning appears only when the take-home is ours and estimated.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State tax is not in this figure, because we do not know their state (MK-CF-D-005).</t>
        </is>
      </c>
      <c r="R40" s="3" t="inlineStr">
        <is>
          <t>State tax is not in this figure, because we do not know their state (MK-CF-D-005).</t>
        </is>
      </c>
      <c r="S40" s="3" t="inlineStr"/>
      <c r="T40" s="3" t="inlineStr">
        <is>
          <t>State tax is not in this figure, because we do not know their state (MK-CF-D-005).</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2026-10-19</t>
        </is>
      </c>
      <c r="AH40" s="3" t="inlineStr"/>
      <c r="AI40" s="3" t="inlineStr"/>
      <c r="AJ4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0" s="7" t="inlineStr">
        <is>
          <t>RULED, NOT CODED (Q-CF-1 — one question, one function)</t>
        </is>
      </c>
    </row>
    <row r="41" ht="60" customHeight="1">
      <c r="A41" s="3" t="inlineStr">
        <is>
          <t>MK-CF-M-036</t>
        </is>
      </c>
      <c r="B41" s="3" t="inlineStr">
        <is>
          <t>Cashflow</t>
        </is>
      </c>
      <c r="C41" s="3" t="inlineStr">
        <is>
          <t>/base-pay</t>
        </is>
      </c>
      <c r="D41" s="3" t="inlineStr">
        <is>
          <t>Everything else taken out</t>
        </is>
      </c>
      <c r="E41" s="3" t="inlineStr">
        <is>
          <t>everything_else_taken_out</t>
        </is>
      </c>
      <c r="F41" s="3" t="inlineStr">
        <is>
          <t>basePay</t>
        </is>
      </c>
      <c r="G41" s="3" t="inlineStr">
        <is>
          <t>MK-CF-O-001</t>
        </is>
      </c>
      <c r="H41" s="3" t="inlineStr">
        <is>
          <t>for one earner: everything else = (their gross a year − their 401(k) a year − their take-home /year) ÷ 12. For the household: the sum of the earners’ figures, never a second subtraction.</t>
        </is>
      </c>
      <c r="I41" s="3" t="inlineStr">
        <is>
          <t>for one earner: everything else = (their gross a year − their 401(k) a year − their take-home /year) ÷ 12. For the household: the sum of the earners’ figures, never a second subtraction.</t>
        </is>
      </c>
      <c r="J41" s="3" t="inlineStr">
        <is>
          <t>MK-CF-I-001 wage
MK-CF-I-003 take-home as entered
MK-CF-I-004 401(k) contribution</t>
        </is>
      </c>
      <c r="K41" s="3" t="inlineStr">
        <is>
          <t>dollars, whole a month</t>
        </is>
      </c>
      <c r="L41" s="3" t="inlineStr">
        <is>
          <t>The row is hidden for anyone whose take-home was calculated rather than entered; the household row is hidden unless every earner entered one.</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Shown only when the person entered their own take-home, so the difference is theirs and not ours.
The household figure is the sum of the earners’, so a total and its parts cannot disagree (rule 2).</t>
        </is>
      </c>
      <c r="R41" s="3" t="inlineStr">
        <is>
          <t>Shown only when the person entered their own take-home, so the difference is theirs and not ours.
The household figure is the sum of the earners’, so a total and its parts cannot disagree (rule 2).</t>
        </is>
      </c>
      <c r="S41" s="3" t="inlineStr"/>
      <c r="T41" s="3" t="inlineStr">
        <is>
          <t>Shown only when the person entered their own take-home, so the difference is theirs and not ours.
The household figure is the sum of the earners’, so a total and its parts cannot disagree (rule 2).</t>
        </is>
      </c>
      <c r="U41" s="3" t="inlineStr">
        <is>
          <t>ONE figure over two sets: one earner, and the household. Moved off the screen into this door on 2026-09-14 — the base-pay card used to do the subtraction itself (rule 5).</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2026-10-19</t>
        </is>
      </c>
      <c r="AH41" s="3" t="inlineStr"/>
      <c r="AI41" s="3" t="inlineStr"/>
      <c r="AJ4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Each has typed their take-home each month: $5,850 and $3,400.
GIVES: $3,250/month
(the test re-runs this through MK-CF-O-001 basePay on every build)</t>
        </is>
      </c>
      <c r="AO41" s="7" t="inlineStr">
        <is>
          <t>RULED, NOT CODED (Q-CF-1 — one question, one function)</t>
        </is>
      </c>
    </row>
    <row r="42" ht="60" customHeight="1">
      <c r="A42" s="3" t="inlineStr">
        <is>
          <t>MK-CF-M-037</t>
        </is>
      </c>
      <c r="B42" s="3" t="inlineStr">
        <is>
          <t>Cashflow</t>
        </is>
      </c>
      <c r="C42" s="3" t="inlineStr">
        <is>
          <t>/income-summary · /income-manager</t>
        </is>
      </c>
      <c r="D42" s="3" t="inlineStr">
        <is>
          <t>Take-home each month</t>
        </is>
      </c>
      <c r="E42" s="3" t="inlineStr">
        <is>
          <t>takehome_each_month</t>
        </is>
      </c>
      <c r="F42" s="3" t="inlineStr">
        <is>
          <t>incomeSummary</t>
        </is>
      </c>
      <c r="G42" s="3" t="inlineStr">
        <is>
          <t>MK-CF-O-004</t>
        </is>
      </c>
      <c r="H42" s="3" t="inlineStr">
        <is>
          <t>take-home a usual month = Σ of every source’s take-home in a usual month; a source that lands in one month of the year is not spread across twelve</t>
        </is>
      </c>
      <c r="I42" s="3" t="inlineStr">
        <is>
          <t>take-home a usual month = Σ of every source’s take-home in a usual month; a source that lands in one month of the year is not spread across twelve</t>
        </is>
      </c>
      <c r="J42" s="3" t="inlineStr">
        <is>
          <t>MK-CF-M-031 household take-home
MK-CF-I-006 other income
MK-CF-I-007 rental income
MK-CF-I-008 retirement income</t>
        </is>
      </c>
      <c r="K42" s="3" t="inlineStr">
        <is>
          <t>dollars, whole a month</t>
        </is>
      </c>
      <c r="L42" s="3" t="inlineStr">
        <is>
          <t>Shows $0 on a fresh account, with the door to enter income — never a dash.</t>
        </is>
      </c>
      <c r="M42" s="3" t="inlineStr">
        <is>
          <t>one figure per household</t>
        </is>
      </c>
      <c r="N42" s="3" t="inlineStr">
        <is>
          <t>a month</t>
        </is>
      </c>
      <c r="O4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2" s="3" t="inlineStr">
        <is>
          <t>Declared by MK-CF-O-004 incomeSummary</t>
        </is>
      </c>
      <c r="Q42" s="3" t="inlineStr">
        <is>
          <t>A once-a-year source keeps its own month and is shown separately, never averaged in.</t>
        </is>
      </c>
      <c r="R42" s="3" t="inlineStr">
        <is>
          <t>A once-a-year source keeps its own month and is shown separately, never averaged in.</t>
        </is>
      </c>
      <c r="S42" s="3" t="inlineStr"/>
      <c r="T42" s="3" t="inlineStr">
        <is>
          <t>A once-a-year source keeps its own month and is shown separately, never averaged in.</t>
        </is>
      </c>
      <c r="U42"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2026-10-19</t>
        </is>
      </c>
      <c r="AH42" s="3" t="inlineStr"/>
      <c r="AI42" s="3" t="inlineStr"/>
      <c r="AJ4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MK-CF-O-004 incomeSummary</t>
        </is>
      </c>
      <c r="AN42" s="3" t="inlineStr">
        <is>
          <t>Two earners filing jointly: $4,200 every two weeks ($109,200/year) and $5,000/month ($60,000), paying $1,200 and $400/month into their 401(k)s, with the tax rate typed at 22%.
GIVES: $9,398/month
(the test re-runs this through MK-CF-O-004 incomeSummary on every build)</t>
        </is>
      </c>
      <c r="AO42" s="7" t="inlineStr">
        <is>
          <t>RULED, NOT CODED (Q-CF-1 — one question, one function)</t>
        </is>
      </c>
    </row>
    <row r="43" ht="60" customHeight="1">
      <c r="A43" s="3" t="inlineStr">
        <is>
          <t>MK-CF-M-038</t>
        </is>
      </c>
      <c r="B43" s="3" t="inlineStr">
        <is>
          <t>Cashflow</t>
        </is>
      </c>
      <c r="C43" s="3" t="inlineStr">
        <is>
          <t>/income-summary</t>
        </is>
      </c>
      <c r="D43" s="3" t="inlineStr">
        <is>
          <t>each source of take-home</t>
        </is>
      </c>
      <c r="E43" s="3" t="inlineStr">
        <is>
          <t>each_source_of_takehome</t>
        </is>
      </c>
      <c r="F43" s="3" t="inlineStr">
        <is>
          <t>incomeSummary</t>
        </is>
      </c>
      <c r="G43" s="3" t="inlineStr">
        <is>
          <t>MK-CF-O-004</t>
        </is>
      </c>
      <c r="H43" s="3" t="inlineStr">
        <is>
          <t>one line per source: the earner’s take-home, or the source’s monthly amount</t>
        </is>
      </c>
      <c r="I43" s="3" t="inlineStr">
        <is>
          <t>one line per source: the earner’s take-home, or the source’s monthly amount</t>
        </is>
      </c>
      <c r="J43" s="3" t="inlineStr">
        <is>
          <t>MK-CF-M-031 household take-home
MK-CF-I-006 other income
MK-CF-I-007 rental income</t>
        </is>
      </c>
      <c r="K43" s="3" t="inlineStr">
        <is>
          <t>dollars, whole a month</t>
        </is>
      </c>
      <c r="L43" s="3" t="inlineStr">
        <is>
          <t>The list is replaced by the door to enter income when nothing is entered.</t>
        </is>
      </c>
      <c r="M43" s="3" t="inlineStr">
        <is>
          <t>one figure per household</t>
        </is>
      </c>
      <c r="N43" s="3" t="inlineStr">
        <is>
          <t>a month</t>
        </is>
      </c>
      <c r="O4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3" s="3" t="inlineStr">
        <is>
          <t>Declared by MK-CF-O-004 incomeSummary</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2026-10-19</t>
        </is>
      </c>
      <c r="AH43" s="3" t="inlineStr"/>
      <c r="AI43" s="3" t="inlineStr"/>
      <c r="AJ4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MK-CF-O-004 incomeSummary</t>
        </is>
      </c>
      <c r="AN43" s="3" t="inlineStr">
        <is>
          <t>Two earners filing jointly: $4,200 every two weeks ($109,200/year) and $5,000/month ($60,000), paying $1,200 and $400/month into their 401(k)s, with the tax rate typed at 22%.
GIVES: $5,898/month
(the test re-runs this through MK-CF-O-004 incomeSummary on every build)</t>
        </is>
      </c>
      <c r="AO43" s="7" t="inlineStr">
        <is>
          <t>RULED, NOT CODED (Q-CF-1 — one question, one function)</t>
        </is>
      </c>
    </row>
    <row r="44" ht="60" customHeight="1">
      <c r="A44" s="3" t="inlineStr">
        <is>
          <t>MK-CF-M-039</t>
        </is>
      </c>
      <c r="B44" s="3" t="inlineStr">
        <is>
          <t>Cashflow</t>
        </is>
      </c>
      <c r="C44" s="3" t="inlineStr">
        <is>
          <t>/income-summary · /income-manager</t>
        </is>
      </c>
      <c r="D44" s="3" t="inlineStr">
        <is>
          <t>its own month, never spread</t>
        </is>
      </c>
      <c r="E44" s="3" t="inlineStr">
        <is>
          <t>its_own_month_never_spread</t>
        </is>
      </c>
      <c r="F44" s="3" t="inlineStr">
        <is>
          <t>incomeSummary</t>
        </is>
      </c>
      <c r="G44" s="3" t="inlineStr">
        <is>
          <t>MK-CF-O-004</t>
        </is>
      </c>
      <c r="H44" s="3" t="inlineStr">
        <is>
          <t>the standout month = the source whose whole year lands in a single month, with that amount and that month</t>
        </is>
      </c>
      <c r="I44" s="3" t="inlineStr">
        <is>
          <t>the standout month = the source whose whole year lands in a single month, with that amount and that month</t>
        </is>
      </c>
      <c r="J44" s="3" t="inlineStr">
        <is>
          <t>MK-CF-I-009 bonus
MK-CF-I-010 equity vesting</t>
        </is>
      </c>
      <c r="K44" s="3" t="inlineStr">
        <is>
          <t>dollars, whole</t>
        </is>
      </c>
      <c r="L44" s="3" t="inlineStr">
        <is>
          <t>The line is hidden when no source behaves this way.</t>
        </is>
      </c>
      <c r="M44" s="3" t="inlineStr">
        <is>
          <t>one figure per household</t>
        </is>
      </c>
      <c r="N44" s="3" t="inlineStr">
        <is>
          <t>as of today</t>
        </is>
      </c>
      <c r="O44"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4" s="3" t="inlineStr">
        <is>
          <t>Declared by MK-CF-O-004 incomeSummary</t>
        </is>
      </c>
      <c r="Q44" s="3" t="inlineStr">
        <is>
          <t>A lump that lands once is never averaged across the year (founder, 2026-08-28).</t>
        </is>
      </c>
      <c r="R44" s="3" t="inlineStr">
        <is>
          <t>A lump that lands once is never averaged across the year (founder, 2026-08-28).</t>
        </is>
      </c>
      <c r="S44" s="3" t="inlineStr"/>
      <c r="T44" s="3" t="inlineStr">
        <is>
          <t>A lump that lands once is never averaged across the year (founder, 2026-08-28).</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2026-10-19</t>
        </is>
      </c>
      <c r="AH44" s="3" t="inlineStr"/>
      <c r="AI44" s="3" t="inlineStr"/>
      <c r="AJ4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MK-CF-O-004 incomeSummary</t>
        </is>
      </c>
      <c r="AN44" s="3" t="inlineStr">
        <is>
          <t>The two earners above, plus $24,000/year of self-employment, a $12,000 bonus in March, 50 shares vesting at $400, a rental bringing in $2,000/month against $800 of costs, and $2,100/month of Social Security.
GIVES: $40,316
(the test re-runs this through MK-CF-O-004 incomeSummary on every build)</t>
        </is>
      </c>
      <c r="AO44" s="7" t="inlineStr">
        <is>
          <t>RULED, NOT CODED (Q-CF-1 — one question, one function)</t>
        </is>
      </c>
    </row>
    <row r="45" ht="60" customHeight="1">
      <c r="A45" s="3" t="inlineStr">
        <is>
          <t>MK-CF-M-040</t>
        </is>
      </c>
      <c r="B45" s="3" t="inlineStr">
        <is>
          <t>Cashflow</t>
        </is>
      </c>
      <c r="C45" s="3" t="inlineStr">
        <is>
          <t>/income-summary</t>
        </is>
      </c>
      <c r="D45" s="3" t="inlineStr">
        <is>
          <t>is not here — it is reinvested where it is earned</t>
        </is>
      </c>
      <c r="E45" s="3" t="inlineStr">
        <is>
          <t>is_not_here__it_is_reinvested_where_it_i</t>
        </is>
      </c>
      <c r="F45" s="3" t="inlineStr">
        <is>
          <t>incomeSummary</t>
        </is>
      </c>
      <c r="G45" s="3" t="inlineStr">
        <is>
          <t>MK-CF-O-004</t>
        </is>
      </c>
      <c r="H45" s="3" t="inlineStr">
        <is>
          <t>taxed but not landed = interest and dividends earned inside accounts, which stay where they are earned</t>
        </is>
      </c>
      <c r="I45" s="3" t="inlineStr">
        <is>
          <t>taxed but not landed = interest and dividends earned inside accounts, which stay where they are earned</t>
        </is>
      </c>
      <c r="J45" s="3" t="inlineStr">
        <is>
          <t>MK-CF-I-011 interest and dividends</t>
        </is>
      </c>
      <c r="K45" s="3" t="inlineStr">
        <is>
          <t>dollars, whole a month</t>
        </is>
      </c>
      <c r="L45" s="3" t="inlineStr">
        <is>
          <t>The sentence is hidden when there is none.</t>
        </is>
      </c>
      <c r="M45" s="3" t="inlineStr">
        <is>
          <t>one figure per household</t>
        </is>
      </c>
      <c r="N45" s="3" t="inlineStr">
        <is>
          <t>a month</t>
        </is>
      </c>
      <c r="O45"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5" s="3" t="inlineStr">
        <is>
          <t>Declared by MK-CF-O-004 incomeSummary</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2026-10-19</t>
        </is>
      </c>
      <c r="AH45" s="3" t="inlineStr"/>
      <c r="AI45" s="3" t="inlineStr"/>
      <c r="AJ4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MK-CF-O-004 incomeSummary</t>
        </is>
      </c>
      <c r="AN45" s="3" t="inlineStr">
        <is>
          <t>The two earners above, with $3,600/year of interest and dividends earned inside their accounts and left there.
GIVES: $300/month
(the test re-runs this through MK-CF-O-004 incomeSummary on every build)</t>
        </is>
      </c>
      <c r="AO45" s="7" t="inlineStr">
        <is>
          <t>RULED, NOT CODED (Q-CF-1 — one question, one function)</t>
        </is>
      </c>
    </row>
    <row r="46" ht="60" customHeight="1">
      <c r="A46" s="3" t="inlineStr">
        <is>
          <t>MK-CF-M-041</t>
        </is>
      </c>
      <c r="B46" s="3" t="inlineStr">
        <is>
          <t>Cashflow</t>
        </is>
      </c>
      <c r="C46" s="3" t="inlineStr">
        <is>
          <t>/income-summary</t>
        </is>
      </c>
      <c r="D46" s="3" t="inlineStr">
        <is>
          <t>What it is taxed on</t>
        </is>
      </c>
      <c r="E46" s="3" t="inlineStr">
        <is>
          <t>what_it_is_taxed_on</t>
        </is>
      </c>
      <c r="F46" s="3" t="inlineStr">
        <is>
          <t>incomeSummary</t>
        </is>
      </c>
      <c r="G46" s="3" t="inlineStr">
        <is>
          <t>MK-CF-O-004</t>
        </is>
      </c>
      <c r="H46" s="3" t="inlineStr">
        <is>
          <t>gross a year = Σ of every taxable source over the year, wages included at gross</t>
        </is>
      </c>
      <c r="I46" s="3" t="inlineStr">
        <is>
          <t>gross a year = Σ of every taxable source over the year, wages included at gross</t>
        </is>
      </c>
      <c r="J46" s="3" t="inlineStr">
        <is>
          <t>MK-CF-M-030 gross a year
MK-CF-I-006 other income
MK-CF-I-007 rental income
MK-CF-I-011 interest and dividends</t>
        </is>
      </c>
      <c r="K46" s="3" t="inlineStr">
        <is>
          <t>dollars, whole a year</t>
        </is>
      </c>
      <c r="L46" s="3" t="inlineStr">
        <is>
          <t>Shows $0 on a fresh account, with the door to enter income.</t>
        </is>
      </c>
      <c r="M46" s="3" t="inlineStr">
        <is>
          <t>one figure per household</t>
        </is>
      </c>
      <c r="N46" s="3" t="inlineStr">
        <is>
          <t>a year</t>
        </is>
      </c>
      <c r="O46"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6" s="3" t="inlineStr">
        <is>
          <t>Declared by MK-CF-O-004 incomeSummary</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2026-10-19</t>
        </is>
      </c>
      <c r="AH46" s="3" t="inlineStr"/>
      <c r="AI46" s="3" t="inlineStr"/>
      <c r="AJ4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$169,200/year
(the test re-runs this through MK-CF-O-004 incomeSummary on every build)</t>
        </is>
      </c>
      <c r="AO46" s="7" t="inlineStr">
        <is>
          <t>RULED, NOT CODED (Q-CF-1 — one question, one function)</t>
        </is>
      </c>
    </row>
    <row r="47" ht="60" customHeight="1">
      <c r="A47" s="3" t="inlineStr">
        <is>
          <t>MK-CF-M-042</t>
        </is>
      </c>
      <c r="B47" s="3" t="inlineStr">
        <is>
          <t>Cashflow</t>
        </is>
      </c>
      <c r="C47" s="3" t="inlineStr">
        <is>
          <t>/income-summary</t>
        </is>
      </c>
      <c r="D47" s="3" t="inlineStr">
        <is>
          <t>each taxed source</t>
        </is>
      </c>
      <c r="E47" s="3" t="inlineStr">
        <is>
          <t>each_taxed_source</t>
        </is>
      </c>
      <c r="F47" s="3" t="inlineStr">
        <is>
          <t>incomeSummary</t>
        </is>
      </c>
      <c r="G47" s="3" t="inlineStr">
        <is>
          <t>MK-CF-O-004</t>
        </is>
      </c>
      <c r="H47" s="3" t="inlineStr">
        <is>
          <t>one line per taxable source, at its yearly amount</t>
        </is>
      </c>
      <c r="I47" s="3" t="inlineStr">
        <is>
          <t>one line per taxable source, at its yearly amount</t>
        </is>
      </c>
      <c r="J47" s="3" t="inlineStr">
        <is>
          <t>MK-CF-M-041 gross a year</t>
        </is>
      </c>
      <c r="K47" s="3" t="inlineStr">
        <is>
          <t>dollars, whole a year</t>
        </is>
      </c>
      <c r="L47" s="3" t="inlineStr">
        <is>
          <t>The list is replaced by the door to enter income when nothing is entered.</t>
        </is>
      </c>
      <c r="M47" s="3" t="inlineStr">
        <is>
          <t>one figure per household</t>
        </is>
      </c>
      <c r="N47" s="3" t="inlineStr">
        <is>
          <t>a year</t>
        </is>
      </c>
      <c r="O4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2026-10-19</t>
        </is>
      </c>
      <c r="AH47" s="3" t="inlineStr"/>
      <c r="AI47" s="3" t="inlineStr"/>
      <c r="AJ4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$109,200/year
(the test re-runs this through MK-CF-O-004 incomeSummary on every build)</t>
        </is>
      </c>
      <c r="AO47" s="7" t="inlineStr">
        <is>
          <t>RULED, NOT CODED (Q-CF-1 — one question, one function)</t>
        </is>
      </c>
    </row>
    <row r="48" ht="60" customHeight="1">
      <c r="A48" s="3" t="inlineStr">
        <is>
          <t>MK-CF-M-043</t>
        </is>
      </c>
      <c r="B48" s="3" t="inlineStr">
        <is>
          <t>Cashflow</t>
        </is>
      </c>
      <c r="C48" s="3" t="inlineStr">
        <is>
          <t>/income-summary</t>
        </is>
      </c>
      <c r="D48" s="3" t="inlineStr">
        <is>
          <t>Federal tax bracket</t>
        </is>
      </c>
      <c r="E48" s="3" t="inlineStr">
        <is>
          <t>federal_tax_bracket</t>
        </is>
      </c>
      <c r="F48" s="3" t="inlineStr">
        <is>
          <t>incomeSummary</t>
        </is>
      </c>
      <c r="G48" s="3" t="inlineStr">
        <is>
          <t>MK-CF-O-004</t>
        </is>
      </c>
      <c r="H48" s="3" t="inlineStr">
        <is>
          <t>the published bracket that the whole year’s gross falls in, for their filing status</t>
        </is>
      </c>
      <c r="I48" s="3" t="inlineStr">
        <is>
          <t>the published bracket that the whole year’s gross falls in, for their filing status</t>
        </is>
      </c>
      <c r="J48" s="3" t="inlineStr">
        <is>
          <t>MK-CF-M-041 gross a year
MK-XS-I-024 filing status</t>
        </is>
      </c>
      <c r="K48" s="3" t="inlineStr">
        <is>
          <t>a percentage, whole</t>
        </is>
      </c>
      <c r="L48" s="3" t="inlineStr">
        <is>
          <t>The row is not shown until income is entered.</t>
        </is>
      </c>
      <c r="M48" s="3" t="inlineStr">
        <is>
          <t>one figure per household</t>
        </is>
      </c>
      <c r="N48" s="3" t="inlineStr">
        <is>
          <t>as of today</t>
        </is>
      </c>
      <c r="O4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is>
          <t>The same concept as MK-CF-M-032 on the base-pay screen, over a wider base: that one counts wages, this one counts every source. Conflict C-5 on the orchestrator map asks whether they stay two figures.</t>
        </is>
      </c>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2026-10-19</t>
        </is>
      </c>
      <c r="AH48" s="3" t="inlineStr"/>
      <c r="AI48" s="3" t="inlineStr"/>
      <c r="AJ4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22%
(the test re-runs this through MK-CF-O-004 incomeSummary on every build)</t>
        </is>
      </c>
      <c r="AO48" s="7" t="inlineStr">
        <is>
          <t>RULED, NOT CODED (Q-CF-1 — one question, one function)</t>
        </is>
      </c>
    </row>
    <row r="49" ht="60" customHeight="1">
      <c r="A49" s="3" t="inlineStr">
        <is>
          <t>MK-CF-M-044</t>
        </is>
      </c>
      <c r="B49" s="3" t="inlineStr">
        <is>
          <t>Cashflow</t>
        </is>
      </c>
      <c r="C49" s="3" t="inlineStr">
        <is>
          <t>/income-summary</t>
        </is>
      </c>
      <c r="D49" s="3" t="inlineStr">
        <is>
          <t>Calculated federal tax</t>
        </is>
      </c>
      <c r="E49" s="3" t="inlineStr">
        <is>
          <t>calculated_federal_tax</t>
        </is>
      </c>
      <c r="F49" s="3" t="inlineStr">
        <is>
          <t>incomeSummary</t>
        </is>
      </c>
      <c r="G49" s="3" t="inlineStr">
        <is>
          <t>MK-CF-O-004</t>
        </is>
      </c>
      <c r="H49" s="3" t="inlineStr">
        <is>
          <t>tax a year = the rate in force × the year’s gross; when it is ours, federal tax on gross less the standard deduction at the published bands</t>
        </is>
      </c>
      <c r="I49" s="3" t="inlineStr">
        <is>
          <t>tax a year = the rate in force × the year’s gross; when it is ours, federal tax on gross less the standard deduction at the published bands</t>
        </is>
      </c>
      <c r="J49" s="3" t="inlineStr">
        <is>
          <t>MK-CF-M-041 gross a year
MK-CF-I-005 tax rate as entered
MK-XS-I-024 filing status</t>
        </is>
      </c>
      <c r="K49" s="3" t="inlineStr">
        <is>
          <t>dollars, whole a year</t>
        </is>
      </c>
      <c r="L49" s="3" t="inlineStr">
        <is>
          <t>The row is not shown until income is entered.</t>
        </is>
      </c>
      <c r="M49" s="3" t="inlineStr">
        <is>
          <t>one figure per household</t>
        </is>
      </c>
      <c r="N49" s="3" t="inlineStr">
        <is>
          <t>a year</t>
        </is>
      </c>
      <c r="O4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9" s="3" t="inlineStr">
        <is>
          <t>Declared by MK-CF-O-004 incomeSummary</t>
        </is>
      </c>
      <c r="Q49" s="3" t="inlineStr">
        <is>
          <t>When it is ours it assumes the standard deduction and is federal only (MK-CF-D-002).</t>
        </is>
      </c>
      <c r="R49" s="3" t="inlineStr">
        <is>
          <t>When it is ours it assumes the standard deduction and is federal only (MK-CF-D-002).</t>
        </is>
      </c>
      <c r="S49" s="3" t="inlineStr"/>
      <c r="T49" s="3" t="inlineStr">
        <is>
          <t>When it is ours it assumes the standard deduction and is federal only (MK-CF-D-002).</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2026-10-19</t>
        </is>
      </c>
      <c r="AH49" s="3" t="inlineStr"/>
      <c r="AI49" s="3" t="inlineStr"/>
      <c r="AJ4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Two earners filing jointly: $4,200 every two weeks ($109,200/year) and $5,000/month ($60,000), paying $1,200 and $400/month into their 401(k)s, with the tax rate typed at 22%.
GIVES: $37,224/year
(the test re-runs this through MK-CF-O-004 incomeSummary on every build)</t>
        </is>
      </c>
      <c r="AO49" s="7" t="inlineStr">
        <is>
          <t>RULED, NOT CODED (Q-CF-1 — one question, one function)</t>
        </is>
      </c>
    </row>
    <row r="50" ht="60" customHeight="1">
      <c r="A50" s="3" t="inlineStr">
        <is>
          <t>MK-CF-M-045</t>
        </is>
      </c>
      <c r="B50" s="3" t="inlineStr">
        <is>
          <t>Cashflow</t>
        </is>
      </c>
      <c r="C50" s="3" t="inlineStr">
        <is>
          <t>/base-pay</t>
        </is>
      </c>
      <c r="D50" s="3" t="inlineStr">
        <is>
          <t>Social Security takes 6.2% of a wage up to</t>
        </is>
      </c>
      <c r="E50" s="3" t="inlineStr">
        <is>
          <t>social_security_takes_62_of_a_wage_up_to</t>
        </is>
      </c>
      <c r="F50" s="3" t="inlineStr">
        <is>
          <t>basePay</t>
        </is>
      </c>
      <c r="G50" s="3" t="inlineStr">
        <is>
          <t>MK-CF-O-001</t>
        </is>
      </c>
      <c r="H50" s="3" t="inlineStr">
        <is>
          <t>the published wage base for the tax year</t>
        </is>
      </c>
      <c r="I50" s="3" t="inlineStr">
        <is>
          <t>the published wage base for the tax year</t>
        </is>
      </c>
      <c r="J50" s="3" t="inlineStr">
        <is>
          <t>MK-ST-I-030 Social Security wage base</t>
        </is>
      </c>
      <c r="K50" s="3" t="inlineStr">
        <is>
          <t>dollars, whole a year</t>
        </is>
      </c>
      <c r="L50" s="3" t="inlineStr">
        <is>
          <t>Never absent — it is a published figure, not a calculation.</t>
        </is>
      </c>
      <c r="M50" s="3" t="inlineStr">
        <is>
          <t>one figure per household</t>
        </is>
      </c>
      <c r="N50" s="3" t="inlineStr">
        <is>
          <t>a year</t>
        </is>
      </c>
      <c r="O5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0" s="3" t="inlineStr">
        <is>
          <t>Declared by MK-CF-O-001 basePay</t>
        </is>
      </c>
      <c r="Q50" s="3" t="inlineStr">
        <is>
          <t>Published figure — the source and the year it applies to are on the master file’s Reference tab (guard D4).</t>
        </is>
      </c>
      <c r="R50" s="3" t="inlineStr">
        <is>
          <t>Published figure — the source and the year it applies to are on the master file’s Reference tab (guard D4).</t>
        </is>
      </c>
      <c r="S50" s="3" t="inlineStr"/>
      <c r="T50" s="3" t="inlineStr">
        <is>
          <t>Published figure — the source and the year it applies to are on the master file’s Reference tab (guard D4).</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2026-10-19</t>
        </is>
      </c>
      <c r="AH50" s="3" t="inlineStr"/>
      <c r="AI50" s="3" t="inlineStr"/>
      <c r="AJ5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MK-CF-O-001 basePay</t>
        </is>
      </c>
      <c r="AN50"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0" s="7" t="inlineStr">
        <is>
          <t>RULED, NOT CODED (Q-CF-1 — one question, one function)</t>
        </is>
      </c>
    </row>
    <row r="51" ht="60" customHeight="1">
      <c r="A51" s="3" t="inlineStr">
        <is>
          <t>MK-CF-M-046</t>
        </is>
      </c>
      <c r="B51" s="3" t="inlineStr">
        <is>
          <t>Cashflow</t>
        </is>
      </c>
      <c r="C51" s="3" t="inlineStr">
        <is>
          <t>/base-pay</t>
        </is>
      </c>
      <c r="D51" s="3" t="inlineStr">
        <is>
          <t>Medicare 1.45% of everything, 0.9% more above</t>
        </is>
      </c>
      <c r="E51" s="3" t="inlineStr">
        <is>
          <t>medicare_145_of_everything_09_more_above</t>
        </is>
      </c>
      <c r="F51" s="3" t="inlineStr">
        <is>
          <t>basePay</t>
        </is>
      </c>
      <c r="G51" s="3" t="inlineStr">
        <is>
          <t>MK-CF-O-001</t>
        </is>
      </c>
      <c r="H51" s="3" t="inlineStr">
        <is>
          <t>the published additional-Medicare-tax threshold for the tax year</t>
        </is>
      </c>
      <c r="I51" s="3" t="inlineStr">
        <is>
          <t>the published additional-Medicare-tax threshold for the tax year</t>
        </is>
      </c>
      <c r="J51" s="3" t="inlineStr">
        <is>
          <t>MK-ST-I-031 Medicare additional-tax threshold</t>
        </is>
      </c>
      <c r="K51" s="3" t="inlineStr">
        <is>
          <t>dollars, whole a year</t>
        </is>
      </c>
      <c r="L51" s="3" t="inlineStr">
        <is>
          <t>Never absent — it is a published figure, not a calculation.</t>
        </is>
      </c>
      <c r="M51" s="3" t="inlineStr">
        <is>
          <t>one figure per household</t>
        </is>
      </c>
      <c r="N51" s="3" t="inlineStr">
        <is>
          <t>a year</t>
        </is>
      </c>
      <c r="O5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1" s="3" t="inlineStr">
        <is>
          <t>Declared by MK-CF-O-001 basePay</t>
        </is>
      </c>
      <c r="Q51" s="3" t="inlineStr">
        <is>
          <t>Published figure — the source and the year it applies to are on the master file’s Reference tab (guard D4).</t>
        </is>
      </c>
      <c r="R51" s="3" t="inlineStr">
        <is>
          <t>Published figure — the source and the year it applies to are on the master file’s Reference tab (guard D4).</t>
        </is>
      </c>
      <c r="S51" s="3" t="inlineStr"/>
      <c r="T51" s="3" t="inlineStr">
        <is>
          <t>Published figure — the source and the year it applies to are on the master file’s Reference tab (guard D4).</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2026-10-19</t>
        </is>
      </c>
      <c r="AH51" s="3" t="inlineStr"/>
      <c r="AI51" s="3" t="inlineStr"/>
      <c r="AJ5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MK-CF-O-001 basePay</t>
        </is>
      </c>
      <c r="AN51"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1" s="7" t="inlineStr">
        <is>
          <t>RULED, NOT CODED (Q-CF-1 — one question, one function)</t>
        </is>
      </c>
    </row>
    <row r="52" ht="60" customHeight="1">
      <c r="A52" s="3" t="inlineStr">
        <is>
          <t>MK-CF-M-047</t>
        </is>
      </c>
      <c r="B52" s="3" t="inlineStr">
        <is>
          <t>Cashflow</t>
        </is>
      </c>
      <c r="C52" s="3" t="inlineStr">
        <is>
          <t>/cashflow</t>
        </is>
      </c>
      <c r="D52" s="3" t="inlineStr">
        <is>
          <t>Expected inflow</t>
        </is>
      </c>
      <c r="E52" s="3" t="inlineStr">
        <is>
          <t>expected_inflow</t>
        </is>
      </c>
      <c r="F52" s="3" t="inlineStr">
        <is>
          <t>thisMonth</t>
        </is>
      </c>
      <c r="G52" s="3" t="inlineStr">
        <is>
          <t>MK-CF-O-003</t>
        </is>
      </c>
      <c r="H52" s="3" t="inlineStr">
        <is>
          <t>expected inflow = Σ of every income source that lands in this month, at its take-home amount; a source that lands once a year counts only in the month it lands</t>
        </is>
      </c>
      <c r="I52" s="3" t="inlineStr">
        <is>
          <t>expected inflow = Σ of every income source that lands in this month, at its take-home amount; a source that lands once a year counts only in the month it lands</t>
        </is>
      </c>
      <c r="J52" s="3" t="inlineStr">
        <is>
          <t>MK-CF-M-037 take-home each month
MK-CF-I-006 other income
MK-CF-I-007 rental income
MK-CF-I-008 retirement income</t>
        </is>
      </c>
      <c r="K52" s="3" t="inlineStr">
        <is>
          <t>dollars, whole a month</t>
        </is>
      </c>
      <c r="L52" s="3" t="inlineStr">
        <is>
          <t>Shows $0 until income is entered, with the door to enter it.</t>
        </is>
      </c>
      <c r="M52" s="3" t="inlineStr">
        <is>
          <t>one figure per household per month</t>
        </is>
      </c>
      <c r="N52" s="3" t="inlineStr">
        <is>
          <t>a month</t>
        </is>
      </c>
      <c r="O52" s="3" t="inlineStr">
        <is>
          <t>1. MK-CF-F-005 (actualMonthFlow) → MonthBlock
2. MK-CF-F-156 (plannedMonthFlow) → MonthBlock</t>
        </is>
      </c>
      <c r="P52" s="3" t="inlineStr">
        <is>
          <t>Declared by MK-CF-O-003 thisMonth</t>
        </is>
      </c>
      <c r="Q52" s="3" t="inlineStr">
        <is>
          <t>A month is a real calendar month, never a twelfth of a year (founder, 2026-08-28).</t>
        </is>
      </c>
      <c r="R52" s="3" t="inlineStr">
        <is>
          <t>A month is a real calendar month, never a twelfth of a year (founder, 2026-08-28).</t>
        </is>
      </c>
      <c r="S52" s="3" t="inlineStr"/>
      <c r="T52" s="3" t="inlineStr">
        <is>
          <t>A month is a real calendar month, never a twelfth of a year (founder, 2026-08-28).</t>
        </is>
      </c>
      <c r="U52" s="3" t="inlineStr"/>
      <c r="V52" s="3" t="inlineStr"/>
      <c r="W52" s="3" t="inlineStr">
        <is>
          <t>yes</t>
        </is>
      </c>
      <c r="X52" s="3" t="inlineStr"/>
      <c r="Y52" s="3" t="inlineStr"/>
      <c r="Z52" s="3" t="inlineStr">
        <is>
          <t>DRAFT — declared in the code and printed here, WAITING FOR YOUR VERDICT before the screens move behind the door (rule 10)</t>
        </is>
      </c>
      <c r="AA52" s="3" t="inlineStr"/>
      <c r="AB52" s="3" t="inlineStr"/>
      <c r="AC52" s="3" t="inlineStr"/>
      <c r="AD52" s="3" t="inlineStr"/>
      <c r="AE52" s="3" t="inlineStr"/>
      <c r="AF52" s="3" t="inlineStr">
        <is>
          <t>ACTIVE</t>
        </is>
      </c>
      <c r="AG52" s="3" t="inlineStr">
        <is>
          <t>2026-10-19</t>
        </is>
      </c>
      <c r="AH52" s="3" t="inlineStr"/>
      <c r="AI52" s="3" t="inlineStr"/>
      <c r="AJ5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RULED? NOT YET — read this row and say yes, or say what changes. Nothing moves behind MK-CF-O-003 thisMonth until you do.</t>
        </is>
      </c>
      <c r="AN52" s="3" t="inlineStr">
        <is>
          <t>September 2026: $7,200 take-home; a $2,400 mortgage and a $250 car loan due; a $3,400 budget. Logged so far: $2,300 rent, $512 groceries, $186 eating out, and the $250 car loan paid.
GIVES: $7,200/month
(the test re-runs this through MK-CF-O-003 thisMonth on every build)</t>
        </is>
      </c>
      <c r="AO52" s="9" t="inlineStr">
        <is>
          <t>WAITING ON YOU — row to approve: say yes in YOUR ANSWER, or say what changes · RULED, NOT CODED (Q-CF-2 — one question, one function)</t>
        </is>
      </c>
    </row>
    <row r="53" ht="60" customHeight="1">
      <c r="A53" s="3" t="inlineStr">
        <is>
          <t>MK-CF-M-048</t>
        </is>
      </c>
      <c r="B53" s="3" t="inlineStr">
        <is>
          <t>Cashflow</t>
        </is>
      </c>
      <c r="C53" s="3" t="inlineStr">
        <is>
          <t>/cashflow</t>
        </is>
      </c>
      <c r="D53" s="3" t="inlineStr">
        <is>
          <t>Planned outflow (expenses + debt)</t>
        </is>
      </c>
      <c r="E53" s="3" t="inlineStr">
        <is>
          <t>planned_outflow_expenses__debt</t>
        </is>
      </c>
      <c r="F53" s="3" t="inlineStr">
        <is>
          <t>thisMonth</t>
        </is>
      </c>
      <c r="G53" s="3" t="inlineStr">
        <is>
          <t>MK-CF-O-003</t>
        </is>
      </c>
      <c r="H53" s="3" t="inlineStr">
        <is>
          <t>planned outflow = planned everyday expenses + Σ of the debt payments due this month + Σ of the big bills that fall in this month</t>
        </is>
      </c>
      <c r="I53" s="3" t="inlineStr">
        <is>
          <t>planned outflow = planned everyday expenses + Σ of the debt payments due this month + Σ of the big bills that fall in this month</t>
        </is>
      </c>
      <c r="J53" s="3" t="inlineStr">
        <is>
          <t>MK-CF-I-012 planned expenses
MK-CF-I-013 debt payment
MK-CF-I-014 big bill</t>
        </is>
      </c>
      <c r="K53" s="3" t="inlineStr">
        <is>
          <t>dollars, whole a month</t>
        </is>
      </c>
      <c r="L53" s="3" t="inlineStr">
        <is>
          <t>Shows $0 until expenses or debts are entered.</t>
        </is>
      </c>
      <c r="M53" s="3" t="inlineStr">
        <is>
          <t>one figure per household per month</t>
        </is>
      </c>
      <c r="N53" s="3" t="inlineStr">
        <is>
          <t>a month</t>
        </is>
      </c>
      <c r="O53" s="3" t="inlineStr">
        <is>
          <t>1. MK-CF-F-005 (actualMonthFlow) → MonthBlock
2. MK-CF-F-156 (plannedMonthFlow) → MonthBlock</t>
        </is>
      </c>
      <c r="P53" s="3" t="inlineStr">
        <is>
          <t>Declared by MK-CF-O-003 thisMonth</t>
        </is>
      </c>
      <c r="Q53" s="3" t="inlineStr">
        <is>
          <t>A debt payment is counted as an outflow, not as saving (founder, 2026-06-21).
A bill that falls once a year is shown in its own month, never spread.</t>
        </is>
      </c>
      <c r="R53" s="3" t="inlineStr">
        <is>
          <t>A debt payment is counted as an outflow, not as saving (founder, 2026-06-21).
A bill that falls once a year is shown in its own month, never spread.</t>
        </is>
      </c>
      <c r="S53" s="3" t="inlineStr"/>
      <c r="T53" s="3" t="inlineStr">
        <is>
          <t>A debt payment is counted as an outflow, not as saving (founder, 2026-06-21).
A bill that falls once a year is shown in its own month, never spread.</t>
        </is>
      </c>
      <c r="U53" s="3" t="inlineStr"/>
      <c r="V53" s="3" t="inlineStr"/>
      <c r="W53" s="3" t="inlineStr">
        <is>
          <t>yes</t>
        </is>
      </c>
      <c r="X53" s="3" t="inlineStr"/>
      <c r="Y53" s="3" t="inlineStr"/>
      <c r="Z53" s="3" t="inlineStr">
        <is>
          <t>DRAFT — declared in the code and printed here, WAITING FOR YOUR VERDICT before the screens move behind the door (rule 10)</t>
        </is>
      </c>
      <c r="AA53" s="3" t="inlineStr"/>
      <c r="AB53" s="3" t="inlineStr"/>
      <c r="AC53" s="3" t="inlineStr"/>
      <c r="AD53" s="3" t="inlineStr"/>
      <c r="AE53" s="3" t="inlineStr"/>
      <c r="AF53" s="3" t="inlineStr">
        <is>
          <t>ACTIVE</t>
        </is>
      </c>
      <c r="AG53" s="3" t="inlineStr">
        <is>
          <t>2026-10-19</t>
        </is>
      </c>
      <c r="AH53" s="3" t="inlineStr"/>
      <c r="AI53" s="3" t="inlineStr"/>
      <c r="AJ5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RULED? NOT YET — read this row and say yes, or say what changes. Nothing moves behind MK-CF-O-003 thisMonth until you do.</t>
        </is>
      </c>
      <c r="AN53" s="3" t="inlineStr">
        <is>
          <t>September 2026: $7,200 take-home; a $2,400 mortgage and a $250 car loan due; a $3,400 budget. Logged so far: $2,300 rent, $512 groceries, $186 eating out, and the $250 car loan paid.
GIVES: −$6,050/month
(the test re-runs this through MK-CF-O-003 thisMonth on every build)</t>
        </is>
      </c>
      <c r="AO53" s="9" t="inlineStr">
        <is>
          <t>WAITING ON YOU — row to approve: say yes in YOUR ANSWER, or say what changes · RULED, NOT CODED (Q-CF-2 — one question, one function)</t>
        </is>
      </c>
    </row>
    <row r="54" ht="60" customHeight="1">
      <c r="A54" s="3" t="inlineStr">
        <is>
          <t>MK-CF-M-049</t>
        </is>
      </c>
      <c r="B54" s="3" t="inlineStr">
        <is>
          <t>Cashflow</t>
        </is>
      </c>
      <c r="C54" s="3" t="inlineStr">
        <is>
          <t>/cashflow</t>
        </is>
      </c>
      <c r="D54" s="3">
        <f> Planned surplus</f>
        <v/>
      </c>
      <c r="E54" s="3" t="inlineStr">
        <is>
          <t>planned_surplus</t>
        </is>
      </c>
      <c r="F54" s="3" t="inlineStr">
        <is>
          <t>thisMonth</t>
        </is>
      </c>
      <c r="G54" s="3" t="inlineStr">
        <is>
          <t>MK-CF-O-003</t>
        </is>
      </c>
      <c r="H54" s="3" t="inlineStr">
        <is>
          <t>planned surplus = expected inflow − planned outflow</t>
        </is>
      </c>
      <c r="I54" s="3" t="inlineStr">
        <is>
          <t>planned surplus = expected inflow − planned outflow</t>
        </is>
      </c>
      <c r="J54" s="3" t="inlineStr">
        <is>
          <t>MK-CF-M-047 expected inflow
MK-CF-M-048 planned outflow</t>
        </is>
      </c>
      <c r="K54" s="3" t="inlineStr">
        <is>
          <t>dollars, whole a month</t>
        </is>
      </c>
      <c r="L54" s="3" t="inlineStr">
        <is>
          <t>Shows $0 until both sides are entered.</t>
        </is>
      </c>
      <c r="M54" s="3" t="inlineStr">
        <is>
          <t>one figure per household per month</t>
        </is>
      </c>
      <c r="N54" s="3" t="inlineStr">
        <is>
          <t>a month</t>
        </is>
      </c>
      <c r="O54" s="3" t="inlineStr">
        <is>
          <t>1. MK-CF-F-005 (actualMonthFlow) → MonthBlock
2. MK-CF-F-156 (plannedMonthFlow) → MonthBlock</t>
        </is>
      </c>
      <c r="P54" s="3" t="inlineStr">
        <is>
          <t>Declared by MK-CF-O-003 thisMonth</t>
        </is>
      </c>
      <c r="Q54" s="3" t="inlineStr">
        <is>
          <t>NONE RECORDED — the declaration names none.</t>
        </is>
      </c>
      <c r="R54" s="3" t="inlineStr">
        <is>
          <t>NONE RECORDED — the declaration names none.</t>
        </is>
      </c>
      <c r="S54" s="3" t="inlineStr"/>
      <c r="T54" s="3" t="inlineStr">
        <is>
          <t>NONE RECORDED — the declaration names none.</t>
        </is>
      </c>
      <c r="U54" s="3" t="inlineStr">
        <is>
          <t>The Cash flow screen used to subtract this itself (rule 5). It is the door’s figure now.</t>
        </is>
      </c>
      <c r="V54" s="3" t="inlineStr"/>
      <c r="W54" s="3" t="inlineStr"/>
      <c r="X54" s="3" t="inlineStr"/>
      <c r="Y54" s="3" t="inlineStr"/>
      <c r="Z54" s="3" t="inlineStr">
        <is>
          <t>DRAFT — declared in the code and printed here, WAITING FOR YOUR VERDICT before the screens move behind the door (rule 10)</t>
        </is>
      </c>
      <c r="AA54" s="3" t="inlineStr"/>
      <c r="AB54" s="3" t="inlineStr"/>
      <c r="AC54" s="3" t="inlineStr"/>
      <c r="AD54" s="3" t="inlineStr"/>
      <c r="AE54" s="3" t="inlineStr"/>
      <c r="AF54" s="3" t="inlineStr">
        <is>
          <t>ACTIVE</t>
        </is>
      </c>
      <c r="AG54" s="3" t="inlineStr">
        <is>
          <t>2026-10-19</t>
        </is>
      </c>
      <c r="AH54" s="3" t="inlineStr"/>
      <c r="AI54" s="3" t="inlineStr"/>
      <c r="AJ5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RULED? NOT YET — read this row and say yes, or say what changes. Nothing moves behind MK-CF-O-003 thisMonth until you do.</t>
        </is>
      </c>
      <c r="AN54" s="3" t="inlineStr">
        <is>
          <t>September 2026: $7,200 take-home; a $2,400 mortgage and a $250 car loan due; a $3,400 budget. Logged so far: $2,300 rent, $512 groceries, $186 eating out, and the $250 car loan paid.
GIVES: $1,150/month
(the test re-runs this through MK-CF-O-003 thisMonth on every build)</t>
        </is>
      </c>
      <c r="AO54" s="9" t="inlineStr">
        <is>
          <t>WAITING ON YOU — row to approve: say yes in YOUR ANSWER, or say what changes · RULED, NOT CODED (Q-CF-2 — one question, one function)</t>
        </is>
      </c>
    </row>
    <row r="55" ht="60" customHeight="1">
      <c r="A55" s="3" t="inlineStr">
        <is>
          <t>MK-CF-M-050</t>
        </is>
      </c>
      <c r="B55" s="3" t="inlineStr">
        <is>
          <t>Cashflow</t>
        </is>
      </c>
      <c r="C55" s="3" t="inlineStr">
        <is>
          <t>/cashflow</t>
        </is>
      </c>
      <c r="D55" s="3" t="inlineStr">
        <is>
          <t>each planned line</t>
        </is>
      </c>
      <c r="E55" s="3" t="inlineStr">
        <is>
          <t>each_planned_line</t>
        </is>
      </c>
      <c r="F55" s="3" t="inlineStr">
        <is>
          <t>thisMonth</t>
        </is>
      </c>
      <c r="G55" s="3" t="inlineStr">
        <is>
          <t>MK-CF-O-003</t>
        </is>
      </c>
      <c r="H55" s="3" t="inlineStr">
        <is>
          <t>one line per source or commitment that falls in this month, at its amount for this month</t>
        </is>
      </c>
      <c r="I55" s="3" t="inlineStr">
        <is>
          <t>one line per source or commitment that falls in this month, at its amount for this month</t>
        </is>
      </c>
      <c r="J55" s="3" t="inlineStr">
        <is>
          <t>MK-CF-M-047 expected inflow
MK-CF-M-048 planned outflow</t>
        </is>
      </c>
      <c r="K55" s="3" t="inlineStr">
        <is>
          <t>dollars, whole a month</t>
        </is>
      </c>
      <c r="L55" s="3" t="inlineStr">
        <is>
          <t>The list is replaced by the door to enter income or expenses when nothing is entered.</t>
        </is>
      </c>
      <c r="M55" s="3" t="inlineStr">
        <is>
          <t>one figure per line per month</t>
        </is>
      </c>
      <c r="N55" s="3" t="inlineStr">
        <is>
          <t>a month</t>
        </is>
      </c>
      <c r="O55" s="3" t="inlineStr">
        <is>
          <t>1. MK-CF-F-005 (actualMonthFlow) → MonthBlock
2. MK-CF-F-156 (plannedMonthFlow) → MonthBlock</t>
        </is>
      </c>
      <c r="P55" s="3" t="inlineStr">
        <is>
          <t>Declared by MK-CF-O-003 thisMonth</t>
        </is>
      </c>
      <c r="Q55" s="3" t="inlineStr">
        <is>
          <t>NONE RECORDED — the declaration names none.</t>
        </is>
      </c>
      <c r="R55" s="3" t="inlineStr">
        <is>
          <t>NONE RECORDED — the declaration names none.</t>
        </is>
      </c>
      <c r="S55" s="3" t="inlineStr"/>
      <c r="T55" s="3" t="inlineStr">
        <is>
          <t>NONE RECORDED — the declaration names none.</t>
        </is>
      </c>
      <c r="U55" s="3" t="inlineStr"/>
      <c r="V55" s="3" t="inlineStr"/>
      <c r="W55" s="3" t="inlineStr"/>
      <c r="X55" s="3" t="inlineStr"/>
      <c r="Y55" s="3" t="inlineStr"/>
      <c r="Z55" s="3" t="inlineStr">
        <is>
          <t>DRAFT — declared in the code and printed here, WAITING FOR YOUR VERDICT before the screens move behind the door (rule 10)</t>
        </is>
      </c>
      <c r="AA55" s="3" t="inlineStr"/>
      <c r="AB55" s="3" t="inlineStr"/>
      <c r="AC55" s="3" t="inlineStr"/>
      <c r="AD55" s="3" t="inlineStr"/>
      <c r="AE55" s="3" t="inlineStr"/>
      <c r="AF55" s="3" t="inlineStr">
        <is>
          <t>ACTIVE</t>
        </is>
      </c>
      <c r="AG55" s="3" t="inlineStr">
        <is>
          <t>2026-10-19</t>
        </is>
      </c>
      <c r="AH55" s="3" t="inlineStr"/>
      <c r="AI55" s="3" t="inlineStr"/>
      <c r="AJ5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RULED? NOT YET — read this row and say yes, or say what changes. Nothing moves behind MK-CF-O-003 thisMonth until you do.</t>
        </is>
      </c>
      <c r="AN55" s="3" t="inlineStr">
        <is>
          <t>September 2026: $7,200 take-home; a $2,400 mortgage and a $250 car loan due; a $3,400 budget. Logged so far: $2,300 rent, $512 groceries, $186 eating out, and the $250 car loan paid.
GIVES: −$2,400/month
(the test re-runs this through MK-CF-O-003 thisMonth on every build)</t>
        </is>
      </c>
      <c r="AO55" s="9" t="inlineStr">
        <is>
          <t>WAITING ON YOU — row to approve: say yes in YOUR ANSWER, or say what changes · RULED, NOT CODED (Q-CF-2 — one question, one function)</t>
        </is>
      </c>
    </row>
    <row r="56" ht="60" customHeight="1">
      <c r="A56" s="3" t="inlineStr">
        <is>
          <t>MK-CF-M-051</t>
        </is>
      </c>
      <c r="B56" s="3" t="inlineStr">
        <is>
          <t>Cashflow</t>
        </is>
      </c>
      <c r="C56" s="3" t="inlineStr">
        <is>
          <t>/cashflow · /home</t>
        </is>
      </c>
      <c r="D56" s="3" t="inlineStr">
        <is>
          <t>Inflow</t>
        </is>
      </c>
      <c r="E56" s="3" t="inlineStr">
        <is>
          <t>inflow</t>
        </is>
      </c>
      <c r="F56" s="3" t="inlineStr">
        <is>
          <t>thisMonth</t>
        </is>
      </c>
      <c r="G56" s="3" t="inlineStr">
        <is>
          <t>MK-CF-O-003</t>
        </is>
      </c>
      <c r="H56" s="3" t="inlineStr">
        <is>
          <t>inflow so far = Σ of the income recorded as received in this month up to today</t>
        </is>
      </c>
      <c r="I56" s="3" t="inlineStr">
        <is>
          <t>inflow so far = Σ of the income recorded as received in this month up to today</t>
        </is>
      </c>
      <c r="J56" s="3" t="inlineStr">
        <is>
          <t>MK-CF-I-015 income recorded as received</t>
        </is>
      </c>
      <c r="K56" s="3" t="inlineStr">
        <is>
          <t>dollars, whole a month</t>
        </is>
      </c>
      <c r="L56" s="3" t="inlineStr">
        <is>
          <t>Shows $0 until something is recorded as received.</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Nothing is assumed to have arrived; a source counts only once it is recorded (founder, 2026-08-28).</t>
        </is>
      </c>
      <c r="R56" s="3" t="inlineStr">
        <is>
          <t>Nothing is assumed to have arrived; a source counts only once it is recorded (founder, 2026-08-28).</t>
        </is>
      </c>
      <c r="S56" s="3" t="inlineStr"/>
      <c r="T56" s="3" t="inlineStr">
        <is>
          <t>Nothing is assumed to have arrived; a source counts only once it is recorded (founder, 2026-08-28).</t>
        </is>
      </c>
      <c r="U56" s="3" t="inlineStr">
        <is>
          <t>The words beside it name what is inside it — "Inflow (income (take-home) + rent)" — his cluster 5 ruling of 2026-09-10.</t>
        </is>
      </c>
      <c r="V56" s="3" t="inlineStr"/>
      <c r="W56" s="3" t="inlineStr"/>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2026-10-19</t>
        </is>
      </c>
      <c r="AH56" s="3" t="inlineStr"/>
      <c r="AI56" s="3" t="inlineStr"/>
      <c r="AJ5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MK-CF-M-052</t>
        </is>
      </c>
      <c r="B57" s="3" t="inlineStr">
        <is>
          <t>Cashflow</t>
        </is>
      </c>
      <c r="C57" s="3" t="inlineStr">
        <is>
          <t>/cashflow · /home</t>
        </is>
      </c>
      <c r="D57" s="3" t="inlineStr">
        <is>
          <t>Outflow (expenses + debt)</t>
        </is>
      </c>
      <c r="E57" s="3" t="inlineStr">
        <is>
          <t>outflow_expenses__debt</t>
        </is>
      </c>
      <c r="F57" s="3" t="inlineStr">
        <is>
          <t>thisMonth</t>
        </is>
      </c>
      <c r="G57" s="3" t="inlineStr">
        <is>
          <t>MK-CF-O-003</t>
        </is>
      </c>
      <c r="H57" s="3" t="inlineStr">
        <is>
          <t>outflow so far = expenses logged so far this month + Σ of the debt payments due this month</t>
        </is>
      </c>
      <c r="I57" s="3" t="inlineStr">
        <is>
          <t>outflow so far = expenses logged so far this month + Σ of the debt payments due this month</t>
        </is>
      </c>
      <c r="J57" s="3" t="inlineStr">
        <is>
          <t>MK-CF-I-016 logged expense
MK-CF-I-013 debt payment</t>
        </is>
      </c>
      <c r="K57" s="3" t="inlineStr">
        <is>
          <t>dollars, whole a month</t>
        </is>
      </c>
      <c r="L57" s="3" t="inlineStr">
        <is>
          <t>Shows $0 until an expense is logged or a debt is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Debt payments are counted in full for the month, logged or not, because they are committed.</t>
        </is>
      </c>
      <c r="R57" s="3" t="inlineStr">
        <is>
          <t>Debt payments are counted in full for the month, logged or not, because they are committed.</t>
        </is>
      </c>
      <c r="S57" s="3" t="inlineStr"/>
      <c r="T57" s="3" t="inlineStr">
        <is>
          <t>Debt payments are counted in full for the month, logged or not, because they are committed.</t>
        </is>
      </c>
      <c r="U57" s="3" t="inlineStr"/>
      <c r="V57" s="3" t="inlineStr"/>
      <c r="W57" s="3" t="inlineStr"/>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2026-10-19</t>
        </is>
      </c>
      <c r="AH57" s="3" t="inlineStr"/>
      <c r="AI57" s="3" t="inlineStr"/>
      <c r="AJ5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−$3,248/month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MK-CF-M-053</t>
        </is>
      </c>
      <c r="B58" s="3" t="inlineStr">
        <is>
          <t>Cashflow</t>
        </is>
      </c>
      <c r="C58" s="3" t="inlineStr">
        <is>
          <t>/cashflow · /home</t>
        </is>
      </c>
      <c r="D58" s="3">
        <f> Surplus</f>
        <v/>
      </c>
      <c r="E58" s="3" t="inlineStr">
        <is>
          <t>surplus</t>
        </is>
      </c>
      <c r="F58" s="3" t="inlineStr">
        <is>
          <t>thisMonth</t>
        </is>
      </c>
      <c r="G58" s="3" t="inlineStr">
        <is>
          <t>MK-CF-O-003</t>
        </is>
      </c>
      <c r="H58" s="3" t="inlineStr">
        <is>
          <t>surplus so far = inflow so far − outflow so far</t>
        </is>
      </c>
      <c r="I58" s="3" t="inlineStr">
        <is>
          <t>surplus so far = inflow so far − outflow so far</t>
        </is>
      </c>
      <c r="J58" s="3" t="inlineStr">
        <is>
          <t>MK-CF-M-051 inflow so far
MK-CF-M-052 outflow so far</t>
        </is>
      </c>
      <c r="K58" s="3" t="inlineStr">
        <is>
          <t>dollars, whole a month</t>
        </is>
      </c>
      <c r="L58" s="3" t="inlineStr">
        <is>
          <t>Shows $0 until something is recorded.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2026-10-19</t>
        </is>
      </c>
      <c r="AH58" s="3" t="inlineStr"/>
      <c r="AI58" s="3" t="inlineStr"/>
      <c r="AJ5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$3,952/month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MK-CF-M-054</t>
        </is>
      </c>
      <c r="B59" s="3" t="inlineStr">
        <is>
          <t>Cashflow</t>
        </is>
      </c>
      <c r="C59" s="3" t="inlineStr">
        <is>
          <t>/cashflow</t>
        </is>
      </c>
      <c r="D59" s="3" t="inlineStr">
        <is>
          <t>each received line</t>
        </is>
      </c>
      <c r="E59" s="3" t="inlineStr">
        <is>
          <t>each_received_line</t>
        </is>
      </c>
      <c r="F59" s="3" t="inlineStr">
        <is>
          <t>thisMonth</t>
        </is>
      </c>
      <c r="G59" s="3" t="inlineStr">
        <is>
          <t>MK-CF-O-003</t>
        </is>
      </c>
      <c r="H59" s="3" t="inlineStr">
        <is>
          <t>one line per payment recorded as received in this month, at its amount</t>
        </is>
      </c>
      <c r="I59" s="3" t="inlineStr">
        <is>
          <t>one line per payment recorded as received in this month, at its amount</t>
        </is>
      </c>
      <c r="J59" s="3" t="inlineStr">
        <is>
          <t>MK-CF-I-015 income recorded as received</t>
        </is>
      </c>
      <c r="K59" s="3" t="inlineStr">
        <is>
          <t>dollars, whole a month</t>
        </is>
      </c>
      <c r="L59" s="3" t="inlineStr">
        <is>
          <t>The list is replaced by the door to record income when nothing is recorded.</t>
        </is>
      </c>
      <c r="M59" s="3" t="inlineStr">
        <is>
          <t>one figure per payment</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2026-10-19</t>
        </is>
      </c>
      <c r="AH59" s="3" t="inlineStr"/>
      <c r="AI59" s="3" t="inlineStr"/>
      <c r="AJ5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MK-CF-M-055</t>
        </is>
      </c>
      <c r="B60" s="3" t="inlineStr">
        <is>
          <t>Cashflow</t>
        </is>
      </c>
      <c r="C60" s="3" t="inlineStr">
        <is>
          <t>/cashflow</t>
        </is>
      </c>
      <c r="D60" s="3" t="inlineStr">
        <is>
          <t>Draw from savings</t>
        </is>
      </c>
      <c r="E60" s="3" t="inlineStr">
        <is>
          <t>draw_from_savings</t>
        </is>
      </c>
      <c r="F60" s="3" t="inlineStr">
        <is>
          <t>futurePaycheck</t>
        </is>
      </c>
      <c r="G60" s="3" t="inlineStr">
        <is>
          <t>MK-CF-O-017</t>
        </is>
      </c>
      <c r="H60" s="3" t="inlineStr">
        <is>
          <t>the paycheck year’s level draw from the pot, at the assumed return and horizon</t>
        </is>
      </c>
      <c r="I60" s="3" t="inlineStr">
        <is>
          <t>the paycheck year’s level draw from the pot, at the assumed return and horizon</t>
        </is>
      </c>
      <c r="J60" s="3" t="inlineStr">
        <is>
          <t>MK-NW-I-001 your accounts
MK-XS-I-028 assumed return
MK-XS-I-018 retirement age</t>
        </is>
      </c>
      <c r="K60" s="3" t="inlineStr">
        <is>
          <t>dollars, whole a month</t>
        </is>
      </c>
      <c r="L60" s="3" t="inlineStr">
        <is>
          <t>No pot — no draw; the paycheck is the guaranteed income alone.</t>
        </is>
      </c>
      <c r="M60" s="3" t="inlineStr">
        <is>
          <t>one figure per household</t>
        </is>
      </c>
      <c r="N60" s="3" t="inlineStr">
        <is>
          <t>a month</t>
        </is>
      </c>
      <c r="O60" s="3" t="inlineStr">
        <is>
          <t>1. MK-CF-F-107 (buildPaycheckYear) → PaycheckYear
2. MK-XS-F-180 (declareFigures) → T
3. MK-CF-F-076 (guaranteedOutsideStreams) → GuaranteedStream[]
4. MK-ST-F-039 (on) → ()
5. MK-PL-F-050 (simulate) → NOT DECLARED — the code does not say what it gives back
6. MK-PL-F-001 (taxBucketSplit) → TaxSplit
7. MK-PL-F-067 (willItLastInputs) → RetirementInputs | null
8. MK-PL-F-004 (withdrawalOrder) → OrderStep[]</t>
        </is>
      </c>
      <c r="P60" s="3" t="inlineStr">
        <is>
          <t>Declared by MK-CF-O-017 futurePaycheck</t>
        </is>
      </c>
      <c r="Q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R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S60" s="3" t="inlineStr"/>
      <c r="T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U60" s="3" t="inlineStr"/>
      <c r="V60" s="3" t="inlineStr"/>
      <c r="W60" s="3" t="inlineStr"/>
      <c r="X60" s="3" t="inlineStr"/>
      <c r="Y60" s="3" t="inlineStr"/>
      <c r="Z60" s="3" t="inlineStr">
        <is>
          <t>DECLARED IN THE CODE (rule 11) — printed from the door, not typed. RULED 2026-10-02</t>
        </is>
      </c>
      <c r="AA60" s="3" t="inlineStr"/>
      <c r="AB60" s="3" t="inlineStr"/>
      <c r="AC60" s="3" t="inlineStr"/>
      <c r="AD60" s="3" t="inlineStr"/>
      <c r="AE60" s="3" t="inlineStr"/>
      <c r="AF60" s="3" t="inlineStr">
        <is>
          <t>ACTIVE</t>
        </is>
      </c>
      <c r="AG60" s="3" t="inlineStr">
        <is>
          <t>2026-10-19</t>
        </is>
      </c>
      <c r="AH60" s="3" t="inlineStr"/>
      <c r="AI60" s="3" t="inlineStr"/>
      <c r="AJ60" s="3" t="inlineStr">
        <is>
          <t>1. MK-XS-I-001 account balance — read by MK-CF-O-017, MK-NW-F-031, MK-NW-F-032, MK-NW-F-037, MK-NW-F-056, MK-NW-F-078, MK
2. MK-XS-I-002 account type (taxable, pre-tax, Roth) — read by MK-CF-O-017, MK-NW-F-004, MK-NW-F-011, MK-NW-F-012, MK-NW-F-025, MK-NW-F-120, MK
3. MK-XS-I-003 institution name — read by MK-NW-F-025, MK-NW-F-026, MK-NW-F-072, MK-NW-F-134,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2026-10-02; the figure, its formula, inputs and refusal live in MK-CF-O-017 futurePaycheck</t>
        </is>
      </c>
      <c r="AN60" s="3" t="inlineStr">
        <is>
          <t>Born in 1981, retiring at 67, with $200,000 in a 401(k) earning 6% and $2,000/month of Social Security from 67.
GIVES: $2,345/month
(the test re-runs this through MK-CF-O-017 futurePaycheck on every build)</t>
        </is>
      </c>
      <c r="AO60" s="3" t="inlineStr">
        <is>
          <t>NOTHING OPEN</t>
        </is>
      </c>
    </row>
    <row r="61" ht="60" customHeight="1">
      <c r="A61" s="3" t="inlineStr">
        <is>
          <t>MK-CF-M-056</t>
        </is>
      </c>
      <c r="B61" s="3" t="inlineStr">
        <is>
          <t>Cashflow</t>
        </is>
      </c>
      <c r="C61" s="3" t="inlineStr">
        <is>
          <t>/cashflow</t>
        </is>
      </c>
      <c r="D61" s="3" t="inlineStr">
        <is>
          <t>left of your budget</t>
        </is>
      </c>
      <c r="E61" s="3" t="inlineStr">
        <is>
          <t>left_of_your_budget</t>
        </is>
      </c>
      <c r="F61" s="3" t="inlineStr">
        <is>
          <t>theMonth</t>
        </is>
      </c>
      <c r="G61" s="3" t="inlineStr">
        <is>
          <t>MK-CF-O-010</t>
        </is>
      </c>
      <c r="H61" s="3" t="inlineStr">
        <is>
          <t>the budget (MK-CF-M-001) − spent so far (MK-CF-M-013); below zero it reads as over</t>
        </is>
      </c>
      <c r="I61" s="3" t="inlineStr">
        <is>
          <t>the budget (MK-CF-M-001) − spent so far (MK-CF-M-013); below zero it reads as over</t>
        </is>
      </c>
      <c r="J61" s="3" t="inlineStr">
        <is>
          <t>MK-CF-I-012 planned expenses
MK-CF-I-001 your logged expenses</t>
        </is>
      </c>
      <c r="K61" s="3" t="inlineStr">
        <is>
          <t>dollars, whole</t>
        </is>
      </c>
      <c r="L61" s="3" t="inlineStr">
        <is>
          <t>No budget set — nothing to be left of.</t>
        </is>
      </c>
      <c r="M61" s="3" t="inlineStr">
        <is>
          <t>one figure per household</t>
        </is>
      </c>
      <c r="N61" s="3" t="inlineStr">
        <is>
          <t>as of today</t>
        </is>
      </c>
      <c r="O61" s="3" t="inlineStr">
        <is>
          <t>1. MK-CF-F-203 (MONTH) → NOT DECLARED — the code does not say what it gives back
2. MK-CF-F-155 (cash) → number
3. MK-CF-O-002 (expenses) → Expenses
4. MK-CF-O-003 (thisMonth) → ThisMonth</t>
        </is>
      </c>
      <c r="P61" s="3" t="inlineStr">
        <is>
          <t>Declared by MK-CF-O-010 theMonth</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2026-10-02</t>
        </is>
      </c>
      <c r="AA61" s="3" t="inlineStr"/>
      <c r="AB61" s="3" t="inlineStr"/>
      <c r="AC61" s="3" t="inlineStr"/>
      <c r="AD61" s="3" t="inlineStr"/>
      <c r="AE61" s="3" t="inlineStr"/>
      <c r="AF61" s="3" t="inlineStr">
        <is>
          <t>ACTIVE</t>
        </is>
      </c>
      <c r="AG61" s="3" t="inlineStr">
        <is>
          <t>2026-10-19</t>
        </is>
      </c>
      <c r="AH61" s="3" t="inlineStr"/>
      <c r="AI61" s="3" t="inlineStr"/>
      <c r="AJ6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2026-10-02; the figure, its formula, inputs and refusal live in MK-CF-O-010 theMonth</t>
        </is>
      </c>
      <c r="AN61"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$402
(the test re-runs this through MK-CF-O-010 theMonth on every build)</t>
        </is>
      </c>
      <c r="AO61" s="3" t="inlineStr">
        <is>
          <t>NOTHING OPEN</t>
        </is>
      </c>
    </row>
    <row r="62" ht="60" customHeight="1">
      <c r="A62" s="3" t="inlineStr">
        <is>
          <t>MK-CF-M-057</t>
        </is>
      </c>
      <c r="B62" s="3" t="inlineStr">
        <is>
          <t>Cashflow</t>
        </is>
      </c>
      <c r="C62" s="3" t="inlineStr">
        <is>
          <t>/cashflow</t>
        </is>
      </c>
      <c r="D62" s="3" t="inlineStr">
        <is>
          <t>/month interest</t>
        </is>
      </c>
      <c r="E62" s="3" t="inlineStr">
        <is>
          <t>month_interest</t>
        </is>
      </c>
      <c r="F62" s="3" t="inlineStr">
        <is>
          <t>theDebts</t>
        </is>
      </c>
      <c r="G62" s="3" t="inlineStr">
        <is>
          <t>MK-CF-O-018</t>
        </is>
      </c>
      <c r="H62" s="3" t="inlineStr">
        <is>
          <t>Σ balance × yearly rate ÷ 12, over every debt still owed</t>
        </is>
      </c>
      <c r="I62" s="3" t="inlineStr">
        <is>
          <t>Σ balance × yearly rate ÷ 12, over every debt still owed</t>
        </is>
      </c>
      <c r="J62" s="3" t="inlineStr">
        <is>
          <t>MK-XS-I-014 debt balance
MK-XS-I-015 debt interest rate</t>
        </is>
      </c>
      <c r="K62" s="3" t="inlineStr">
        <is>
          <t>dollars, whole a month</t>
        </is>
      </c>
      <c r="L62" s="3" t="inlineStr">
        <is>
          <t>No debts — $0.</t>
        </is>
      </c>
      <c r="M62" s="3" t="inlineStr">
        <is>
          <t>one figure per household</t>
        </is>
      </c>
      <c r="N62" s="3" t="inlineStr">
        <is>
          <t>a month</t>
        </is>
      </c>
      <c r="O62" s="3" t="inlineStr">
        <is>
          <t>1. MK-CF-F-025 (minimumDebtService) → number
2. MK-CF-F-034 (payoffPlan) → PayoffResult
3. MK-CF-F-024 (totalDebtMonthly) → number</t>
        </is>
      </c>
      <c r="P62" s="3" t="inlineStr">
        <is>
          <t>Declared by MK-CF-O-018 theDebts</t>
        </is>
      </c>
      <c r="Q62" s="3" t="inlineStr">
        <is>
          <t>NONE RECORDED — the declaration names none.</t>
        </is>
      </c>
      <c r="R62" s="3" t="inlineStr">
        <is>
          <t>NONE RECORDED — the declaration names none.</t>
        </is>
      </c>
      <c r="S62" s="3" t="inlineStr"/>
      <c r="T62" s="3" t="inlineStr">
        <is>
          <t>NONE RECORDED — the declaration names none.</t>
        </is>
      </c>
      <c r="U62" s="3" t="inlineStr"/>
      <c r="V62" s="3" t="inlineStr"/>
      <c r="W62" s="3" t="inlineStr"/>
      <c r="X62" s="3" t="inlineStr"/>
      <c r="Y62" s="3" t="inlineStr"/>
      <c r="Z62" s="3" t="inlineStr">
        <is>
          <t>DECLARED IN THE CODE (rule 11) — printed from the door, not typed. RULED 2026-10-02</t>
        </is>
      </c>
      <c r="AA62" s="3" t="inlineStr"/>
      <c r="AB62" s="3" t="inlineStr"/>
      <c r="AC62" s="3" t="inlineStr"/>
      <c r="AD62" s="3" t="inlineStr"/>
      <c r="AE62" s="3" t="inlineStr"/>
      <c r="AF62" s="3" t="inlineStr">
        <is>
          <t>ACTIVE</t>
        </is>
      </c>
      <c r="AG62" s="3" t="inlineStr">
        <is>
          <t>2026-10-19</t>
        </is>
      </c>
      <c r="AH62" s="3" t="inlineStr"/>
      <c r="AI62" s="3" t="inlineStr"/>
      <c r="AJ6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2026-10-02; the figure, its formula, inputs and refusal live in MK-CF-O-018 theDebts</t>
        </is>
      </c>
      <c r="AN62" s="3" t="inlineStr">
        <is>
          <t>A $9,000 card at 24% with a $200 minimum and a $14,000 car loan at 6.9% with a $250 minimum, nothing extra paid.
GIVES: $261/month
(the test re-runs this through MK-CF-O-018 theDebts on every build)</t>
        </is>
      </c>
      <c r="AO62" s="3" t="inlineStr">
        <is>
          <t>NOTHING OPEN</t>
        </is>
      </c>
    </row>
    <row r="63" ht="60" customHeight="1">
      <c r="A63" s="3" t="inlineStr">
        <is>
          <t>MK-CF-M-058</t>
        </is>
      </c>
      <c r="B63" s="3" t="inlineStr">
        <is>
          <t>Cashflow</t>
        </is>
      </c>
      <c r="C63" s="3" t="inlineStr">
        <is>
          <t>/cashflow</t>
        </is>
      </c>
      <c r="D63" s="3" t="inlineStr">
        <is>
          <t>debt-free</t>
        </is>
      </c>
      <c r="E63" s="3" t="inlineStr">
        <is>
          <t>debtfree</t>
        </is>
      </c>
      <c r="F63" s="3" t="inlineStr">
        <is>
          <t>theDebts</t>
        </is>
      </c>
      <c r="G63" s="3" t="inlineStr">
        <is>
          <t>MK-CF-O-018</t>
        </is>
      </c>
      <c r="H63" s="3" t="inlineStr">
        <is>
          <t>the payoff plan: each month pay every minimum, put the extra on the costliest debt, roll a cleared debt’s payment onto the next</t>
        </is>
      </c>
      <c r="I63" s="3" t="inlineStr">
        <is>
          <t>the payoff plan: each month pay every minimum, put the extra on the costliest debt, roll a cleared debt’s payment onto the next</t>
        </is>
      </c>
      <c r="J63" s="3" t="inlineStr">
        <is>
          <t>MK-XS-I-014 debt balance
MK-XS-I-015 debt interest rate
MK-XS-I-016 debt minimum payment</t>
        </is>
      </c>
      <c r="K63" s="3" t="inlineStr">
        <is>
          <t>a count</t>
        </is>
      </c>
      <c r="L63" s="3" t="inlineStr">
        <is>
          <t>The payments cannot cover the interest — the screen says never, not a number.</t>
        </is>
      </c>
      <c r="M63" s="3" t="inlineStr">
        <is>
          <t>one figure per household</t>
        </is>
      </c>
      <c r="N63" s="3" t="inlineStr">
        <is>
          <t>as of today</t>
        </is>
      </c>
      <c r="O63" s="3" t="inlineStr">
        <is>
          <t>1. MK-CF-F-025 (minimumDebtService) → number
2. MK-CF-F-034 (payoffPlan) → PayoffResult
3. MK-CF-F-024 (totalDebtMonthly) → number</t>
        </is>
      </c>
      <c r="P63" s="3" t="inlineStr">
        <is>
          <t>Declared by MK-CF-O-018 theDebts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2026-10-02</t>
        </is>
      </c>
      <c r="AA63" s="3" t="inlineStr"/>
      <c r="AB63" s="3" t="inlineStr"/>
      <c r="AC63" s="3" t="inlineStr"/>
      <c r="AD63" s="3" t="inlineStr"/>
      <c r="AE63" s="3" t="inlineStr"/>
      <c r="AF63" s="3" t="inlineStr">
        <is>
          <t>ACTIVE</t>
        </is>
      </c>
      <c r="AG63" s="3" t="inlineStr">
        <is>
          <t>2026-10-19</t>
        </is>
      </c>
      <c r="AH63" s="3" t="inlineStr"/>
      <c r="AI63" s="3" t="inlineStr"/>
      <c r="AJ6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2026-10-02; the figure, its formula, inputs and refusal live in MK-CF-O-018 theDebts</t>
        </is>
      </c>
      <c r="AN63" s="3" t="inlineStr">
        <is>
          <t>A $9,000 card at 24% with a $200 minimum and a $14,000 car loan at 6.9% with a $250 minimum, nothing extra paid.
GIVES: 84
(the test re-runs this through MK-CF-O-018 theDebts on every build)</t>
        </is>
      </c>
      <c r="AO63" s="3" t="inlineStr">
        <is>
          <t>NOTHING OPEN</t>
        </is>
      </c>
    </row>
    <row r="64" ht="60" customHeight="1">
      <c r="A64" s="3" t="inlineStr">
        <is>
          <t>MK-CF-M-059</t>
        </is>
      </c>
      <c r="B64" s="3" t="inlineStr">
        <is>
          <t>Cashflow</t>
        </is>
      </c>
      <c r="C64" s="3" t="inlineStr">
        <is>
          <t>/cashflow</t>
        </is>
      </c>
      <c r="D64" s="3" t="inlineStr">
        <is>
          <t>total interest</t>
        </is>
      </c>
      <c r="E64" s="3" t="inlineStr">
        <is>
          <t>total_interest</t>
        </is>
      </c>
      <c r="F64" s="3" t="inlineStr">
        <is>
          <t>theDebts</t>
        </is>
      </c>
      <c r="G64" s="3" t="inlineStr">
        <is>
          <t>MK-CF-O-018</t>
        </is>
      </c>
      <c r="H64" s="3" t="inlineStr">
        <is>
          <t>the interest paid month by month over the payoff plan, added up</t>
        </is>
      </c>
      <c r="I64" s="3" t="inlineStr">
        <is>
          <t>the interest paid month by month over the payoff plan, added up</t>
        </is>
      </c>
      <c r="J64" s="3" t="inlineStr">
        <is>
          <t>MK-XS-I-014 debt balance
MK-XS-I-015 debt interest rate
MK-XS-I-016 debt minimum payment</t>
        </is>
      </c>
      <c r="K64" s="3" t="inlineStr">
        <is>
          <t>dollars, whole</t>
        </is>
      </c>
      <c r="L64" s="3" t="inlineStr">
        <is>
          <t>The payments cannot cover the interest — the screen says never, not a number.</t>
        </is>
      </c>
      <c r="M64" s="3" t="inlineStr">
        <is>
          <t>one figure per household</t>
        </is>
      </c>
      <c r="N64" s="3" t="inlineStr">
        <is>
          <t>as of today</t>
        </is>
      </c>
      <c r="O64" s="3" t="inlineStr">
        <is>
          <t>1. MK-CF-F-025 (minimumDebtService) → number
2. MK-CF-F-034 (payoffPlan) → PayoffResult
3. MK-CF-F-024 (totalDebtMonthly) → number</t>
        </is>
      </c>
      <c r="P64" s="3" t="inlineStr">
        <is>
          <t>Declared by MK-CF-O-018 theDebts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2026-10-02</t>
        </is>
      </c>
      <c r="AA64" s="3" t="inlineStr"/>
      <c r="AB64" s="3" t="inlineStr"/>
      <c r="AC64" s="3" t="inlineStr"/>
      <c r="AD64" s="3" t="inlineStr"/>
      <c r="AE64" s="3" t="inlineStr"/>
      <c r="AF64" s="3" t="inlineStr">
        <is>
          <t>ACTIVE</t>
        </is>
      </c>
      <c r="AG64" s="3" t="inlineStr">
        <is>
          <t>2026-10-19</t>
        </is>
      </c>
      <c r="AH64" s="3" t="inlineStr"/>
      <c r="AI64" s="3" t="inlineStr"/>
      <c r="AJ6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2026-10-02; the figure, its formula, inputs and refusal live in MK-CF-O-018 theDebts</t>
        </is>
      </c>
      <c r="AN64" s="3" t="inlineStr">
        <is>
          <t>A $9,000 card at 24% with a $200 minimum and a $14,000 car loan at 6.9% with a $250 minimum, nothing extra paid.
GIVES: $14,787
(the test re-runs this through MK-CF-O-018 theDebts on every build)</t>
        </is>
      </c>
      <c r="AO64" s="3" t="inlineStr">
        <is>
          <t>NOTHING OPEN</t>
        </is>
      </c>
    </row>
    <row r="65" ht="60" customHeight="1">
      <c r="A65" s="3" t="inlineStr">
        <is>
          <t>MK-CF-M-060</t>
        </is>
      </c>
      <c r="B65" s="3" t="inlineStr">
        <is>
          <t>Cashflow</t>
        </is>
      </c>
      <c r="C65" s="3" t="inlineStr">
        <is>
          <t>/bill-calendar</t>
        </is>
      </c>
      <c r="D65" s="3" t="inlineStr">
        <is>
          <t>Lowest point</t>
        </is>
      </c>
      <c r="E65" s="3" t="inlineStr">
        <is>
          <t>lowest_point</t>
        </is>
      </c>
      <c r="F65" s="3" t="inlineStr">
        <is>
          <t>whatsComing</t>
        </is>
      </c>
      <c r="G65" s="3" t="inlineStr">
        <is>
          <t>MK-CF-O-008</t>
        </is>
      </c>
      <c r="H65" s="3" t="inlineStr">
        <is>
          <t>the smallest running balance across the twelve month-ends, starting from the balance you gave</t>
        </is>
      </c>
      <c r="I65" s="3" t="inlineStr">
        <is>
          <t>the smallest running balance across the twelve month-ends, starting from the balance you gave</t>
        </is>
      </c>
      <c r="J65" s="3" t="inlineStr">
        <is>
          <t>MK-NW-I-001 your accounts
MK-CF-I-002 your bills
MK-XS-I-023 salary and other income</t>
        </is>
      </c>
      <c r="K65" s="3" t="inlineStr">
        <is>
          <t>dollars, whole</t>
        </is>
      </c>
      <c r="L65" s="3" t="inlineStr">
        <is>
          <t>No starting balance — the table starts from $0 and says so.</t>
        </is>
      </c>
      <c r="M65" s="3" t="inlineStr">
        <is>
          <t>one figure per household</t>
        </is>
      </c>
      <c r="N65" s="3" t="inlineStr">
        <is>
          <t>as of today</t>
        </is>
      </c>
      <c r="O65" s="3" t="inlineStr">
        <is>
          <t>MK-CF-F-019 (upcomingBills) → NOT DECLARED — the code does not say what it gives back</t>
        </is>
      </c>
      <c r="P65" s="3" t="inlineStr">
        <is>
          <t>Declared by MK-CF-O-008 whatsComing</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2026-10-02</t>
        </is>
      </c>
      <c r="AA65" s="3" t="inlineStr"/>
      <c r="AB65" s="3" t="inlineStr"/>
      <c r="AC65" s="3" t="inlineStr"/>
      <c r="AD65" s="3" t="inlineStr"/>
      <c r="AE65" s="3" t="inlineStr"/>
      <c r="AF65" s="3" t="inlineStr">
        <is>
          <t>ACTIVE</t>
        </is>
      </c>
      <c r="AG65" s="3" t="inlineStr">
        <is>
          <t>2026-10-19</t>
        </is>
      </c>
      <c r="AH65" s="3" t="inlineStr"/>
      <c r="AI65" s="3" t="inlineStr"/>
      <c r="AJ65"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2026-10-02; the figure, its formula, inputs and refusal live in MK-CF-O-008 whatsComing</t>
        </is>
      </c>
      <c r="AN65" s="3" t="inlineStr">
        <is>
          <t>On 28 Sep 2026, with $8,000 in the account: car insurance of $1,400 due 15 Oct and property tax of $4,800 due 1 Nov. Nothing else is dated.
GIVES: $1,800
(the test re-runs this through MK-CF-O-008 whatsComing on every build)</t>
        </is>
      </c>
      <c r="AO65" s="3" t="inlineStr">
        <is>
          <t>NOTHING OPEN</t>
        </is>
      </c>
    </row>
    <row r="66" ht="60" customHeight="1">
      <c r="A66" s="3" t="inlineStr">
        <is>
          <t>MK-CF-M-061</t>
        </is>
      </c>
      <c r="B66" s="3" t="inlineStr">
        <is>
          <t>Cashflow</t>
        </is>
      </c>
      <c r="C66" s="3" t="inlineStr">
        <is>
          <t>/bill-calendar</t>
        </is>
      </c>
      <c r="D66" s="3" t="inlineStr">
        <is>
          <t>END — where the month leaves you</t>
        </is>
      </c>
      <c r="E66" s="3" t="inlineStr">
        <is>
          <t>end__where_the_month_leaves_you</t>
        </is>
      </c>
      <c r="F66" s="3" t="inlineStr">
        <is>
          <t>whatsComing</t>
        </is>
      </c>
      <c r="G66" s="3" t="inlineStr">
        <is>
          <t>MK-CF-O-008</t>
        </is>
      </c>
      <c r="H66" s="3" t="inlineStr">
        <is>
          <t>running balance = last month’s end + inflow − outflow, month by month from the starting balance</t>
        </is>
      </c>
      <c r="I66" s="3" t="inlineStr">
        <is>
          <t>running balance = last month’s end + inflow − outflow, month by month from the starting balance</t>
        </is>
      </c>
      <c r="J66" s="3" t="inlineStr">
        <is>
          <t>MK-NW-I-001 your accounts
MK-CF-I-002 your bills
MK-XS-I-023 salary and other income</t>
        </is>
      </c>
      <c r="K66" s="3" t="inlineStr">
        <is>
          <t>dollars, whole</t>
        </is>
      </c>
      <c r="L66" s="3" t="inlineStr">
        <is>
          <t>No starting balance — the chain starts from $0 and says so.</t>
        </is>
      </c>
      <c r="M66" s="3" t="inlineStr">
        <is>
          <t>one month</t>
        </is>
      </c>
      <c r="N66" s="3" t="inlineStr">
        <is>
          <t>as of today</t>
        </is>
      </c>
      <c r="O66" s="3" t="inlineStr">
        <is>
          <t>MK-CF-F-019 (upcomingBills) → NOT DECLARED — the code does not say what it gives back</t>
        </is>
      </c>
      <c r="P66" s="3" t="inlineStr">
        <is>
          <t>Declared by MK-CF-O-008 whatsComing</t>
        </is>
      </c>
      <c r="Q66" s="3" t="inlineStr">
        <is>
          <t>NONE RECORDED — the declaration names none.</t>
        </is>
      </c>
      <c r="R66" s="3" t="inlineStr">
        <is>
          <t>NONE RECORDED — the declaration names none.</t>
        </is>
      </c>
      <c r="S66" s="3" t="inlineStr"/>
      <c r="T66" s="3" t="inlineStr">
        <is>
          <t>NONE RECORDED — the declaration names none.</t>
        </is>
      </c>
      <c r="U66" s="3" t="inlineStr"/>
      <c r="V66" s="3" t="inlineStr"/>
      <c r="W66" s="3" t="inlineStr"/>
      <c r="X66" s="3" t="inlineStr"/>
      <c r="Y66" s="3" t="inlineStr"/>
      <c r="Z66" s="3" t="inlineStr">
        <is>
          <t>DECLARED IN THE CODE (rule 11) — printed from the door, not typed. RULED 2026-10-02</t>
        </is>
      </c>
      <c r="AA66" s="3" t="inlineStr"/>
      <c r="AB66" s="3" t="inlineStr"/>
      <c r="AC66" s="3" t="inlineStr"/>
      <c r="AD66" s="3" t="inlineStr"/>
      <c r="AE66" s="3" t="inlineStr"/>
      <c r="AF66" s="3" t="inlineStr">
        <is>
          <t>ACTIVE</t>
        </is>
      </c>
      <c r="AG66" s="3" t="inlineStr">
        <is>
          <t>2026-10-19</t>
        </is>
      </c>
      <c r="AH66" s="3" t="inlineStr"/>
      <c r="AI66" s="3" t="inlineStr"/>
      <c r="AJ66"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2026-10-02; the figure, its formula, inputs and refusal live in MK-CF-O-008 whatsComing</t>
        </is>
      </c>
      <c r="AN66" s="3" t="inlineStr">
        <is>
          <t>On 28 Sep 2026, with $8,000 in the account: car insurance of $1,400 due 15 Oct and property tax of $4,800 due 1 Nov. Nothing else is dated.
GIVES: $6,600
(the test re-runs this through MK-CF-O-008 whatsComing on every build)</t>
        </is>
      </c>
      <c r="AO66" s="3" t="inlineStr">
        <is>
          <t>NOTHING OPEN</t>
        </is>
      </c>
    </row>
    <row r="67" ht="60" customHeight="1">
      <c r="A67" s="3" t="inlineStr">
        <is>
          <t>MK-CF-M-062</t>
        </is>
      </c>
      <c r="B67" s="3" t="inlineStr">
        <is>
          <t>Cashflow</t>
        </is>
      </c>
      <c r="C67" s="3" t="inlineStr">
        <is>
          <t>/bill-calendar</t>
        </is>
      </c>
      <c r="D67" s="3" t="inlineStr">
        <is>
          <t>Short — set it aside by &lt;date&gt;</t>
        </is>
      </c>
      <c r="E67" s="3" t="inlineStr">
        <is>
          <t>short__set_it_aside_by_date</t>
        </is>
      </c>
      <c r="F67" s="3" t="inlineStr">
        <is>
          <t>whatsComing</t>
        </is>
      </c>
      <c r="G67" s="3" t="inlineStr">
        <is>
          <t>MK-CF-O-008</t>
        </is>
      </c>
      <c r="H67" s="3" t="inlineStr">
        <is>
          <t>the bill − what is projected to be in the account on its need-by date, when that is less</t>
        </is>
      </c>
      <c r="I67" s="3" t="inlineStr">
        <is>
          <t>the bill − what is projected to be in the account on its need-by date, when that is less</t>
        </is>
      </c>
      <c r="J67" s="3" t="inlineStr">
        <is>
          <t>MK-NW-I-001 your accounts
MK-CF-I-002 your bills</t>
        </is>
      </c>
      <c r="K67" s="3" t="inlineStr">
        <is>
          <t>dollars, whole</t>
        </is>
      </c>
      <c r="L67" s="3" t="inlineStr">
        <is>
          <t>Nothing short — the line reads Covered instead.</t>
        </is>
      </c>
      <c r="M67" s="3" t="inlineStr">
        <is>
          <t>one bill</t>
        </is>
      </c>
      <c r="N67" s="3" t="inlineStr">
        <is>
          <t>as of today</t>
        </is>
      </c>
      <c r="O67" s="3" t="inlineStr">
        <is>
          <t>MK-CF-F-019 (upcomingBills) → NOT DECLARED — the code does not say what it gives back</t>
        </is>
      </c>
      <c r="P67" s="3" t="inlineStr">
        <is>
          <t>Declared by MK-CF-O-008 whatsComing</t>
        </is>
      </c>
      <c r="Q67" s="3" t="inlineStr">
        <is>
          <t>NONE RECORDED — the declaration names none.</t>
        </is>
      </c>
      <c r="R67" s="3" t="inlineStr">
        <is>
          <t>NONE RECORDED — the declaration names none.</t>
        </is>
      </c>
      <c r="S67" s="3" t="inlineStr"/>
      <c r="T67" s="3" t="inlineStr">
        <is>
          <t>NONE RECORDED — the declaration names none.</t>
        </is>
      </c>
      <c r="U67" s="3" t="inlineStr"/>
      <c r="V67" s="3" t="inlineStr"/>
      <c r="W67" s="3" t="inlineStr"/>
      <c r="X67" s="3" t="inlineStr"/>
      <c r="Y67" s="3" t="inlineStr"/>
      <c r="Z67" s="3" t="inlineStr">
        <is>
          <t>DECLARED IN THE CODE (rule 11) — printed from the door, not typed. RULED 2026-10-02</t>
        </is>
      </c>
      <c r="AA67" s="3" t="inlineStr"/>
      <c r="AB67" s="3" t="inlineStr"/>
      <c r="AC67" s="3" t="inlineStr"/>
      <c r="AD67" s="3" t="inlineStr"/>
      <c r="AE67" s="3" t="inlineStr"/>
      <c r="AF67" s="3" t="inlineStr">
        <is>
          <t>ACTIVE</t>
        </is>
      </c>
      <c r="AG67" s="3" t="inlineStr">
        <is>
          <t>2026-10-19</t>
        </is>
      </c>
      <c r="AH67" s="3" t="inlineStr"/>
      <c r="AI67" s="3" t="inlineStr"/>
      <c r="AJ67"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2026-10-02; the figure, its formula, inputs and refusal live in MK-CF-O-008 whatsComing</t>
        </is>
      </c>
      <c r="AN67" s="3" t="inlineStr">
        <is>
          <t>On 28 Sep 2026, with $8,000 in the account: car insurance of $1,400 due 15 Oct and property tax of $4,800 due 1 Nov. Nothing else is dated.
GIVES: $0
(the test re-runs this through MK-CF-O-008 whatsComing on every build)</t>
        </is>
      </c>
      <c r="AO67" s="3" t="inlineStr">
        <is>
          <t>NOTHING OPEN</t>
        </is>
      </c>
    </row>
    <row r="68" ht="60" customHeight="1">
      <c r="A68" s="3" t="inlineStr">
        <is>
          <t>MK-CF-M-063</t>
        </is>
      </c>
      <c r="B68" s="3" t="inlineStr">
        <is>
          <t>Cashflow</t>
        </is>
      </c>
      <c r="C68" s="3" t="inlineStr">
        <is>
          <t>/bill-calendar</t>
        </is>
      </c>
      <c r="D68" s="3" t="inlineStr">
        <is>
          <t>Covered — about $X there by &lt;date&gt;</t>
        </is>
      </c>
      <c r="E68" s="3" t="inlineStr">
        <is>
          <t>covered__about_x_there_by_date</t>
        </is>
      </c>
      <c r="F68" s="3" t="inlineStr">
        <is>
          <t>whatsComing</t>
        </is>
      </c>
      <c r="G68" s="3" t="inlineStr">
        <is>
          <t>MK-CF-O-008</t>
        </is>
      </c>
      <c r="H68" s="3" t="inlineStr">
        <is>
          <t>the starting balance, less every earlier dated bill, on the need-by date</t>
        </is>
      </c>
      <c r="I68" s="3" t="inlineStr">
        <is>
          <t>the starting balance, less every earlier dated bill, on the need-by date</t>
        </is>
      </c>
      <c r="J68" s="3" t="inlineStr">
        <is>
          <t>MK-NW-I-001 your accounts
MK-CF-I-002 your bills</t>
        </is>
      </c>
      <c r="K68" s="3" t="inlineStr">
        <is>
          <t>dollars, whole</t>
        </is>
      </c>
      <c r="L68" s="3" t="inlineStr">
        <is>
          <t>No balance to start from — nothing is projected.</t>
        </is>
      </c>
      <c r="M68" s="3" t="inlineStr">
        <is>
          <t>one bill</t>
        </is>
      </c>
      <c r="N68" s="3" t="inlineStr">
        <is>
          <t>as of today</t>
        </is>
      </c>
      <c r="O68" s="3" t="inlineStr">
        <is>
          <t>MK-CF-F-019 (upcomingBills) → NOT DECLARED — the code does not say what it gives back</t>
        </is>
      </c>
      <c r="P68" s="3" t="inlineStr">
        <is>
          <t>Declared by MK-CF-O-008 whatsComing</t>
        </is>
      </c>
      <c r="Q68" s="3" t="inlineStr">
        <is>
          <t>NONE RECORDED — the declaration names none.</t>
        </is>
      </c>
      <c r="R68" s="3" t="inlineStr">
        <is>
          <t>NONE RECORDED — the declaration names none.</t>
        </is>
      </c>
      <c r="S68" s="3" t="inlineStr"/>
      <c r="T68" s="3" t="inlineStr">
        <is>
          <t>NONE RECORDED — the declaration names none.</t>
        </is>
      </c>
      <c r="U68" s="3" t="inlineStr"/>
      <c r="V68" s="3" t="inlineStr"/>
      <c r="W68" s="3" t="inlineStr"/>
      <c r="X68" s="3" t="inlineStr"/>
      <c r="Y68" s="3" t="inlineStr"/>
      <c r="Z68" s="3" t="inlineStr">
        <is>
          <t>DECLARED IN THE CODE (rule 11) — printed from the door, not typed. RULED 2026-10-02</t>
        </is>
      </c>
      <c r="AA68" s="3" t="inlineStr"/>
      <c r="AB68" s="3" t="inlineStr"/>
      <c r="AC68" s="3" t="inlineStr"/>
      <c r="AD68" s="3" t="inlineStr"/>
      <c r="AE68" s="3" t="inlineStr"/>
      <c r="AF68" s="3" t="inlineStr">
        <is>
          <t>ACTIVE</t>
        </is>
      </c>
      <c r="AG68" s="3" t="inlineStr">
        <is>
          <t>2026-10-19</t>
        </is>
      </c>
      <c r="AH68" s="3" t="inlineStr"/>
      <c r="AI68" s="3" t="inlineStr"/>
      <c r="AJ68"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2026-10-02; the figure, its formula, inputs and refusal live in MK-CF-O-008 whatsComing</t>
        </is>
      </c>
      <c r="AN68" s="3" t="inlineStr">
        <is>
          <t>On 28 Sep 2026, with $8,000 in the account: car insurance of $1,400 due 15 Oct and property tax of $4,800 due 1 Nov. Nothing else is dated.
GIVES: $8,000
(the test re-runs this through MK-CF-O-008 whatsComing on every build)</t>
        </is>
      </c>
      <c r="AO68" s="3" t="inlineStr">
        <is>
          <t>NOTHING OPEN</t>
        </is>
      </c>
    </row>
    <row r="69" ht="60" customHeight="1">
      <c r="A69" s="3" t="inlineStr">
        <is>
          <t>MK-CF-M-066</t>
        </is>
      </c>
      <c r="B69" s="3" t="inlineStr">
        <is>
          <t>Cashflow</t>
        </is>
      </c>
      <c r="C69" s="3" t="inlineStr">
        <is>
          <t>/income-manager</t>
        </is>
      </c>
      <c r="D69" s="3" t="inlineStr">
        <is>
          <t>Dividends, interest &amp; coupons</t>
        </is>
      </c>
      <c r="E69" s="3" t="inlineStr">
        <is>
          <t>dividends_interest__coupons</t>
        </is>
      </c>
      <c r="F69" s="3" t="inlineStr">
        <is>
          <t>incomeSummary</t>
        </is>
      </c>
      <c r="G69" s="3" t="inlineStr">
        <is>
          <t>MK-CF-O-004</t>
        </is>
      </c>
      <c r="H69" s="3" t="inlineStr">
        <is>
          <t>the dividend, interest and coupon records of the last twelve months, added up</t>
        </is>
      </c>
      <c r="I69" s="3" t="inlineStr">
        <is>
          <t>the dividend, interest and coupon records of the last twelve months, added up</t>
        </is>
      </c>
      <c r="J69" s="3" t="inlineStr">
        <is>
          <t>MK-NW-I-004 the activity records
MK-NW-I-001 your accounts</t>
        </is>
      </c>
      <c r="K69" s="3" t="inlineStr">
        <is>
          <t>dollars, whole a year</t>
        </is>
      </c>
      <c r="L69" s="3" t="inlineStr">
        <is>
          <t>No record of any — $0, never an estimate.</t>
        </is>
      </c>
      <c r="M69" s="3" t="inlineStr">
        <is>
          <t>one figure per household</t>
        </is>
      </c>
      <c r="N69" s="3" t="inlineStr">
        <is>
          <t>a year</t>
        </is>
      </c>
      <c r="O6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69" s="3" t="inlineStr">
        <is>
          <t>Declared by MK-CF-O-004 incomeSummary</t>
        </is>
      </c>
      <c r="Q69" s="3" t="inlineStr">
        <is>
          <t>NONE RECORDED — the declaration names none.</t>
        </is>
      </c>
      <c r="R69" s="3" t="inlineStr">
        <is>
          <t>NONE RECORDED — the declaration names none.</t>
        </is>
      </c>
      <c r="S69" s="3" t="inlineStr"/>
      <c r="T69" s="3" t="inlineStr">
        <is>
          <t>NONE RECORDED — the declaration names none.</t>
        </is>
      </c>
      <c r="U69" s="3" t="inlineStr"/>
      <c r="V69" s="3" t="inlineStr"/>
      <c r="W69" s="3" t="inlineStr"/>
      <c r="X69" s="3" t="inlineStr"/>
      <c r="Y69" s="3" t="inlineStr"/>
      <c r="Z69" s="3" t="inlineStr">
        <is>
          <t>DECLARED IN THE CODE (rule 11) — printed from the door, not typed. RULED 2026-10-02</t>
        </is>
      </c>
      <c r="AA69" s="3" t="inlineStr"/>
      <c r="AB69" s="3" t="inlineStr"/>
      <c r="AC69" s="3" t="inlineStr"/>
      <c r="AD69" s="3" t="inlineStr"/>
      <c r="AE69" s="3" t="inlineStr"/>
      <c r="AF69" s="3" t="inlineStr">
        <is>
          <t>ACTIVE</t>
        </is>
      </c>
      <c r="AG69" s="3" t="inlineStr">
        <is>
          <t>2026-10-19</t>
        </is>
      </c>
      <c r="AH69" s="3" t="inlineStr"/>
      <c r="AI69" s="3" t="inlineStr"/>
      <c r="AJ6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2026-10-02; the figure, its formula, inputs and refusal live in MK-CF-O-004 incomeSummary</t>
        </is>
      </c>
      <c r="AN69" s="3" t="inlineStr">
        <is>
          <t>One account that recorded a $300 dividend in June and $120 of interest in March.
GIVES: $420/year
(the test re-runs this through MK-CF-O-004 incomeSummary on every build)</t>
        </is>
      </c>
      <c r="AO69" s="3" t="inlineStr">
        <is>
          <t>NOTHING OPEN</t>
        </is>
      </c>
    </row>
    <row r="70" ht="60" customHeight="1">
      <c r="A70" s="3" t="inlineStr">
        <is>
          <t>MK-CF-M-069</t>
        </is>
      </c>
      <c r="B70" s="3" t="inlineStr">
        <is>
          <t>Cashflow</t>
        </is>
      </c>
      <c r="C70" s="3" t="inlineStr">
        <is>
          <t>/monthly-income</t>
        </is>
      </c>
      <c r="D70" s="3" t="inlineStr">
        <is>
          <t>Your guaranteed income</t>
        </is>
      </c>
      <c r="E70" s="3" t="inlineStr">
        <is>
          <t>your_guaranteed_income</t>
        </is>
      </c>
      <c r="F70" s="3" t="inlineStr">
        <is>
          <t>incomeSummary</t>
        </is>
      </c>
      <c r="G70" s="3" t="inlineStr">
        <is>
          <t>MK-CF-O-004</t>
        </is>
      </c>
      <c r="H70" s="3" t="inlineStr">
        <is>
          <t>the sum of each source of guaranteed income (MK-CF-M-024)</t>
        </is>
      </c>
      <c r="I70" s="3" t="inlineStr">
        <is>
          <t>the sum of each source of guaranteed income (MK-CF-M-024)</t>
        </is>
      </c>
      <c r="J70" s="3" t="inlineStr">
        <is>
          <t>MK-XS-I-020 Social Security monthly amount
MK-XS-I-022 pension monthly amount
MK-XS-I-035 annuity income
MK-XS-I-036 other guaranteed income</t>
        </is>
      </c>
      <c r="K70" s="3" t="inlineStr">
        <is>
          <t>dollars, whole a month</t>
        </is>
      </c>
      <c r="L70" s="3" t="inlineStr">
        <is>
          <t>Nothing entered — $0, with the door to enter it.</t>
        </is>
      </c>
      <c r="M70" s="3" t="inlineStr">
        <is>
          <t>one figure per household</t>
        </is>
      </c>
      <c r="N70" s="3" t="inlineStr">
        <is>
          <t>a month</t>
        </is>
      </c>
      <c r="O7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70" s="3" t="inlineStr">
        <is>
          <t>Declared by MK-CF-O-004 incomeSummary</t>
        </is>
      </c>
      <c r="Q70" s="3" t="inlineStr">
        <is>
          <t>NONE RECORDED — the declaration names none.</t>
        </is>
      </c>
      <c r="R70" s="3" t="inlineStr">
        <is>
          <t>NONE RECORDED — the declaration names none.</t>
        </is>
      </c>
      <c r="S70" s="3" t="inlineStr"/>
      <c r="T70" s="3" t="inlineStr">
        <is>
          <t>NONE RECORDED — the declaration names none.</t>
        </is>
      </c>
      <c r="U70" s="3" t="inlineStr"/>
      <c r="V70" s="3" t="inlineStr"/>
      <c r="W70" s="3" t="inlineStr"/>
      <c r="X70" s="3" t="inlineStr"/>
      <c r="Y70" s="3" t="inlineStr"/>
      <c r="Z70" s="3" t="inlineStr">
        <is>
          <t>DECLARED IN THE CODE (rule 11) — printed from the door, not typed. RULED 2026-10-02</t>
        </is>
      </c>
      <c r="AA70" s="3" t="inlineStr"/>
      <c r="AB70" s="3" t="inlineStr"/>
      <c r="AC70" s="3" t="inlineStr"/>
      <c r="AD70" s="3" t="inlineStr"/>
      <c r="AE70" s="3" t="inlineStr"/>
      <c r="AF70" s="3" t="inlineStr">
        <is>
          <t>ACTIVE</t>
        </is>
      </c>
      <c r="AG70" s="3" t="inlineStr">
        <is>
          <t>2026-10-19</t>
        </is>
      </c>
      <c r="AH70" s="3" t="inlineStr"/>
      <c r="AI70" s="3" t="inlineStr"/>
      <c r="AJ7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2026-10-02; the figure, its formula, inputs and refusal live in MK-CF-O-004 incomeSummary</t>
        </is>
      </c>
      <c r="AN70"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70" s="3" t="inlineStr">
        <is>
          <t>NOTHING OPEN</t>
        </is>
      </c>
    </row>
    <row r="71" ht="60" customHeight="1">
      <c r="A71" s="3" t="inlineStr">
        <is>
          <t>MK-CF-M-070</t>
        </is>
      </c>
      <c r="B71" s="3" t="inlineStr">
        <is>
          <t>Cashflow</t>
        </is>
      </c>
      <c r="C71" s="3" t="inlineStr">
        <is>
          <t>/cashflow</t>
        </is>
      </c>
      <c r="D71" s="3" t="inlineStr">
        <is>
          <t>each step of the withdrawal order</t>
        </is>
      </c>
      <c r="E71" s="3" t="inlineStr">
        <is>
          <t>each_step_of_the_withdrawal_order</t>
        </is>
      </c>
      <c r="F71" s="3" t="inlineStr">
        <is>
          <t>futurePaycheck</t>
        </is>
      </c>
      <c r="G71" s="3" t="inlineStr">
        <is>
          <t>MK-CF-O-017</t>
        </is>
      </c>
      <c r="H71" s="3" t="inlineStr">
        <is>
          <t>cash first, then taxable, then pre-tax, then Roth — each with what is earmarked for retirement in it</t>
        </is>
      </c>
      <c r="I71" s="3" t="inlineStr">
        <is>
          <t>cash first, then taxable, then pre-tax, then Roth — each with what is earmarked for retirement in it</t>
        </is>
      </c>
      <c r="J71" s="3" t="inlineStr">
        <is>
          <t>MK-NW-I-001 your accounts
MK-XS-I-002 account type (taxable, pre-tax, Roth)
MK-XS-I-050 the share of an account earmarked for retirement</t>
        </is>
      </c>
      <c r="K71" s="3" t="inlineStr">
        <is>
          <t>dollars, whole</t>
        </is>
      </c>
      <c r="L71" s="3" t="inlineStr">
        <is>
          <t>No retirement money in any pot — no order to explain.</t>
        </is>
      </c>
      <c r="M71" s="3" t="inlineStr">
        <is>
          <t>one step</t>
        </is>
      </c>
      <c r="N71" s="3" t="inlineStr">
        <is>
          <t>as of today</t>
        </is>
      </c>
      <c r="O71" s="3" t="inlineStr">
        <is>
          <t>1. MK-CF-F-107 (buildPaycheckYear) → PaycheckYear
2. MK-XS-F-180 (declareFigures) → T
3. MK-CF-F-076 (guaranteedOutsideStreams) → GuaranteedStream[]
4. MK-ST-F-039 (on) → ()
5. MK-PL-F-050 (simulate) → NOT DECLARED — the code does not say what it gives back
6. MK-PL-F-001 (taxBucketSplit) → TaxSplit
7. MK-PL-F-067 (willItLastInputs) → RetirementInputs | null
8. MK-PL-F-004 (withdrawalOrder) → OrderStep[]</t>
        </is>
      </c>
      <c r="P71" s="3" t="inlineStr">
        <is>
          <t>Declared by MK-CF-O-017 futurePaycheck</t>
        </is>
      </c>
      <c r="Q71" s="3" t="inlineStr">
        <is>
          <t>NONE RECORDED — the declaration names none.</t>
        </is>
      </c>
      <c r="R71" s="3" t="inlineStr">
        <is>
          <t>NONE RECORDED — the declaration names none.</t>
        </is>
      </c>
      <c r="S71" s="3" t="inlineStr"/>
      <c r="T71" s="3" t="inlineStr">
        <is>
          <t>NONE RECORDED — the declaration names none.</t>
        </is>
      </c>
      <c r="U71" s="3" t="inlineStr"/>
      <c r="V71" s="3" t="inlineStr"/>
      <c r="W71" s="3" t="inlineStr"/>
      <c r="X71" s="3" t="inlineStr"/>
      <c r="Y71" s="3" t="inlineStr"/>
      <c r="Z71" s="3" t="inlineStr">
        <is>
          <t>DECLARED IN THE CODE (rule 11) — printed from the door, not typed. RULED 2026-10-02</t>
        </is>
      </c>
      <c r="AA71" s="3" t="inlineStr"/>
      <c r="AB71" s="3" t="inlineStr"/>
      <c r="AC71" s="3" t="inlineStr"/>
      <c r="AD71" s="3" t="inlineStr"/>
      <c r="AE71" s="3" t="inlineStr"/>
      <c r="AF71" s="3" t="inlineStr">
        <is>
          <t>ACTIVE</t>
        </is>
      </c>
      <c r="AG71" s="3" t="inlineStr">
        <is>
          <t>2026-10-19</t>
        </is>
      </c>
      <c r="AH71" s="3" t="inlineStr"/>
      <c r="AI71" s="3" t="inlineStr"/>
      <c r="AJ71" s="3" t="inlineStr">
        <is>
          <t>1. MK-XS-I-001 account balance — read by MK-CF-O-017, MK-NW-F-031, MK-NW-F-032, MK-NW-F-037, MK-NW-F-056, MK-NW-F-078, MK
2. MK-XS-I-002 account type (taxable, pre-tax, Roth) — read by MK-CF-O-017, MK-NW-F-004, MK-NW-F-011, MK-NW-F-012, MK-NW-F-025, MK-NW-F-120, MK
3. MK-XS-I-003 institution name — read by MK-NW-F-025, MK-NW-F-026, MK-NW-F-072, MK-NW-F-134,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2026-10-02; the figure, its formula, inputs and refusal live in MK-CF-O-017 futurePaycheck</t>
        </is>
      </c>
      <c r="AN71" s="3" t="inlineStr">
        <is>
          <t>A $50,000 taxable brokerage account and a $120,000 pre-tax 401(k), both for retirement, at 68.
GIVES: $50,000
(the test re-runs this through MK-CF-O-017 futurePaycheck on every build)</t>
        </is>
      </c>
      <c r="AO71" s="3" t="inlineStr">
        <is>
          <t>NOTHING OPEN</t>
        </is>
      </c>
    </row>
    <row r="72" ht="60" customHeight="1">
      <c r="A72" s="3" t="inlineStr">
        <is>
          <t>MK-CF-M-071</t>
        </is>
      </c>
      <c r="B72" s="3" t="inlineStr">
        <is>
          <t>Cashflow</t>
        </is>
      </c>
      <c r="C72" s="3" t="inlineStr">
        <is>
          <t>/cashflow</t>
        </is>
      </c>
      <c r="D72" s="3" t="inlineStr">
        <is>
          <t>/month min</t>
        </is>
      </c>
      <c r="E72" s="3" t="inlineStr">
        <is>
          <t>month_min</t>
        </is>
      </c>
      <c r="F72" s="3" t="inlineStr">
        <is>
          <t>theDebts</t>
        </is>
      </c>
      <c r="G72" s="3" t="inlineStr">
        <is>
          <t>MK-CF-O-018</t>
        </is>
      </c>
      <c r="H72" s="3" t="inlineStr">
        <is>
          <t>Σ the minimum monthly payment of every debt still owed</t>
        </is>
      </c>
      <c r="I72" s="3" t="inlineStr">
        <is>
          <t>Σ the minimum monthly payment of every debt still owed</t>
        </is>
      </c>
      <c r="J72" s="3" t="inlineStr">
        <is>
          <t>MK-XS-I-016 debt minimum payment</t>
        </is>
      </c>
      <c r="K72" s="3" t="inlineStr">
        <is>
          <t>dollars, whole a month</t>
        </is>
      </c>
      <c r="L72" s="3" t="inlineStr">
        <is>
          <t>No debts — $0.</t>
        </is>
      </c>
      <c r="M72" s="3" t="inlineStr">
        <is>
          <t>one figure per household</t>
        </is>
      </c>
      <c r="N72" s="3" t="inlineStr">
        <is>
          <t>a month</t>
        </is>
      </c>
      <c r="O72" s="3" t="inlineStr">
        <is>
          <t>1. MK-CF-F-025 (minimumDebtService) → number
2. MK-CF-F-034 (payoffPlan) → PayoffResult
3. MK-CF-F-024 (totalDebtMonthly) → number</t>
        </is>
      </c>
      <c r="P72" s="3" t="inlineStr">
        <is>
          <t>Declared by MK-CF-O-018 theDebts</t>
        </is>
      </c>
      <c r="Q72" s="3" t="inlineStr">
        <is>
          <t>NONE RECORDED — the declaration names none.</t>
        </is>
      </c>
      <c r="R72" s="3" t="inlineStr">
        <is>
          <t>NONE RECORDED — the declaration names none.</t>
        </is>
      </c>
      <c r="S72" s="3" t="inlineStr"/>
      <c r="T72" s="3" t="inlineStr">
        <is>
          <t>NONE RECORDED — the declaration names none.</t>
        </is>
      </c>
      <c r="U72" s="3" t="inlineStr"/>
      <c r="V72" s="3" t="inlineStr"/>
      <c r="W72" s="3" t="inlineStr"/>
      <c r="X72" s="3" t="inlineStr"/>
      <c r="Y72" s="3" t="inlineStr"/>
      <c r="Z72" s="3" t="inlineStr">
        <is>
          <t>DECLARED IN THE CODE (rule 11) — printed from the door, not typed. RULED 2026-10-02</t>
        </is>
      </c>
      <c r="AA72" s="3" t="inlineStr"/>
      <c r="AB72" s="3" t="inlineStr"/>
      <c r="AC72" s="3" t="inlineStr"/>
      <c r="AD72" s="3" t="inlineStr"/>
      <c r="AE72" s="3" t="inlineStr"/>
      <c r="AF72" s="3" t="inlineStr">
        <is>
          <t>ACTIVE</t>
        </is>
      </c>
      <c r="AG72" s="3" t="inlineStr">
        <is>
          <t>2026-10-19</t>
        </is>
      </c>
      <c r="AH72" s="3" t="inlineStr"/>
      <c r="AI72" s="3" t="inlineStr"/>
      <c r="AJ7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2026-10-02; the figure, its formula, inputs and refusal live in MK-CF-O-018 theDebts</t>
        </is>
      </c>
      <c r="AN72" s="3" t="inlineStr">
        <is>
          <t>A $9,000 card at 24% with a $200 minimum and a $14,000 car loan at 6.9% with a $250 minimum, nothing extra paid.
GIVES: $450/month
(the test re-runs this through MK-CF-O-018 theDebts on every build)</t>
        </is>
      </c>
      <c r="AO72" s="3" t="inlineStr">
        <is>
          <t>NOTHING OPEN</t>
        </is>
      </c>
    </row>
    <row r="73" ht="60" customHeight="1">
      <c r="A73" s="3" t="inlineStr">
        <is>
          <t>MK-CF-M-072</t>
        </is>
      </c>
      <c r="B73" s="3" t="inlineStr">
        <is>
          <t>Cashflow</t>
        </is>
      </c>
      <c r="C73" s="3" t="inlineStr">
        <is>
          <t>/cashflow</t>
        </is>
      </c>
      <c r="D73" s="3" t="inlineStr">
        <is>
          <t>/month total</t>
        </is>
      </c>
      <c r="E73" s="3" t="inlineStr">
        <is>
          <t>month_total</t>
        </is>
      </c>
      <c r="F73" s="3" t="inlineStr">
        <is>
          <t>theDebts</t>
        </is>
      </c>
      <c r="G73" s="3" t="inlineStr">
        <is>
          <t>MK-CF-O-018</t>
        </is>
      </c>
      <c r="H73" s="3" t="inlineStr">
        <is>
          <t>the minimums added up (MK-CF-M-071) + the extra a month you set</t>
        </is>
      </c>
      <c r="I73" s="3" t="inlineStr">
        <is>
          <t>the minimums added up (MK-CF-M-071) + the extra a month you set</t>
        </is>
      </c>
      <c r="J73" s="3" t="inlineStr">
        <is>
          <t>MK-XS-I-016 debt minimum payment
MK-XS-I-041 the payment the person chose to make on a debt</t>
        </is>
      </c>
      <c r="K73" s="3" t="inlineStr">
        <is>
          <t>dollars, whole a month</t>
        </is>
      </c>
      <c r="L73" s="3" t="inlineStr">
        <is>
          <t>No debts — $0.</t>
        </is>
      </c>
      <c r="M73" s="3" t="inlineStr">
        <is>
          <t>one figure per household</t>
        </is>
      </c>
      <c r="N73" s="3" t="inlineStr">
        <is>
          <t>a month</t>
        </is>
      </c>
      <c r="O73" s="3" t="inlineStr">
        <is>
          <t>1. MK-CF-F-025 (minimumDebtService) → number
2. MK-CF-F-034 (payoffPlan) → PayoffResult
3. MK-CF-F-024 (totalDebtMonthly) → number</t>
        </is>
      </c>
      <c r="P73" s="3" t="inlineStr">
        <is>
          <t>Declared by MK-CF-O-018 theDebts</t>
        </is>
      </c>
      <c r="Q73" s="3" t="inlineStr">
        <is>
          <t>NONE RECORDED — the declaration names none.</t>
        </is>
      </c>
      <c r="R73" s="3" t="inlineStr">
        <is>
          <t>NONE RECORDED — the declaration names none.</t>
        </is>
      </c>
      <c r="S73" s="3" t="inlineStr"/>
      <c r="T73" s="3" t="inlineStr">
        <is>
          <t>NONE RECORDED — the declaration names none.</t>
        </is>
      </c>
      <c r="U73" s="3" t="inlineStr"/>
      <c r="V73" s="3" t="inlineStr"/>
      <c r="W73" s="3" t="inlineStr"/>
      <c r="X73" s="3" t="inlineStr"/>
      <c r="Y73" s="3" t="inlineStr"/>
      <c r="Z73" s="3" t="inlineStr">
        <is>
          <t>DECLARED IN THE CODE (rule 11) — printed from the door, not typed. RULED 2026-10-02</t>
        </is>
      </c>
      <c r="AA73" s="3" t="inlineStr"/>
      <c r="AB73" s="3" t="inlineStr"/>
      <c r="AC73" s="3" t="inlineStr"/>
      <c r="AD73" s="3" t="inlineStr"/>
      <c r="AE73" s="3" t="inlineStr"/>
      <c r="AF73" s="3" t="inlineStr">
        <is>
          <t>ACTIVE</t>
        </is>
      </c>
      <c r="AG73" s="3" t="inlineStr">
        <is>
          <t>2026-10-19</t>
        </is>
      </c>
      <c r="AH73" s="3" t="inlineStr"/>
      <c r="AI73" s="3" t="inlineStr"/>
      <c r="AJ7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2026-10-02; the figure, its formula, inputs and refusal live in MK-CF-O-018 theDebts</t>
        </is>
      </c>
      <c r="AN73" s="3" t="inlineStr">
        <is>
          <t>A $9,000 card at 24% with a $200 minimum and a $14,000 car loan at 6.9% with a $250 minimum, nothing extra paid.
GIVES: $450/month
(the test re-runs this through MK-CF-O-018 theDebts on every build)</t>
        </is>
      </c>
      <c r="AO73" s="3" t="inlineStr">
        <is>
          <t>NOTHING OPEN</t>
        </is>
      </c>
    </row>
    <row r="74" ht="60" customHeight="1">
      <c r="A74" s="3" t="inlineStr">
        <is>
          <t>MK-CF-M-073</t>
        </is>
      </c>
      <c r="B74" s="3" t="inlineStr">
        <is>
          <t>Cashflow</t>
        </is>
      </c>
      <c r="C74" s="3" t="inlineStr">
        <is>
          <t>/cashflow · /bill-calendar</t>
        </is>
      </c>
      <c r="D74" s="3" t="inlineStr">
        <is>
          <t>/month</t>
        </is>
      </c>
      <c r="E74" s="3" t="inlineStr">
        <is>
          <t>month</t>
        </is>
      </c>
      <c r="F74" s="3" t="inlineStr">
        <is>
          <t>theDebts</t>
        </is>
      </c>
      <c r="G74" s="3" t="inlineStr">
        <is>
          <t>MK-CF-O-018</t>
        </is>
      </c>
      <c r="H74" s="3" t="inlineStr">
        <is>
          <t>the payment you chose for the debt; its minimum monthly payment where none is chosen</t>
        </is>
      </c>
      <c r="I74" s="3" t="inlineStr">
        <is>
          <t>the payment you chose for the debt; its minimum monthly payment where none is chosen</t>
        </is>
      </c>
      <c r="J74" s="3" t="inlineStr">
        <is>
          <t>MK-XS-I-016 debt minimum payment
MK-XS-I-041 the payment the person chose to make on a debt</t>
        </is>
      </c>
      <c r="K74" s="3" t="inlineStr">
        <is>
          <t>dollars, whole a month</t>
        </is>
      </c>
      <c r="L74" s="3" t="inlineStr">
        <is>
          <t>A debt due in full on a date has no monthly payment — the line says when the whole balance is due.</t>
        </is>
      </c>
      <c r="M74" s="3" t="inlineStr">
        <is>
          <t>one debt</t>
        </is>
      </c>
      <c r="N74" s="3" t="inlineStr">
        <is>
          <t>a month</t>
        </is>
      </c>
      <c r="O74" s="3" t="inlineStr">
        <is>
          <t>1. MK-CF-F-025 (minimumDebtService) → number
2. MK-CF-F-034 (payoffPlan) → PayoffResult
3. MK-CF-F-024 (totalDebtMonthly) → number</t>
        </is>
      </c>
      <c r="P74" s="3" t="inlineStr">
        <is>
          <t>Declared by MK-CF-O-018 theDebts</t>
        </is>
      </c>
      <c r="Q74" s="3" t="inlineStr">
        <is>
          <t>NONE RECORDED — the declaration names none.</t>
        </is>
      </c>
      <c r="R74" s="3" t="inlineStr">
        <is>
          <t>NONE RECORDED — the declaration names none.</t>
        </is>
      </c>
      <c r="S74" s="3" t="inlineStr"/>
      <c r="T74" s="3" t="inlineStr">
        <is>
          <t>NONE RECORDED — the declaration names none.</t>
        </is>
      </c>
      <c r="U74" s="3" t="inlineStr"/>
      <c r="V74" s="3" t="inlineStr"/>
      <c r="W74" s="3" t="inlineStr"/>
      <c r="X74" s="3" t="inlineStr"/>
      <c r="Y74" s="3" t="inlineStr"/>
      <c r="Z74" s="3" t="inlineStr">
        <is>
          <t>DECLARED IN THE CODE (rule 11) — printed from the door, not typed. RULED 2026-10-02</t>
        </is>
      </c>
      <c r="AA74" s="3" t="inlineStr"/>
      <c r="AB74" s="3" t="inlineStr"/>
      <c r="AC74" s="3" t="inlineStr"/>
      <c r="AD74" s="3" t="inlineStr"/>
      <c r="AE74" s="3" t="inlineStr"/>
      <c r="AF74" s="3" t="inlineStr">
        <is>
          <t>ACTIVE</t>
        </is>
      </c>
      <c r="AG74" s="3" t="inlineStr">
        <is>
          <t>2026-10-19</t>
        </is>
      </c>
      <c r="AH74" s="3" t="inlineStr"/>
      <c r="AI74" s="3" t="inlineStr"/>
      <c r="AJ7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2026-10-02; the figure, its formula, inputs and refusal live in MK-CF-O-018 theDebts</t>
        </is>
      </c>
      <c r="AN74" s="3" t="inlineStr">
        <is>
          <t>A $9,000 card at 24% with a $200 minimum and a $14,000 car loan at 6.9% with a $250 minimum, nothing extra paid.
GIVES: $200/month
(the test re-runs this through MK-CF-O-018 theDebts on every build)</t>
        </is>
      </c>
      <c r="AO74" s="3" t="inlineStr">
        <is>
          <t>NOTHING OPEN</t>
        </is>
      </c>
    </row>
    <row r="75" ht="60" customHeight="1">
      <c r="A75" s="3" t="inlineStr">
        <is>
          <t>MK-CF-M-074</t>
        </is>
      </c>
      <c r="B75" s="3" t="inlineStr">
        <is>
          <t>Cashflow</t>
        </is>
      </c>
      <c r="C75" s="3" t="inlineStr">
        <is>
          <t>/cashflow</t>
        </is>
      </c>
      <c r="D75" s="3" t="inlineStr">
        <is>
          <t>paid down since &lt;month&gt;</t>
        </is>
      </c>
      <c r="E75" s="3" t="inlineStr">
        <is>
          <t>paid_down_since_month</t>
        </is>
      </c>
      <c r="F75" s="3" t="inlineStr">
        <is>
          <t>theDebts</t>
        </is>
      </c>
      <c r="G75" s="3" t="inlineStr">
        <is>
          <t>MK-CF-O-018</t>
        </is>
      </c>
      <c r="H75" s="3" t="inlineStr">
        <is>
          <t>what every debt together stood at then − what they stand at now</t>
        </is>
      </c>
      <c r="I75" s="3" t="inlineStr">
        <is>
          <t>what every debt together stood at then − what they stand at now</t>
        </is>
      </c>
      <c r="J75" s="3" t="inlineStr">
        <is>
          <t>MK-XS-I-014 debt balance</t>
        </is>
      </c>
      <c r="K75" s="3" t="inlineStr">
        <is>
          <t>dollars, whole</t>
        </is>
      </c>
      <c r="L75" s="3" t="inlineStr">
        <is>
          <t>No earlier total on record, or the debts have not fallen — the line is not drawn.</t>
        </is>
      </c>
      <c r="M75" s="3" t="inlineStr">
        <is>
          <t>one figure per household</t>
        </is>
      </c>
      <c r="N75" s="3" t="inlineStr">
        <is>
          <t>as of today</t>
        </is>
      </c>
      <c r="O75" s="3" t="inlineStr">
        <is>
          <t>1. MK-CF-F-025 (minimumDebtService) → number
2. MK-CF-F-034 (payoffPlan) → PayoffResult
3. MK-CF-F-024 (totalDebtMonthly) → number</t>
        </is>
      </c>
      <c r="P75" s="3" t="inlineStr">
        <is>
          <t>Declared by MK-CF-O-018 theDebts</t>
        </is>
      </c>
      <c r="Q75" s="3" t="inlineStr">
        <is>
          <t>READ FROM TWO RECORDED TOTALS, never estimated from the payments made — interest and new borrowing are inside it.
NOT DRAWN where there is no earlier total to compare with, or the debts have not fallen.</t>
        </is>
      </c>
      <c r="R75" s="3" t="inlineStr">
        <is>
          <t>READ FROM TWO RECORDED TOTALS, never estimated from the payments made — interest and new borrowing are inside it.
NOT DRAWN where there is no earlier total to compare with, or the debts have not fallen.</t>
        </is>
      </c>
      <c r="S75" s="3" t="inlineStr"/>
      <c r="T75" s="3" t="inlineStr">
        <is>
          <t>READ FROM TWO RECORDED TOTALS, never estimated from the payments made — interest and new borrowing are inside it.
NOT DRAWN where there is no earlier total to compare with, or the debts have not fallen.</t>
        </is>
      </c>
      <c r="U75" s="3" t="inlineStr"/>
      <c r="V75" s="3" t="inlineStr"/>
      <c r="W75" s="3" t="inlineStr"/>
      <c r="X75" s="3" t="inlineStr"/>
      <c r="Y75" s="3" t="inlineStr"/>
      <c r="Z75" s="3" t="inlineStr">
        <is>
          <t>DECLARED IN THE CODE (rule 11) — printed from the door, not typed. RULED 2026-10-03</t>
        </is>
      </c>
      <c r="AA75" s="3" t="inlineStr"/>
      <c r="AB75" s="3" t="inlineStr"/>
      <c r="AC75" s="3" t="inlineStr"/>
      <c r="AD75" s="3" t="inlineStr"/>
      <c r="AE75" s="3" t="inlineStr"/>
      <c r="AF75" s="3" t="inlineStr">
        <is>
          <t>ACTIVE</t>
        </is>
      </c>
      <c r="AG75" s="3" t="inlineStr">
        <is>
          <t>2026-10-19</t>
        </is>
      </c>
      <c r="AH75" s="3" t="inlineStr"/>
      <c r="AI75" s="3" t="inlineStr"/>
      <c r="AJ7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5" s="3" t="inlineStr">
        <is>
          <t>(the claim now stands in 'Inputs it needs' until the row is approved)</t>
        </is>
      </c>
      <c r="AL75" s="3" t="inlineStr"/>
      <c r="AM75" s="3" t="inlineStr">
        <is>
          <t>TESTED, NOT VERIFIED — you ruled on this row 2026-10-03; the figure, its formula, inputs and refusal live in MK-CF-O-018 theDebts</t>
        </is>
      </c>
      <c r="AN75" s="3" t="inlineStr">
        <is>
          <t>A $9,000 card at 24% with a $200 minimum and a $14,000 car loan at 6.9% with a $250 minimum, nothing extra paid. They stood at $27,100 at the end of January.
GIVES: $4,100
(the test re-runs this through MK-CF-O-018 theDebts on every build)</t>
        </is>
      </c>
      <c r="AO75" s="3" t="inlineStr">
        <is>
          <t>NOTHING OPEN</t>
        </is>
      </c>
    </row>
    <row r="76" ht="60" customHeight="1">
      <c r="A76" s="3" t="inlineStr">
        <is>
          <t>MK-CF-M-075</t>
        </is>
      </c>
      <c r="B76" s="3" t="inlineStr">
        <is>
          <t>Cashflow</t>
        </is>
      </c>
      <c r="C76" s="3" t="inlineStr">
        <is>
          <t>/cashflow</t>
        </is>
      </c>
      <c r="D76" s="3" t="inlineStr">
        <is>
          <t>% of where you started</t>
        </is>
      </c>
      <c r="E76" s="3" t="inlineStr">
        <is>
          <t>of_where_you_started</t>
        </is>
      </c>
      <c r="F76" s="3" t="inlineStr">
        <is>
          <t>theDebts</t>
        </is>
      </c>
      <c r="G76" s="3" t="inlineStr">
        <is>
          <t>MK-CF-O-018</t>
        </is>
      </c>
      <c r="H76" s="3" t="inlineStr">
        <is>
          <t>paid down (MK-CF-M-074) ÷ what every debt together stood at then</t>
        </is>
      </c>
      <c r="I76" s="3" t="inlineStr">
        <is>
          <t>paid down (MK-CF-M-074) ÷ what every debt together stood at then</t>
        </is>
      </c>
      <c r="J76" s="3" t="inlineStr">
        <is>
          <t>MK-XS-I-014 debt balance</t>
        </is>
      </c>
      <c r="K76" s="3" t="inlineStr">
        <is>
          <t>a percentage, whole</t>
        </is>
      </c>
      <c r="L76" s="3" t="inlineStr">
        <is>
          <t>No earlier total on record, or the debts have not fallen — the line is not drawn.</t>
        </is>
      </c>
      <c r="M76" s="3" t="inlineStr">
        <is>
          <t>one figure per household</t>
        </is>
      </c>
      <c r="N76" s="3" t="inlineStr">
        <is>
          <t>as of today</t>
        </is>
      </c>
      <c r="O76" s="3" t="inlineStr">
        <is>
          <t>1. MK-CF-F-025 (minimumDebtService) → number
2. MK-CF-F-034 (payoffPlan) → PayoffResult
3. MK-CF-F-024 (totalDebtMonthly) → number</t>
        </is>
      </c>
      <c r="P76" s="3" t="inlineStr">
        <is>
          <t>Declared by MK-CF-O-018 theDebts</t>
        </is>
      </c>
      <c r="Q76" s="3" t="inlineStr">
        <is>
          <t>NONE RECORDED — the declaration names none.</t>
        </is>
      </c>
      <c r="R76" s="3" t="inlineStr">
        <is>
          <t>NONE RECORDED — the declaration names none.</t>
        </is>
      </c>
      <c r="S76" s="3" t="inlineStr"/>
      <c r="T76" s="3" t="inlineStr">
        <is>
          <t>NONE RECORDED — the declaration names none.</t>
        </is>
      </c>
      <c r="U76" s="3" t="inlineStr"/>
      <c r="V76" s="3" t="inlineStr"/>
      <c r="W76" s="3" t="inlineStr"/>
      <c r="X76" s="3" t="inlineStr"/>
      <c r="Y76" s="3" t="inlineStr"/>
      <c r="Z76" s="3" t="inlineStr">
        <is>
          <t>DECLARED IN THE CODE (rule 11) — printed from the door, not typed. RULED 2026-10-03</t>
        </is>
      </c>
      <c r="AA76" s="3" t="inlineStr"/>
      <c r="AB76" s="3" t="inlineStr"/>
      <c r="AC76" s="3" t="inlineStr"/>
      <c r="AD76" s="3" t="inlineStr"/>
      <c r="AE76" s="3" t="inlineStr"/>
      <c r="AF76" s="3" t="inlineStr">
        <is>
          <t>ACTIVE</t>
        </is>
      </c>
      <c r="AG76" s="3" t="inlineStr">
        <is>
          <t>2026-10-19</t>
        </is>
      </c>
      <c r="AH76" s="3" t="inlineStr"/>
      <c r="AI76" s="3" t="inlineStr"/>
      <c r="AJ7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6" s="3" t="inlineStr">
        <is>
          <t>(the claim now stands in 'Inputs it needs' until the row is approved)</t>
        </is>
      </c>
      <c r="AL76" s="3" t="inlineStr"/>
      <c r="AM76" s="3" t="inlineStr">
        <is>
          <t>TESTED, NOT VERIFIED — you ruled on this row 2026-10-03; the figure, its formula, inputs and refusal live in MK-CF-O-018 theDebts</t>
        </is>
      </c>
      <c r="AN76" s="3" t="inlineStr">
        <is>
          <t>A $9,000 card at 24% with a $200 minimum and a $14,000 car loan at 6.9% with a $250 minimum, nothing extra paid. They stood at $27,100 at the end of January.
GIVES: 15%
(the test re-runs this through MK-CF-O-018 theDebts on every build)</t>
        </is>
      </c>
      <c r="AO76" s="3" t="inlineStr">
        <is>
          <t>NOTHING OPEN</t>
        </is>
      </c>
    </row>
  </sheetData>
  <autoFilter ref="A1:AO7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MK-CF-F-003 — Turns a monthly figure into a year by multiplying by twelve.
18. MK-CF-F-176 — If r[i] is missing it counts as zero, so nothing recorded and a real zero look the same.
19. MK-CF-F-180 — Uses a built-in total of 0.
20. MK-CF-F-180 — Turns a monthly figure into a year by multiplying by twelve.
21. MK-CF-F-089 — Uses today's date from the device clock, so the answer changes by itself overnight.
22. MK-CF-F-082 — Uses today's date from the device clock, so the answer changes by itself overnight.
23. MK-CF-F-101 — Never lets state rate fall below 0.
24. MK-CF-F-101 — The 2026 bands per filing status are the Reference tab's statutory table (IRS Rev. Proc. 2025-32 §4.01), checked by statutory_constants.test.ts.
25. MK-CF-F-084 — Turns a monthly figure into a year by multiplying by twelve.
… and 51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2026-10-02</t>
        </is>
      </c>
      <c r="AH4" s="3" t="n"/>
      <c r="AI4" s="3" t="n"/>
      <c r="AJ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2026-10-02</t>
        </is>
      </c>
      <c r="AH8" s="3" t="n"/>
      <c r="AI8" s="3" t="n"/>
      <c r="AJ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2026-10-02</t>
        </is>
      </c>
      <c r="AH9" s="3" t="n"/>
      <c r="AI9" s="3" t="n"/>
      <c r="AJ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2026-10-02</t>
        </is>
      </c>
      <c r="AH10" s="3" t="n"/>
      <c r="AI10" s="3" t="n"/>
      <c r="AJ1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45" customHeight="1">
      <c r="A21" s="3" t="inlineStr"/>
      <c r="B21" s="3" t="inlineStr">
        <is>
          <t>Menu</t>
        </is>
      </c>
      <c r="C21" s="3" t="inlineStr">
        <is>
          <t>/jobsafety</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/other-investments</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60" customHeight="1">
      <c r="A23" s="3" t="inlineStr"/>
      <c r="B23" s="3" t="inlineStr">
        <is>
          <t>Menu</t>
        </is>
      </c>
      <c r="C23" s="3" t="inlineStr">
        <is>
          <t>/rewards</t>
        </is>
      </c>
      <c r="D23" s="3" t="inlineStr">
        <is>
          <t>—</t>
        </is>
      </c>
      <c r="E23" s="3" t="inlineStr">
        <is>
          <t>—</t>
        </is>
      </c>
      <c r="F23" s="3" t="inlineStr">
        <is>
          <t>—</t>
        </is>
      </c>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DETERMINED</t>
        </is>
      </c>
      <c r="Y23" s="3" t="inlineStr">
        <is>
          <t>READ 2026-08-22 — no calculated figure on this screen</t>
        </is>
      </c>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/settings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Menu</t>
        </is>
      </c>
      <c r="C25" s="3" t="inlineStr">
        <is>
          <t>/stress-test</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/tax-organizer</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Menu</t>
        </is>
      </c>
      <c r="C27" s="3" t="inlineStr">
        <is>
          <t>/tips</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60" customHeight="1">
      <c r="A28" s="3" t="inlineStr">
        <is>
          <t>MK-MN-M-003</t>
        </is>
      </c>
      <c r="B28" s="3" t="inlineStr">
        <is>
          <t>Menu</t>
        </is>
      </c>
      <c r="C28" s="3" t="inlineStr">
        <is>
          <t>/contribution-room · /home</t>
        </is>
      </c>
      <c r="D28" s="3" t="inlineStr">
        <is>
          <t>$X left / up to $Y</t>
        </is>
      </c>
      <c r="E28" s="3" t="inlineStr">
        <is>
          <t>x_left__up_to_y</t>
        </is>
      </c>
      <c r="F28" s="3" t="inlineStr">
        <is>
          <t>1. k401Headroom (the 401(k) card)
2. annualIraLimit (the IRA card)
3. annualHsaLimit (the HSA card)</t>
        </is>
      </c>
      <c r="G28" s="3" t="inlineStr">
        <is>
          <t>1. MK-CF-F-056
2. MK-CF-F-054
3. MK-CF-F-055
4. MK-CF-F-196
5. MK-CF-F-195</t>
        </is>
      </c>
      <c r="H28" s="3" t="inlineStr">
        <is>
          <t>the IRS limit for your age this year, less what has gone in already</t>
        </is>
      </c>
      <c r="I28"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8" s="3" t="inlineStr">
        <is>
          <t>MK-XS-I-030 tax filing status and age
MK-XS-I-023 salary and other income</t>
        </is>
      </c>
      <c r="K28" s="3" t="inlineStr">
        <is>
          <t>dollars, whole</t>
        </is>
      </c>
      <c r="L28" s="3" t="inlineStr">
        <is>
          <t>No contribution entered → 'up to $X' (the full-year cap), never '$X left'; the note says contributions are not tracked (built).</t>
        </is>
      </c>
      <c r="M28" s="3" t="inlineStr">
        <is>
          <t>one figure per household</t>
        </is>
      </c>
      <c r="N28" s="3" t="inlineStr">
        <is>
          <t>as of today</t>
        </is>
      </c>
      <c r="O28" s="3" t="inlineStr">
        <is>
          <t>MK-CF-F-195 (monthsLeftInYear) → number</t>
        </is>
      </c>
      <c r="P28" s="3" t="inlineStr">
        <is>
          <t>Declared by MK-CF-O-005 theContributionRoom</t>
        </is>
      </c>
      <c r="Q28" s="3" t="inlineStr">
        <is>
          <t>The age tested is the age ATTAINED IN THE YEAR (his ruling G1) — someone turning 50 in December gets the catch-up for the whole year.</t>
        </is>
      </c>
      <c r="R28" s="3" t="inlineStr">
        <is>
          <t>The age tested is the age ATTAINED IN THE YEAR (his ruling G1) — someone turning 50 in December gets the catch-up for the whole year.</t>
        </is>
      </c>
      <c r="S28" s="3" t="inlineStr"/>
      <c r="T28"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8" s="3" t="inlineStr">
        <is>
          <t>ACTIVE</t>
        </is>
      </c>
      <c r="AG28" s="3" t="inlineStr">
        <is>
          <t>2026-10-19</t>
        </is>
      </c>
      <c r="AH28" s="3" t="inlineStr"/>
      <c r="AI28" s="3" t="inlineStr"/>
      <c r="AJ28" s="3" t="inlineStr">
        <is>
          <t>NONE — no function in this chain reads a stored input the sweep knows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MK-CF-O-005 theContributionRoom</t>
        </is>
      </c>
      <c r="AN28"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28" s="7" t="inlineStr">
        <is>
          <t>RULED, NOT CODED (Q-CF-4 — one question, one function)</t>
        </is>
      </c>
    </row>
    <row r="29" ht="60" customHeight="1">
      <c r="A29" s="3" t="inlineStr">
        <is>
          <t>MK-MN-M-004</t>
        </is>
      </c>
      <c r="B29" s="3" t="inlineStr">
        <is>
          <t>Menu</t>
        </is>
      </c>
      <c r="C29" s="3" t="inlineStr">
        <is>
          <t>/contribution-room</t>
        </is>
      </c>
      <c r="D29" s="3" t="inlineStr">
        <is>
          <t>about $X of the $Y limit</t>
        </is>
      </c>
      <c r="E29" s="3" t="inlineStr">
        <is>
          <t>about_x_of_the_y_limit</t>
        </is>
      </c>
      <c r="F29" s="3" t="inlineStr">
        <is>
          <t>1. k401Headroom (the 401(k) card)
2. annualIraLimit (the IRA card)
3. annualHsaLimit (the HSA card)</t>
        </is>
      </c>
      <c r="G29" s="3" t="inlineStr">
        <is>
          <t>1. MK-CF-F-056
2. MK-CF-F-054
3. MK-CF-F-055
4. MK-CF-F-196
5. MK-CF-F-195</t>
        </is>
      </c>
      <c r="H29" s="3" t="inlineStr">
        <is>
          <t>what you entered per month × 12, capped at the limit</t>
        </is>
      </c>
      <c r="I29"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9" s="3" t="inlineStr">
        <is>
          <t>MK-XS-I-023 salary and other income</t>
        </is>
      </c>
      <c r="K29" s="3" t="inlineStr">
        <is>
          <t>dollars, whole</t>
        </is>
      </c>
      <c r="L29" s="3" t="inlineStr">
        <is>
          <t>No contribution entered → the 'about $X of the limit' line is not shown; 'up to $X' stands.</t>
        </is>
      </c>
      <c r="M29" s="3" t="inlineStr">
        <is>
          <t>one figure per household</t>
        </is>
      </c>
      <c r="N29" s="3" t="inlineStr">
        <is>
          <t>as of today</t>
        </is>
      </c>
      <c r="O29" s="3" t="inlineStr">
        <is>
          <t>MK-CF-F-195 (monthsLeftInYear) → number</t>
        </is>
      </c>
      <c r="P29" s="3" t="inlineStr">
        <is>
          <t>Declared by MK-CF-O-005 theContributionRoom</t>
        </is>
      </c>
      <c r="Q29" s="3" t="inlineStr">
        <is>
          <t>Capped at the limit: a figure above it would be describing a contribution the law does not permit.</t>
        </is>
      </c>
      <c r="R29" s="3" t="inlineStr">
        <is>
          <t>Capped at the limit: a figure above it would be describing a contribution the law does not permit.</t>
        </is>
      </c>
      <c r="S29" s="3" t="inlineStr"/>
      <c r="T29"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9" s="3" t="inlineStr">
        <is>
          <t>ACTIVE</t>
        </is>
      </c>
      <c r="AG29" s="3" t="inlineStr">
        <is>
          <t>2026-10-19</t>
        </is>
      </c>
      <c r="AH29" s="3" t="inlineStr"/>
      <c r="AI29" s="3" t="inlineStr"/>
      <c r="AJ29" s="3" t="inlineStr">
        <is>
          <t>NONE — no function in this chain reads a stored input the sweep knows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MK-CF-O-005 theContributionRoom</t>
        </is>
      </c>
      <c r="AN29"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29" s="7" t="inlineStr">
        <is>
          <t>RULED, NOT CODED (Q-CF-4 — one question, one function)</t>
        </is>
      </c>
    </row>
    <row r="30" ht="60" customHeight="1">
      <c r="A30" s="3" t="inlineStr">
        <is>
          <t>MK-MN-M-005</t>
        </is>
      </c>
      <c r="B30" s="3" t="inlineStr">
        <is>
          <t>Menu</t>
        </is>
      </c>
      <c r="C30" s="3" t="inlineStr">
        <is>
          <t>/contribution-room</t>
        </is>
      </c>
      <c r="D30" s="3" t="inlineStr">
        <is>
          <t>about $X for the rest of the year</t>
        </is>
      </c>
      <c r="E30" s="3" t="inlineStr">
        <is>
          <t>about_x_for_the_rest_of_the_year</t>
        </is>
      </c>
      <c r="F30" s="3" t="inlineStr">
        <is>
          <t>1. k401Headroom (the 401(k) card)
2. annualIraLimit (the IRA card)
3. annualHsaLimit (the HSA card)</t>
        </is>
      </c>
      <c r="G30" s="3" t="inlineStr">
        <is>
          <t>1. MK-CF-F-196
2. MK-CF-F-195</t>
        </is>
      </c>
      <c r="H30" s="3" t="inlineStr">
        <is>
          <t>per month = round((room left ÷ months left) ÷ 100) × 100;  months left = max(1, 12 − month index) — the current month counts</t>
        </is>
      </c>
      <c r="I30" s="3" t="inlineStr">
        <is>
          <t>Per month = room left ÷ the months remaining in the year, the current month counted (December → 1), rounded to $100 for display — perMonthToFill in src/domain/income/limits.ts (G36). No longer worked out on the screen.</t>
        </is>
      </c>
      <c r="J30" s="3" t="inlineStr">
        <is>
          <t>MK-XS-I-023 salary and other income</t>
        </is>
      </c>
      <c r="K30" s="3" t="inlineStr">
        <is>
          <t>dollars, whole a month</t>
        </is>
      </c>
      <c r="L30" s="3" t="inlineStr">
        <is>
          <t>Nothing left to fill.</t>
        </is>
      </c>
      <c r="M30" s="3" t="inlineStr">
        <is>
          <t>one figure per household</t>
        </is>
      </c>
      <c r="N30" s="3" t="inlineStr">
        <is>
          <t>a month</t>
        </is>
      </c>
      <c r="O30" s="3" t="inlineStr">
        <is>
          <t>MK-CF-F-195 (monthsLeftInYear) → number</t>
        </is>
      </c>
      <c r="P30" s="3" t="inlineStr">
        <is>
          <t>Declared by MK-CF-O-005 theContributionRoom</t>
        </is>
      </c>
      <c r="Q30" s="3" t="inlineStr">
        <is>
          <t>THIS MONTH COUNTS (his ruling G36). Leaving it out told people to save more per month than they need to.</t>
        </is>
      </c>
      <c r="R30" s="3" t="inlineStr">
        <is>
          <t>THIS MONTH COUNTS (his ruling G36). Leaving it out told people to save more per month than they need to.</t>
        </is>
      </c>
      <c r="S30" s="3" t="inlineStr"/>
      <c r="T30"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0" s="3" t="inlineStr">
        <is>
          <t>ACTIVE</t>
        </is>
      </c>
      <c r="AG30" s="3" t="inlineStr">
        <is>
          <t>2026-10-19</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0" s="7" t="inlineStr">
        <is>
          <t>RULED, NOT CODED (Q-CF-4 — one question, one function)</t>
        </is>
      </c>
    </row>
    <row r="31" ht="60" customHeight="1">
      <c r="A31" s="3" t="inlineStr">
        <is>
          <t>MK-MN-M-006</t>
        </is>
      </c>
      <c r="B31" s="3" t="inlineStr">
        <is>
          <t>Menu</t>
        </is>
      </c>
      <c r="C31" s="3" t="inlineStr">
        <is>
          <t>/credit</t>
        </is>
      </c>
      <c r="D31" s="3" t="inlineStr">
        <is>
          <t>$X of $Y used — the line marks 30%</t>
        </is>
      </c>
      <c r="E31" s="3" t="inlineStr">
        <is>
          <t>x_of_y_used__the_line_marks_30</t>
        </is>
      </c>
      <c r="F31" s="3" t="inlineStr">
        <is>
          <t>theCreditLine</t>
        </is>
      </c>
      <c r="G31" s="3" t="inlineStr">
        <is>
          <t>MK-CF-O-006</t>
        </is>
      </c>
      <c r="H31" s="3" t="inlineStr">
        <is>
          <t>what is owed on your cards ÷ the total limit across them</t>
        </is>
      </c>
      <c r="I31" s="3" t="inlineStr">
        <is>
          <t>what is owed on your cards ÷ the total limit across them</t>
        </is>
      </c>
      <c r="J31" s="3" t="inlineStr">
        <is>
          <t>MK-NW-I-002 your debts</t>
        </is>
      </c>
      <c r="K31" s="3" t="inlineStr">
        <is>
          <t>dollars, whole</t>
        </is>
      </c>
      <c r="L31" s="3" t="inlineStr">
        <is>
          <t>No card limit → no percentage; the line says 'add your card's limit'. A real $0 balance shows 0% used.</t>
        </is>
      </c>
      <c r="M31" s="3" t="inlineStr">
        <is>
          <t>one figure per household</t>
        </is>
      </c>
      <c r="N31" s="3" t="inlineStr">
        <is>
          <t>as of today</t>
        </is>
      </c>
      <c r="O31" s="3" t="inlineStr">
        <is>
          <t>1. MK-CF-F-031 (creditUtilization) → CreditUtil
2. MK-CF-F-204 (line) → NOT DECLARED — the code does not say what it gives back</t>
        </is>
      </c>
      <c r="P31" s="3" t="inlineStr">
        <is>
          <t>Declared by MK-CF-O-006 theCreditLine</t>
        </is>
      </c>
      <c r="Q31" s="3" t="inlineStr">
        <is>
          <t>Under 30% is the mark the line shows, because that is the level credit scoring treats as unstretched.</t>
        </is>
      </c>
      <c r="R31" s="3" t="inlineStr">
        <is>
          <t>Under 30% is the mark the line shows, because that is the level credit scoring treats as unstretched.</t>
        </is>
      </c>
      <c r="S31" s="3" t="inlineStr"/>
      <c r="T31" s="3" t="inlineStr">
        <is>
          <t>Under 30% is the mark the line shows, because that is the level credit scoring treats as unstretched.</t>
        </is>
      </c>
      <c r="U31" s="3" t="inlineStr"/>
      <c r="V31" s="3" t="inlineStr"/>
      <c r="W31" s="3" t="inlineStr"/>
      <c r="X31" s="3" t="inlineStr"/>
      <c r="Y31" s="3" t="inlineStr"/>
      <c r="Z31" s="3" t="inlineStr">
        <is>
          <t>DECLARED IN THE CODE (rule 11) — printed from the door, not typed. RULED 2026-09-28</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2026-10-19</t>
        </is>
      </c>
      <c r="AH31" s="3" t="inlineStr"/>
      <c r="AI31" s="3" t="inlineStr"/>
      <c r="AJ31" s="3" t="inlineStr">
        <is>
          <t>1. MK-XS-I-001 account balance — read by MK-CF-F-031, MK-CF-O-006,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2026-09-28; the figure, its formula, inputs and refusal live in MK-CF-O-006 theCreditLine</t>
        </is>
      </c>
      <c r="AN31" s="3" t="inlineStr">
        <is>
          <t>$3,100 owed on the cards against $12,000 of total limit — 25.8% of the line in use.
GIVES: $3,100
(the test re-runs this through MK-CF-O-006 theCreditLine on every build)</t>
        </is>
      </c>
      <c r="AO31" s="3" t="inlineStr">
        <is>
          <t>NOTHING OPEN</t>
        </is>
      </c>
    </row>
    <row r="32" ht="60" customHeight="1">
      <c r="A32" s="3" t="inlineStr">
        <is>
          <t>MK-MN-M-016</t>
        </is>
      </c>
      <c r="B32" s="3" t="inlineStr">
        <is>
          <t>Menu</t>
        </is>
      </c>
      <c r="C32" s="3" t="inlineStr">
        <is>
          <t>/insights</t>
        </is>
      </c>
      <c r="D32" s="3" t="inlineStr">
        <is>
          <t>Total invested · Cash total · Investable total</t>
        </is>
      </c>
      <c r="E32" s="3" t="inlineStr">
        <is>
          <t>total_invested__cash_total__investable_t</t>
        </is>
      </c>
      <c r="F32" s="3" t="inlineStr">
        <is>
          <t>theNetWorth</t>
        </is>
      </c>
      <c r="G32" s="3" t="inlineStr">
        <is>
          <t>MK-NW-O-003</t>
        </is>
      </c>
      <c r="H32" s="3" t="inlineStr">
        <is>
          <t>investments, cash, and everything that is not a house or a car</t>
        </is>
      </c>
      <c r="I32" s="3" t="inlineStr">
        <is>
          <t>investments, cash, and everything that is not a house or a car</t>
        </is>
      </c>
      <c r="J32" s="3" t="inlineStr">
        <is>
          <t>MK-NW-I-001 your accounts</t>
        </is>
      </c>
      <c r="K32" s="3" t="inlineStr">
        <is>
          <t>dollars, whole</t>
        </is>
      </c>
      <c r="L32" s="3" t="inlineStr">
        <is>
          <t>Nothing entered yet.</t>
        </is>
      </c>
      <c r="M32" s="3" t="inlineStr">
        <is>
          <t>one figure per household</t>
        </is>
      </c>
      <c r="N32" s="3" t="inlineStr">
        <is>
          <t>as of today</t>
        </is>
      </c>
      <c r="O3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32" s="3" t="inlineStr">
        <is>
          <t>Declared by MK-NW-O-003 theNetWorth</t>
        </is>
      </c>
      <c r="Q32" s="3" t="inlineStr">
        <is>
          <t>Insights took these its own way before 2026-09-27; his ruling on Q-NW-1 made all three screens read one answer.</t>
        </is>
      </c>
      <c r="R32" s="3" t="inlineStr">
        <is>
          <t>Insights took these its own way before 2026-09-27; his ruling on Q-NW-1 made all three screens read one answer.</t>
        </is>
      </c>
      <c r="S32" s="3" t="inlineStr"/>
      <c r="T32" s="3" t="inlineStr">
        <is>
          <t>Insights took these its own way before 2026-09-27; his ruling on Q-NW-1 made all three screens read one answer.</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2026-10-19</t>
        </is>
      </c>
      <c r="AH32" s="3" t="inlineStr"/>
      <c r="AI32" s="3" t="inlineStr"/>
      <c r="AJ32"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MK-NW-O-003 theNetWorth</t>
        </is>
      </c>
      <c r="AN3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$193,200
(the test re-runs this through MK-NW-O-003 theNetWorth on every build)</t>
        </is>
      </c>
      <c r="AO32" s="7" t="inlineStr">
        <is>
          <t>RULED, NOT CODED (Q-NW-1 — one question, one function)</t>
        </is>
      </c>
    </row>
    <row r="33" ht="60" customHeight="1">
      <c r="A33" s="3" t="inlineStr">
        <is>
          <t>MK-MN-M-020</t>
        </is>
      </c>
      <c r="B33" s="3" t="inlineStr">
        <is>
          <t>Menu</t>
        </is>
      </c>
      <c r="C33" s="3" t="inlineStr">
        <is>
          <t>/jobsafety</t>
        </is>
      </c>
      <c r="D33" s="3" t="inlineStr">
        <is>
          <t>N months of essentials is $X ($Y/month)</t>
        </is>
      </c>
      <c r="E33" s="3" t="inlineStr">
        <is>
          <t>n_months_of_essentials_is_x_ymonth</t>
        </is>
      </c>
      <c r="F33" s="3" t="inlineStr">
        <is>
          <t>essentialsFromLoggedSpending (through Job safety)</t>
        </is>
      </c>
      <c r="G33" s="3" t="inlineStr">
        <is>
          <t>MK-CF-F-189</t>
        </is>
      </c>
      <c r="H33" s="3" t="inlineStr">
        <is>
          <t>runway in months = cash ÷ essentials a month; target = months wanted × essentials a month; essentials a month = the typed figure on this screen if given, else the logged average (MK-CF-F-189)</t>
        </is>
      </c>
      <c r="I33"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3" s="3" t="inlineStr">
        <is>
          <t>1. every logged expense → expenses [MK-XS-I-024]
2. the typed fallback → typed monthly expenses / essentials [MK-XS-I-025]
3. cash on hand → the Cash class [MK-XS-I-001]</t>
        </is>
      </c>
      <c r="K33" s="3" t="inlineStr">
        <is>
          <t>a sentence</t>
        </is>
      </c>
      <c r="L33" s="3" t="inlineStr">
        <is>
          <t>No essentials figure → the screen asks 'What do your essential bills come to in a typical month?' (built); no months chosen → 6.</t>
        </is>
      </c>
      <c r="M33" s="3" t="inlineStr">
        <is>
          <t>one figure per household</t>
        </is>
      </c>
      <c r="N33" s="3" t="inlineStr">
        <is>
          <t>as of today</t>
        </is>
      </c>
      <c r="O33" s="3" t="inlineStr">
        <is>
          <t>1. MK-ST-F-056 (has) → NOT DECLARED — the code does not say what it gives back
2. MK-XS-F-122 (n) → number
3. MK-ST-F-052 (toNum) → number
4. MK-CF-F-191 (ym) → NOT DECLARED — the code does not say what it gives back</t>
        </is>
      </c>
      <c r="P33" s="3" t="inlineStr">
        <is>
          <t>Declared by MK-NW-O-004 theEmergencyFund</t>
        </is>
      </c>
      <c r="Q33" s="3" t="inlineStr">
        <is>
          <t>NONE RECORDED — the declaration names none.</t>
        </is>
      </c>
      <c r="R33" s="3" t="inlineStr">
        <is>
          <t>NONE RECORDED — the declaration names none.</t>
        </is>
      </c>
      <c r="S33" s="3" t="inlineStr"/>
      <c r="T3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3" s="3" t="inlineStr"/>
      <c r="V33" s="9" t="inlineStr">
        <is>
          <t>Q28 — How many months of essentials should the app treat as safe by default — and is that number yours to set per person, or one figure for everyone?</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2026-10-19</t>
        </is>
      </c>
      <c r="AH33" s="3" t="inlineStr"/>
      <c r="AI33" s="3" t="inlineStr"/>
      <c r="AJ33" s="3" t="inlineStr">
        <is>
          <t>MK-XS-I-024 logged expenses — read by MK-CF-F-189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MK-NW-O-004 theEmergencyFund</t>
        </is>
      </c>
      <c r="AN3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6 months of essentials is $20,820 ($3,470/month)
(the test re-runs this through MK-NW-O-004 theEmergencyFund on every build)</t>
        </is>
      </c>
      <c r="AO33" s="9" t="inlineStr">
        <is>
          <t>WAITING ON YOU — question Q28 · RULED, NOT CODED (Q-NW-5 — one question, one function)</t>
        </is>
      </c>
    </row>
    <row r="34" ht="60" customHeight="1">
      <c r="A34" s="3" t="inlineStr">
        <is>
          <t>MK-MN-M-021</t>
        </is>
      </c>
      <c r="B34" s="3" t="inlineStr">
        <is>
          <t>Menu</t>
        </is>
      </c>
      <c r="C34" s="3" t="inlineStr">
        <is>
          <t>/jobsafety</t>
        </is>
      </c>
      <c r="D34" s="3" t="inlineStr">
        <is>
          <t>Using $X/month from your logged expenses</t>
        </is>
      </c>
      <c r="E34" s="3" t="inlineStr">
        <is>
          <t>using_xmonth_from_your_logged_expenses</t>
        </is>
      </c>
      <c r="F34" s="3" t="inlineStr">
        <is>
          <t>essentialsFromLoggedSpending</t>
        </is>
      </c>
      <c r="G34" s="3" t="inlineStr">
        <is>
          <t>MK-CF-F-189</t>
        </is>
      </c>
      <c r="H34" s="3" t="inlineStr">
        <is>
          <t>baseline = the average of logged expenses over the months logged, mortgage and big items included; label = 'N month average'</t>
        </is>
      </c>
      <c r="I34"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4" s="3" t="inlineStr">
        <is>
          <t>1. every logged expense → expenses [MK-XS-I-024]
2. the typed fallback → typed monthly expenses / essentials [MK-XS-I-025]
3. cash on hand → the Cash class [MK-XS-I-001]</t>
        </is>
      </c>
      <c r="K34" s="3" t="inlineStr">
        <is>
          <t>a sentence</t>
        </is>
      </c>
      <c r="L34" s="3" t="inlineStr">
        <is>
          <t>$0, and under it the one line "Nothing entered yet. Log your expenses ›" (mock approved 2026-09-12). A real zero that was entered shows a plain $0 with no line.</t>
        </is>
      </c>
      <c r="M34" s="3" t="inlineStr">
        <is>
          <t>one figure per household</t>
        </is>
      </c>
      <c r="N34" s="3" t="inlineStr">
        <is>
          <t>as of today</t>
        </is>
      </c>
      <c r="O34" s="3" t="inlineStr">
        <is>
          <t>1. MK-ST-F-056 (has) → NOT DECLARED — the code does not say what it gives back
2. MK-XS-F-122 (n) → number
3. MK-ST-F-052 (toNum) → number
4. MK-CF-F-191 (ym) → NOT DECLARED — the code does not say what it gives back</t>
        </is>
      </c>
      <c r="P34" s="3" t="inlineStr">
        <is>
          <t>Declared by MK-NW-O-004 theEmergencyFund</t>
        </is>
      </c>
      <c r="Q34" s="3" t="inlineStr">
        <is>
          <t>The label names the basis so nobody has to guess whether it is one month or a year (his ruling G21).</t>
        </is>
      </c>
      <c r="R34" s="3" t="inlineStr">
        <is>
          <t>The label names the basis so nobody has to guess whether it is one month or a year (his ruling G21).</t>
        </is>
      </c>
      <c r="S34" s="3" t="inlineStr"/>
      <c r="T34"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2026-10-19</t>
        </is>
      </c>
      <c r="AH34" s="3" t="inlineStr"/>
      <c r="AI34" s="3" t="inlineStr"/>
      <c r="AJ34" s="3" t="inlineStr">
        <is>
          <t>MK-XS-I-024 logged expenses — read by MK-CF-F-189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MK-NW-O-004 theEmergencyFund</t>
        </is>
      </c>
      <c r="AN3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Using $3,470/month — you entered
(the test re-runs this through MK-NW-O-004 theEmergencyFund on every build)</t>
        </is>
      </c>
      <c r="AO34" s="7" t="inlineStr">
        <is>
          <t>RULED, NOT CODED (Q-NW-5 — one question, one function)</t>
        </is>
      </c>
    </row>
    <row r="35" ht="60" customHeight="1">
      <c r="A35" s="3" t="inlineStr">
        <is>
          <t>MK-MN-M-024</t>
        </is>
      </c>
      <c r="B35" s="3" t="inlineStr">
        <is>
          <t>Menu</t>
        </is>
      </c>
      <c r="C35" s="3" t="inlineStr">
        <is>
          <t>/stress-test</t>
        </is>
      </c>
      <c r="D35" s="3" t="inlineStr">
        <is>
          <t>You could cover a $X hit</t>
        </is>
      </c>
      <c r="E35" s="3" t="inlineStr">
        <is>
          <t>you_could_cover_a_x_hit</t>
        </is>
      </c>
      <c r="F35" s="3" t="inlineStr">
        <is>
          <t>emergencyTest (with the essentials figure from essentialsMonthly)</t>
        </is>
      </c>
      <c r="G35" s="3" t="inlineStr">
        <is>
          <t>MK-CF-F-010 (← MK-CF-F-190)</t>
        </is>
      </c>
      <c r="H35" s="3" t="inlineStr">
        <is>
          <t>cash after = cash − the shock; runway after = cash after ÷ essentials a month, where essentials a month = MK-CF-F-190 (logged average, else the typed categories)</t>
        </is>
      </c>
      <c r="I35" s="3" t="inlineStr">
        <is>
          <t>Takes a one-off hit out of the cash on hand and shows what would be left and how many months of essentials it would cover — dividing by the same essentials figure the other cards use, labelled with the months it stands on.</t>
        </is>
      </c>
      <c r="J35" s="3" t="inlineStr">
        <is>
          <t>1. every logged expense → expenses [MK-XS-I-024]
2. the typed fallback → typed monthly expenses / essentials [MK-XS-I-025]
3. cash on hand → the Cash class [MK-XS-I-001]</t>
        </is>
      </c>
      <c r="K35" s="3" t="inlineStr">
        <is>
          <t>dollars, whole</t>
        </is>
      </c>
      <c r="L35" s="3" t="inlineStr">
        <is>
          <t>$0, and under it the one line "Nothing entered yet. Add your accounts ›" (mock approved 2026-09-12). A real zero that was entered shows a plain $0 with no line.</t>
        </is>
      </c>
      <c r="M35" s="3" t="inlineStr">
        <is>
          <t>one figure per household</t>
        </is>
      </c>
      <c r="N35" s="3" t="inlineStr">
        <is>
          <t>as of today</t>
        </is>
      </c>
      <c r="O35" s="3" t="inlineStr">
        <is>
          <t>1. MK-CF-F-155 (cash) → number
2. MK-CF-F-009 (monthlyEssentials) → number
3. MK-CF-F-189 (essentialsFromLoggedSpending) → EssentialsAverage | null
4. MK-CF-O-002 (expenses) → Expenses
5. MK-CF-F-216 (typed) → NOT DECLARED — the code does not say what it gives back</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Q29 — What size of shock should the test use by default, and should it be a fixed dollar figure or a share of the person's expenses?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5" s="3" t="inlineStr">
        <is>
          <t>ACTIVE</t>
        </is>
      </c>
      <c r="AG35" s="3" t="inlineStr">
        <is>
          <t>2026-10-19</t>
        </is>
      </c>
      <c r="AH35" s="3" t="inlineStr"/>
      <c r="AI35" s="3" t="inlineStr"/>
      <c r="AJ3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 could cover a $5,000 hit
(the test re-runs this through MK-NW-O-004 theEmergencyFund on every build)</t>
        </is>
      </c>
      <c r="AO35" s="9" t="inlineStr">
        <is>
          <t>WAITING ON YOU — question Q29 · RULED, NOT CODED (Q-NW-5 — one question, one function)</t>
        </is>
      </c>
    </row>
    <row r="36" ht="60" customHeight="1">
      <c r="A36" s="3" t="inlineStr">
        <is>
          <t>MK-MN-M-025</t>
        </is>
      </c>
      <c r="B36" s="3" t="inlineStr">
        <is>
          <t>Menu</t>
        </is>
      </c>
      <c r="C36" s="3" t="inlineStr">
        <is>
          <t>/stress-test</t>
        </is>
      </c>
      <c r="D36" s="3" t="inlineStr">
        <is>
          <t>You'd have $X left — about N months of essentials</t>
        </is>
      </c>
      <c r="E36" s="3" t="inlineStr">
        <is>
          <t>youd_have_x_left__about_n_months_of_esse</t>
        </is>
      </c>
      <c r="F36" s="3" t="inlineStr">
        <is>
          <t>emergencyTest (with the essentials figure from essentialsMonthly)</t>
        </is>
      </c>
      <c r="G36" s="3" t="inlineStr">
        <is>
          <t>MK-CF-F-010 (← MK-CF-F-190)</t>
        </is>
      </c>
      <c r="H36" s="3" t="inlineStr">
        <is>
          <t>runway after = max(0, cash − shock) ÷ essentials a month (MK-CF-F-190)</t>
        </is>
      </c>
      <c r="I36" s="3" t="inlineStr">
        <is>
          <t>'You'd have $X left — about N months of essentials ($Y/mo — 7 month average).'</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Add your accounts ›" (mock approved 2026-09-12). A real zero that was entered shows a plain $0 with no line.</t>
        </is>
      </c>
      <c r="M36" s="3" t="inlineStr">
        <is>
          <t>one figure per household</t>
        </is>
      </c>
      <c r="N36" s="3" t="inlineStr">
        <is>
          <t>as of today</t>
        </is>
      </c>
      <c r="O36" s="3" t="inlineStr">
        <is>
          <t>1. MK-CF-F-155 (cash) → number
2. MK-CF-F-009 (monthlyEssentials) → number
3. MK-CF-F-189 (essentialsFromLoggedSpending) → EssentialsAverage | null
4. MK-CF-O-002 (expenses) → Expenses
5. MK-CF-F-216 (typed) → NOT DECLARED — the code does not say what it gives back</t>
        </is>
      </c>
      <c r="P36" s="3" t="inlineStr">
        <is>
          <t>Declared by MK-NW-O-004 theEmergencyFund</t>
        </is>
      </c>
      <c r="Q36" s="3" t="inlineStr">
        <is>
          <t>NONE RECORDED — the declaration names none.</t>
        </is>
      </c>
      <c r="R36" s="3" t="inlineStr">
        <is>
          <t>NONE RECORDED — the declaration names none.</t>
        </is>
      </c>
      <c r="S36" s="3" t="inlineStr"/>
      <c r="T36"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6" s="3" t="inlineStr">
        <is>
          <t>ACTIVE</t>
        </is>
      </c>
      <c r="AG36" s="3" t="inlineStr">
        <is>
          <t>2026-10-19</t>
        </is>
      </c>
      <c r="AH36" s="3" t="inlineStr"/>
      <c r="AI36" s="3" t="inlineStr"/>
      <c r="AJ3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You'd have $13,000 left — about 3.7 months of essentials
(the test re-runs this through MK-NW-O-004 theEmergencyFund on every build)</t>
        </is>
      </c>
      <c r="AO36" s="7" t="inlineStr">
        <is>
          <t>RULED, NOT CODED (Q-NW-5 — one question, one function)</t>
        </is>
      </c>
    </row>
    <row r="37" ht="60" customHeight="1">
      <c r="A37" s="3" t="inlineStr">
        <is>
          <t>MK-MN-M-026</t>
        </is>
      </c>
      <c r="B37" s="3" t="inlineStr">
        <is>
          <t>Menu</t>
        </is>
      </c>
      <c r="C37" s="3" t="inlineStr">
        <is>
          <t>/stress-test</t>
        </is>
      </c>
      <c r="D37" s="3" t="inlineStr">
        <is>
          <t>your $X/month of essentials</t>
        </is>
      </c>
      <c r="E37" s="3" t="inlineStr">
        <is>
          <t>your_xmonth_of_essentials</t>
        </is>
      </c>
      <c r="F37" s="3" t="inlineStr">
        <is>
          <t>essentialsMonthly</t>
        </is>
      </c>
      <c r="G37" s="3" t="inlineStr">
        <is>
          <t>MK-CF-F-190</t>
        </is>
      </c>
      <c r="H37" s="3" t="inlineStr">
        <is>
          <t>essentials a month = the logged average over the months logged (MK-CF-F-189), else the typed categories (monthlyEssentials)</t>
        </is>
      </c>
      <c r="I37" s="3" t="inlineStr">
        <is>
          <t>'Covering your $Y/mo of essentials (7 month average) with no paycheck coming in.' The larger-of rule (plannedMonthlySpend) no longer produces this figure.</t>
        </is>
      </c>
      <c r="J37" s="3" t="inlineStr">
        <is>
          <t>1. every logged expense → expenses [MK-XS-I-024]
2. the typed fallback → typed monthly expenses / essentials [MK-XS-I-025]
3. cash on hand → the Cash class [MK-XS-I-001]</t>
        </is>
      </c>
      <c r="K37" s="3" t="inlineStr">
        <is>
          <t>dollars, whole a month</t>
        </is>
      </c>
      <c r="L37" s="3" t="inlineStr">
        <is>
          <t>$0, and under it the one line "Nothing entered yet. Log your expenses ›" (mock approved 2026-09-12). A real zero that was entered shows a plain $0 with no line.</t>
        </is>
      </c>
      <c r="M37" s="3" t="inlineStr">
        <is>
          <t>one figure per household</t>
        </is>
      </c>
      <c r="N37" s="3" t="inlineStr">
        <is>
          <t>a month</t>
        </is>
      </c>
      <c r="O37" s="3" t="inlineStr">
        <is>
          <t>1. MK-CF-F-189 (essentialsFromLoggedSpending) → EssentialsAverage | null
2. MK-CF-O-002 (expenses) → Expenses
3. MK-CF-F-216 (typed) → NOT DECLARED — the code does not say what it gives back</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7" s="3" t="inlineStr">
        <is>
          <t>ACTIVE</t>
        </is>
      </c>
      <c r="AG37" s="3" t="inlineStr">
        <is>
          <t>2026-10-19</t>
        </is>
      </c>
      <c r="AH37" s="3" t="inlineStr"/>
      <c r="AI37" s="3" t="inlineStr"/>
      <c r="AJ37"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$3,470/month
(the test re-runs this through MK-NW-O-004 theEmergencyFund on every build)</t>
        </is>
      </c>
      <c r="AO37" s="7" t="inlineStr">
        <is>
          <t>RULED, NOT CODED (Q-NW-5 — one question, one function)</t>
        </is>
      </c>
    </row>
    <row r="38" ht="60" customHeight="1">
      <c r="A38" s="3" t="inlineStr">
        <is>
          <t>MK-MN-M-027</t>
        </is>
      </c>
      <c r="B38" s="3" t="inlineStr">
        <is>
          <t>Menu</t>
        </is>
      </c>
      <c r="C38" s="3" t="inlineStr">
        <is>
          <t>/tax-organizer</t>
        </is>
      </c>
      <c r="D38" s="3" t="inlineStr">
        <is>
          <t>each taxable line and its amount</t>
        </is>
      </c>
      <c r="E38" s="3" t="inlineStr">
        <is>
          <t>each_taxable_line_and_its_amount</t>
        </is>
      </c>
      <c r="F38" s="3" t="inlineStr">
        <is>
          <t>1. taxOrganizer
2. taxableIncomeSteps</t>
        </is>
      </c>
      <c r="G38" s="3" t="inlineStr">
        <is>
          <t>1. MK-PL-F-031
2. MK-PL-F-082</t>
        </is>
      </c>
      <c r="H38"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8"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8" s="3" t="inlineStr">
        <is>
          <t>1. the organizer's income lines [MK-XS-I-023 and the other income inputs]
2. each earner's 401(k) contribution [MK-XS-I-043]
3. how they file and who is 65+ [MK-XS-I-030]</t>
        </is>
      </c>
      <c r="K38" s="3" t="inlineStr">
        <is>
          <t>dollars, whole</t>
        </is>
      </c>
      <c r="L38" s="3" t="inlineStr">
        <is>
          <t>A line with nothing behind it does not appear at all.</t>
        </is>
      </c>
      <c r="M38" s="3" t="inlineStr">
        <is>
          <t>one line</t>
        </is>
      </c>
      <c r="N38" s="3" t="inlineStr">
        <is>
          <t>as of today</t>
        </is>
      </c>
      <c r="O38"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8" s="3" t="inlineStr">
        <is>
          <t>Declared by MK-CF-O-007 theTaxOrganizer</t>
        </is>
      </c>
      <c r="Q38" s="3" t="inlineStr">
        <is>
          <t>Interest and dividends come from the RECORDS where they exist, not from an estimate — an estimate on a tax page reads as a figure to file.</t>
        </is>
      </c>
      <c r="R38" s="3" t="inlineStr">
        <is>
          <t>Interest and dividends come from the RECORDS where they exist, not from an estimate — an estimate on a tax page reads as a figure to file.</t>
        </is>
      </c>
      <c r="S38" s="3" t="inlineStr"/>
      <c r="T38"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38" s="3" t="inlineStr"/>
      <c r="V38"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38" s="3" t="inlineStr">
        <is>
          <t>Q46: Tax organizer should show — gross income, 401(k) contribution, standard deduction, and taxable income. (answered in chat, 2026-09-08)</t>
        </is>
      </c>
      <c r="X38" s="3" t="inlineStr"/>
      <c r="Y38" s="3" t="inlineStr"/>
      <c r="Z38" s="3" t="inlineStr">
        <is>
          <t>DECLARED IN THE CODE (rule 11) — printed from the door, not typed. RULED 2026-09-27</t>
        </is>
      </c>
      <c r="AA38" s="3" t="inlineStr"/>
      <c r="AB38" s="3" t="inlineStr"/>
      <c r="AC38" s="3" t="inlineStr"/>
      <c r="AD38" s="3" t="inlineStr"/>
      <c r="AE38"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38" s="3" t="inlineStr">
        <is>
          <t>ACTIVE</t>
        </is>
      </c>
      <c r="AG38" s="3" t="inlineStr">
        <is>
          <t>2026-10-19</t>
        </is>
      </c>
      <c r="AH38" s="3" t="inlineStr"/>
      <c r="AI38" s="3" t="inlineStr"/>
      <c r="AJ38"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MK-CF-O-007 theTaxOrganizer</t>
        </is>
      </c>
      <c r="AN38" s="3" t="inlineStr">
        <is>
          <t>Filing jointly for 2026 on $169,200 of wages, with $19,200 paid into 401(k)s between the two of them and the $32,200 standard deduction.
GIVES: $169,200
(the test re-runs this through MK-CF-O-007 theTaxOrganizer on every build)</t>
        </is>
      </c>
      <c r="AO38" s="8" t="inlineStr">
        <is>
          <t>VERIFIED — TESTED, NOT VERIFIED — you ruled on this row 2026-09-27; the</t>
        </is>
      </c>
    </row>
    <row r="39" ht="60" customHeight="1">
      <c r="A39" s="3" t="inlineStr">
        <is>
          <t>MK-MN-M-028</t>
        </is>
      </c>
      <c r="B39" s="3" t="inlineStr">
        <is>
          <t>Menu</t>
        </is>
      </c>
      <c r="C39" s="3" t="inlineStr">
        <is>
          <t>/tax-organizer</t>
        </is>
      </c>
      <c r="D39" s="3" t="inlineStr">
        <is>
          <t>Gross income · 401(k) contribution · Standard deduction · Taxable income · Non-taxable</t>
        </is>
      </c>
      <c r="E39" s="3" t="inlineStr">
        <is>
          <t>gross_income__401k_contribution__standar</t>
        </is>
      </c>
      <c r="F39" s="3" t="inlineStr">
        <is>
          <t>1. taxOrganizer
2. taxableIncomeSteps</t>
        </is>
      </c>
      <c r="G39" s="3" t="inlineStr">
        <is>
          <t>1. MK-PL-F-031
2. MK-PL-F-082</t>
        </is>
      </c>
      <c r="H39"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9"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9" s="3" t="inlineStr">
        <is>
          <t>1. the organizer's income lines [MK-XS-I-023 and the other income inputs]
2. each earner's 401(k) contribution [MK-XS-I-043]
3. how they file and who is 65+ [MK-XS-I-030]</t>
        </is>
      </c>
      <c r="K39" s="3" t="inlineStr">
        <is>
          <t>dollars, whole</t>
        </is>
      </c>
      <c r="L39" s="3" t="inlineStr">
        <is>
          <t>No income entered yet.</t>
        </is>
      </c>
      <c r="M39" s="3" t="inlineStr">
        <is>
          <t>one figure per household</t>
        </is>
      </c>
      <c r="N39" s="3" t="inlineStr">
        <is>
          <t>as of today</t>
        </is>
      </c>
      <c r="O39"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9" s="3" t="inlineStr">
        <is>
          <t>Declared by MK-CF-O-007 theTaxOrganizer</t>
        </is>
      </c>
      <c r="Q39" s="3" t="inlineStr">
        <is>
          <t>ONE tax function across the app (rule 2) — the same one that sets the band on your pay.</t>
        </is>
      </c>
      <c r="R39" s="3" t="inlineStr">
        <is>
          <t>ONE tax function across the app (rule 2) — the same one that sets the band on your pay.</t>
        </is>
      </c>
      <c r="S39" s="3" t="inlineStr"/>
      <c r="T39" s="3" t="inlineStr">
        <is>
          <t>ONE tax function across the app (rule 2) — the same one that sets the band on your pay.
[Founder] Q46, 2026-09-08: the tax organizer shows gross income, the 401(k) contribution, the standard deduction and taxable income.</t>
        </is>
      </c>
      <c r="U39" s="3" t="inlineStr"/>
      <c r="V39" s="9" t="inlineStr">
        <is>
          <t>Q24 — State tax is applied to taxable accounts only. Do you want a state rate captured per person, or to keep the single blended figure we use now?</t>
        </is>
      </c>
      <c r="W39" s="9" t="inlineStr">
        <is>
          <t>Q46: Tax organizer should show — gross income, 401(k) contribution, standard deduction, and taxable income. (answered in chat, 2026-09-08)</t>
        </is>
      </c>
      <c r="X39" s="3" t="inlineStr"/>
      <c r="Y39" s="3" t="inlineStr"/>
      <c r="Z39" s="3" t="inlineStr">
        <is>
          <t>DECLARED IN THE CODE (rule 11) — printed from the door, not typed. RULED 2026-09-27</t>
        </is>
      </c>
      <c r="AA39" s="3" t="inlineStr"/>
      <c r="AB39" s="3" t="inlineStr"/>
      <c r="AC39" s="3" t="inlineStr"/>
      <c r="AD39" s="3" t="inlineStr"/>
      <c r="AE39"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39" s="3" t="inlineStr">
        <is>
          <t>ACTIVE</t>
        </is>
      </c>
      <c r="AG39" s="3" t="inlineStr">
        <is>
          <t>2026-10-19</t>
        </is>
      </c>
      <c r="AH39" s="3" t="inlineStr"/>
      <c r="AI39" s="3" t="inlineStr"/>
      <c r="AJ39"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MK-CF-O-007 theTaxOrganizer</t>
        </is>
      </c>
      <c r="AN39" s="3" t="inlineStr">
        <is>
          <t>Filing jointly for 2026 on $169,200 of wages, with $19,200 paid into 401(k)s between the two of them and the $32,200 standard deduction.
GIVES: $117,800
(the test re-runs this through MK-CF-O-007 theTaxOrganizer on every build)</t>
        </is>
      </c>
      <c r="AO39" s="9" t="inlineStr">
        <is>
          <t>WAITING ON YOU — question Q24 · TESTED, NOT VERIFIED (G22 / Q46, G3)</t>
        </is>
      </c>
    </row>
    <row r="40" ht="60" customHeight="1">
      <c r="A40" s="3" t="inlineStr">
        <is>
          <t>MK-MN-M-029</t>
        </is>
      </c>
      <c r="B40" s="3" t="inlineStr">
        <is>
          <t>Menu</t>
        </is>
      </c>
      <c r="C40" s="3" t="inlineStr">
        <is>
          <t>/contribution-room</t>
        </is>
      </c>
      <c r="D40" s="3" t="inlineStr">
        <is>
          <t>each contribution and its amount</t>
        </is>
      </c>
      <c r="E40" s="3" t="inlineStr">
        <is>
          <t>each_contribution_and_its_amount</t>
        </is>
      </c>
      <c r="F40" s="3" t="inlineStr">
        <is>
          <t>theContributionRoom</t>
        </is>
      </c>
      <c r="G40" s="3" t="inlineStr">
        <is>
          <t xml:space="preserve">
4. MK-CF-F-196
5. MK-CF-F-195</t>
        </is>
      </c>
      <c r="H40" s="3" t="inlineStr">
        <is>
          <t>the monthly amount you entered for that account × 12</t>
        </is>
      </c>
      <c r="I4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0" s="3" t="inlineStr">
        <is>
          <t>MK-XS-I-023 salary and other income</t>
        </is>
      </c>
      <c r="K40" s="3" t="inlineStr">
        <is>
          <t>dollars, whole</t>
        </is>
      </c>
      <c r="L40" s="3" t="inlineStr">
        <is>
          <t>No contribution entered → the RETIREMENT CONTRIBUTIONS card is not shown; never a $0 line.</t>
        </is>
      </c>
      <c r="M40" s="3" t="inlineStr">
        <is>
          <t>one account</t>
        </is>
      </c>
      <c r="N40" s="3" t="inlineStr">
        <is>
          <t>as of today</t>
        </is>
      </c>
      <c r="O40" s="3" t="inlineStr">
        <is>
          <t>MK-CF-F-195 (monthsLeftInYear) → number</t>
        </is>
      </c>
      <c r="P40" s="3" t="inlineStr">
        <is>
          <t>Declared by MK-CF-O-005 theContributionRoom</t>
        </is>
      </c>
      <c r="Q40" s="3" t="inlineStr">
        <is>
          <t>Enrolled in Medicare means NO HSA contribution is allowed at all — not a smaller one (his ruling G10, 2026-09-08).</t>
        </is>
      </c>
      <c r="R40" s="3" t="inlineStr">
        <is>
          <t>Enrolled in Medicare means NO HSA contribution is allowed at all — not a smaller one (his ruling G10, 2026-09-08).</t>
        </is>
      </c>
      <c r="S40" s="3" t="inlineStr"/>
      <c r="T40" s="3" t="inlineStr">
        <is>
          <t>Enrolled in Medicare means NO HSA contribution is allowed at all — not a smaller one (his ruling G10, 2026-09-08).</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G32 / Q48 — 2026-09-09: the 'division with nothing on the bottom' boilerplate is gone; this cell now states the row's real refusal. Where it says 'built', the screen already does it; the rest follow the empty-state mock.</t>
        </is>
      </c>
      <c r="AF40" s="3" t="inlineStr">
        <is>
          <t>ACTIVE</t>
        </is>
      </c>
      <c r="AG40" s="3" t="inlineStr">
        <is>
          <t>2026-10-19</t>
        </is>
      </c>
      <c r="AH40" s="3" t="inlineStr"/>
      <c r="AI40" s="3" t="inlineStr"/>
      <c r="AJ40" s="3" t="inlineStr">
        <is>
          <t>NONE — no function in this chain reads a stored input the sweep knows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MK-CF-O-005 theContributionRoom</t>
        </is>
      </c>
      <c r="AN40"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0" s="7" t="inlineStr">
        <is>
          <t>RULED, NOT CODED (Q-CF-4 — one question, one function)</t>
        </is>
      </c>
    </row>
    <row r="41" ht="60" customHeight="1">
      <c r="A41" s="3" t="inlineStr">
        <is>
          <t>MK-MN-M-030</t>
        </is>
      </c>
      <c r="B41" s="3" t="inlineStr">
        <is>
          <t>Menu</t>
        </is>
      </c>
      <c r="C41" s="3" t="inlineStr">
        <is>
          <t>/bill-calendar</t>
        </is>
      </c>
      <c r="D41" s="3" t="inlineStr">
        <is>
          <t>$X left &lt;account&gt; on &lt;date&gt;</t>
        </is>
      </c>
      <c r="E41" s="3" t="inlineStr">
        <is>
          <t>x_left_account_on_date</t>
        </is>
      </c>
      <c r="F41" s="3" t="inlineStr">
        <is>
          <t>whatsComing</t>
        </is>
      </c>
      <c r="G41" s="3" t="inlineStr">
        <is>
          <t>MK-CF-O-008</t>
        </is>
      </c>
      <c r="H41" s="3" t="inlineStr">
        <is>
          <t>the balance you start with, less each bill as its date passes</t>
        </is>
      </c>
      <c r="I41" s="3" t="inlineStr">
        <is>
          <t>the balance you start with, less each bill as its date passes</t>
        </is>
      </c>
      <c r="J41" s="3" t="inlineStr">
        <is>
          <t>MK-NW-I-001 your accounts
MK-CF-I-002 your bills</t>
        </is>
      </c>
      <c r="K41" s="3" t="inlineStr">
        <is>
          <t>dollars, whole</t>
        </is>
      </c>
      <c r="L41" s="3" t="inlineStr">
        <is>
          <t>No balance to start from.</t>
        </is>
      </c>
      <c r="M41" s="3" t="inlineStr">
        <is>
          <t>one date</t>
        </is>
      </c>
      <c r="N41" s="3" t="inlineStr">
        <is>
          <t>as of today</t>
        </is>
      </c>
      <c r="O41" s="3" t="inlineStr">
        <is>
          <t>MK-CF-F-019 (upcomingBills) → NOT DECLARED — the code does not say what it gives back</t>
        </is>
      </c>
      <c r="P41" s="3" t="inlineStr">
        <is>
          <t>Declared by MK-CF-O-008 whatsComing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c r="AF41" s="3" t="inlineStr">
        <is>
          <t>ACTIVE</t>
        </is>
      </c>
      <c r="AG41" s="3" t="inlineStr">
        <is>
          <t>2026-10-19</t>
        </is>
      </c>
      <c r="AH41" s="3" t="inlineStr"/>
      <c r="AI41" s="3" t="inlineStr"/>
      <c r="AJ41"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MK-CF-O-008 whatsComing</t>
        </is>
      </c>
      <c r="AN41" s="3" t="inlineStr">
        <is>
          <t>On 28 Sep 2026, with $8,000 in the account: car insurance of $1,400 due 15 Oct and property tax of $4,800 due 1 Nov. Nothing else is dated.
GIVES: $6,600
(the test re-runs this through MK-CF-O-008 whatsComing on every build)</t>
        </is>
      </c>
      <c r="AO41" s="7" t="inlineStr">
        <is>
          <t>RULED, NOT CODED (Q-CF-3 — one question, one function)</t>
        </is>
      </c>
    </row>
  </sheetData>
  <autoFilter ref="A1:AO4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7"/>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MK-CF-F-211 DEBTS
5. MK-NW-F-079 EF
6. MK-NW-F-080 HOLD
7. MK-CF-F-200 LINE
8. MK-NW-F-082 NW
9. MK-NW-F-078 ONE
10. MK-NW-F-101 PLAN
11. MK-NW-F-027 accountClassBreakdown
12. MK-ST-F-027 accountId
13. MK-NW-F-113 altPartsOf
14. MK-CF-F-125 amortise
… and 51 more — the full list is on functions_from_code</t>
        </is>
      </c>
      <c r="F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2" s="3" t="inlineStr">
        <is>
          <t>SWEPT FROM THE CODE 2026-08-26</t>
        </is>
      </c>
      <c r="H2" s="3" t="inlineStr">
        <is>
          <t>ACTIVE</t>
        </is>
      </c>
      <c r="I2" s="3" t="inlineStr">
        <is>
          <t>2026-10-19</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MK-NW-F-027 accountClassBreakdown
4. MK-NW-F-025 accountDisplayName
5. MK-NW-F-011 assetClassOf
6. MK-NW-F-040 assetsFromOnboarding
7. MK-NW-F-052 buildItemizedAccounts
8. MK-CF-F-136 bumpCash
9. MK-NW-F-120 classEvidenceOf
10. MK-XS-F-103 confirmWrapper
11. MK-XS-F-002 dataGaps
12. MK-CF-O-017 futurePaycheck
13. MK-XS-F-102 ingestSync
14. MK-NW-F-073 itemising
… and 16 more — the full list is on functions_from_code</t>
        </is>
      </c>
      <c r="F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3" s="3" t="inlineStr">
        <is>
          <t>SWEPT FROM THE CODE 2026-08-26</t>
        </is>
      </c>
      <c r="H3" s="3" t="inlineStr">
        <is>
          <t>ACTIVE</t>
        </is>
      </c>
      <c r="I3" s="3" t="inlineStr">
        <is>
          <t>2026-10-19</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MK-NW-F-052 buildItemizedAccounts
8. MK-NW-F-134 carValueNotEnteredNotes
9. MK-XS-F-014 classifyHolding
10. MK-ST-F-011 classifyHoldingClass
11. MK-XS-F-002 dataGaps
12. MK-NW-F-135 earmarkLeavesOut
13. MK-NW-F-046 historyCoverage
14. MK-CF-F-184 incomeFromAccounts
… and 11 more — the full list is on functions_from_code</t>
        </is>
      </c>
      <c r="F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4" s="3" t="inlineStr">
        <is>
          <t>SWEPT FROM THE CODE 2026-08-26</t>
        </is>
      </c>
      <c r="H4" s="3" t="inlineStr">
        <is>
          <t>ACTIVE</t>
        </is>
      </c>
      <c r="I4" s="3" t="inlineStr">
        <is>
          <t>2026-10-10</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MK-NW-F-088 BENCH
3. MK-NW-F-087 CAT
4. MK-NW-F-080 HOLD
5. MK-CF-F-201 INCOME
6. MK-NW-F-027 accountClassBreakdown
7. MK-ST-F-027 accountId
8. MK-CF-F-138 addLot
9. MK-NW-F-113 altPartsOf
10. MK-CF-F-210 annualOfSource
11. MK-CF-F-111 applyTransaction
12. MK-ST-F-028 buildDayFromAccounts
13. MK-PF-F-006 capGains
14. MK-CF-F-118 cashEffect
… and 29 more — the full list is on functions_from_code</t>
        </is>
      </c>
      <c r="F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5" s="3" t="inlineStr">
        <is>
          <t>SWEPT FROM THE CODE 2026-08-26</t>
        </is>
      </c>
      <c r="H5" s="3" t="inlineStr">
        <is>
          <t>ACTIVE</t>
        </is>
      </c>
      <c r="I5" s="3" t="inlineStr">
        <is>
          <t>2026-10-18</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MK-NW-F-088 BENCH
2. MK-NW-F-080 HOLD
3. MK-NW-F-027 accountClassBreakdown
4. MK-ST-F-027 accountId
5. MK-NW-F-113 altPartsOf
6. MK-ST-F-028 buildDayFromAccounts
7. MK-PF-F-014 buildPerformance
8. MK-NW-F-084 categoryEarnings
9. MK-PF-F-029 closeAsOf
10. MK-PF-F-034 closeOnOrBefore
11. MK-CF-F-043 compareMortgageToTreasury
12. MK-PF-F-022 factorOverMonths
13. MK-ST-F-084 fillBetweenObservations
14. MK-NW-F-128 heldValueOf
… and 15 more — the full list is on functions_from_code</t>
        </is>
      </c>
      <c r="F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G6" s="3" t="inlineStr">
        <is>
          <t>SWEPT FROM THE CODE 2026-08-26</t>
        </is>
      </c>
      <c r="H6" s="3" t="inlineStr">
        <is>
          <t>ACTIVE</t>
        </is>
      </c>
      <c r="I6" s="3" t="inlineStr">
        <is>
          <t>2026-10-12</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pricesFetchedAt</t>
        </is>
      </c>
      <c r="E7" s="3" t="inlineStr">
        <is>
          <t>1. MK-XS-F-056 fetchEconomicData
2. MK-XS-F-082 priceFreshness
3. MK-XS-F-174 recomputeBalances
4. MK-XS-F-175 uid</t>
        </is>
      </c>
      <c r="F7" s="3" t="inlineStr">
        <is>
          <t>MK-HM-M-001 · MK-MN-M-016 · MK-NW-M-001 · MK-NW-M-002 · MK-NW-M-004 · MK-NW-M-005 · MK-NW-M-006 · MK-NW-M-007 · MK-NW-M-008 · MK-NW-M-009 · MK-NW-M-011 · MK-NW-M-015 · MK-NW-M-016 · MK-NW-M-017 · MK-NW-M-049 · MK-NW-M-063 · MK-XS-M-001 · MK-XS-M-003</t>
        </is>
      </c>
      <c r="G7" s="3" t="inlineStr">
        <is>
          <t>SWEPT FROM THE CODE 2026-08-26</t>
        </is>
      </c>
      <c r="H7" s="3" t="inlineStr">
        <is>
          <t>ACTIVE</t>
        </is>
      </c>
      <c r="I7" s="3" t="inlineStr">
        <is>
          <t>2026-10-13</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MK-NW-F-027 accountClassBreakdown
2. MK-ST-F-027 accountId
3. MK-CF-F-138 addLot
4. MK-PF-F-013 benchmarkTicker
5. MK-ST-F-028 buildDayFromAccounts
6. MK-PF-F-014 buildPerformance
7. MK-PF-F-006 capGains
8. MK-PF-F-002 costBasis
9. MK-PF-F-012 earliestPurchaseDate
10. MK-XS-F-145 flatSymbol
11. MK-XS-F-102 ingestSync
12. MK-NW-F-073 itemising
13. MK-XS-F-106 mapOptionHolding
14. MK-XS-F-105 mapPosition
… and 11 more — the full list is on functions_from_code</t>
        </is>
      </c>
      <c r="F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8" s="3" t="inlineStr">
        <is>
          <t>SWEPT FROM THE CODE 2026-08-26</t>
        </is>
      </c>
      <c r="H8" s="3" t="inlineStr">
        <is>
          <t>ACTIVE</t>
        </is>
      </c>
      <c r="I8" s="3" t="inlineStr">
        <is>
          <t>2026-10-12</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MK-ST-F-082 movementsOf
6. MK-CF-F-183 paidOutByAccount
7. MK-CF-F-109 reviewTransactions
8. MK-PL-F-009 rmdTakenThisYear
9. MK-NW-O-002 theAccount
10. MK-ST-F-072 undo</t>
        </is>
      </c>
      <c r="F9" s="3" t="inlineStr">
        <is>
          <t>MK-MN-M-016 · MK-NW-M-001 · MK-NW-M-002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MK-XS-M-001 · MK-XS-M-003 · MK-XS-M-004</t>
        </is>
      </c>
      <c r="G9" s="3" t="inlineStr">
        <is>
          <t>SWEPT FROM THE CODE 2026-08-26</t>
        </is>
      </c>
      <c r="H9" s="3" t="inlineStr">
        <is>
          <t>ACTIVE</t>
        </is>
      </c>
      <c r="I9" s="3" t="inlineStr">
        <is>
          <t>2026-10-11</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MK-PF-F-028 realizedFromLedger
4. MK-ST-F-073 rebuildDays
5. MK-ST-F-071 rebuildableFrom
6. MK-CF-F-109 reviewTransactions
7. MK-PL-F-009 rmdTakenThisYear
8. MK-NW-O-002 theAccount
9. MK-NW-O-006 theHolding
10. MK-NW-O-008 thePerformance
11. MK-XS-F-175 uid</t>
        </is>
      </c>
      <c r="F10" s="3" t="inlineStr">
        <is>
          <t>MK-MN-M-016 · MK-NW-M-001 · MK-NW-M-002 · MK-NW-M-004 · MK-NW-M-005 · MK-NW-M-006 · MK-NW-M-007 · MK-NW-M-008 · MK-NW-M-009 · MK-NW-M-011 · MK-NW-M-015 · MK-NW-M-016 · MK-NW-M-017 · MK-NW-M-019 · MK-NW-M-020 · MK-NW-M-021 · MK-NW-M-029 · MK-NW-M-030 · MK-NW-M-031 · MK-NW-M-032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G10" s="3" t="inlineStr">
        <is>
          <t>SWEPT FROM THE CODE 2026-08-26</t>
        </is>
      </c>
      <c r="H10" s="3" t="inlineStr">
        <is>
          <t>ACTIVE</t>
        </is>
      </c>
      <c r="I10" s="3" t="inlineStr">
        <is>
          <t>2026-10-05</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MK-XS-F-108 activityKey
2. MK-CF-F-110 flagComparisonText
3. MK-NW-F-123 holdingNameEvidence
4. MK-XS-F-015 importHoldings
5. MK-ST-F-014 importKey
6. MK-XS-F-102 ingestSync
7. MK-XS-F-105 mapPosition
8. MK-XS-F-097 ocrReceipt
9. MK-XS-F-058 parseReceipt
10. MK-ST-F-013 personalFlowTotals
11. MK-XS-F-174 recomputeBalances
12. MK-CF-F-109 reviewTransactions
13. MK-ST-F-012 toLedgerRow
14. MK-XS-F-175 uid</t>
        </is>
      </c>
      <c r="F11" s="3" t="inlineStr">
        <is>
          <t>MK-MN-M-016 · MK-NW-M-001 · MK-NW-M-002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G11" s="3" t="inlineStr">
        <is>
          <t>SWEPT FROM THE CODE 2026-08-26</t>
        </is>
      </c>
      <c r="H11" s="3" t="inlineStr">
        <is>
          <t>ACTIVE</t>
        </is>
      </c>
      <c r="I11" s="3" t="inlineStr">
        <is>
          <t>2026-10-09</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MK-NW-F-119 estimatedAccrued
9. MK-CF-F-184 incomeFromAccounts
10. MK-NW-F-071 isCertificateOfDeposit
11. MK-NW-F-069 priceAtYield
12. MK-NW-F-072 rowOf
13. MK-NW-O-001 theBonds
14. MK-NW-F-112 yearlyInterest</t>
        </is>
      </c>
      <c r="F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2" s="3" t="inlineStr">
        <is>
          <t>SWEPT FROM THE CODE 2026-08-26</t>
        </is>
      </c>
      <c r="H12" s="3" t="inlineStr">
        <is>
          <t>ACTIVE</t>
        </is>
      </c>
      <c r="I12" s="3" t="inlineStr">
        <is>
          <t>2026-10-09</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MK-NW-F-070 accruedInterestCaveat
3. MK-NW-F-057 annualCoupon
4. MK-NW-F-060 approxYTM
5. MK-NW-F-056 bondInfo
6. MK-NW-F-064 bondRateSensitivity
7. MK-NW-F-052 buildItemizedAccounts
8. MK-NW-F-084 categoryEarnings
9. MK-NW-F-119 estimatedAccrued
10. MK-NW-F-127 gainOfRow
11. MK-CF-F-184 incomeFromAccounts
12. MK-NW-F-063 interestIncomeAnnual
13. MK-NW-F-071 isCertificateOfDeposit
14. MK-NW-F-138 knownHoldingsReturn
… and 5 more — the full list is on functions_from_code</t>
        </is>
      </c>
      <c r="F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3" s="3" t="inlineStr">
        <is>
          <t>SWEPT FROM THE CODE 2026-08-26</t>
        </is>
      </c>
      <c r="H13" s="3" t="inlineStr">
        <is>
          <t>ACTIVE</t>
        </is>
      </c>
      <c r="I13" s="3" t="inlineStr">
        <is>
          <t>2026-10-13</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MK-NW-F-056 bondInfo
4. MK-NW-F-061 bondSummary
5. MK-NW-F-052 buildItemizedAccounts
6. MK-NW-F-120 classEvidenceOf
7. MK-ST-F-011 classifyHoldingClass
8. MK-NW-F-119 estimatedAccrued
9. MK-NW-F-071 isCertificateOfDeposit
10. MK-NW-F-125 isPastMaturity
11. MK-XS-F-107 mapActivityType
12. MK-NW-F-124 maturityParts
13. MK-ST-F-010 nameEvidence
14. MK-NW-F-069 priceAtYield
… and 4 more — the full list is on functions_from_code</t>
        </is>
      </c>
      <c r="F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14" s="3" t="inlineStr">
        <is>
          <t>SWEPT FROM THE CODE 2026-08-26</t>
        </is>
      </c>
      <c r="H14" s="3" t="inlineStr">
        <is>
          <t>ACTIVE</t>
        </is>
      </c>
      <c r="I14" s="3" t="inlineStr">
        <is>
          <t>2026-10-09</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MK-XS-F-002 dataGaps
4. MK-CF-F-157 debtPaymentsByDebt
5. MK-CF-F-038 debtsFromOnboarding
6. MK-NW-F-094 ledgerGroups
7. MK-CF-F-034 payoffPlan
8. MK-CF-O-018 theDebts
9. MK-NW-O-004 theEmergencyFund
10. MK-CF-O-010 theMonth
11. MK-NW-O-003 theNetWorth
12. MK-CF-F-027 totalDebtBalance
13. MK-PL-F-036 weighGoals</t>
        </is>
      </c>
      <c r="F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G15" s="3" t="inlineStr">
        <is>
          <t>SWEPT FROM THE CODE 2026-08-26</t>
        </is>
      </c>
      <c r="H15" s="3" t="inlineStr">
        <is>
          <t>ACTIVE</t>
        </is>
      </c>
      <c r="I15" s="3" t="inlineStr">
        <is>
          <t>2026-10-09</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MK-CF-O-018 theDebts
7. MK-NW-O-004 theEmergencyFund
8. MK-CF-O-010 theMonth</t>
        </is>
      </c>
      <c r="F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G16" s="3" t="inlineStr">
        <is>
          <t>SWEPT FROM THE CODE 2026-08-26</t>
        </is>
      </c>
      <c r="H16" s="3" t="inlineStr">
        <is>
          <t>ACTIVE</t>
        </is>
      </c>
      <c r="I16" s="3" t="inlineStr">
        <is>
          <t>2026-10-02</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MK-CF-O-018 theDebts
8. MK-NW-O-004 theEmergencyFund
9. MK-CF-O-010 theMonth</t>
        </is>
      </c>
      <c r="F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G17" s="3" t="inlineStr">
        <is>
          <t>SWEPT FROM THE CODE 2026-08-26</t>
        </is>
      </c>
      <c r="H17" s="3" t="inlineStr">
        <is>
          <t>ACTIVE</t>
        </is>
      </c>
      <c r="I17" s="3" t="inlineStr">
        <is>
          <t>2026-10-02</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MK-CF-O-017 futurePaycheck
8. MK-NW-F-041 monthlyContributionsFromOnboarding
9. MK-PL-F-027 nextDecision
10. MK-CF-F-089 over65CountOf
11. MK-PL-F-026 planDoor
12. MK-XS-F-026 profileFromOnboarding
13. MK-PL-F-006 rmdDivisor
14. MK-ST-F-024 rmdStartAge
… and 6 more — the full list is on functions_from_code</t>
        </is>
      </c>
      <c r="F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G18" s="3" t="inlineStr">
        <is>
          <t>SWEPT FROM THE CODE 2026-08-26</t>
        </is>
      </c>
      <c r="H18" s="3" t="inlineStr">
        <is>
          <t>ACTIVE</t>
        </is>
      </c>
      <c r="I18" s="3" t="inlineStr">
        <is>
          <t>2026-10-07</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MK-CF-O-017 futurePaycheck
5. MK-PL-F-043 howTheGapCloses
6. MK-PL-F-046 leverDeltas
7. MK-PL-F-030 onCourseSentence
8. MK-PL-F-044 planTarget
9. MK-XS-F-026 profileFromOnboarding
10. MK-PL-F-055 projectNestEgg
11. MK-XS-F-174 recomputeBalances
12. MK-PL-F-035 retireAgeWithContribution
13. MK-XS-F-019 retirementHorizonYears
14. MK-PL-F-049 retirementSpendMonthly
… and 10 more — the full list is on functions_from_code</t>
        </is>
      </c>
      <c r="F19" s="3" t="inlineStr">
        <is>
          <t>MK-CF-M-022 · MK-CF-M-055 · MK-CF-M-070 · MK-MN-M-016 · MK-NW-M-001 · MK-NW-M-002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2026-10-03</t>
        </is>
      </c>
      <c r="J19" s="3" t="inlineStr">
        <is>
          <t>reach generated from the code each build</t>
        </is>
      </c>
    </row>
    <row r="20" ht="60"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MK-CF-M-055 · MK-CF-M-070 · 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MK-CF-M-055 · MK-CF-M-070 · MK-MN-M-016 · MK-NW-M-001 · MK-NW-M-002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MK-CF-F-210 annualOfSource
2. MK-CF-F-072 currentRetirementIncomeMonthly
3. MK-CF-O-017 futurePaycheck
4. MK-CF-F-076 guaranteedOutsideStreams
5. MK-CF-O-016 incomeSources
6. MK-CF-O-004 incomeSummary
7. MK-CF-F-075 retirementIncomeMonthly
8. MK-PL-F-049 retirementSpendMonthly
9. MK-PL-F-031 taxOrganizer</t>
        </is>
      </c>
      <c r="F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23" s="3" t="inlineStr">
        <is>
          <t>SWEPT FROM THE CODE 2026-08-26</t>
        </is>
      </c>
      <c r="H23" s="3" t="inlineStr">
        <is>
          <t>ACTIVE</t>
        </is>
      </c>
      <c r="I23" s="3" t="inlineStr">
        <is>
          <t>2026-10-04</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MK-CF-F-201 INCOME
2. MK-CF-F-210 annualOfSource
3. MK-XS-F-004 buildDatedGrid
4. MK-CF-F-020 cashflowYear
5. MK-CF-F-172 hasWage
6. MK-CF-F-079 incomeFromOnboarding
7. MK-CF-F-092 incomeMonthlyGrid
8. MK-CF-O-016 incomeSources
9. MK-CF-O-004 incomeSummary
10. MK-CF-F-181 rateInForce
11. MK-CF-F-082 salaryAnnual
12. MK-CF-F-165 salaryMonths
13. MK-PL-F-031 taxOrganizer
14. MK-CF-F-084 taxableAnnual
… and 5 more — the full list is on functions_from_code</t>
        </is>
      </c>
      <c r="F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24" s="3" t="inlineStr">
        <is>
          <t>SWEPT FROM THE CODE 2026-08-26</t>
        </is>
      </c>
      <c r="H24" s="3" t="inlineStr">
        <is>
          <t>ACTIVE</t>
        </is>
      </c>
      <c r="I24" s="3" t="inlineStr">
        <is>
          <t>2026-10-04</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MK-NW-F-079 EF
3. MK-NW-F-080 HOLD
4. MK-CF-F-201 INCOME
5. MK-NW-F-085 PERF_ONE
6. MK-NW-F-101 PLAN
7. MK-NW-F-100 TREND
8. MK-CF-F-005 actualMonthFlow
9. MK-CF-F-151 actualSpending
10. MK-XS-F-057 analyzeExpenses
11. MK-CF-F-014 budgetVsActual
12. MK-XS-F-004 buildDatedGrid
13. MK-CF-F-107 buildPaycheckYear
14. MK-NW-F-084 categoryEarnings
… and 43 more — the full list is on functions_from_code</t>
        </is>
      </c>
      <c r="F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MK-NW-M-004 · MK-NW-M-005 · MK-NW-M-006 · MK-NW-M-007 · MK-NW-M-008 · MK-NW-M-009 · MK-NW-M-011 · MK-NW-M-012 · MK-NW-M-013 · MK-NW-M-014 · MK-NW-M-015 · MK-NW-M-016 · MK-NW-M-017 · MK-NW-M-019 · MK-NW-M-020 · MK-NW-M-021 · MK-NW-M-029 · MK-NW-M-030 · MK-NW-M-031 · MK-NW-M-032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G25" s="3" t="inlineStr">
        <is>
          <t>SWEPT FROM THE CODE 2026-08-26</t>
        </is>
      </c>
      <c r="H25" s="3" t="inlineStr">
        <is>
          <t>ACTIVE</t>
        </is>
      </c>
      <c r="I25" s="3" t="inlineStr">
        <is>
          <t>2026-10-18</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MK-MN-M-016 · MK-MN-M-024 · MK-MN-M-025 · MK-NW-M-001 · MK-NW-M-002 · MK-NW-M-004 · MK-NW-M-005 · MK-NW-M-006 · MK-NW-M-007 · MK-NW-M-008 · MK-NW-M-009 · MK-NW-M-011 · MK-NW-M-015 · MK-NW-M-016 · MK-NW-M-017 · MK-NW-M-046 · MK-NW-M-047 · MK-NW-M-048 · MK-NW-M-049 · MK-NW-M-063 · MK-NW-M-064 · MK-XS-M-001 · MK-XS-M-003</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MK-CF-O-017 futurePaycheck
3. MK-XS-F-174 recomputeBalances
4. MK-XS-F-175 uid
5. MK-PL-F-065 volOf
6. MK-PL-F-067 willItLastInputs</t>
        </is>
      </c>
      <c r="F27" s="3" t="inlineStr">
        <is>
          <t>MK-CF-M-022 · MK-CF-M-055 · MK-CF-M-070 · MK-MN-M-016 · MK-NW-M-001 · MK-NW-M-002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2026-10-03</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MK-CF-F-204 line
8. MK-HM-F-006 money0
9. MK-PL-F-021 monthsToGoal
10. MK-PL-F-018 monthsUntil
11. MK-XS-F-001 planCompleteness
12. MK-XS-F-174 recomputeBalances
13. MK-PL-F-020 requiredMonthly
14. MK-PL-F-017 sinkingFund
… and 2 more — the full list is on functions_from_code</t>
        </is>
      </c>
      <c r="F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28" s="3" t="inlineStr">
        <is>
          <t>SWEPT FROM THE CODE 2026-08-26</t>
        </is>
      </c>
      <c r="H28" s="3" t="inlineStr">
        <is>
          <t>ACTIVE</t>
        </is>
      </c>
      <c r="I28" s="3" t="inlineStr">
        <is>
          <t>2026-10-02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MK-CF-O-017 futurePaycheck
9. MK-XS-F-102 ingestSync
10. MK-NW-F-073 itemising
11. MK-NW-F-094 ledgerGroups
12. MK-NW-F-132 notClassifiedWords
13. MK-PL-F-055 projectNestEgg
14. MK-PL-F-049 retirementSpendMonthly
… and 5 more — the full list is on functions_from_code</t>
        </is>
      </c>
      <c r="F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9" s="3" t="inlineStr">
        <is>
          <t>SWEPT FROM THE CODE 2026-08-26</t>
        </is>
      </c>
      <c r="H29" s="3" t="inlineStr">
        <is>
          <t>ACTIVE</t>
        </is>
      </c>
      <c r="I29" s="3" t="inlineStr">
        <is>
          <t>2026-10-10</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MK-CF-O-017 futurePaycheck
9. MK-PL-F-055 projectNestEgg
10. MK-XS-F-174 recomputeBalances
11. MK-PL-F-049 retirementSpendMonthly
12. MK-PL-F-050 simulate
13. MK-CF-F-106 solveSafeDraw
14. MK-XS-F-175 uid
… and 3 more — the full list is on functions_from_code</t>
        </is>
      </c>
      <c r="F30" s="3" t="inlineStr">
        <is>
          <t>MK-CF-M-022 · MK-CF-M-055 · MK-CF-M-070 · MK-MN-M-016 · MK-NW-M-001 · MK-NW-M-002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2026-10-03</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10 more — the full list is on functions_from_code</t>
        </is>
      </c>
      <c r="F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31" s="3" t="inlineStr">
        <is>
          <t>SWEPT FROM THE CODE 2026-08-26</t>
        </is>
      </c>
      <c r="H31" s="3" t="inlineStr">
        <is>
          <t>ACTIVE</t>
        </is>
      </c>
      <c r="I31" s="3" t="inlineStr">
        <is>
          <t>2026-10-04</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MK-ST-F-083 accountValuesOn
2. MK-ST-F-028 buildDayFromAccounts
3. MK-ST-F-035 covers
4. MK-ST-F-084 fillBetweenObservations
5. MK-ST-F-037 pendingUpload
6. MK-ST-F-029 prune
7. MK-XS-F-009 readHistory
8. MK-ST-F-073 rebuildDays
9. MK-XS-F-174 recomputeBalances
10. MK-ST-F-036 reconcile
11. MK-ST-F-030 record
12. MK-XS-F-005 trendPoints
13. MK-XS-F-175 uid
14. MK-ST-F-072 undo
… and 2 more — the full list is on functions_from_code</t>
        </is>
      </c>
      <c r="F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G32" s="3" t="inlineStr">
        <is>
          <t>SWEPT FROM THE CODE 2026-08-26</t>
        </is>
      </c>
      <c r="H32" s="3" t="inlineStr">
        <is>
          <t>ACTIVE</t>
        </is>
      </c>
      <c r="I32" s="3" t="inlineStr">
        <is>
          <t>2026-10-04</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MK-CF-O-020 theBudgetCounted
9. MK-NW-O-004 theEmergencyFund
10. MK-CF-F-019 upcomingBills
11. MK-CF-O-008 whatsComing</t>
        </is>
      </c>
      <c r="F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33" s="3" t="inlineStr">
        <is>
          <t>SWEPT FROM THE CODE 2026-08-26</t>
        </is>
      </c>
      <c r="H33" s="3" t="inlineStr">
        <is>
          <t>ACTIVE</t>
        </is>
      </c>
      <c r="I33" s="3" t="inlineStr">
        <is>
          <t>2026-10-05</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MK-NW-F-113 altPartsOf
3. MK-NW-F-028 classPortionLabel
4. MK-CF-F-062 equityRowValue
5. MK-XS-F-102 ingestSync
6. MK-XS-F-106 mapOptionHolding
7. MK-XS-F-146 prettyExpiry
8. MK-PF-F-032 quantityUnit</t>
        </is>
      </c>
      <c r="F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G35" s="3" t="inlineStr">
        <is>
          <t>SWEPT FROM THE CODE 2026-08-26</t>
        </is>
      </c>
      <c r="H35" s="3" t="inlineStr">
        <is>
          <t>ACTIVE</t>
        </is>
      </c>
      <c r="I35" s="3" t="inlineStr">
        <is>
          <t>2026-10-07</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MK-CF-F-210 annualOfSource
2. MK-NW-F-035 blendedVolatility
3. MK-CF-F-072 currentRetirementIncomeMonthly
4. MK-CF-O-017 futurePaycheck
5. MK-CF-F-076 guaranteedOutsideStreams
6. MK-CF-F-075 retirementIncomeMonthly
7. MK-PL-F-049 retirementSpendMonthly</t>
        </is>
      </c>
      <c r="F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36" s="3" t="inlineStr">
        <is>
          <t>SWEPT FROM THE CODE 2026-08-26</t>
        </is>
      </c>
      <c r="H36" s="3" t="inlineStr">
        <is>
          <t>ACTIVE</t>
        </is>
      </c>
      <c r="I36" s="3" t="inlineStr">
        <is>
          <t>2026-10-03</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MK-CF-F-201 INCOME
2. MK-CF-F-044 annualNet
3. MK-CF-F-059 annualizedEnteredSalary
4. MK-XS-F-004 buildDatedGrid
5. MK-CF-F-020 cashflowYear
6. MK-CF-F-186 convertTakeHomeMode
7. MK-CF-F-072 currentRetirementIncomeMonthly
8. MK-CF-F-046 employerMatchAnnual
9. MK-CF-F-130 enteredMonthlyRaw
10. MK-CF-F-179 entryFromWage
11. MK-CF-F-071 extraIncome
12. MK-CF-F-076 guaranteedOutsideStreams
13. MK-CF-F-105 guaranteedRows
14. MK-CF-F-079 incomeFromOnboarding
… and 10 more — the full list is on functions_from_code</t>
        </is>
      </c>
      <c r="F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0" s="3" t="inlineStr">
        <is>
          <t>SWEPT FROM THE CODE 2026-08-26</t>
        </is>
      </c>
      <c r="H40" s="3" t="inlineStr">
        <is>
          <t>ACTIVE</t>
        </is>
      </c>
      <c r="I40" s="3" t="inlineStr">
        <is>
          <t>2026-10-04</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MK-CF-F-207 SOURCE
2. MK-CF-F-072 currentRetirementIncomeMonthly
3. MK-CF-O-017 futurePaycheck
4. MK-CF-F-105 guaranteedRows
5. MK-CF-O-016 incomeSources
6. MK-CF-F-019 upcomingBills</t>
        </is>
      </c>
      <c r="F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1" s="3" t="inlineStr">
        <is>
          <t>SWEPT FROM THE CODE 2026-08-26</t>
        </is>
      </c>
      <c r="H41" s="3" t="inlineStr">
        <is>
          <t>ACTIVE</t>
        </is>
      </c>
      <c r="I41" s="3" t="inlineStr">
        <is>
          <t>2026-10-03</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MK-NW-O-004 theEmergencyFund
13. MK-CF-O-010 theMonth</t>
        </is>
      </c>
      <c r="F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G43" s="3" t="inlineStr">
        <is>
          <t>SWEPT FROM THE CODE 2026-08-26</t>
        </is>
      </c>
      <c r="H43" s="3" t="inlineStr">
        <is>
          <t>ACTIVE</t>
        </is>
      </c>
      <c r="I43" s="3" t="inlineStr">
        <is>
          <t>2026-10-05</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MK-CF-F-092 incomeMonthlyGrid
9. MK-NW-F-041 monthlyContributionsFromOnboarding
10. MK-PL-F-044 planTarget
11. MK-PL-F-055 projectNestEgg
12. MK-CF-F-181 rateInForce
13. MK-PL-F-041 requiredAnnualSaving
14. MK-PL-F-035 retireAgeWithContribution
… and 12 more — the full list is on functions_from_code</t>
        </is>
      </c>
      <c r="F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44" s="3" t="inlineStr">
        <is>
          <t>SWEPT FROM THE CODE 2026-08-26</t>
        </is>
      </c>
      <c r="H44" s="3" t="inlineStr">
        <is>
          <t>ACTIVE</t>
        </is>
      </c>
      <c r="I44" s="3" t="inlineStr">
        <is>
          <t>2026-10-04</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MK-CF-O-017 futurePaycheck
3. MK-XS-F-174 recomputeBalances
4. MK-PL-F-049 retirementSpendMonthly
5. MK-PL-F-068 selectWillItLast
6. MK-XS-F-175 uid
7. MK-PL-F-065 volOf
8. MK-PL-F-067 willItLastInputs</t>
        </is>
      </c>
      <c r="F45" s="3" t="inlineStr">
        <is>
          <t>MK-CF-M-055 · MK-CF-M-070 · MK-MN-M-016 · MK-NW-M-001 · MK-NW-M-002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2026-10-03</t>
        </is>
      </c>
      <c r="J45" s="3" t="inlineStr">
        <is>
          <t>reach generated from the code each build</t>
        </is>
      </c>
    </row>
    <row r="46" ht="60"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MK-CF-M-055 · MK-CF-M-070 · 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60"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1. MK-NW-F-041 monthlyContributionsFromOnboarding
2. MK-CF-F-178 wageMatchMonthly</t>
        </is>
      </c>
      <c r="F47" s="3" t="inlineStr">
        <is>
          <t>MK-CF-M-055 · MK-CF-M-070 · MK-MN-M-014 · MK-PL-M-008 · MK-PL-M-011 · MK-PL-M-029 · MK-PL-M-034 · MK-XS-M-002</t>
        </is>
      </c>
      <c r="G47" s="3" t="inlineStr">
        <is>
          <t>SWEPT FROM THE CODE 2026-08-26</t>
        </is>
      </c>
      <c r="H47" s="3" t="inlineStr">
        <is>
          <t>ACTIVE</t>
        </is>
      </c>
      <c r="I47" s="3" t="inlineStr">
        <is>
          <t>2026-10-07</t>
        </is>
      </c>
      <c r="J47" s="3" t="inlineStr">
        <is>
          <t>reach generated from the code each build</t>
        </is>
      </c>
    </row>
    <row r="48" ht="60"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MK-CF-M-055 · MK-CF-M-070 · 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MK-ST-F-027 accountId
10. MK-NW-F-011 assetClassOf
11. MK-NW-F-040 assetsFromOnboarding
12. MK-PF-F-013 benchmarkTicker
13. MK-ST-F-028 buildDayFromAccounts
14. MK-NW-F-052 buildItemizedAccounts
… and 21 more — the full list is on functions_from_code</t>
        </is>
      </c>
      <c r="F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49" s="3" t="inlineStr">
        <is>
          <t>SWEPT FROM THE CODE 2026-08-26</t>
        </is>
      </c>
      <c r="H49" s="3" t="inlineStr">
        <is>
          <t>ACTIVE</t>
        </is>
      </c>
      <c r="I49" s="3" t="inlineStr">
        <is>
          <t>2026-10-13</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MK-NW-F-057 annualCoupon
3. MK-NW-F-060 approxYTM
4. MK-NW-F-056 bondInfo
5. MK-NW-F-064 bondRateSensitivity
6. MK-NW-F-061 bondSummary
7. MK-NW-F-059 currentYield
8. MK-NW-F-119 estimatedAccrued
9. MK-NW-F-069 priceAtYield
10. MK-NW-F-131 pricedLikeBond
11. MK-NW-F-072 rowOf
12. MK-NW-O-001 theBonds
13. MK-NW-F-112 yearlyInterest
14. MK-NW-F-126 yearlyInterestNow</t>
        </is>
      </c>
      <c r="F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50" s="3" t="inlineStr">
        <is>
          <t>SWEPT FROM THE CODE 2026-08-26</t>
        </is>
      </c>
      <c r="H50" s="3" t="inlineStr">
        <is>
          <t>ACTIVE</t>
        </is>
      </c>
      <c r="I50" s="3" t="inlineStr">
        <is>
          <t>2026-10-12</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1. MK-NW-F-052 buildItemizedAccounts
2. MK-NW-F-135 earmarkLeavesOut
3. MK-NW-F-032 earmarkedAmount
4. MK-CF-O-017 futurePaycheck</t>
        </is>
      </c>
      <c r="F51" s="3" t="inlineStr">
        <is>
          <t>MK-CF-M-022 · MK-CF-M-055 · MK-CF-M-070 · MK-NW-M-050 · MK-NW-M-051 · MK-NW-M-052 · MK-PL-M-001 · MK-PL-M-002 · MK-PL-M-008 · MK-PL-M-009 · MK-PL-M-011 · MK-PL-M-029 · MK-PL-M-034 · MK-XS-M-002</t>
        </is>
      </c>
      <c r="G51" s="3" t="inlineStr">
        <is>
          <t>SWEPT FROM THE CODE 2026-08-26</t>
        </is>
      </c>
      <c r="H51" s="3" t="inlineStr">
        <is>
          <t>ACTIVE</t>
        </is>
      </c>
      <c r="I51" s="3" t="inlineStr">
        <is>
          <t>2026-10-10</t>
        </is>
      </c>
      <c r="J51" s="3" t="inlineStr">
        <is>
          <t>reach generated from the code each build</t>
        </is>
      </c>
    </row>
    <row r="52" ht="60"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MK-CF-M-055 · MK-CF-M-070 · 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53" s="3" t="inlineStr">
        <is>
          <t>SWEPT FROM THE CODE 2026-08-26</t>
        </is>
      </c>
      <c r="H53" s="3" t="inlineStr">
        <is>
          <t>ACTIVE</t>
        </is>
      </c>
      <c r="I53" s="3" t="inlineStr">
        <is>
          <t>2026-09-30</t>
        </is>
      </c>
      <c r="J53" s="3" t="inlineStr">
        <is>
          <t>reach generated from the code each build</t>
        </is>
      </c>
    </row>
    <row r="54" ht="6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MK-CF-M-055 · MK-CF-M-057 · MK-CF-M-058 · MK-CF-M-059 · MK-CF-M-070 · MK-CF-M-071 · MK-CF-M-072 · MK-CF-M-073 · MK-CF-M-074 · MK-CF-M-075 · MK-PL-M-031</t>
        </is>
      </c>
      <c r="G54" s="3" t="inlineStr">
        <is>
          <t>SWEPT FROM THE CODE 2026-08-26</t>
        </is>
      </c>
      <c r="H54" s="3" t="inlineStr">
        <is>
          <t>ACTIVE</t>
        </is>
      </c>
      <c r="I54" s="3" t="inlineStr">
        <is>
          <t>2026-08-27</t>
        </is>
      </c>
      <c r="J54" s="3" t="inlineStr">
        <is>
          <t>reach generated from the code each build</t>
        </is>
      </c>
    </row>
    <row r="55" ht="6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MK-CF-M-055 · MK-CF-M-057 · MK-CF-M-058 · MK-CF-M-059 · MK-CF-M-070 · MK-CF-M-071 · MK-CF-M-072 · MK-CF-M-073 · MK-CF-M-074 · MK-CF-M-075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MK-NW-F-082 NW
5. MK-NW-F-101 PLAN
6. MK-CF-F-207 SOURCE
7. MK-CF-F-202 TAX
8. MK-NW-F-005 accountAllowsTicker
9. MK-NW-F-025 accountDisplayName
10. MK-CF-F-005 actualMonthFlow
11. MK-CF-F-138 addLot
12. MK-NW-F-113 altPartsOf
13. MK-NW-F-002 alternativesSummary
14. MK-CF-F-210 annualOfSource
… and 60 more — the full list is on functions_from_code</t>
        </is>
      </c>
      <c r="F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2026-10-19</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MK-PF-F-013 benchmarkTicker
2. MK-NW-F-053 correctClassOf
3. MK-NW-F-109 holdingClassOf
4. MK-XS-F-102 ingestSync
5. MK-NW-F-054 reclassifyAccounts
6. MK-NW-O-003 theNetWorth
7. MK-XS-F-175 uid</t>
        </is>
      </c>
      <c r="F57" s="3" t="inlineStr">
        <is>
          <t>MK-MN-M-016 · MK-NW-M-001 · MK-NW-M-002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G57" s="3" t="inlineStr">
        <is>
          <t>SWEPT FROM THE CODE 2026-08-26</t>
        </is>
      </c>
      <c r="H57" s="3" t="inlineStr">
        <is>
          <t>ACTIVE</t>
        </is>
      </c>
      <c r="I57" s="3" t="inlineStr">
        <is>
          <t>2026-10-11</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MK-CF-F-201 INCOME
2. MK-XS-F-004 buildDatedGrid
3. MK-CF-F-020 cashflowYear
4. MK-CF-F-079 incomeFromOnboarding
5. MK-CF-F-092 incomeMonthlyGrid
6. MK-CF-O-016 incomeSources
7. MK-CF-O-004 incomeSummary
8. MK-CF-F-088 taxableByCalendarMonth
9. MK-CF-O-019 theIncomeManager</t>
        </is>
      </c>
      <c r="F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60" s="3" t="inlineStr">
        <is>
          <t>SWEPT FROM THE CODE 2026-08-26</t>
        </is>
      </c>
      <c r="H60" s="3" t="inlineStr">
        <is>
          <t>ACTIVE</t>
        </is>
      </c>
      <c r="I60" s="3" t="inlineStr">
        <is>
          <t>2026-10-04</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MK-PF-F-006 capGains
2. MK-PF-F-031 contractMultiplier
3. MK-PF-F-002 costBasis
4. MK-NW-F-128 heldValueOf
5. MK-XS-F-102 ingestSync
6. MK-XS-F-106 mapOptionHolding
7. MK-PF-F-004 marketValue
8. MK-XS-F-146 prettyExpiry
9. MK-NW-F-091 pricedGainOf
10. MK-PF-F-028 realizedFromLedger
11. MK-NW-O-006 theHolding</t>
        </is>
      </c>
      <c r="F64" s="3" t="inlineStr">
        <is>
          <t>MK-MN-M-016 · MK-NW-M-001 · MK-NW-M-002 · MK-NW-M-004 · MK-NW-M-005 · MK-NW-M-006 · MK-NW-M-007 · MK-NW-M-008 · MK-NW-M-009 · MK-NW-M-011 · MK-NW-M-015 · MK-NW-M-016 · MK-NW-M-017 · MK-NW-M-029 · MK-NW-M-030 · MK-NW-M-031 · MK-NW-M-032 · MK-NW-M-033 · MK-NW-M-034 · MK-NW-M-035 · MK-NW-M-036 · MK-NW-M-037 · MK-NW-M-049 · MK-NW-M-059 · MK-NW-M-060 · MK-NW-M-061 · MK-NW-M-063 · MK-PF-M-002 · MK-PF-M-003 · MK-PF-M-005 · MK-PF-M-006 · MK-PF-M-007 · MK-PF-M-008 · MK-PF-M-013 · MK-PF-M-014 · MK-PF-M-015 · MK-PF-M-016 · MK-PF-M-017 · MK-PF-M-018 · MK-PF-M-019 · MK-PF-M-020 · MK-XS-M-001 · MK-XS-M-003 · MK-XS-M-004</t>
        </is>
      </c>
      <c r="G64" s="3" t="inlineStr">
        <is>
          <t>SWEPT FROM THE CODE 2026-08-26</t>
        </is>
      </c>
      <c r="H64" s="3" t="inlineStr">
        <is>
          <t>ACTIVE</t>
        </is>
      </c>
      <c r="I64" s="3" t="inlineStr">
        <is>
          <t>2026-10-12</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MK-CF-F-211 DEBTS
5. MK-NW-F-079 EF
6. MK-NW-F-080 HOLD
7. MK-NW-F-081 LB
8. MK-CF-F-200 LINE
9. MK-NW-F-078 ONE
10. MK-CF-O-013 PAY_LANDS_TYPED
11. MK-NW-F-101 PLAN
12. MK-CF-F-199 ROOM
13. MK-CF-F-202 TAX
14. MK-CF-F-210 annualOfSource
… and 17 more — the full list is on functions_from_code</t>
        </is>
      </c>
      <c r="F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MK-NW-M-004 · MK-NW-M-005 · MK-NW-M-006 · MK-NW-M-007 · MK-NW-M-008 · MK-NW-M-009 · MK-NW-M-011 · MK-NW-M-012 · MK-NW-M-015 · MK-NW-M-016 · MK-NW-M-017 · MK-NW-M-029 · MK-NW-M-030 · MK-NW-M-031 · MK-NW-M-032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MK-XS-M-001 · MK-XS-M-003 · MK-XS-M-004 · MK-XS-M-005 · MK-XS-M-006</t>
        </is>
      </c>
      <c r="G65" s="3" t="inlineStr">
        <is>
          <t>SWEPT FROM THE CODE 2026-08-26</t>
        </is>
      </c>
      <c r="H65" s="3" t="inlineStr">
        <is>
          <t>ACTIVE</t>
        </is>
      </c>
      <c r="I65" s="3" t="inlineStr">
        <is>
          <t>2026-10-12</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MK-NW-F-060 approxYTM
3. MK-NW-F-056 bondInfo
4. MK-NW-F-072 rowOf</t>
        </is>
      </c>
      <c r="F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66" s="3" t="inlineStr">
        <is>
          <t>SWEPT FROM THE CODE 2026-08-26</t>
        </is>
      </c>
      <c r="H66" s="3" t="inlineStr">
        <is>
          <t>ACTIVE</t>
        </is>
      </c>
      <c r="I66" s="3" t="inlineStr">
        <is>
          <t>2026-10-09</t>
        </is>
      </c>
      <c r="J66" s="6" t="inlineStr">
        <is>
          <t>TESTED, NOT VERIFIED (A47) · reach generated from the code each build</t>
        </is>
      </c>
    </row>
    <row r="67" ht="60" customHeight="1">
      <c r="A67" s="3" t="inlineStr">
        <is>
          <t>MK-XS-I-066</t>
        </is>
      </c>
      <c r="B67" s="3" t="inlineStr">
        <is>
          <t>last successful update of a linked or imported account</t>
        </is>
      </c>
      <c r="C67" s="3" t="inlineStr">
        <is>
          <t>set by the connection on each successful sync, or when a file is imported</t>
        </is>
      </c>
      <c r="D67" s="3" t="inlineStr">
        <is>
          <t>last_synced</t>
        </is>
      </c>
      <c r="E67" s="3" t="inlineStr">
        <is>
          <t>1. MK-XS-F-002 dataGaps
2. MK-XS-F-102 ingestSync
3. MK-NW-F-045 sourceWording
4. MK-XS-F-175 uid</t>
        </is>
      </c>
      <c r="F67" s="3" t="inlineStr">
        <is>
          <t>MK-MN-M-016 · MK-NW-M-001 · MK-NW-M-002 · MK-NW-M-004 · MK-NW-M-005 · MK-NW-M-006 · MK-NW-M-007 · MK-NW-M-008 · MK-NW-M-009 · MK-NW-M-011 · MK-NW-M-015 · MK-NW-M-016 · MK-NW-M-017 · MK-NW-M-049 · MK-NW-M-063 · MK-XS-M-001 · MK-XS-M-003</t>
        </is>
      </c>
      <c r="G67" s="3" t="inlineStr">
        <is>
          <t>SWEPT FROM THE CODE 2026-08-26</t>
        </is>
      </c>
      <c r="H67" s="3" t="inlineStr">
        <is>
          <t>ACTIVE</t>
        </is>
      </c>
      <c r="I67" s="3" t="inlineStr">
        <is>
          <t>2026-10-13</t>
        </is>
      </c>
      <c r="J67" s="3" t="inlineStr">
        <is>
          <t>reach generated from the code each build</t>
        </is>
      </c>
    </row>
  </sheetData>
  <autoFilter ref="A1:J67"/>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30" customHeight="1">
      <c r="A3" s="3" t="inlineStr">
        <is>
          <t>/add-account</t>
        </is>
      </c>
      <c r="B3" s="3" t="inlineStr">
        <is>
          <t>Cashflow · Home · Networth · Performance · Plan</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/income-detail</t>
        </is>
      </c>
      <c r="B21" s="3" t="inlineStr">
        <is>
          <t>Menu</t>
        </is>
      </c>
      <c r="C21" s="3" t="inlineStr">
        <is>
          <t>Yes</t>
        </is>
      </c>
      <c r="D21" s="3" t="inlineStr"/>
    </row>
    <row r="22" ht="15" customHeight="1">
      <c r="A22" s="3" t="inlineStr">
        <is>
          <t>/income-manager</t>
        </is>
      </c>
      <c r="B22" s="3" t="inlineStr">
        <is>
          <t>Cashflow · Home · Networth</t>
        </is>
      </c>
      <c r="C22" s="3" t="inlineStr">
        <is>
          <t>Yes</t>
        </is>
      </c>
      <c r="D22" s="3" t="inlineStr"/>
    </row>
    <row r="23" ht="15" customHeight="1">
      <c r="A23" s="3" t="inlineStr">
        <is>
          <t>/insights</t>
        </is>
      </c>
      <c r="B23" s="3" t="inlineStr">
        <is>
          <t>Menu</t>
        </is>
      </c>
      <c r="C23" s="3" t="inlineStr">
        <is>
          <t>Yes — what needs you today</t>
        </is>
      </c>
      <c r="D23" s="3" t="inlineStr"/>
    </row>
    <row r="24" ht="15" customHeight="1">
      <c r="A24" s="3" t="inlineStr">
        <is>
          <t>/insurance</t>
        </is>
      </c>
      <c r="B24" s="3" t="inlineStr">
        <is>
          <t>Menu</t>
        </is>
      </c>
      <c r="C24" s="3" t="inlineStr">
        <is>
          <t>Borderline — matters at 55, less at 70</t>
        </is>
      </c>
      <c r="D24" s="3" t="inlineStr"/>
    </row>
    <row r="25" ht="15" customHeight="1">
      <c r="A25" s="3" t="inlineStr">
        <is>
          <t>/invest</t>
        </is>
      </c>
      <c r="B25" s="3" t="inlineStr">
        <is>
          <t>Performance</t>
        </is>
      </c>
      <c r="C25" s="3" t="inlineStr">
        <is>
          <t>Yes — Performance</t>
        </is>
      </c>
      <c r="D25" s="3" t="inlineStr"/>
    </row>
    <row r="26" ht="30" customHeight="1">
      <c r="A26" s="3" t="inlineStr">
        <is>
          <t>/itemize</t>
        </is>
      </c>
      <c r="B26" s="3" t="inlineStr">
        <is>
          <t>Cashflow · Home · Networth · Performance · Plan</t>
        </is>
      </c>
      <c r="C26" s="3" t="inlineStr">
        <is>
          <t>Yes — splitting one lump into holdings</t>
        </is>
      </c>
      <c r="D26" s="3" t="inlineStr"/>
    </row>
    <row r="27" ht="15" customHeight="1">
      <c r="A27" s="3" t="inlineStr">
        <is>
          <t>/jobsafety</t>
        </is>
      </c>
      <c r="B27" s="3" t="inlineStr">
        <is>
          <t>Menu</t>
        </is>
      </c>
      <c r="C27" s="3" t="inlineStr">
        <is>
          <t>No — a working-age worry</t>
        </is>
      </c>
      <c r="D27" s="3" t="inlineStr"/>
    </row>
    <row r="28" ht="30" customHeight="1">
      <c r="A28" s="3" t="inlineStr">
        <is>
          <t>/look-back</t>
        </is>
      </c>
      <c r="B28" s="3" t="inlineStr">
        <is>
          <t>Cashflow · Home · Networth · Performance · Plan</t>
        </is>
      </c>
      <c r="C28" s="3" t="inlineStr">
        <is>
          <t>Borderline — interesting, not needed to trust a number</t>
        </is>
      </c>
      <c r="D28" s="3" t="inlineStr"/>
    </row>
    <row r="29" ht="30" customHeight="1">
      <c r="A29" s="3" t="inlineStr">
        <is>
          <t>/monthly-income</t>
        </is>
      </c>
      <c r="B29" s="3" t="inlineStr">
        <is>
          <t>Cashflow · Home · Networth · Plan</t>
        </is>
      </c>
      <c r="C29" s="3" t="inlineStr">
        <is>
          <t>Yes</t>
        </is>
      </c>
      <c r="D29" s="3" t="inlineStr"/>
    </row>
    <row r="30" ht="15" customHeight="1">
      <c r="A30" s="3" t="inlineStr">
        <is>
          <t>/multi-goal</t>
        </is>
      </c>
      <c r="B30" s="3" t="inlineStr">
        <is>
          <t>Plan</t>
        </is>
      </c>
      <c r="C30" s="3" t="inlineStr">
        <is>
          <t>Yes</t>
        </is>
      </c>
      <c r="D30" s="3" t="inlineStr"/>
    </row>
    <row r="31" ht="15" customHeight="1">
      <c r="A31" s="3" t="inlineStr">
        <is>
          <t>/onboarding</t>
        </is>
      </c>
      <c r="B31" s="3" t="inlineStr">
        <is>
          <t>Cashflow · Home</t>
        </is>
      </c>
      <c r="C31" s="3" t="inlineStr">
        <is>
          <t>Yes</t>
        </is>
      </c>
      <c r="D31" s="3" t="inlineStr"/>
    </row>
    <row r="32" ht="15" customHeight="1">
      <c r="A32" s="3" t="inlineStr">
        <is>
          <t>/other-investments</t>
        </is>
      </c>
      <c r="B32" s="3" t="inlineStr">
        <is>
          <t>Menu</t>
        </is>
      </c>
      <c r="C32" s="3" t="inlineStr">
        <is>
          <t>Yes — the things with no market price</t>
        </is>
      </c>
      <c r="D32" s="3" t="inlineStr"/>
    </row>
    <row r="33" ht="30" customHeight="1">
      <c r="A33" s="3" t="inlineStr">
        <is>
          <t>/performance</t>
        </is>
      </c>
      <c r="B33" s="3" t="inlineStr">
        <is>
          <t>Cashflow · Home · Networth · Plan</t>
        </is>
      </c>
      <c r="C33" s="3" t="inlineStr">
        <is>
          <t>Yes — a second route to Performance</t>
        </is>
      </c>
      <c r="D33" s="3" t="inlineStr"/>
    </row>
    <row r="34" ht="15" customHeight="1">
      <c r="A34" s="3" t="inlineStr">
        <is>
          <t>/plan</t>
        </is>
      </c>
      <c r="B34" s="3" t="inlineStr">
        <is>
          <t>Plan</t>
        </is>
      </c>
      <c r="C34" s="3" t="inlineStr">
        <is>
          <t>Yes — Plan</t>
        </is>
      </c>
      <c r="D34" s="3" t="inlineStr"/>
    </row>
    <row r="35" ht="15" customHeight="1">
      <c r="A35" s="3" t="inlineStr">
        <is>
          <t>/required-withdrawals</t>
        </is>
      </c>
      <c r="B35" s="3" t="inlineStr">
        <is>
          <t>Plan</t>
        </is>
      </c>
      <c r="C35" s="3" t="inlineStr">
        <is>
          <t>Yes — a 73+ obligation</t>
        </is>
      </c>
      <c r="D35" s="3" t="inlineStr"/>
    </row>
    <row r="36" ht="30" customHeight="1">
      <c r="A36" s="3" t="inlineStr">
        <is>
          <t>/retirement</t>
        </is>
      </c>
      <c r="B36" s="3" t="inlineStr">
        <is>
          <t>Cashflow · Home · Networth · Plan</t>
        </is>
      </c>
      <c r="C36" s="3" t="inlineStr">
        <is>
          <t>Yes — the cockpit</t>
        </is>
      </c>
      <c r="D36" s="3" t="inlineStr"/>
    </row>
    <row r="37" ht="15" customHeight="1">
      <c r="A37" s="3" t="inlineStr">
        <is>
          <t>/rewards</t>
        </is>
      </c>
      <c r="B37" s="3" t="inlineStr">
        <is>
          <t>Menu</t>
        </is>
      </c>
      <c r="C37" s="3" t="inlineStr">
        <is>
          <t>No — encouragement, not a number</t>
        </is>
      </c>
      <c r="D37" s="3" t="inlineStr"/>
    </row>
    <row r="38" ht="15" customHeight="1">
      <c r="A38" s="3" t="inlineStr">
        <is>
          <t>/roth</t>
        </is>
      </c>
      <c r="B38" s="3" t="inlineStr">
        <is>
          <t>Plan</t>
        </is>
      </c>
      <c r="C38" s="3" t="inlineStr">
        <is>
          <t>Yes — a 55-70 decision</t>
        </is>
      </c>
      <c r="D38" s="3" t="inlineStr"/>
    </row>
    <row r="39" ht="15" customHeight="1">
      <c r="A39" s="3" t="inlineStr">
        <is>
          <t>/settings</t>
        </is>
      </c>
      <c r="B39" s="3" t="inlineStr">
        <is>
          <t>Menu</t>
        </is>
      </c>
      <c r="C39" s="3" t="inlineStr">
        <is>
          <t>Yes — carries hide-balances and the lock</t>
        </is>
      </c>
      <c r="D39" s="3" t="inlineStr"/>
    </row>
    <row r="40" ht="15" customHeight="1">
      <c r="A40" s="3" t="inlineStr">
        <is>
          <t>/sharpen</t>
        </is>
      </c>
      <c r="B40" s="3" t="inlineStr">
        <is>
          <t>Plan</t>
        </is>
      </c>
      <c r="C40" s="3" t="inlineStr">
        <is>
          <t>Borderline — a way in, not a figure</t>
        </is>
      </c>
      <c r="D40" s="3" t="inlineStr"/>
    </row>
    <row r="41" ht="15" customHeight="1">
      <c r="A41" s="3" t="inlineStr">
        <is>
          <t>/ss-timing</t>
        </is>
      </c>
      <c r="B41" s="3" t="inlineStr">
        <is>
          <t>Plan</t>
        </is>
      </c>
      <c r="C41" s="3" t="inlineStr">
        <is>
          <t>Yes — a 55-70 decision</t>
        </is>
      </c>
      <c r="D41" s="3" t="inlineStr"/>
    </row>
    <row r="42" ht="15" customHeight="1">
      <c r="A42" s="3" t="inlineStr">
        <is>
          <t>/stress-test</t>
        </is>
      </c>
      <c r="B42" s="3" t="inlineStr">
        <is>
          <t>Menu</t>
        </is>
      </c>
      <c r="C42" s="3" t="inlineStr">
        <is>
          <t>Borderline</t>
        </is>
      </c>
      <c r="D42" s="3" t="inlineStr"/>
    </row>
    <row r="43" ht="15" customHeight="1">
      <c r="A43" s="3" t="inlineStr">
        <is>
          <t>/tax-organizer</t>
        </is>
      </c>
      <c r="B43" s="3" t="inlineStr">
        <is>
          <t>Menu</t>
        </is>
      </c>
      <c r="C43" s="3" t="inlineStr">
        <is>
          <t>Yes</t>
        </is>
      </c>
      <c r="D43" s="3" t="inlineStr"/>
    </row>
    <row r="44" ht="15" customHeight="1">
      <c r="A44" s="3" t="inlineStr">
        <is>
          <t>/tips</t>
        </is>
      </c>
      <c r="B44" s="3" t="inlineStr">
        <is>
          <t>Menu</t>
        </is>
      </c>
      <c r="C44" s="3" t="inlineStr">
        <is>
          <t>No — encouragement, not a number</t>
        </is>
      </c>
      <c r="D44" s="3" t="inlineStr"/>
    </row>
    <row r="45" ht="15" customHeight="1">
      <c r="A45" s="3" t="inlineStr">
        <is>
          <t>/what-if</t>
        </is>
      </c>
      <c r="B45" s="3" t="inlineStr">
        <is>
          <t>Menu</t>
        </is>
      </c>
      <c r="C45" s="3" t="inlineStr">
        <is>
          <t>Yes</t>
        </is>
      </c>
      <c r="D45" s="3" t="inlineStr"/>
    </row>
    <row r="46" ht="15" customHeight="1">
      <c r="A46" s="3" t="inlineStr">
        <is>
          <t>/will-it-last</t>
        </is>
      </c>
      <c r="B46" s="3" t="inlineStr">
        <is>
          <t>Plan</t>
        </is>
      </c>
      <c r="C46" s="3" t="inlineStr">
        <is>
          <t>Yes — the question the whole plan answers</t>
        </is>
      </c>
      <c r="D46" s="3" t="inlineStr"/>
    </row>
  </sheetData>
  <autoFilter ref="A1:D4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9"/>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MK-NW-M-051 · MK-NW-M-052 · MK-NW-M-053 · MK-NW-M-054 · MK-NW-M-056 · MK-NW-M-057 · MK-NW-M-058 · MK-NW-M-059 · MK-NW-M-061 · MK-NW-M-063 · MK-PL-M-016 · MK-PL-M-026 · MK-PL-M-033</t>
        </is>
      </c>
      <c r="D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2" s="3" t="inlineStr">
        <is>
          <t>PARTLY AGREES — declared but not reached: MK-PL-M-016, MK-PL-M-026, MK-PL-M-033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MK-NW-M-055, MK-NW-M-060, MK-NW-M-062,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MK-CF-M-070</t>
        </is>
      </c>
      <c r="D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MK-CF-M-071, MK-CF-M-072, MK-CF-M-073, MK-CF-M-074, MK-CF-M-075, MK-MN-M-006, MK-MN-M-007, MK-MN-M-011, MK-MN-M-012, MK-MN-M-013, MK-MN-M-016, MK-MN-M-024, MK-MN-M-025, MK-MN-M-027, MK-MN-M-028, MK-MN-M-030, MK-NW-M-001, MK-NW-M-002, MK-NW-M-004, MK-NW-M-005, MK-NW-M-006, MK-NW-M-007, MK-NW-M-008, MK-NW-M-009, MK-NW-M-011, MK-NW-M-012, MK-NW-M-014, MK-NW-M-015, MK-NW-M-016, MK-NW-M-017, MK-NW-M-019, MK-NW-M-020, MK-NW-M-021, MK-NW-M-023, MK-NW-M-024, MK-NW-M-025, MK-NW-M-026, MK-NW-M-027, MK-NW-M-028, MK-NW-M-038, MK-NW-M-039, MK-NW-M-040, MK-NW-M-041, MK-NW-M-042, MK-NW-M-043, MK-NW-M-044, MK-NW-M-045, MK-NW-M-046, MK-NW-M-047, MK-NW-M-048, MK-NW-M-049, MK-NW-M-050, MK-NW-M-051, MK-NW-M-052, MK-NW-M-053, MK-NW-M-054, MK-NW-M-055, MK-NW-M-056, MK-NW-M-057, MK-NW-M-058, MK-NW-M-062, MK-NW-M-063, MK-NW-M-064, MK-PF-M-002, MK-PF-M-003, MK-PF-M-005, MK-PF-M-006, MK-PF-M-007, MK-PF-M-008, MK-PF-M-013, MK-PF-M-014, MK-PF-M-015, MK-PF-M-016, MK-PF-M-017, MK-PF-M-018, MK-PF-M-019, MK-PF-M-020, MK-PL-M-001, MK-PL-M-002, MK-PL-M-008, MK-PL-M-009, MK-PL-M-011, MK-PL-M-029, MK-PL-M-034, MK-XS-M-001, MK-XS-M-002, MK-XS-M-003, MK-XS-M-004, MK-XS-M-005, MK-XS-M-006</t>
        </is>
      </c>
    </row>
    <row r="4" ht="60" customHeight="1">
      <c r="A4" s="3" t="inlineStr">
        <is>
          <t>MK-XS-I-003</t>
        </is>
      </c>
      <c r="B4" s="3" t="inlineStr">
        <is>
          <t>institution name</t>
        </is>
      </c>
      <c r="C4" s="3" t="inlineStr">
        <is>
          <t>MK-NW-M-008</t>
        </is>
      </c>
      <c r="D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MK-PL-M-001, MK-PL-M-002, MK-PL-M-008, MK-PL-M-009, MK-PL-M-011, MK-PL-M-029, MK-PL-M-034, MK-XS-M-001, MK-XS-M-002,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6" ht="60" customHeight="1">
      <c r="A6" s="3" t="inlineStr">
        <is>
          <t>MK-XS-I-005</t>
        </is>
      </c>
      <c r="B6" s="3" t="inlineStr">
        <is>
          <t>holding price</t>
        </is>
      </c>
      <c r="C6" s="3" t="inlineStr">
        <is>
          <t>MK-CF-M-009 · MK-NW-M-040</t>
        </is>
      </c>
      <c r="D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E6" s="3" t="inlineStr">
        <is>
          <t>PARTLY AGREES — reached but not declared: MK-CF-M-001, MK-CF-M-002, MK-CF-M-003, MK-CF-M-006, MK-CF-M-007, MK-CF-M-008,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MK-PF-M-010, MK-PF-M-011, MK-PF-M-012, MK-PF-M-013, MK-PF-M-014, MK-PF-M-015, MK-PF-M-016, MK-PF-M-017, MK-PF-M-018, MK-PF-M-019, MK-PF-M-020,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MK-NW-M-004 · MK-NW-M-005 · MK-NW-M-006 · MK-NW-M-007 · MK-NW-M-008 · MK-NW-M-009 · MK-NW-M-011 · MK-NW-M-015 · MK-NW-M-016 · MK-NW-M-017 · MK-NW-M-049 · MK-NW-M-063 · MK-XS-M-001 · MK-XS-M-003</t>
        </is>
      </c>
      <c r="E7" s="3" t="inlineStr">
        <is>
          <t>PARTLY AGREES — declared but not reached: MK-NW-M-060, MK-PF-M-006, MK-PF-M-008, MK-XS-M-004  |  reached but not declared: MK-MN-M-016, MK-NW-M-001, MK-NW-M-002,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t>
        </is>
      </c>
      <c r="D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MK-PL-M-017 · MK-PL-M-018 · MK-PL-M-019 · MK-PL-M-032</t>
        </is>
      </c>
      <c r="D9" s="3" t="inlineStr">
        <is>
          <t>MK-MN-M-016 · MK-NW-M-001 · MK-NW-M-002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MK-XS-M-001 · MK-XS-M-003 · MK-XS-M-004</t>
        </is>
      </c>
      <c r="E9" s="3" t="inlineStr">
        <is>
          <t>PARTLY AGREES — declared but not reached: MK-PL-M-017, MK-PL-M-018, MK-PL-M-019, MK-PL-M-032  |  reached but not declared: MK-MN-M-016, MK-NW-M-001, MK-NW-M-002, MK-NW-M-004, MK-NW-M-005, MK-NW-M-006, MK-NW-M-007, MK-NW-M-008, MK-NW-M-009, MK-NW-M-011, MK-NW-M-015, MK-NW-M-016, MK-NW-M-017, MK-NW-M-019, MK-NW-M-020, MK-NW-M-021, MK-NW-M-038, MK-NW-M-039, MK-NW-M-040, MK-NW-M-049, MK-NW-M-062, MK-NW-M-063, MK-PF-M-002, MK-PF-M-003, MK-PF-M-005, MK-PF-M-006, MK-PF-M-007, MK-PF-M-008, MK-PF-M-013, MK-PF-M-014, MK-PF-M-015, MK-PF-M-016, MK-PF-M-017, MK-PF-M-018, MK-PF-M-019, MK-PF-M-020, MK-XS-M-001, MK-XS-M-003, MK-XS-M-004</t>
        </is>
      </c>
    </row>
    <row r="10" ht="60" customHeight="1">
      <c r="A10" s="3" t="inlineStr">
        <is>
          <t>MK-XS-I-009</t>
        </is>
      </c>
      <c r="B10" s="3" t="inlineStr">
        <is>
          <t>transaction date</t>
        </is>
      </c>
      <c r="C10" s="3" t="inlineStr">
        <is>
          <t>—</t>
        </is>
      </c>
      <c r="D10" s="3" t="inlineStr">
        <is>
          <t>MK-MN-M-016 · MK-NW-M-001 · MK-NW-M-002 · MK-NW-M-004 · MK-NW-M-005 · MK-NW-M-006 · MK-NW-M-007 · MK-NW-M-008 · MK-NW-M-009 · MK-NW-M-011 · MK-NW-M-015 · MK-NW-M-016 · MK-NW-M-017 · MK-NW-M-019 · MK-NW-M-020 · MK-NW-M-021 · MK-NW-M-029 · MK-NW-M-030 · MK-NW-M-031 · MK-NW-M-032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MK-NW-M-055</t>
        </is>
      </c>
      <c r="D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MK-NW-M-004, MK-NW-M-005, MK-NW-M-006, MK-NW-M-007, MK-NW-M-008, MK-NW-M-009, MK-NW-M-011, MK-NW-M-012, MK-NW-M-015, MK-NW-M-016, MK-NW-M-017, MK-NW-M-023, MK-NW-M-024, MK-NW-M-025, MK-NW-M-026, MK-NW-M-027, MK-NW-M-028, MK-NW-M-041, MK-NW-M-042, MK-NW-M-043, MK-NW-M-044, MK-NW-M-045, MK-NW-M-046, MK-NW-M-047, MK-NW-M-048, MK-NW-M-049, MK-NW-M-050, MK-NW-M-051, MK-NW-M-052, MK-NW-M-053, MK-NW-M-054, MK-NW-M-056, MK-NW-M-057, MK-NW-M-058, MK-NW-M-063, MK-NW-M-064, MK-PF-M-002, MK-PF-M-003, MK-PF-M-005, MK-PF-M-006, MK-PF-M-007, MK-PF-M-008, MK-PF-M-013, MK-PF-M-014, MK-PF-M-015, MK-PF-M-016, MK-PF-M-017, MK-PF-M-018, MK-PF-M-019, MK-PF-M-020, MK-XS-M-001, MK-XS-M-003, MK-XS-M-004, MK-XS-M-005, MK-XS-M-006</t>
        </is>
      </c>
    </row>
    <row r="13" ht="60" customHeight="1">
      <c r="A13" s="3" t="inlineStr">
        <is>
          <t>MK-XS-I-012</t>
        </is>
      </c>
      <c r="B13" s="3" t="inlineStr">
        <is>
          <t>bond coupon rate</t>
        </is>
      </c>
      <c r="C13" s="3" t="inlineStr">
        <is>
          <t>—</t>
        </is>
      </c>
      <c r="D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MK-CF-M-057 · MK-CF-M-058 · MK-CF-M-059 · MK-CF-M-074 · MK-CF-M-075 · MK-NW-M-016</t>
        </is>
      </c>
      <c r="D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E1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MK-MN-M-006, MK-MN-M-007, MK-MN-M-011, MK-MN-M-012, MK-MN-M-013, MK-MN-M-016, MK-MN-M-024, MK-MN-M-025, MK-MN-M-030, MK-NW-M-001, MK-NW-M-002, MK-NW-M-004, MK-NW-M-005, MK-NW-M-006, MK-NW-M-007, MK-NW-M-008, MK-NW-M-009, MK-NW-M-011, MK-NW-M-012, MK-NW-M-015, MK-NW-M-017, MK-NW-M-046, MK-NW-M-047, MK-NW-M-048, MK-NW-M-049, MK-NW-M-050, MK-NW-M-051, MK-NW-M-052, MK-NW-M-063, MK-NW-M-064, MK-PF-M-002, MK-PF-M-003, MK-PF-M-005, MK-PF-M-006, MK-PF-M-007, MK-PF-M-008, MK-PF-M-013, MK-PF-M-014, MK-PF-M-015, MK-PF-M-016, MK-PF-M-017, MK-PF-M-018, MK-PF-M-019, MK-PF-M-020, MK-PL-M-031, MK-XS-M-001, MK-XS-M-003, MK-XS-M-004, MK-XS-M-005, MK-XS-M-006</t>
        </is>
      </c>
    </row>
    <row r="16" ht="60" customHeight="1">
      <c r="A16" s="3" t="inlineStr">
        <is>
          <t>MK-XS-I-015</t>
        </is>
      </c>
      <c r="B16" s="3" t="inlineStr">
        <is>
          <t>debt interest rate</t>
        </is>
      </c>
      <c r="C16" s="3" t="inlineStr">
        <is>
          <t>MK-CF-M-057 · MK-CF-M-058 · MK-CF-M-059</t>
        </is>
      </c>
      <c r="D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E1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MK-CF-M-074, MK-CF-M-075, MK-MN-M-006, MK-MN-M-007, MK-MN-M-011, MK-MN-M-012, MK-MN-M-013, MK-MN-M-016, MK-MN-M-024, MK-MN-M-025,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MK-PL-M-031, MK-XS-M-001, MK-XS-M-003, MK-XS-M-004, MK-XS-M-005, MK-XS-M-006</t>
        </is>
      </c>
    </row>
    <row r="17" ht="60" customHeight="1">
      <c r="A17" s="3" t="inlineStr">
        <is>
          <t>MK-XS-I-016</t>
        </is>
      </c>
      <c r="B17" s="3" t="inlineStr">
        <is>
          <t>debt minimum payment</t>
        </is>
      </c>
      <c r="C17" s="3" t="inlineStr">
        <is>
          <t>MK-CF-M-058 · MK-CF-M-059 · MK-CF-M-071 · MK-CF-M-072 · MK-CF-M-073</t>
        </is>
      </c>
      <c r="D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E17"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MK-CF-M-060, MK-CF-M-061, MK-CF-M-062, MK-CF-M-063, MK-CF-M-066, MK-CF-M-069, MK-CF-M-070, MK-CF-M-074, MK-CF-M-075, MK-MN-M-006, MK-MN-M-007, MK-MN-M-011, MK-MN-M-012, MK-MN-M-013, MK-MN-M-016, MK-MN-M-024, MK-MN-M-025, MK-MN-M-026, MK-MN-M-027, MK-MN-M-028, MK-MN-M-030, MK-NW-M-001, MK-NW-M-002,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MK-PL-M-001, MK-PL-M-002, MK-PL-M-008, MK-PL-M-009, MK-PL-M-011, MK-PL-M-026, MK-PL-M-029, MK-PL-M-031, MK-PL-M-033, MK-PL-M-034, MK-XS-M-001, MK-XS-M-002, MK-XS-M-003, MK-XS-M-004, MK-XS-M-005, MK-XS-M-006</t>
        </is>
      </c>
    </row>
    <row r="18" ht="60" customHeight="1">
      <c r="A18" s="3" t="inlineStr">
        <is>
          <t>MK-XS-I-017</t>
        </is>
      </c>
      <c r="B18" s="3" t="inlineStr">
        <is>
          <t>birth year</t>
        </is>
      </c>
      <c r="C18" s="3" t="inlineStr">
        <is>
          <t>MK-CF-M-022 · MK-PL-M-001 · MK-PL-M-002 · MK-PL-M-008 · MK-PL-M-011 · MK-PL-M-017 · MK-PL-M-019 · MK-PL-M-029</t>
        </is>
      </c>
      <c r="D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E18"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MK-PL-M-026, MK-PL-M-033, MK-PL-M-034, MK-XS-M-001, MK-XS-M-002, MK-XS-M-003, MK-XS-M-004, MK-XS-M-005, MK-XS-M-006</t>
        </is>
      </c>
    </row>
    <row r="19" ht="60" customHeight="1">
      <c r="A19" s="3" t="inlineStr">
        <is>
          <t>MK-XS-I-018</t>
        </is>
      </c>
      <c r="B19" s="3" t="inlineStr">
        <is>
          <t>retirement age</t>
        </is>
      </c>
      <c r="C19" s="3" t="inlineStr">
        <is>
          <t>MK-CF-M-022 · MK-CF-M-055 · MK-PL-M-017 · MK-PL-M-019</t>
        </is>
      </c>
      <c r="D19" s="3" t="inlineStr">
        <is>
          <t>MK-CF-M-022 · MK-CF-M-055 · MK-CF-M-070 · MK-MN-M-016 · MK-NW-M-001 · MK-NW-M-002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MK-CF-M-070, MK-MN-M-016, MK-NW-M-001, MK-NW-M-002,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MK-CF-M-055 · MK-CF-M-070 · 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MK-CF-M-011 · MK-CF-M-022 · MK-CF-M-023 · MK-CF-M-024 · MK-CF-M-069 · MK-PF-M-007 · MK-PL-M-017 · MK-PL-M-019 · MK-XS-M-004</t>
        </is>
      </c>
      <c r="D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E21" s="3" t="inlineStr">
        <is>
          <t>PARTLY AGREES — reached but not declared: MK-CF-M-001, MK-CF-M-002, MK-CF-M-003, MK-CF-M-006, MK-CF-M-007, MK-CF-M-008, MK-CF-M-009, MK-CF-M-010, MK-CF-M-012, MK-CF-M-013, MK-CF-M-014, MK-CF-M-015, MK-CF-M-016, MK-CF-M-020, MK-CF-M-021,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MK-NW-M-004, MK-NW-M-005, MK-NW-M-006, MK-NW-M-007, MK-NW-M-008, MK-NW-M-009, MK-NW-M-011, MK-NW-M-012, MK-NW-M-015, MK-NW-M-016, MK-NW-M-017, MK-NW-M-046, MK-NW-M-047, MK-NW-M-048, MK-NW-M-049, MK-NW-M-050, MK-NW-M-051, MK-NW-M-052, MK-NW-M-063, MK-NW-M-064, MK-PF-M-002, MK-PF-M-003, MK-PF-M-005, MK-PF-M-006, MK-PF-M-008, MK-PF-M-013, MK-PF-M-014, MK-PF-M-015, MK-PF-M-016, MK-PF-M-017, MK-PF-M-018, MK-PF-M-019, MK-PF-M-020,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MK-CF-M-055 · MK-CF-M-070 · MK-MN-M-016 · MK-NW-M-001 · MK-NW-M-002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MK-CF-M-055, MK-CF-M-070, MK-MN-M-016, MK-NW-M-001, MK-NW-M-002,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MK-CF-M-011 · MK-CF-M-023 · MK-CF-M-024 · MK-CF-M-069</t>
        </is>
      </c>
      <c r="D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23"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MK-PL-M-029, MK-PL-M-032, MK-PL-M-034, MK-XS-M-001, MK-XS-M-002, MK-XS-M-003, MK-XS-M-004, MK-XS-M-005, MK-XS-M-006</t>
        </is>
      </c>
    </row>
    <row r="24" ht="60" customHeight="1">
      <c r="A24" s="3" t="inlineStr">
        <is>
          <t>MK-XS-I-023</t>
        </is>
      </c>
      <c r="B24" s="3" t="inlineStr">
        <is>
          <t>salary and other income</t>
        </is>
      </c>
      <c r="C24" s="3" t="inlineStr">
        <is>
          <t>MK-CF-M-002 · MK-CF-M-004 · MK-CF-M-006 · MK-CF-M-007 · MK-CF-M-020 · MK-CF-M-027 · MK-CF-M-060 · MK-CF-M-061 · MK-MN-M-003 · MK-MN-M-004 · MK-MN-M-005 · MK-MN-M-027 · MK-MN-M-028 · MK-MN-M-029</t>
        </is>
      </c>
      <c r="D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24" s="3" t="inlineStr">
        <is>
          <t>PARTLY AGREES — declared but not reached: MK-CF-M-004, MK-MN-M-003, MK-MN-M-004, MK-MN-M-005, MK-MN-M-029  |  reached but not declared: MK-CF-M-001, MK-CF-M-003, MK-CF-M-008, MK-CF-M-009, MK-CF-M-010, MK-CF-M-011, MK-CF-M-012, MK-CF-M-013, MK-CF-M-014, MK-CF-M-015, MK-CF-M-016, MK-CF-M-021, MK-CF-M-022, MK-CF-M-024,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MK-CF-M-062, MK-CF-M-063, MK-CF-M-066, MK-CF-M-069, MK-CF-M-070, MK-CF-M-071, MK-CF-M-072, MK-CF-M-073, MK-CF-M-074, MK-CF-M-075, MK-MN-M-006, MK-MN-M-007, MK-MN-M-011, MK-MN-M-012, MK-MN-M-013, MK-MN-M-014, MK-MN-M-016, MK-MN-M-024, MK-MN-M-025,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25" ht="60" customHeight="1">
      <c r="A25" s="3" t="inlineStr">
        <is>
          <t>MK-XS-I-024</t>
        </is>
      </c>
      <c r="B25" s="3" t="inlineStr">
        <is>
          <t>logged expenses</t>
        </is>
      </c>
      <c r="C25" s="3" t="inlineStr">
        <is>
          <t>MK-CF-M-032 · MK-CF-M-033 · MK-CF-M-043 · MK-CF-M-044 · MK-MN-M-007 · MK-PL-M-001 · MK-PL-M-002 · MK-PL-M-008 · MK-PL-M-009 · MK-PL-M-011 · MK-PL-M-029</t>
        </is>
      </c>
      <c r="D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MK-NW-M-004 · MK-NW-M-005 · MK-NW-M-006 · MK-NW-M-007 · MK-NW-M-008 · MK-NW-M-009 · MK-NW-M-011 · MK-NW-M-012 · MK-NW-M-013 · MK-NW-M-014 · MK-NW-M-015 · MK-NW-M-016 · MK-NW-M-017 · MK-NW-M-019 · MK-NW-M-020 · MK-NW-M-021 · MK-NW-M-029 · MK-NW-M-030 · MK-NW-M-031 · MK-NW-M-032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E25" s="3" t="inlineStr">
        <is>
          <t>PARTLY AGREES — reached but not declared: MK-CF-M-001, MK-CF-M-002, MK-CF-M-003, MK-CF-M-006, MK-CF-M-007, MK-CF-M-008, MK-CF-M-009, MK-CF-M-010, MK-CF-M-011, MK-CF-M-012, MK-CF-M-013, MK-CF-M-014, MK-CF-M-015, MK-CF-M-016, MK-CF-M-020, MK-CF-M-021, MK-CF-M-022, MK-CF-M-024, MK-CF-M-027, MK-CF-M-028, MK-CF-M-030, MK-CF-M-031, MK-CF-M-034, MK-CF-M-035, MK-CF-M-036, MK-CF-M-037, MK-CF-M-038, MK-CF-M-039, MK-CF-M-040, MK-CF-M-041, MK-CF-M-042,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MK-MN-M-020, MK-MN-M-021, MK-MN-M-024, MK-MN-M-025, MK-MN-M-026, MK-MN-M-027, MK-MN-M-028, MK-MN-M-030, MK-NW-M-001, MK-NW-M-002, MK-NW-M-004, MK-NW-M-005, MK-NW-M-006, MK-NW-M-007, MK-NW-M-008, MK-NW-M-009, MK-NW-M-011, MK-NW-M-012, MK-NW-M-013, MK-NW-M-014, MK-NW-M-015, MK-NW-M-016, MK-NW-M-017, MK-NW-M-019, MK-NW-M-020, MK-NW-M-021, MK-NW-M-029, MK-NW-M-030, MK-NW-M-031, MK-NW-M-032, MK-NW-M-033, MK-NW-M-034, MK-NW-M-035, MK-NW-M-036, MK-NW-M-037, MK-NW-M-038, MK-NW-M-039, MK-NW-M-040, MK-NW-M-046, MK-NW-M-047, MK-NW-M-048, MK-NW-M-049, MK-NW-M-050, MK-NW-M-051, MK-NW-M-052, MK-NW-M-059, MK-NW-M-060, MK-NW-M-061, MK-NW-M-062, MK-NW-M-063, MK-NW-M-064, MK-PF-M-002, MK-PF-M-003, MK-PF-M-005, MK-PF-M-006, MK-PF-M-007, MK-PF-M-008, MK-PF-M-013, MK-PF-M-014, MK-PF-M-015, MK-PF-M-016, MK-PF-M-017, MK-PF-M-018, MK-PF-M-019, MK-PF-M-020, MK-PL-M-026, MK-PL-M-033, MK-PL-M-034, MK-XS-M-001, MK-XS-M-002, MK-XS-M-003, MK-XS-M-004, MK-XS-M-005, MK-XS-M-006</t>
        </is>
      </c>
    </row>
    <row r="26" ht="60" customHeight="1">
      <c r="A26" s="3" t="inlineStr">
        <is>
          <t>MK-XS-I-025</t>
        </is>
      </c>
      <c r="B26" s="3" t="inlineStr">
        <is>
          <t>typical monthly essentials</t>
        </is>
      </c>
      <c r="C26" s="3" t="inlineStr">
        <is>
          <t>MK-CF-M-033</t>
        </is>
      </c>
      <c r="D26" s="3" t="inlineStr">
        <is>
          <t>MK-MN-M-016 · MK-MN-M-024 · MK-MN-M-025 · MK-NW-M-001 · MK-NW-M-002 · MK-NW-M-004 · MK-NW-M-005 · MK-NW-M-006 · MK-NW-M-007 · MK-NW-M-008 · MK-NW-M-009 · MK-NW-M-011 · MK-NW-M-015 · MK-NW-M-016 · MK-NW-M-017 · MK-NW-M-046 · MK-NW-M-047 · MK-NW-M-048 · MK-NW-M-049 · MK-NW-M-063 · MK-NW-M-064 · MK-XS-M-001 · MK-XS-M-003</t>
        </is>
      </c>
      <c r="E26" s="3" t="inlineStr">
        <is>
          <t>PARTLY AGREES — declared but not reached: MK-CF-M-033  |  reached but not declared: MK-MN-M-016, MK-MN-M-024, MK-MN-M-025, MK-NW-M-001, MK-NW-M-002, MK-NW-M-004, MK-NW-M-005, MK-NW-M-006, MK-NW-M-007, MK-NW-M-008, MK-NW-M-009, MK-NW-M-011, MK-NW-M-015, MK-NW-M-016, MK-NW-M-017, MK-NW-M-046, MK-NW-M-047, MK-NW-M-048, MK-NW-M-049, MK-NW-M-063, MK-NW-M-064, MK-XS-M-001, MK-XS-M-003</t>
        </is>
      </c>
    </row>
    <row r="27" ht="60" customHeight="1">
      <c r="A27" s="3" t="inlineStr">
        <is>
          <t>MK-XS-I-026</t>
        </is>
      </c>
      <c r="B27" s="3" t="inlineStr">
        <is>
          <t>big costs (amount and year)</t>
        </is>
      </c>
      <c r="C27" s="3" t="inlineStr">
        <is>
          <t>—</t>
        </is>
      </c>
      <c r="D27" s="3" t="inlineStr">
        <is>
          <t>MK-CF-M-022 · MK-CF-M-055 · MK-CF-M-070 · MK-MN-M-016 · MK-NW-M-001 · MK-NW-M-002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MK-CF-M-020 · MK-CF-M-021</t>
        </is>
      </c>
      <c r="D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28" s="3" t="inlineStr">
        <is>
          <t>PARTLY AGREES — reached but not declared: MK-CF-M-001, MK-CF-M-002, MK-CF-M-003, MK-CF-M-006, MK-CF-M-007, MK-CF-M-008, MK-CF-M-009, MK-CF-M-010, MK-CF-M-011, MK-CF-M-012, MK-CF-M-013, MK-CF-M-014, MK-CF-M-015, MK-CF-M-016,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MK-MN-M-009, MK-MN-M-011, MK-MN-M-012, MK-MN-M-013, MK-MN-M-016, MK-MN-M-024, MK-MN-M-025,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29" ht="60" customHeight="1">
      <c r="A29" s="3" t="inlineStr">
        <is>
          <t>MK-XS-I-028</t>
        </is>
      </c>
      <c r="B29" s="3" t="inlineStr">
        <is>
          <t>assumed return</t>
        </is>
      </c>
      <c r="C29" s="3" t="inlineStr">
        <is>
          <t>MK-CF-M-022 · MK-CF-M-055</t>
        </is>
      </c>
      <c r="D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9"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MK-CF-M-056, MK-CF-M-057, MK-CF-M-058, MK-CF-M-059, MK-CF-M-060, MK-CF-M-061, MK-CF-M-062, MK-CF-M-063, MK-CF-M-066, MK-CF-M-069, MK-CF-M-070, MK-CF-M-071, MK-CF-M-072, MK-CF-M-073, MK-CF-M-074, MK-CF-M-075, MK-MN-M-006, MK-MN-M-007, MK-MN-M-011, MK-MN-M-012, MK-MN-M-013, MK-MN-M-016, MK-MN-M-024, MK-MN-M-025, MK-MN-M-030, MK-NW-M-001, MK-NW-M-002, MK-NW-M-004, MK-NW-M-005, MK-NW-M-006, MK-NW-M-007, MK-NW-M-008,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MK-PL-M-008, MK-PL-M-009, MK-PL-M-011, MK-PL-M-026, MK-PL-M-029, MK-PL-M-033, MK-PL-M-034, MK-XS-M-001, MK-XS-M-002, MK-XS-M-003, MK-XS-M-004, MK-XS-M-005, MK-XS-M-006</t>
        </is>
      </c>
    </row>
    <row r="30" ht="60" customHeight="1">
      <c r="A30" s="3" t="inlineStr">
        <is>
          <t>MK-XS-I-029</t>
        </is>
      </c>
      <c r="B30" s="3" t="inlineStr">
        <is>
          <t>inflation rate</t>
        </is>
      </c>
      <c r="C30" s="3" t="inlineStr">
        <is>
          <t>—</t>
        </is>
      </c>
      <c r="D30" s="3" t="inlineStr">
        <is>
          <t>MK-CF-M-022 · MK-CF-M-055 · MK-CF-M-070 · MK-MN-M-016 · MK-NW-M-001 · MK-NW-M-002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MK-MN-M-003 · MK-MN-M-007 · MK-MN-M-028</t>
        </is>
      </c>
      <c r="D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31" s="3" t="inlineStr">
        <is>
          <t>PARTLY AGREES — declared but not reached: MK-MN-M-003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MK-MN-M-024, MK-MN-M-025, MK-MN-M-027,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32" ht="60" customHeight="1">
      <c r="A32" s="3" t="inlineStr">
        <is>
          <t>MK-XS-I-031</t>
        </is>
      </c>
      <c r="B32" s="3" t="inlineStr">
        <is>
          <t>daily and monthly snapshots</t>
        </is>
      </c>
      <c r="C32" s="3" t="inlineStr">
        <is>
          <t>MK-NW-M-001</t>
        </is>
      </c>
      <c r="D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E3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MK-NW-M-002, MK-NW-M-004, MK-NW-M-005, MK-NW-M-006, MK-NW-M-007, MK-NW-M-008, MK-NW-M-009, MK-NW-M-011, MK-NW-M-012, MK-NW-M-015, MK-NW-M-016, MK-NW-M-017, MK-NW-M-019, MK-NW-M-020, MK-NW-M-021, MK-NW-M-038, MK-NW-M-039, MK-NW-M-040, MK-NW-M-046, MK-NW-M-047, MK-NW-M-048, MK-NW-M-049, MK-NW-M-050, MK-NW-M-051, MK-NW-M-052, MK-NW-M-062, MK-NW-M-063, MK-NW-M-064, MK-PF-M-001, MK-PF-M-002, MK-PF-M-003, MK-PF-M-004, MK-PF-M-005, MK-PF-M-006, MK-PF-M-007, MK-PF-M-008, MK-PF-M-013, MK-PF-M-014, MK-PF-M-015, MK-PF-M-016, MK-PF-M-017, MK-PF-M-018, MK-PF-M-019, MK-PF-M-020, MK-PL-M-008, MK-PL-M-011, MK-PL-M-029, MK-PL-M-034, MK-XS-M-001, MK-XS-M-002, MK-XS-M-003, MK-XS-M-004, MK-XS-M-005, MK-XS-M-006</t>
        </is>
      </c>
    </row>
    <row r="33" ht="60" customHeight="1">
      <c r="A33" s="3" t="inlineStr">
        <is>
          <t>MK-XS-I-032</t>
        </is>
      </c>
      <c r="B33" s="3" t="inlineStr">
        <is>
          <t>expenses categories the person set up</t>
        </is>
      </c>
      <c r="C33" s="3" t="inlineStr">
        <is>
          <t>MK-MN-M-007</t>
        </is>
      </c>
      <c r="D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3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MK-MN-M-010, MK-MN-M-011, MK-MN-M-012, MK-MN-M-013, MK-MN-M-016, MK-MN-M-024, MK-MN-M-025,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MK-CF-M-011 · MK-CF-M-023 · MK-CF-M-024 · MK-CF-M-069</t>
        </is>
      </c>
      <c r="D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36"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MK-PL-M-029, MK-PL-M-032, MK-PL-M-034, MK-XS-M-001, MK-XS-M-002, MK-XS-M-003, MK-XS-M-004, MK-XS-M-005, MK-XS-M-006</t>
        </is>
      </c>
    </row>
    <row r="37" ht="60" customHeight="1">
      <c r="A37" s="3" t="inlineStr">
        <is>
          <t>MK-XS-I-036</t>
        </is>
      </c>
      <c r="B37" s="3" t="inlineStr">
        <is>
          <t>other guaranteed income</t>
        </is>
      </c>
      <c r="C37" s="3" t="inlineStr">
        <is>
          <t>MK-CF-M-011 · MK-CF-M-023 · MK-CF-M-024 · MK-CF-M-069</t>
        </is>
      </c>
      <c r="D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E37"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MK-PL-M-026, MK-PL-M-029, MK-PL-M-032, MK-PL-M-033, MK-PL-M-034, MK-XS-M-001, MK-XS-M-002, MK-XS-M-003, MK-XS-M-004, MK-XS-M-005, MK-XS-M-006</t>
        </is>
      </c>
    </row>
    <row r="38" ht="60" customHeight="1">
      <c r="A38" s="3" t="inlineStr">
        <is>
          <t>MK-XS-I-037</t>
        </is>
      </c>
      <c r="B38" s="3" t="inlineStr">
        <is>
          <t>required-withdrawal income stream (ri_rmd)</t>
        </is>
      </c>
      <c r="C38" s="3" t="inlineStr">
        <is>
          <t>—</t>
        </is>
      </c>
      <c r="D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8" s="3" t="inlineStr">
        <is>
          <t>REACHED BUT NOT DECLARED — functions reading this input serve these figures, but no figure lists it among its inputs.</t>
        </is>
      </c>
    </row>
    <row r="39" ht="60" customHeight="1">
      <c r="A39" s="3" t="inlineStr">
        <is>
          <t>MK-XS-I-038</t>
        </is>
      </c>
      <c r="B39" s="3" t="inlineStr">
        <is>
          <t>withdrawal income stream (ri_withdrawals)</t>
        </is>
      </c>
      <c r="C39" s="3" t="inlineStr">
        <is>
          <t>—</t>
        </is>
      </c>
      <c r="D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9" s="3" t="inlineStr">
        <is>
          <t>REACHED BUT NOT DECLARED — functions reading this input serve these figures, but no figure lists it among its inputs.</t>
        </is>
      </c>
    </row>
    <row r="40" ht="60" customHeight="1">
      <c r="A40" s="3" t="inlineStr">
        <is>
          <t>MK-XS-I-039</t>
        </is>
      </c>
      <c r="B40" s="3" t="inlineStr">
        <is>
          <t>how often each income arrives</t>
        </is>
      </c>
      <c r="C40" s="3" t="inlineStr">
        <is>
          <t>—</t>
        </is>
      </c>
      <c r="D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0" s="3" t="inlineStr">
        <is>
          <t>REACHED BUT NOT DECLARED — functions reading this input serve these figures, but no figure lists it among its inputs.</t>
        </is>
      </c>
    </row>
    <row r="41" ht="60" customHeight="1">
      <c r="A41" s="3" t="inlineStr">
        <is>
          <t>MK-XS-I-040</t>
        </is>
      </c>
      <c r="B41" s="3" t="inlineStr">
        <is>
          <t>whether a stream is already being received</t>
        </is>
      </c>
      <c r="C41" s="3" t="inlineStr">
        <is>
          <t>MK-PL-M-018 · MK-PL-M-032</t>
        </is>
      </c>
      <c r="D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1"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42" ht="60" customHeight="1">
      <c r="A42" s="3" t="inlineStr">
        <is>
          <t>MK-XS-I-041</t>
        </is>
      </c>
      <c r="B42" s="3" t="inlineStr">
        <is>
          <t>the payment the person chose to make on a debt</t>
        </is>
      </c>
      <c r="C42" s="3" t="inlineStr">
        <is>
          <t>MK-CF-M-072 · MK-CF-M-073</t>
        </is>
      </c>
      <c r="D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E4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MK-CF-M-074, MK-CF-M-075, MK-MN-M-006, MK-MN-M-007, MK-MN-M-011, MK-MN-M-012, MK-MN-M-013, MK-MN-M-016, MK-MN-M-024, MK-MN-M-025, MK-MN-M-026, MK-MN-M-027, MK-MN-M-028, MK-MN-M-030, MK-NW-M-001, MK-NW-M-002,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MK-PL-M-001, MK-PL-M-002, MK-PL-M-008, MK-PL-M-009, MK-PL-M-011, MK-PL-M-026, MK-PL-M-029, MK-PL-M-033, MK-PL-M-034, MK-XS-M-001, MK-XS-M-002, MK-XS-M-003, MK-XS-M-004, MK-XS-M-005, MK-XS-M-006</t>
        </is>
      </c>
    </row>
    <row r="43" ht="60" customHeight="1">
      <c r="A43" s="3" t="inlineStr">
        <is>
          <t>MK-XS-I-042</t>
        </is>
      </c>
      <c r="B43" s="3" t="inlineStr">
        <is>
          <t>how a stream is paid — monthly, yearly or one lump</t>
        </is>
      </c>
      <c r="C43" s="3" t="inlineStr">
        <is>
          <t>—</t>
        </is>
      </c>
      <c r="D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E43" s="3" t="inlineStr">
        <is>
          <t>REACHED BUT NOT DECLARED — functions reading this input serve these figures, but no figure lists it among its inputs.</t>
        </is>
      </c>
    </row>
    <row r="44" ht="60" customHeight="1">
      <c r="A44" s="3" t="inlineStr">
        <is>
          <t>MK-XS-I-043</t>
        </is>
      </c>
      <c r="B44" s="3" t="inlineStr">
        <is>
          <t>their own retirement contribution</t>
        </is>
      </c>
      <c r="C44" s="3" t="inlineStr">
        <is>
          <t>MK-MN-M-014</t>
        </is>
      </c>
      <c r="D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4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MK-PL-M-026, MK-PL-M-029, MK-PL-M-033, MK-PL-M-034, MK-XS-M-001, MK-XS-M-002, MK-XS-M-003, MK-XS-M-004, MK-XS-M-005, MK-XS-M-006</t>
        </is>
      </c>
    </row>
    <row r="45" ht="60" customHeight="1">
      <c r="A45" s="3" t="inlineStr">
        <is>
          <t>MK-XS-I-044</t>
        </is>
      </c>
      <c r="B45" s="3" t="inlineStr">
        <is>
          <t>the person’s own plan overrides</t>
        </is>
      </c>
      <c r="C45" s="3" t="inlineStr">
        <is>
          <t>MK-PL-M-008 · MK-PL-M-011 · MK-PL-M-029</t>
        </is>
      </c>
      <c r="D45" s="3" t="inlineStr">
        <is>
          <t>MK-CF-M-055 · MK-CF-M-070 · MK-MN-M-016 · MK-NW-M-001 · MK-NW-M-002 · MK-NW-M-004 · MK-NW-M-005 · MK-NW-M-006 · MK-NW-M-007 · MK-NW-M-008 · MK-NW-M-009 · MK-NW-M-011 · MK-NW-M-015 · MK-NW-M-016 · MK-NW-M-017 · MK-NW-M-049 · MK-NW-M-063 · MK-PL-M-008 · MK-PL-M-009 · MK-PL-M-011 · MK-PL-M-029 · MK-PL-M-034 · MK-XS-M-001 · MK-XS-M-002 · MK-XS-M-003</t>
        </is>
      </c>
      <c r="E45" s="3" t="inlineStr">
        <is>
          <t>PARTLY AGREES — reached but not declared: MK-CF-M-055, MK-CF-M-070, MK-MN-M-016, MK-NW-M-001, MK-NW-M-002,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MK-CF-M-055 · MK-CF-M-070 · MK-PL-M-008 · MK-PL-M-009 · MK-PL-M-011 · MK-PL-M-029 · MK-PL-M-034 · MK-XS-M-002</t>
        </is>
      </c>
      <c r="E46" s="3" t="inlineStr">
        <is>
          <t>PARTLY AGREES — reached but not declared: MK-CF-M-055, MK-CF-M-070, MK-PL-M-008, MK-PL-M-011, MK-PL-M-029, MK-PL-M-034, MK-XS-M-002</t>
        </is>
      </c>
    </row>
    <row r="47" ht="45" customHeight="1">
      <c r="A47" s="3" t="inlineStr">
        <is>
          <t>MK-XS-I-046</t>
        </is>
      </c>
      <c r="B47" s="3" t="inlineStr">
        <is>
          <t>how the employer match is expressed — percent or dollars</t>
        </is>
      </c>
      <c r="C47" s="3" t="inlineStr">
        <is>
          <t>MK-MN-M-014</t>
        </is>
      </c>
      <c r="D47" s="3" t="inlineStr">
        <is>
          <t>MK-CF-M-055 · MK-CF-M-070 · MK-MN-M-014 · MK-PL-M-008 · MK-PL-M-011 · MK-PL-M-029 · MK-PL-M-034 · MK-XS-M-002</t>
        </is>
      </c>
      <c r="E47" s="3" t="inlineStr">
        <is>
          <t>PARTLY AGREES — reached but not declared: MK-CF-M-055, MK-CF-M-070, MK-PL-M-008, MK-PL-M-011, MK-PL-M-029, MK-PL-M-034, MK-XS-M-002</t>
        </is>
      </c>
    </row>
    <row r="48" ht="45" customHeight="1">
      <c r="A48" s="3" t="inlineStr">
        <is>
          <t>MK-XS-I-047</t>
        </is>
      </c>
      <c r="B48" s="3" t="inlineStr">
        <is>
          <t>money to leave behind</t>
        </is>
      </c>
      <c r="C48" s="3" t="inlineStr">
        <is>
          <t>MK-PL-M-008 · MK-PL-M-011 · MK-PL-M-029</t>
        </is>
      </c>
      <c r="D48" s="3" t="inlineStr">
        <is>
          <t>MK-CF-M-055 · MK-CF-M-070 · MK-PL-M-008 · MK-PL-M-011 · MK-PL-M-029 · MK-PL-M-034 · MK-XS-M-002</t>
        </is>
      </c>
      <c r="E48" s="3" t="inlineStr">
        <is>
          <t>PARTLY AGREES — reached but not declared: MK-CF-M-055, MK-CF-M-070,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MK-CF-M-070</t>
        </is>
      </c>
      <c r="D51" s="3" t="inlineStr">
        <is>
          <t>MK-CF-M-022 · MK-CF-M-055 · MK-CF-M-070 · MK-NW-M-050 · MK-NW-M-051 · MK-NW-M-052 · MK-PL-M-001 · MK-PL-M-002 · MK-PL-M-008 · MK-PL-M-009 · MK-PL-M-011 · MK-PL-M-029 · MK-PL-M-034 · MK-XS-M-002</t>
        </is>
      </c>
      <c r="E51" s="3" t="inlineStr">
        <is>
          <t>PARTLY AGREES — reached but not declared: MK-CF-M-022, MK-CF-M-055, MK-NW-M-050, MK-NW-M-051, MK-NW-M-052, MK-PL-M-001, MK-PL-M-002, MK-PL-M-008, MK-PL-M-009, MK-PL-M-011, MK-PL-M-029, MK-PL-M-034, MK-XS-M-002</t>
        </is>
      </c>
    </row>
    <row r="52" ht="45" customHeight="1">
      <c r="A52" s="3" t="inlineStr">
        <is>
          <t>MK-XS-I-051</t>
        </is>
      </c>
      <c r="B52" s="3" t="inlineStr">
        <is>
          <t>what an account actually returned over the last twelve months</t>
        </is>
      </c>
      <c r="C52" s="3" t="inlineStr">
        <is>
          <t>—</t>
        </is>
      </c>
      <c r="D52" s="3" t="inlineStr">
        <is>
          <t>MK-CF-M-055 · MK-CF-M-070 · 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53" s="3" t="inlineStr">
        <is>
          <t>REACHED BUT NOT DECLARED — functions reading this input serve these figures, but no figure lists it among its inputs.</t>
        </is>
      </c>
    </row>
    <row r="54" ht="60" customHeight="1">
      <c r="A54" s="3" t="inlineStr">
        <is>
          <t>MK-XS-I-053</t>
        </is>
      </c>
      <c r="B54" s="3" t="inlineStr">
        <is>
          <t>the month a debt is first paid</t>
        </is>
      </c>
      <c r="C54" s="3" t="inlineStr">
        <is>
          <t>—</t>
        </is>
      </c>
      <c r="D54" s="3" t="inlineStr">
        <is>
          <t>MK-CF-M-022 · MK-CF-M-055 · MK-CF-M-057 · MK-CF-M-058 · MK-CF-M-059 · MK-CF-M-070 · MK-CF-M-071 · MK-CF-M-072 · MK-CF-M-073 · MK-CF-M-074 · MK-CF-M-075 · MK-PL-M-031</t>
        </is>
      </c>
      <c r="E54" s="3" t="inlineStr">
        <is>
          <t>REACHED BUT NOT DECLARED — functions reading this input serve these figures, but no figure lists it among its inputs.</t>
        </is>
      </c>
    </row>
    <row r="55" ht="60" customHeight="1">
      <c r="A55" s="3" t="inlineStr">
        <is>
          <t>MK-XS-I-054</t>
        </is>
      </c>
      <c r="B55" s="3" t="inlineStr">
        <is>
          <t>the date a debt is due to be paid off in full</t>
        </is>
      </c>
      <c r="C55" s="3" t="inlineStr">
        <is>
          <t>—</t>
        </is>
      </c>
      <c r="D55" s="3" t="inlineStr">
        <is>
          <t>MK-CF-M-022 · MK-CF-M-055 · MK-CF-M-057 · MK-CF-M-058 · MK-CF-M-059 · MK-CF-M-070 · MK-CF-M-071 · MK-CF-M-072 · MK-CF-M-073 · MK-CF-M-074 · MK-CF-M-075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MK-CF-M-008</t>
        </is>
      </c>
      <c r="D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60" s="3" t="inlineStr">
        <is>
          <t>PARTLY AGREES — reached but not declared: MK-CF-M-001, MK-CF-M-002, MK-CF-M-003, MK-CF-M-006, MK-CF-M-007,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61" ht="60" customHeight="1">
      <c r="A61" s="3" t="inlineStr">
        <is>
          <t>MK-XS-I-060</t>
        </is>
      </c>
      <c r="B61" s="3" t="inlineStr">
        <is>
          <t>how a person is paid — weekly, fortnightly, monthly</t>
        </is>
      </c>
      <c r="C61" s="3" t="inlineStr">
        <is>
          <t>MK-CF-M-006</t>
        </is>
      </c>
      <c r="D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61" s="3" t="inlineStr">
        <is>
          <t>PARTLY AGREES — reached but not declared: MK-CF-M-001, MK-CF-M-002, MK-CF-M-003,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MK-NW-M-004 · MK-NW-M-005 · MK-NW-M-006 · MK-NW-M-007 · MK-NW-M-008 · MK-NW-M-009 · MK-NW-M-011 · MK-NW-M-015 · MK-NW-M-016 · MK-NW-M-017 · MK-NW-M-029 · MK-NW-M-030 · MK-NW-M-031 · MK-NW-M-032 · MK-NW-M-033 · MK-NW-M-034 · MK-NW-M-035 · MK-NW-M-036 · MK-NW-M-037 · MK-NW-M-049 · MK-NW-M-059 · MK-NW-M-060 · MK-NW-M-061 · MK-NW-M-063 · MK-PF-M-002 · MK-PF-M-003 · MK-PF-M-005 · MK-PF-M-006 · MK-PF-M-007 · MK-PF-M-008 · MK-PF-M-013 · MK-PF-M-014 · MK-PF-M-015 · MK-PF-M-016 · MK-PF-M-017 · MK-PF-M-018 · MK-PF-M-019 · MK-PF-M-020 · MK-XS-M-001 · MK-XS-M-003 · MK-XS-M-004</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MK-NW-M-004 · MK-NW-M-005 · MK-NW-M-006 · MK-NW-M-007 · MK-NW-M-008 · MK-NW-M-009 · MK-NW-M-011 · MK-NW-M-012 · MK-NW-M-015 · MK-NW-M-016 · MK-NW-M-017 · MK-NW-M-029 · MK-NW-M-030 · MK-NW-M-031 · MK-NW-M-032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6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MK-NW-M-004, MK-NW-M-005, MK-NW-M-006, MK-NW-M-007, MK-NW-M-008, MK-NW-M-009, MK-NW-M-011, MK-NW-M-012, MK-NW-M-015, MK-NW-M-016, MK-NW-M-017, MK-NW-M-023, MK-NW-M-024, MK-NW-M-025, MK-NW-M-026, MK-NW-M-027, MK-NW-M-028, MK-NW-M-041, MK-NW-M-042, MK-NW-M-043, MK-NW-M-044, MK-NW-M-045, MK-NW-M-046, MK-NW-M-047, MK-NW-M-048, MK-NW-M-049, MK-NW-M-050, MK-NW-M-051, MK-NW-M-052, MK-NW-M-053, MK-NW-M-054, MK-NW-M-055, MK-NW-M-056, MK-NW-M-058, MK-NW-M-063, MK-NW-M-064, MK-PF-M-002, MK-PF-M-003, MK-PF-M-005, MK-PF-M-006, MK-PF-M-007, MK-PF-M-008, MK-PF-M-013, MK-PF-M-014, MK-PF-M-015, MK-PF-M-016, MK-PF-M-017, MK-PF-M-018, MK-PF-M-019, MK-PF-M-020, MK-XS-M-001, MK-XS-M-003, MK-XS-M-004, MK-XS-M-005, MK-XS-M-006</t>
        </is>
      </c>
    </row>
    <row r="67" ht="60" customHeight="1">
      <c r="A67" s="3" t="inlineStr">
        <is>
          <t>MK-XS-I-066</t>
        </is>
      </c>
      <c r="B67" s="3" t="inlineStr">
        <is>
          <t>last successful update of a linked or imported account</t>
        </is>
      </c>
      <c r="C67" s="3" t="inlineStr">
        <is>
          <t>—</t>
        </is>
      </c>
      <c r="D67" s="3" t="inlineStr">
        <is>
          <t>MK-MN-M-016 · MK-NW-M-001 · MK-NW-M-002 · MK-NW-M-004 · MK-NW-M-005 · MK-NW-M-006 · MK-NW-M-007 · MK-NW-M-008 · MK-NW-M-009 · MK-NW-M-011 · MK-NW-M-015 · MK-NW-M-016 · MK-NW-M-017 · MK-NW-M-049 · MK-NW-M-063 · MK-XS-M-001 · MK-XS-M-003</t>
        </is>
      </c>
      <c r="E67" s="3" t="inlineStr">
        <is>
          <t>REACHED BUT NOT DECLARED — functions reading this input serve these figures, but no figure lists it among its inputs.</t>
        </is>
      </c>
    </row>
    <row r="68" ht="15" customHeight="1">
      <c r="A68" s="3" t="n"/>
      <c r="B68" s="3" t="n"/>
      <c r="C68" s="3" t="n"/>
      <c r="D68" s="3" t="n"/>
      <c r="E68" s="3" t="n"/>
    </row>
    <row r="69" ht="60" customHeight="1">
      <c r="A69" s="10" t="inlineStr">
        <is>
          <t>GAPS — inputs an function names that are on NO row of the inputs tab.</t>
        </is>
      </c>
      <c r="B69" s="3" t="inlineStr">
        <is>
          <t>Each one is either a missing input, or the same input under another name.</t>
        </is>
      </c>
      <c r="C69" s="3" t="inlineStr"/>
      <c r="D69" s="3" t="inlineStr"/>
      <c r="E69" s="3" t="inlineStr"/>
    </row>
  </sheetData>
  <autoFilter ref="A1:E69"/>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15" customHeight="1">
      <c r="A2" s="3" t="inlineStr">
        <is>
          <t>MK-HM-E-001</t>
        </is>
      </c>
      <c r="B2" s="3" t="inlineStr">
        <is>
          <t>PRICE_FRESHNESS</t>
        </is>
      </c>
      <c r="C2" s="3" t="inlineStr">
        <is>
          <t>src/services/marketData.ts:60</t>
        </is>
      </c>
      <c r="D2" s="3" t="inlineStr">
        <is>
          <t>How old is the price we are showing?</t>
        </is>
      </c>
      <c r="E2" s="3" t="inlineStr">
        <is>
          <t>MK-HM-M-001</t>
        </is>
      </c>
      <c r="F2" s="3" t="inlineStr">
        <is>
          <t>Named by 1 figure(s)</t>
        </is>
      </c>
    </row>
    <row r="3" ht="30" customHeight="1">
      <c r="A3" s="3" t="inlineStr">
        <is>
          <t>MK-HM-E-002</t>
        </is>
      </c>
      <c r="B3" s="3" t="inlineStr">
        <is>
          <t>NOT IN OLD MASTER — milestoneCrossed, src/domain/milestones.ts</t>
        </is>
      </c>
      <c r="C3" s="3" t="inlineStr">
        <is>
          <t>NOT DETERMINED — no source line on record</t>
        </is>
      </c>
      <c r="D3" s="3" t="inlineStr">
        <is>
          <t>—</t>
        </is>
      </c>
      <c r="E3" s="3" t="inlineStr">
        <is>
          <t>MK-HM-M-002</t>
        </is>
      </c>
      <c r="F3" s="3" t="inlineStr">
        <is>
          <t>Named by 1 figure(s)</t>
        </is>
      </c>
    </row>
    <row r="4" ht="30" customHeight="1">
      <c r="A4" s="3" t="inlineStr">
        <is>
          <t>MK-HM-E-003</t>
        </is>
      </c>
      <c r="B4" s="3" t="inlineStr">
        <is>
          <t>NOT IN OLD MASTER — useInsights, src/domain/insights</t>
        </is>
      </c>
      <c r="C4" s="3" t="inlineStr">
        <is>
          <t>NOT DETERMINED — no source line on record</t>
        </is>
      </c>
      <c r="D4" s="3" t="inlineStr">
        <is>
          <t>—</t>
        </is>
      </c>
      <c r="E4" s="3" t="inlineStr">
        <is>
          <t>MK-HM-M-003 · MK-MN-M-015</t>
        </is>
      </c>
      <c r="F4" s="3" t="inlineStr">
        <is>
          <t>Named by 2 figure(s)</t>
        </is>
      </c>
    </row>
    <row r="5" ht="15" customHeight="1">
      <c r="A5" s="3" t="inlineStr">
        <is>
          <t>MK-MN-E-001</t>
        </is>
      </c>
      <c r="B5" s="3" t="inlineStr">
        <is>
          <t>BIG_COSTS</t>
        </is>
      </c>
      <c r="C5" s="3" t="inlineStr">
        <is>
          <t>NOT DETERMINED — no source line on record</t>
        </is>
      </c>
      <c r="D5" s="3" t="inlineStr">
        <is>
          <t>—</t>
        </is>
      </c>
      <c r="E5" s="3" t="inlineStr">
        <is>
          <t>MK-MN-M-001 · MK-MN-M-002</t>
        </is>
      </c>
      <c r="F5" s="3" t="inlineStr">
        <is>
          <t>Named by 2 figure(s)</t>
        </is>
      </c>
    </row>
    <row r="6" ht="15" customHeight="1">
      <c r="A6" s="3" t="inlineStr">
        <is>
          <t>MK-MN-E-002</t>
        </is>
      </c>
      <c r="B6" s="3" t="inlineStr">
        <is>
          <t>PLANNED_SPENDING</t>
        </is>
      </c>
      <c r="C6" s="3" t="inlineStr">
        <is>
          <t>src/domain/budget/index.ts:45</t>
        </is>
      </c>
      <c r="D6" s="3" t="inlineStr">
        <is>
          <t>What does this person plan to spend each month?</t>
        </is>
      </c>
      <c r="E6" s="3" t="inlineStr">
        <is>
          <t>MK-MN-M-007</t>
        </is>
      </c>
      <c r="F6" s="3" t="inlineStr">
        <is>
          <t>Named by 1 figure(s)</t>
        </is>
      </c>
    </row>
    <row r="7" ht="15" customHeight="1">
      <c r="A7" s="3" t="inlineStr">
        <is>
          <t>MK-MN-E-003</t>
        </is>
      </c>
      <c r="B7" s="3" t="inlineStr">
        <is>
          <t>GOAL_CAPACITY</t>
        </is>
      </c>
      <c r="C7" s="3" t="inlineStr">
        <is>
          <t>NOT DETERMINED — no source line on record</t>
        </is>
      </c>
      <c r="D7" s="3" t="inlineStr">
        <is>
          <t>—</t>
        </is>
      </c>
      <c r="E7" s="3" t="inlineStr">
        <is>
          <t>MK-MN-M-008</t>
        </is>
      </c>
      <c r="F7" s="3" t="inlineStr">
        <is>
          <t>Named by 1 figure(s)</t>
        </is>
      </c>
    </row>
    <row r="8" ht="15" customHeight="1">
      <c r="A8" s="3" t="inlineStr">
        <is>
          <t>MK-MN-E-004</t>
        </is>
      </c>
      <c r="B8" s="3" t="inlineStr">
        <is>
          <t>GOAL_PROGRESS</t>
        </is>
      </c>
      <c r="C8" s="3" t="inlineStr">
        <is>
          <t>NOT DETERMINED — no source line on record</t>
        </is>
      </c>
      <c r="D8" s="3" t="inlineStr">
        <is>
          <t>—</t>
        </is>
      </c>
      <c r="E8" s="3" t="inlineStr">
        <is>
          <t>MK-MN-M-009</t>
        </is>
      </c>
      <c r="F8" s="3" t="inlineStr">
        <is>
          <t>Named by 1 figure(s)</t>
        </is>
      </c>
    </row>
    <row r="9" ht="15" customHeight="1">
      <c r="A9" s="3" t="inlineStr">
        <is>
          <t>MK-MN-E-005</t>
        </is>
      </c>
      <c r="B9" s="3" t="inlineStr">
        <is>
          <t>SINKING_FUNDS</t>
        </is>
      </c>
      <c r="C9" s="3" t="inlineStr">
        <is>
          <t>NOT DETERMINED — no source line on record</t>
        </is>
      </c>
      <c r="D9" s="3" t="inlineStr">
        <is>
          <t>—</t>
        </is>
      </c>
      <c r="E9" s="3" t="inlineStr">
        <is>
          <t>MK-MN-M-010</t>
        </is>
      </c>
      <c r="F9" s="3" t="inlineStr">
        <is>
          <t>Named by 1 figure(s)</t>
        </is>
      </c>
    </row>
    <row r="10" ht="15" customHeight="1">
      <c r="A10" s="3" t="inlineStr">
        <is>
          <t>MK-MN-E-006</t>
        </is>
      </c>
      <c r="B10" s="3" t="inlineStr">
        <is>
          <t>EMPLOYER_MATCH</t>
        </is>
      </c>
      <c r="C10" s="3" t="inlineStr">
        <is>
          <t>src/domain/income/onboarding.ts:263</t>
        </is>
      </c>
      <c r="D10" s="3" t="inlineStr">
        <is>
          <t>How much does the employer add each month?</t>
        </is>
      </c>
      <c r="E10" s="3" t="inlineStr">
        <is>
          <t>MK-MN-M-014</t>
        </is>
      </c>
      <c r="F10" s="3" t="inlineStr">
        <is>
          <t>Named by 1 figure(s)</t>
        </is>
      </c>
    </row>
    <row r="11" ht="30" customHeight="1">
      <c r="A11" s="3" t="inlineStr">
        <is>
          <t>MK-MN-E-007</t>
        </is>
      </c>
      <c r="B11" s="3" t="inlineStr">
        <is>
          <t>INSURANCE_NEED</t>
        </is>
      </c>
      <c r="C11" s="3" t="inlineStr">
        <is>
          <t>NOT DETERMINED — no source line on record</t>
        </is>
      </c>
      <c r="D11" s="3" t="inlineStr">
        <is>
          <t>—</t>
        </is>
      </c>
      <c r="E11" s="3" t="inlineStr">
        <is>
          <t>MK-MN-M-017 · MK-MN-M-018 · MK-MN-M-019</t>
        </is>
      </c>
      <c r="F11" s="3" t="inlineStr">
        <is>
          <t>Named by 3 figure(s)</t>
        </is>
      </c>
    </row>
    <row r="12" ht="30" customHeight="1">
      <c r="A12" s="3" t="inlineStr">
        <is>
          <t>MK-PL-E-001</t>
        </is>
      </c>
      <c r="B12" s="3" t="inlineStr">
        <is>
          <t>WHAT_THE_PLAN_STILL_NEEDS</t>
        </is>
      </c>
      <c r="C12" s="3" t="inlineStr">
        <is>
          <t>src/domain/planning/hub.ts:44</t>
        </is>
      </c>
      <c r="D12" s="3" t="inlineStr">
        <is>
          <t>Is there enough to show this person their own odds?</t>
        </is>
      </c>
      <c r="E12" s="3" t="inlineStr">
        <is>
          <t>MK-PL-M-001 · MK-PL-M-002</t>
        </is>
      </c>
      <c r="F12" s="3" t="inlineStr">
        <is>
          <t>Named by 2 figure(s)</t>
        </is>
      </c>
    </row>
    <row r="13" ht="30" customHeight="1">
      <c r="A13" s="3" t="inlineStr">
        <is>
          <t>MK-PL-E-002</t>
        </is>
      </c>
      <c r="B13" s="3" t="inlineStr">
        <is>
          <t>NOT IN OLD MASTER — retirementPaycheckYear, src/domain/paycheck</t>
        </is>
      </c>
      <c r="C13" s="3" t="inlineStr">
        <is>
          <t>NOT DETERMINED — no source line on record</t>
        </is>
      </c>
      <c r="D13" s="3" t="inlineStr">
        <is>
          <t>—</t>
        </is>
      </c>
      <c r="E13" s="3" t="inlineStr">
        <is>
          <t>MK-PL-M-003 · MK-PL-M-004 · MK-PL-M-005</t>
        </is>
      </c>
      <c r="F13" s="3" t="inlineStr">
        <is>
          <t>Named by 3 figure(s)</t>
        </is>
      </c>
    </row>
    <row r="14" ht="30" customHeight="1">
      <c r="A14" s="3" t="inlineStr">
        <is>
          <t>MK-PL-E-003</t>
        </is>
      </c>
      <c r="B14" s="3" t="inlineStr">
        <is>
          <t>NOT IN OLD MASTER — saved scenarios, src/domain/scenarios</t>
        </is>
      </c>
      <c r="C14" s="3" t="inlineStr">
        <is>
          <t>NOT DETERMINED — no source line on record</t>
        </is>
      </c>
      <c r="D14" s="3" t="inlineStr">
        <is>
          <t>—</t>
        </is>
      </c>
      <c r="E14" s="3" t="inlineStr">
        <is>
          <t>MK-PL-M-007</t>
        </is>
      </c>
      <c r="F14" s="3" t="inlineStr">
        <is>
          <t>Named by 1 figure(s)</t>
        </is>
      </c>
    </row>
    <row r="15" ht="15" customHeight="1">
      <c r="A15" s="3" t="inlineStr">
        <is>
          <t>MK-PL-E-004</t>
        </is>
      </c>
      <c r="B15" s="3" t="inlineStr">
        <is>
          <t>GUARANTEED_STREAMS (engines: B1 rebuild)</t>
        </is>
      </c>
      <c r="C15" s="3" t="inlineStr">
        <is>
          <t>NOT DETERMINED — no source line on record</t>
        </is>
      </c>
      <c r="D15" s="3" t="inlineStr">
        <is>
          <t>—</t>
        </is>
      </c>
      <c r="E15" s="3" t="inlineStr">
        <is>
          <t>MK-PL-M-010</t>
        </is>
      </c>
      <c r="F15" s="3" t="inlineStr">
        <is>
          <t>Named by 1 figure(s)</t>
        </is>
      </c>
    </row>
    <row r="16" ht="30" customHeight="1">
      <c r="A16" s="3" t="inlineStr">
        <is>
          <t>MK-PL-E-005</t>
        </is>
      </c>
      <c r="B16" s="3" t="inlineStr">
        <is>
          <t>RMD_START_AGE (Calculation Module code/engines/rmd.ts)</t>
        </is>
      </c>
      <c r="C16" s="3" t="inlineStr">
        <is>
          <t>NOT DETERMINED — no source line on record</t>
        </is>
      </c>
      <c r="D16" s="3" t="inlineStr">
        <is>
          <t>—</t>
        </is>
      </c>
      <c r="E16" s="3" t="inlineStr">
        <is>
          <t>MK-PL-M-012</t>
        </is>
      </c>
      <c r="F16" s="3" t="inlineStr">
        <is>
          <t>Named by 1 figure(s)</t>
        </is>
      </c>
    </row>
    <row r="17" ht="15" customHeight="1">
      <c r="A17" s="3" t="inlineStr">
        <is>
          <t>MK-PL-E-006</t>
        </is>
      </c>
      <c r="B17" s="3" t="inlineStr">
        <is>
          <t>REQUIRED_WITHDRAWAL</t>
        </is>
      </c>
      <c r="C17" s="3" t="inlineStr">
        <is>
          <t>NOT DETERMINED — no source line on record</t>
        </is>
      </c>
      <c r="D17" s="3" t="inlineStr">
        <is>
          <t>—</t>
        </is>
      </c>
      <c r="E17" s="3" t="inlineStr">
        <is>
          <t>MK-PL-M-013 · MK-PL-M-015</t>
        </is>
      </c>
      <c r="F17" s="3" t="inlineStr">
        <is>
          <t>Named by 2 figure(s)</t>
        </is>
      </c>
    </row>
    <row r="18" ht="15" customHeight="1">
      <c r="A18" s="3" t="inlineStr">
        <is>
          <t>MK-PL-E-007</t>
        </is>
      </c>
      <c r="B18" s="3" t="inlineStr">
        <is>
          <t>HAND_VALUE_AGE</t>
        </is>
      </c>
      <c r="C18" s="3" t="inlineStr">
        <is>
          <t>src/domain/assets/index.ts:97</t>
        </is>
      </c>
      <c r="D18" s="3" t="inlineStr">
        <is>
          <t>How old is this hand-entered value?</t>
        </is>
      </c>
      <c r="E18" s="3" t="inlineStr">
        <is>
          <t>MK-PL-M-016</t>
        </is>
      </c>
      <c r="F18" s="3" t="inlineStr">
        <is>
          <t>Named by 1 figure(s)</t>
        </is>
      </c>
    </row>
    <row r="19" ht="15" customHeight="1">
      <c r="A19" s="3" t="inlineStr">
        <is>
          <t>MK-PL-E-008</t>
        </is>
      </c>
      <c r="B19" s="3" t="inlineStr">
        <is>
          <t>RETIREMENT_INCOME_NOW</t>
        </is>
      </c>
      <c r="C19" s="3" t="inlineStr">
        <is>
          <t>src/domain/income/onboarding.ts:191</t>
        </is>
      </c>
      <c r="D19" s="3" t="inlineStr">
        <is>
          <t>How much retirement income is arriving TODAY?</t>
        </is>
      </c>
      <c r="E19" s="3" t="inlineStr">
        <is>
          <t>MK-PL-M-018 · MK-PL-M-032</t>
        </is>
      </c>
      <c r="F19" s="3" t="inlineStr">
        <is>
          <t>Named by 2 figure(s)</t>
        </is>
      </c>
    </row>
    <row r="20" ht="15" customHeight="1">
      <c r="A20" s="3" t="inlineStr">
        <is>
          <t>MK-PL-E-009</t>
        </is>
      </c>
      <c r="B20" s="3" t="inlineStr">
        <is>
          <t>SS_CLAIM_FACTOR · SS_BENEFIT_AT_AGE</t>
        </is>
      </c>
      <c r="C20" s="3" t="inlineStr">
        <is>
          <t>NOT DETERMINED — no source line on record</t>
        </is>
      </c>
      <c r="D20" s="3" t="inlineStr">
        <is>
          <t>—</t>
        </is>
      </c>
      <c r="E20" s="3" t="inlineStr">
        <is>
          <t>MK-PL-M-019</t>
        </is>
      </c>
      <c r="F20" s="3" t="inlineStr">
        <is>
          <t>Named by 1 figure(s)</t>
        </is>
      </c>
    </row>
    <row r="21" ht="15" customHeight="1">
      <c r="A21" s="3" t="inlineStr">
        <is>
          <t>MK-PL-E-010</t>
        </is>
      </c>
      <c r="B21" s="3" t="inlineStr">
        <is>
          <t>SS_LIFETIME_TOTAL</t>
        </is>
      </c>
      <c r="C21" s="3" t="inlineStr">
        <is>
          <t>NOT DETERMINED — no source line on record</t>
        </is>
      </c>
      <c r="D21" s="3" t="inlineStr">
        <is>
          <t>—</t>
        </is>
      </c>
      <c r="E21" s="3" t="inlineStr">
        <is>
          <t>MK-PL-M-020</t>
        </is>
      </c>
      <c r="F21" s="3" t="inlineStr">
        <is>
          <t>Named by 1 figure(s)</t>
        </is>
      </c>
    </row>
    <row r="22" ht="30" customHeight="1">
      <c r="A22" s="3" t="inlineStr">
        <is>
          <t>MK-PL-E-011</t>
        </is>
      </c>
      <c r="B22" s="3" t="inlineStr">
        <is>
          <t>the worked example used until a real statement goes in</t>
        </is>
      </c>
      <c r="C22" s="3" t="inlineStr">
        <is>
          <t>NOT DETERMINED — no source line on record</t>
        </is>
      </c>
      <c r="D22" s="3" t="inlineStr">
        <is>
          <t>—</t>
        </is>
      </c>
      <c r="E22" s="3" t="inlineStr">
        <is>
          <t>MK-PL-M-021</t>
        </is>
      </c>
      <c r="F22" s="3" t="inlineStr">
        <is>
          <t>Named by 1 figure(s)</t>
        </is>
      </c>
    </row>
    <row r="23" ht="30" customHeight="1">
      <c r="A23" s="3" t="inlineStr">
        <is>
          <t>MK-PL-E-012</t>
        </is>
      </c>
      <c r="B23" s="3" t="inlineStr">
        <is>
          <t>the amount the person chose</t>
        </is>
      </c>
      <c r="C23" s="3" t="inlineStr">
        <is>
          <t>On the screen itself — no engine file</t>
        </is>
      </c>
      <c r="D23" s="3" t="inlineStr">
        <is>
          <t>—</t>
        </is>
      </c>
      <c r="E23" s="3" t="inlineStr">
        <is>
          <t>MK-PL-M-022 · MK-PL-M-025 · MK-PL-M-030</t>
        </is>
      </c>
      <c r="F23" s="3" t="inlineStr">
        <is>
          <t>Named by 3 figure(s)</t>
        </is>
      </c>
    </row>
    <row r="24" ht="15" customHeight="1">
      <c r="A24" s="3" t="inlineStr">
        <is>
          <t>MK-PL-E-013</t>
        </is>
      </c>
      <c r="B24" s="3" t="inlineStr">
        <is>
          <t>TAX_ON_CONVERSION</t>
        </is>
      </c>
      <c r="C24" s="3" t="inlineStr">
        <is>
          <t>NOT DETERMINED — no source line on record</t>
        </is>
      </c>
      <c r="D24" s="3" t="inlineStr">
        <is>
          <t>—</t>
        </is>
      </c>
      <c r="E24" s="3" t="inlineStr">
        <is>
          <t>MK-PL-M-023</t>
        </is>
      </c>
      <c r="F24" s="3" t="inlineStr">
        <is>
          <t>Named by 1 figure(s)</t>
        </is>
      </c>
    </row>
    <row r="25" ht="15" customHeight="1">
      <c r="A25" s="3" t="inlineStr">
        <is>
          <t>MK-PL-E-014</t>
        </is>
      </c>
      <c r="B25" s="3" t="inlineStr">
        <is>
          <t>PRE_TAX_BALANCE</t>
        </is>
      </c>
      <c r="C25" s="3" t="inlineStr">
        <is>
          <t>NOT DETERMINED — no source line on record</t>
        </is>
      </c>
      <c r="D25" s="3" t="inlineStr">
        <is>
          <t>—</t>
        </is>
      </c>
      <c r="E25" s="3" t="inlineStr">
        <is>
          <t>MK-PL-M-024</t>
        </is>
      </c>
      <c r="F25" s="3" t="inlineStr">
        <is>
          <t>Named by 1 figure(s)</t>
        </is>
      </c>
    </row>
    <row r="26" ht="30" customHeight="1">
      <c r="A26" s="3" t="inlineStr">
        <is>
          <t>MK-PL-E-015</t>
        </is>
      </c>
      <c r="B26" s="3" t="inlineStr">
        <is>
          <t>POT_AT_RETIREMENT</t>
        </is>
      </c>
      <c r="C26" s="3" t="inlineStr">
        <is>
          <t>src/domain/retirement/index.ts:324</t>
        </is>
      </c>
      <c r="D26" s="3" t="inlineStr">
        <is>
          <t>What will the pot be worth at retirement, and how big does it need to be?</t>
        </is>
      </c>
      <c r="E26" s="3" t="inlineStr">
        <is>
          <t>MK-PL-M-026 · MK-PL-M-033</t>
        </is>
      </c>
      <c r="F26" s="3" t="inlineStr">
        <is>
          <t>Named by 2 figure(s)</t>
        </is>
      </c>
    </row>
    <row r="27" ht="15" customHeight="1">
      <c r="A27" s="3" t="inlineStr">
        <is>
          <t>MK-PL-E-016</t>
        </is>
      </c>
      <c r="B27" s="3" t="inlineStr">
        <is>
          <t>the amounts the person chose</t>
        </is>
      </c>
      <c r="C27" s="3" t="inlineStr">
        <is>
          <t>On the screen itself — no engine file</t>
        </is>
      </c>
      <c r="D27" s="3" t="inlineStr">
        <is>
          <t>—</t>
        </is>
      </c>
      <c r="E27" s="3" t="inlineStr">
        <is>
          <t>MK-PL-M-028</t>
        </is>
      </c>
      <c r="F27" s="3" t="inlineStr">
        <is>
          <t>Named by 1 figure(s)</t>
        </is>
      </c>
    </row>
    <row r="28" ht="15" customHeight="1">
      <c r="A28" s="3" t="inlineStr">
        <is>
          <t>MK-PL-E-017</t>
        </is>
      </c>
      <c r="B28" s="3" t="inlineStr">
        <is>
          <t>DEBT_PAYOFF</t>
        </is>
      </c>
      <c r="C28" s="3" t="inlineStr">
        <is>
          <t>NOT DETERMINED — no source line on record</t>
        </is>
      </c>
      <c r="D28" s="3" t="inlineStr">
        <is>
          <t>—</t>
        </is>
      </c>
      <c r="E28" s="3" t="inlineStr">
        <is>
          <t>MK-PL-M-031</t>
        </is>
      </c>
      <c r="F28" s="3" t="inlineStr">
        <is>
          <t>Named by 1 figure(s)</t>
        </is>
      </c>
    </row>
    <row r="29" ht="15" customHeight="1">
      <c r="A29" s="3" t="inlineStr">
        <is>
          <t>MK-PL-E-018</t>
        </is>
      </c>
      <c r="B29" s="3" t="inlineStr">
        <is>
          <t>the age the person chose</t>
        </is>
      </c>
      <c r="C29" s="3" t="inlineStr">
        <is>
          <t>On the screen itself — no engine file</t>
        </is>
      </c>
      <c r="D29" s="3" t="inlineStr">
        <is>
          <t>—</t>
        </is>
      </c>
      <c r="E29" s="3" t="inlineStr">
        <is>
          <t>MK-PL-M-035</t>
        </is>
      </c>
      <c r="F29" s="3" t="inlineStr">
        <is>
          <t>Named by 1 figure(s)</t>
        </is>
      </c>
    </row>
    <row r="30" ht="15" customHeight="1">
      <c r="A30" s="3" t="inlineStr">
        <is>
          <t>MK-PL-E-019</t>
        </is>
      </c>
      <c r="B30" s="3" t="inlineStr">
        <is>
          <t>EDUCATION_COST</t>
        </is>
      </c>
      <c r="C30" s="3" t="inlineStr">
        <is>
          <t>NOT DETERMINED — no source line on record</t>
        </is>
      </c>
      <c r="D30" s="3" t="inlineStr">
        <is>
          <t>—</t>
        </is>
      </c>
      <c r="E30" s="3" t="inlineStr">
        <is>
          <t>MK-PL-M-036 · MK-PL-M-037</t>
        </is>
      </c>
      <c r="F30" s="3" t="inlineStr">
        <is>
          <t>Named by 2 figure(s)</t>
        </is>
      </c>
    </row>
    <row r="31" ht="30" customHeight="1">
      <c r="A31" s="3" t="inlineStr">
        <is>
          <t>MK-XS-E-001</t>
        </is>
      </c>
      <c r="B31" s="3" t="inlineStr">
        <is>
          <t>NEST_EGG</t>
        </is>
      </c>
      <c r="C31" s="3" t="inlineStr">
        <is>
          <t>src/domain/assets/index.ts:548</t>
        </is>
      </c>
      <c r="D31" s="3" t="inlineStr">
        <is>
          <t>What is my retirement pot worth?</t>
        </is>
      </c>
      <c r="E31" s="3" t="inlineStr">
        <is>
          <t>—</t>
        </is>
      </c>
      <c r="F31" s="3" t="inlineStr">
        <is>
          <t>Only as another engine’s dependency — no figure names it directly</t>
        </is>
      </c>
    </row>
    <row r="32" ht="30" customHeight="1">
      <c r="A32" s="3" t="inlineStr">
        <is>
          <t>MK-XS-E-002</t>
        </is>
      </c>
      <c r="B32" s="3" t="inlineStr">
        <is>
          <t>ODDS_DISPLAY</t>
        </is>
      </c>
      <c r="C32" s="3" t="inlineStr">
        <is>
          <t>src/domain/retirement/willItLast.ts:55</t>
        </is>
      </c>
      <c r="D32" s="3" t="inlineStr">
        <is>
          <t>The retirement odds a person actually sees. Answers: 0, 5, 10 … 100 — the exact simulation</t>
        </is>
      </c>
      <c r="E32" s="3" t="inlineStr">
        <is>
          <t>—</t>
        </is>
      </c>
      <c r="F32" s="3" t="inlineStr">
        <is>
          <t>Only as another engine’s dependency — no figure names it directly</t>
        </is>
      </c>
    </row>
    <row r="33" ht="15" customHeight="1">
      <c r="A33" s="3" t="inlineStr">
        <is>
          <t>MK-XS-E-003</t>
        </is>
      </c>
      <c r="B33" s="3" t="inlineStr">
        <is>
          <t>RETIREMENT_SPENDING</t>
        </is>
      </c>
      <c r="C33" s="3" t="inlineStr">
        <is>
          <t>src/domain/retirement/index.ts:49</t>
        </is>
      </c>
      <c r="D33" s="3" t="inlineStr">
        <is>
          <t>What will be spent each month in retirement?</t>
        </is>
      </c>
      <c r="E33" s="3" t="inlineStr">
        <is>
          <t>MK-PL-M-009</t>
        </is>
      </c>
      <c r="F33" s="3" t="inlineStr">
        <is>
          <t>Named by 1 figure(s)</t>
        </is>
      </c>
    </row>
    <row r="34" ht="30" customHeight="1">
      <c r="A34" s="3" t="inlineStr">
        <is>
          <t>MK-XS-E-004</t>
        </is>
      </c>
      <c r="B34" s="3" t="inlineStr">
        <is>
          <t>WILL_IT_LAST</t>
        </is>
      </c>
      <c r="C34" s="3" t="inlineStr">
        <is>
          <t>src/domain/retirement/index.ts:156</t>
        </is>
      </c>
      <c r="D34" s="3" t="inlineStr">
        <is>
          <t>Will my money last?</t>
        </is>
      </c>
      <c r="E34" s="3" t="inlineStr">
        <is>
          <t>—</t>
        </is>
      </c>
      <c r="F34" s="3" t="inlineStr">
        <is>
          <t>Only as another engine’s dependency — no figure names it directly</t>
        </is>
      </c>
    </row>
    <row r="35" ht="30" customHeight="1">
      <c r="A35" s="3" t="inlineStr">
        <is>
          <t>MK-XS-E-005</t>
        </is>
      </c>
      <c r="B35" s="3" t="inlineStr">
        <is>
          <t>WILL_IT_LAST_INPUTS</t>
        </is>
      </c>
      <c r="C35" s="3" t="inlineStr">
        <is>
          <t>src/domain/retirement/willItLast.ts:62</t>
        </is>
      </c>
      <c r="D35" s="3" t="inlineStr">
        <is>
          <t>What goes into working out the odds?</t>
        </is>
      </c>
      <c r="E35" s="3" t="inlineStr">
        <is>
          <t>MK-PL-M-008 · MK-PL-M-011 · MK-PL-M-029</t>
        </is>
      </c>
      <c r="F35" s="3" t="inlineStr">
        <is>
          <t>Named by 3 figure(s)</t>
        </is>
      </c>
    </row>
    <row r="36" ht="15" customHeight="1">
      <c r="A36" s="3" t="inlineStr">
        <is>
          <t>MK-XS-E-006</t>
        </is>
      </c>
      <c r="B36" s="3" t="inlineStr">
        <is>
          <t>WILL_IT_LAST_RESULT</t>
        </is>
      </c>
      <c r="C36" s="3" t="inlineStr">
        <is>
          <t>src/domain/retirement/willItLast.ts:149</t>
        </is>
      </c>
      <c r="D36" s="3" t="inlineStr">
        <is>
          <t>What are the odds, and can we honestly show them?</t>
        </is>
      </c>
      <c r="E36" s="3" t="inlineStr">
        <is>
          <t>MK-PL-M-034 · MK-XS-M-002</t>
        </is>
      </c>
      <c r="F36" s="3" t="inlineStr">
        <is>
          <t>Named by 2 figure(s)</t>
        </is>
      </c>
    </row>
    <row r="37" ht="30" customHeight="1">
      <c r="A37" s="3" t="inlineStr">
        <is>
          <t>MK-XS-E-007</t>
        </is>
      </c>
      <c r="B37" s="3" t="inlineStr">
        <is>
          <t>NOT IN OLD MASTER — budgetVsActual, src/domain/budget</t>
        </is>
      </c>
      <c r="C37" s="3" t="inlineStr">
        <is>
          <t>NOT DETERMINED — no source line on record</t>
        </is>
      </c>
      <c r="D37" s="3" t="inlineStr">
        <is>
          <t>—</t>
        </is>
      </c>
      <c r="E37" s="3" t="inlineStr">
        <is>
          <t>MK-XS-M-005</t>
        </is>
      </c>
      <c r="F37" s="3" t="inlineStr">
        <is>
          <t>Named by 1 figure(s)</t>
        </is>
      </c>
    </row>
    <row r="38" ht="30" customHeight="1">
      <c r="A38" s="3" t="inlineStr">
        <is>
          <t>MK-XS-E-008</t>
        </is>
      </c>
      <c r="B38" s="3" t="inlineStr">
        <is>
          <t>NOT IN OLD MASTER — incomeMonthlyGrid, src/domain/income</t>
        </is>
      </c>
      <c r="C38" s="3" t="inlineStr">
        <is>
          <t>NOT DETERMINED — no source line on record</t>
        </is>
      </c>
      <c r="D38" s="3" t="inlineStr">
        <is>
          <t>—</t>
        </is>
      </c>
      <c r="E38" s="3" t="inlineStr">
        <is>
          <t>MK-XS-M-006</t>
        </is>
      </c>
      <c r="F38" s="3" t="inlineStr">
        <is>
          <t>Named by 1 figure(s)</t>
        </is>
      </c>
    </row>
    <row r="39" ht="30" customHeight="1">
      <c r="A39" s="3" t="inlineStr">
        <is>
          <t>MK-XS-E-009</t>
        </is>
      </c>
      <c r="B39" s="3" t="inlineStr">
        <is>
          <t>FETCH_PRICES</t>
        </is>
      </c>
      <c r="C39" s="3" t="inlineStr">
        <is>
          <t>src/services/marketData.ts:71</t>
        </is>
      </c>
      <c r="D39" s="3" t="inlineStr">
        <is>
          <t>What are these holdings worth?</t>
        </is>
      </c>
      <c r="E39" s="3" t="inlineStr">
        <is>
          <t>—</t>
        </is>
      </c>
      <c r="F39" s="3" t="inlineStr">
        <is>
          <t>Only as another engine’s dependency — no figure names it directly</t>
        </is>
      </c>
    </row>
    <row r="40" ht="30" customHeight="1">
      <c r="A40" s="3" t="inlineStr">
        <is>
          <t>MK-XS-E-010</t>
        </is>
      </c>
      <c r="B40" s="3" t="inlineStr">
        <is>
          <t>EFFECTIVE_TAX_RATE</t>
        </is>
      </c>
      <c r="C40" s="3" t="inlineStr">
        <is>
          <t>src/domain/income/tax.ts:130</t>
        </is>
      </c>
      <c r="D40" s="3" t="inlineStr">
        <is>
          <t>What share of my income actually goes in tax?</t>
        </is>
      </c>
      <c r="E40" s="3" t="inlineStr">
        <is>
          <t>—</t>
        </is>
      </c>
      <c r="F40" s="3" t="inlineStr">
        <is>
          <t>Only as another engine’s dependency — no figure names it directly</t>
        </is>
      </c>
    </row>
    <row r="41" ht="30" customHeight="1">
      <c r="A41" s="3" t="inlineStr">
        <is>
          <t>MK-XS-E-011</t>
        </is>
      </c>
      <c r="B41" s="3" t="inlineStr">
        <is>
          <t>EXPECTED_RETURN_BLENDED</t>
        </is>
      </c>
      <c r="C41" s="3" t="inlineStr">
        <is>
          <t>src/domain/assets/index.ts:638</t>
        </is>
      </c>
      <c r="D41" s="3" t="inlineStr">
        <is>
          <t>What return should I expect on everything I hold together?</t>
        </is>
      </c>
      <c r="E41" s="3" t="inlineStr">
        <is>
          <t>—</t>
        </is>
      </c>
      <c r="F41" s="3" t="inlineStr">
        <is>
          <t>Only as another engine’s dependency — no figure names it directly</t>
        </is>
      </c>
    </row>
    <row r="42" ht="30" customHeight="1">
      <c r="A42" s="3" t="inlineStr">
        <is>
          <t>MK-XS-E-012</t>
        </is>
      </c>
      <c r="B42" s="3" t="inlineStr">
        <is>
          <t>EXPECTED_SWING_BLENDED</t>
        </is>
      </c>
      <c r="C42" s="3" t="inlineStr">
        <is>
          <t>src/domain/assets/index.ts:597</t>
        </is>
      </c>
      <c r="D42" s="3" t="inlineStr">
        <is>
          <t>How much does a year's return typically swing around that average?</t>
        </is>
      </c>
      <c r="E42" s="3" t="inlineStr">
        <is>
          <t>—</t>
        </is>
      </c>
      <c r="F42" s="3" t="inlineStr">
        <is>
          <t>Only as another engine’s dependency — no figure names it directly</t>
        </is>
      </c>
    </row>
    <row r="43" ht="30" customHeight="1">
      <c r="A43" s="3" t="inlineStr">
        <is>
          <t>MK-XS-E-013</t>
        </is>
      </c>
      <c r="B43" s="3" t="inlineStr">
        <is>
          <t>FILING_STATUS</t>
        </is>
      </c>
      <c r="C43" s="3" t="inlineStr">
        <is>
          <t>src/domain/income/onboarding.ts:354</t>
        </is>
      </c>
      <c r="D43" s="3" t="inlineStr">
        <is>
          <t>How does this person file?</t>
        </is>
      </c>
      <c r="E43" s="3" t="inlineStr">
        <is>
          <t>—</t>
        </is>
      </c>
      <c r="F43" s="3" t="inlineStr">
        <is>
          <t>Only as another engine’s dependency — no figure names it directly</t>
        </is>
      </c>
    </row>
    <row r="44" ht="30" customHeight="1">
      <c r="A44" s="3" t="inlineStr">
        <is>
          <t>MK-XS-E-014</t>
        </is>
      </c>
      <c r="B44" s="3" t="inlineStr">
        <is>
          <t>GUARANTEED_OUTSIDE_STREAMS</t>
        </is>
      </c>
      <c r="C44" s="3" t="inlineStr">
        <is>
          <t>src/domain/income/onboarding.ts:227</t>
        </is>
      </c>
      <c r="D44" s="3" t="inlineStr">
        <is>
          <t>The plan's guaranteed-income input as separate streams of OUTSIDE money only. Answers: zer</t>
        </is>
      </c>
      <c r="E44" s="3" t="inlineStr">
        <is>
          <t>—</t>
        </is>
      </c>
      <c r="F44" s="3" t="inlineStr">
        <is>
          <t>Only as another engine’s dependency — no figure names it directly</t>
        </is>
      </c>
    </row>
    <row r="45" ht="30" customHeight="1">
      <c r="A45" s="3" t="inlineStr">
        <is>
          <t>MK-XS-E-015</t>
        </is>
      </c>
      <c r="B45" s="3" t="inlineStr">
        <is>
          <t>MONTHLY_SAVING</t>
        </is>
      </c>
      <c r="C45" s="3" t="inlineStr">
        <is>
          <t>src/domain/assets/index.ts:695</t>
        </is>
      </c>
      <c r="D45" s="3" t="inlineStr">
        <is>
          <t>How much goes in each month?</t>
        </is>
      </c>
      <c r="E45" s="3" t="inlineStr">
        <is>
          <t>—</t>
        </is>
      </c>
      <c r="F45" s="3" t="inlineStr">
        <is>
          <t>Only as another engine’s dependency — no figure names it directly</t>
        </is>
      </c>
    </row>
    <row r="46" ht="30" customHeight="1">
      <c r="A46" s="3" t="inlineStr">
        <is>
          <t>MK-XS-E-016</t>
        </is>
      </c>
      <c r="B46" s="3" t="inlineStr">
        <is>
          <t>REPORTED_RETURN</t>
        </is>
      </c>
      <c r="C46" s="3" t="inlineStr">
        <is>
          <t>src/domain/assets/index.ts:108</t>
        </is>
      </c>
      <c r="D46" s="3" t="inlineStr">
        <is>
          <t>What return did the person say they actually earned over the past year?</t>
        </is>
      </c>
      <c r="E46" s="3" t="inlineStr">
        <is>
          <t>—</t>
        </is>
      </c>
      <c r="F46" s="3" t="inlineStr">
        <is>
          <t>Only as another engine’s dependency — no figure names it directly</t>
        </is>
      </c>
    </row>
    <row r="47" ht="30" customHeight="1">
      <c r="A47" s="3" t="inlineStr">
        <is>
          <t>MK-XS-E-017</t>
        </is>
      </c>
      <c r="B47" s="3" t="inlineStr">
        <is>
          <t>SPLIT_BY_HOW_IT_IS_TAXED</t>
        </is>
      </c>
      <c r="C47" s="3" t="inlineStr">
        <is>
          <t>src/domain/decumulation/index.ts:11</t>
        </is>
      </c>
      <c r="D47" s="3" t="inlineStr">
        <is>
          <t>How is the retirement money split by the tax that will be owed on it?</t>
        </is>
      </c>
      <c r="E47" s="3" t="inlineStr">
        <is>
          <t>—</t>
        </is>
      </c>
      <c r="F47" s="3" t="inlineStr">
        <is>
          <t>Only as another engine’s dependency — no figure names it directly</t>
        </is>
      </c>
    </row>
    <row r="48" ht="30" customHeight="1">
      <c r="A48" s="3" t="inlineStr">
        <is>
          <t>MK-XS-E-018</t>
        </is>
      </c>
      <c r="B48" s="3" t="inlineStr">
        <is>
          <t>SS_BENEFIT_AT_AGE</t>
        </is>
      </c>
      <c r="C48" s="3" t="inlineStr">
        <is>
          <t>src/domain/retirement/ssTiming.ts:54</t>
        </is>
      </c>
      <c r="D48" s="3" t="inlineStr">
        <is>
          <t>The monthly Social Security check at a chosen claim age, in today's dollars. Answers: a wh</t>
        </is>
      </c>
      <c r="E48" s="3" t="inlineStr">
        <is>
          <t>MK-PL-M-017</t>
        </is>
      </c>
      <c r="F48" s="3" t="inlineStr">
        <is>
          <t>Named by 1 figure(s)</t>
        </is>
      </c>
    </row>
    <row r="49" ht="30" customHeight="1">
      <c r="A49" s="3" t="inlineStr">
        <is>
          <t>MK-XS-E-019</t>
        </is>
      </c>
      <c r="B49" s="3" t="inlineStr">
        <is>
          <t>STATE_TAX_RATE</t>
        </is>
      </c>
      <c r="C49" s="3" t="inlineStr">
        <is>
          <t>src/domain/income/onboarding.ts:358</t>
        </is>
      </c>
      <c r="D49" s="3" t="inlineStr">
        <is>
          <t>What state tax rate applies?</t>
        </is>
      </c>
      <c r="E49" s="3" t="inlineStr">
        <is>
          <t>—</t>
        </is>
      </c>
      <c r="F49" s="3" t="inlineStr">
        <is>
          <t>Only as another engine’s dependency — no figure names it directly</t>
        </is>
      </c>
    </row>
    <row r="50" ht="30" customHeight="1">
      <c r="A50" s="3" t="inlineStr">
        <is>
          <t>MK-XS-E-020</t>
        </is>
      </c>
      <c r="B50" s="3" t="inlineStr">
        <is>
          <t>SWING_FROM_RETURN</t>
        </is>
      </c>
      <c r="C50" s="3" t="inlineStr">
        <is>
          <t>src/domain/retirement/willItLast.ts:19</t>
        </is>
      </c>
      <c r="D50" s="3" t="inlineStr">
        <is>
          <t>How much might a year's return swing, judged from the return alone?</t>
        </is>
      </c>
      <c r="E50" s="3" t="inlineStr">
        <is>
          <t>—</t>
        </is>
      </c>
      <c r="F50" s="3" t="inlineStr">
        <is>
          <t>Only as another engine’s dependency — no figure names it directly</t>
        </is>
      </c>
    </row>
    <row r="51" ht="30" customHeight="1">
      <c r="A51" s="3" t="inlineStr">
        <is>
          <t>MK-XS-E-021</t>
        </is>
      </c>
      <c r="B51" s="3" t="inlineStr">
        <is>
          <t>TAX_OVER65_COUNT</t>
        </is>
      </c>
      <c r="C51" s="3" t="inlineStr">
        <is>
          <t>src/domain/income/onboarding.ts:405</t>
        </is>
      </c>
      <c r="D51" s="3" t="inlineStr">
        <is>
          <t xml:space="preserve">How many people on the tax return are 65 or older — the input the over-65 deduction needs </t>
        </is>
      </c>
      <c r="E51" s="3" t="inlineStr">
        <is>
          <t>—</t>
        </is>
      </c>
      <c r="F51" s="3" t="inlineStr">
        <is>
          <t>Only as another engine’s dependency — no figure names it directly</t>
        </is>
      </c>
    </row>
    <row r="52" ht="30" customHeight="1">
      <c r="A52" s="3" t="inlineStr">
        <is>
          <t>MK-XS-E-022</t>
        </is>
      </c>
      <c r="B52" s="3" t="inlineStr">
        <is>
          <t>TOTAL_INCOME</t>
        </is>
      </c>
      <c r="C52" s="3" t="inlineStr">
        <is>
          <t>src/domain/income/onboarding.ts:337</t>
        </is>
      </c>
      <c r="D52" s="3" t="inlineStr">
        <is>
          <t>What is the whole household income for the year, before tax?</t>
        </is>
      </c>
      <c r="E52" s="3" t="inlineStr">
        <is>
          <t>MK-MN-M-011 · MK-MN-M-012 · MK-MN-M-013</t>
        </is>
      </c>
      <c r="F52" s="3" t="inlineStr">
        <is>
          <t>Named by 3 figure(s)</t>
        </is>
      </c>
    </row>
    <row r="53" ht="30" customHeight="1">
      <c r="A53" s="3" t="inlineStr">
        <is>
          <t>MK-XS-E-023</t>
        </is>
      </c>
      <c r="B53" s="3" t="inlineStr">
        <is>
          <t>COST_OF_LIVING</t>
        </is>
      </c>
      <c r="C53" s="3" t="inlineStr">
        <is>
          <t>src/domain/retirement/col.ts:53</t>
        </is>
      </c>
      <c r="D53" s="3" t="inlineStr">
        <is>
          <t>How much more or less does life cost where they plan to live?</t>
        </is>
      </c>
      <c r="E53" s="3" t="inlineStr">
        <is>
          <t>—</t>
        </is>
      </c>
      <c r="F53" s="3" t="inlineStr">
        <is>
          <t>Only as another engine’s dependency — no figure names it directly</t>
        </is>
      </c>
    </row>
    <row r="54" ht="30" customHeight="1">
      <c r="A54" s="3" t="inlineStr">
        <is>
          <t>MK-XS-E-024</t>
        </is>
      </c>
      <c r="B54" s="3" t="inlineStr">
        <is>
          <t>READ_A_NUMBER</t>
        </is>
      </c>
      <c r="C54" s="3" t="inlineStr">
        <is>
          <t>src/domain/_shared/num.ts:4</t>
        </is>
      </c>
      <c r="D54" s="3" t="inlineStr">
        <is>
          <t>What number did the person actually type?</t>
        </is>
      </c>
      <c r="E54" s="3" t="inlineStr">
        <is>
          <t>—</t>
        </is>
      </c>
      <c r="F54" s="3" t="inlineStr">
        <is>
          <t>Only as another engine’s dependency — no figure names it directly</t>
        </is>
      </c>
    </row>
    <row r="55" ht="30" customHeight="1">
      <c r="A55" s="3" t="inlineStr">
        <is>
          <t>MK-XS-E-025</t>
        </is>
      </c>
      <c r="B55" s="3" t="inlineStr">
        <is>
          <t>SS_CLAIM_FACTOR</t>
        </is>
      </c>
      <c r="C55" s="3" t="inlineStr">
        <is>
          <t>src/domain/retirement/ssTiming.ts:34</t>
        </is>
      </c>
      <c r="D55" s="3" t="inlineStr">
        <is>
          <t>How much of the statement amount a claim age actually pays, anchored at the person's OWN f</t>
        </is>
      </c>
      <c r="E55" s="3" t="inlineStr">
        <is>
          <t>—</t>
        </is>
      </c>
      <c r="F55" s="3" t="inlineStr">
        <is>
          <t>Only as another engine’s dependency — no figure names it directly</t>
        </is>
      </c>
    </row>
    <row r="56" ht="30" customHeight="1">
      <c r="A56" s="3" t="inlineStr">
        <is>
          <t>MK-XS-E-026</t>
        </is>
      </c>
      <c r="B56" s="3" t="inlineStr">
        <is>
          <t>RETIREMENT_INCOME</t>
        </is>
      </c>
      <c r="C56" s="3" t="inlineStr">
        <is>
          <t>src/domain/income/onboarding.ts:213</t>
        </is>
      </c>
      <c r="D56" s="3" t="inlineStr">
        <is>
          <t>How much retirement income arrives monthly?</t>
        </is>
      </c>
      <c r="E56" s="3" t="inlineStr">
        <is>
          <t>—</t>
        </is>
      </c>
      <c r="F56" s="3" t="inlineStr">
        <is>
          <t>Only as another engine’s dependency — no figure names it directly</t>
        </is>
      </c>
    </row>
    <row r="57" ht="30" customHeight="1">
      <c r="A57" s="3" t="inlineStr">
        <is>
          <t>MK-XS-E-027</t>
        </is>
      </c>
      <c r="B57" s="3" t="inlineStr">
        <is>
          <t>SS_FULL_RETIREMENT_AGE</t>
        </is>
      </c>
      <c r="C57" s="3" t="inlineStr">
        <is>
          <t>src/domain/retirement/ssTiming.ts:23</t>
        </is>
      </c>
      <c r="D57" s="3" t="inlineStr">
        <is>
          <t>The person's own Social Security full retirement age. Answers: 66 (born through 1954) · 66</t>
        </is>
      </c>
      <c r="E57" s="3" t="inlineStr">
        <is>
          <t>—</t>
        </is>
      </c>
      <c r="F57" s="3" t="inlineStr">
        <is>
          <t>Only as another engine’s dependency — no figure names it directly</t>
        </is>
      </c>
    </row>
    <row r="58" ht="30" customHeight="1">
      <c r="A58" s="3" t="inlineStr">
        <is>
          <t>MK-XS-E-028</t>
        </is>
      </c>
      <c r="B58" s="3" t="inlineStr">
        <is>
          <t>SPENDING_BY_KIND</t>
        </is>
      </c>
      <c r="C58" s="3" t="inlineStr">
        <is>
          <t>src/domain/budget/index.ts:72</t>
        </is>
      </c>
      <c r="D58" s="3" t="inlineStr">
        <is>
          <t>What is spent each month, split by kind?</t>
        </is>
      </c>
      <c r="E58" s="3" t="inlineStr">
        <is>
          <t>—</t>
        </is>
      </c>
      <c r="F58" s="3" t="inlineStr">
        <is>
          <t>Only as another engine’s dependency — no figure names it directly</t>
        </is>
      </c>
    </row>
    <row r="59" ht="30" customHeight="1">
      <c r="A59" s="3" t="inlineStr">
        <is>
          <t>MK-XS-E-029</t>
        </is>
      </c>
      <c r="B59" s="3" t="inlineStr">
        <is>
          <t>EQUITY_THIS_YEAR</t>
        </is>
      </c>
      <c r="C59" s="3" t="inlineStr">
        <is>
          <t>src/domain/income/onboarding.ts:114</t>
        </is>
      </c>
      <c r="D59" s="3" t="inlineStr">
        <is>
          <t>How much equity vests this year?</t>
        </is>
      </c>
      <c r="E59" s="3" t="inlineStr">
        <is>
          <t>—</t>
        </is>
      </c>
      <c r="F59" s="3" t="inlineStr">
        <is>
          <t>Only as another engine’s dependency — no figure names it directly</t>
        </is>
      </c>
    </row>
    <row r="60" ht="30" customHeight="1">
      <c r="A60" s="3" t="inlineStr">
        <is>
          <t>MK-XS-E-030</t>
        </is>
      </c>
      <c r="B60" s="3" t="inlineStr">
        <is>
          <t>OTHER_INCOME</t>
        </is>
      </c>
      <c r="C60" s="3" t="inlineStr">
        <is>
          <t>src/domain/income/onboarding.ts:161</t>
        </is>
      </c>
      <c r="D60" s="3" t="inlineStr">
        <is>
          <t>What else comes in?</t>
        </is>
      </c>
      <c r="E60" s="3" t="inlineStr">
        <is>
          <t>—</t>
        </is>
      </c>
      <c r="F60" s="3" t="inlineStr">
        <is>
          <t>Only as another engine’s dependency — no figure names it directly</t>
        </is>
      </c>
    </row>
    <row r="61" ht="30" customHeight="1">
      <c r="A61" s="3" t="inlineStr">
        <is>
          <t>MK-XS-E-031</t>
        </is>
      </c>
      <c r="B61" s="3" t="inlineStr">
        <is>
          <t>RENTAL_INCOME_A_YEAR</t>
        </is>
      </c>
      <c r="C61" s="3" t="inlineStr">
        <is>
          <t>src/domain/income/onboarding.ts:142</t>
        </is>
      </c>
      <c r="D61" s="3" t="inlineStr">
        <is>
          <t>What do the rentals net over a year?</t>
        </is>
      </c>
      <c r="E61" s="3" t="inlineStr">
        <is>
          <t>—</t>
        </is>
      </c>
      <c r="F61" s="3" t="inlineStr">
        <is>
          <t>Only as another engine’s dependency — no figure names it directly</t>
        </is>
      </c>
    </row>
    <row r="62" ht="30" customHeight="1">
      <c r="A62" s="3" t="inlineStr">
        <is>
          <t>MK-XS-E-032</t>
        </is>
      </c>
      <c r="B62" s="3" t="inlineStr">
        <is>
          <t>SALARY_A_YEAR</t>
        </is>
      </c>
      <c r="C62" s="3" t="inlineStr">
        <is>
          <t>src/domain/income/onboarding.ts:331</t>
        </is>
      </c>
      <c r="D62" s="3" t="inlineStr">
        <is>
          <t>What is the salary for the year?</t>
        </is>
      </c>
      <c r="E62" s="3" t="inlineStr">
        <is>
          <t>—</t>
        </is>
      </c>
      <c r="F62" s="3" t="inlineStr">
        <is>
          <t>Only as another engine’s dependency — no figure names it directly</t>
        </is>
      </c>
    </row>
    <row r="63" ht="30" customHeight="1">
      <c r="A63" s="3" t="inlineStr">
        <is>
          <t>MK-XS-E-033</t>
        </is>
      </c>
      <c r="B63" s="3" t="inlineStr">
        <is>
          <t>TIPS_A_YEAR</t>
        </is>
      </c>
      <c r="C63" s="3" t="inlineStr">
        <is>
          <t>src/domain/income/onboarding.ts:204</t>
        </is>
      </c>
      <c r="D63" s="3" t="inlineStr">
        <is>
          <t>What do tips come to over the year?</t>
        </is>
      </c>
      <c r="E63" s="3" t="inlineStr">
        <is>
          <t>—</t>
        </is>
      </c>
      <c r="F63" s="3" t="inlineStr">
        <is>
          <t>Only as another engine’s dependency — no figure names it directly</t>
        </is>
      </c>
    </row>
  </sheetData>
  <autoFilter ref="A1:F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730"/>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206</v>
      </c>
      <c r="Q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95</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111</v>
      </c>
      <c r="Q4" s="3" t="inlineStr">
        <is>
          <t>1. MK-CF-F-092 incomeMonthlyGrid
2. MK-CF-F-004 spendBuckets
3. MK-XS-F-027 takeHomeMonthly
4. MK-ST-F-052 toNum
5. MK-CF-F-069 benefitActiveMonths
6. MK-CF-F-072 currentRetirementIncomeMonthly
7. MK-CF-F-173 earnerWages
8. MK-CF-F-065 equityVestWeights
9. MK-CF-F-071 extraIncome
10. MK-ST-F-056 has
11. MK-CF-F-206 householdK401ByMonth
12. MK-CF-F-132 map
13. MK-CF-F-087 monthlyTaxRates
14. MK-CF-F-073 otherIncomeMonth
15. MK-CF-F-181 rateInForce
16. MK-CF-F-068 rentalNetAnnual
17. MK-CF-F-066 rsuAnnual
18. MK-CF-F-060 salaryGrossByMonth
19. MK-CF-F-077 scholarshipByCalendarMonth
20. MK-CF-F-088 taxableByCalendarMonth
21. MK-CF-F-177 wageGrossByMonth
22. MK-PL-F-012 waterfall
23. MK-CF-F-003 categoryMonthly
24. MK-CF-F-011 savingsByMonth
25. MK-XS-F-122 n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MK-CF-F-120 pctBaseMonthly
49. MK-CF-F-008 spendByMonth
50. MK-CF-O-010 theMonth
51. MK-CF-F-100 taxableIncomeFor
52. MK-CF-F-074 tipsAnnual
53. MK-CF-F-151 actualSpending
54. MK-CF-F-150 debtPaymentsCountedAsExpenses
55. MK-CF-F-153 radar
56. MK-CF-F-149 recurringDebtPayments
57. MK-ST-F-085 rentFigure
58. MK-CF-F-216 typed
59. MK-CF-F-165 salaryMonths
60. MK-CF-F-155 cash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MK-NW-F-112 yearlyInterest
84. MK-ST-F-048 currencySymbol
85. MK-ST-F-027 accountId
86. MK-NW-F-057 annualCoupon
87. MK-NW-F-056 bondInfo
88. MK-NW-F-064 bondRateSensitivity
89. MK-NW-F-061 bondSummary
90. MK-NW-F-055 isBond
91. MK-NW-F-124 maturityParts
92. MK-NW-F-072 rowOf
93. MK-ST-F-047 activeCurrency
94. MK-NW-F-060 approxYTM
95. MK-NW-F-069 priceAtYield
96. MK-NW-F-131 pricedLikeBond
97. MK-NW-F-125 isPastMaturity
98. MK-ST-F-065 isoLocalDate
99. MK-NW-F-126 yearlyInterestNow
100. MK-NW-F-011 assetClassOf
101. MK-NW-F-009 maturityClass
102. MK-NW-F-070 accruedInterestCaveat
103. MK-NW-F-058 yearsToMaturity
104. MK-NW-F-119 estimatedAccrued
105. MK-NW-F-120 classEvidenceOf
106. MK-NW-F-067 plural
107. MK-NW-F-008 incomeBearingClassOf
108. MK-ST-F-010 nameEvidence
109. MK-XS-F-147 call
110. MK-XS-F-064 currentIdToken
111.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S4" s="3" t="inlineStr">
        <is>
          <t>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177</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110</v>
      </c>
      <c r="Q5" s="3" t="inlineStr">
        <is>
          <t>1. MK-CF-F-120 pctBaseMonthly
2. MK-XS-F-027 takeHomeMonthly
3. MK-ST-F-052 toNum
4. MK-CF-F-092 incomeMonthlyGrid
5. MK-CF-F-011 savingsByMonth
6. MK-XS-F-122 n
7. MK-CF-F-069 benefitActiveMonths
8. MK-CF-F-072 currentRetirementIncomeMonthly
9. MK-CF-F-173 earnerWages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MK-CF-F-008 spendByMonth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MK-CF-F-004 spendBuckets
49. MK-CF-O-010 theMonth
50. MK-CF-F-100 taxableIncomeFor
51. MK-CF-F-074 tipsAnnual
52. MK-CF-F-151 actualSpending
53. MK-CF-F-150 debtPaymentsCountedAsExpenses
54. MK-CF-F-153 radar
55. MK-CF-F-149 recurringDebtPayments
56. MK-ST-F-085 rentFigure
57. MK-CF-F-216 typed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MK-NW-F-124 maturityParts
91. MK-NW-F-072 rowOf
92. MK-ST-F-047 activeCurrency
93. MK-NW-F-060 approxYTM
94. MK-NW-F-069 priceAtYield
95. MK-NW-F-131 pricedLikeBond
96. MK-NW-F-125 isPastMaturity
97. MK-ST-F-065 isoLocalDate
98. MK-NW-F-126 yearlyInterestNow
99. MK-NW-F-011 assetClassOf
100. MK-NW-F-009 maturityClass
101. MK-NW-F-070 accruedInterestCaveat
102. MK-NW-F-058 yearsToMaturity
103. MK-NW-F-119 estimatedAccrued
104. MK-NW-F-120 classEvidenceOf
105. MK-NW-F-067 plural
106. MK-NW-F-008 incomeBearingClassOf
107. MK-ST-F-010 nameEvidence
108. MK-XS-F-147 call
109. MK-XS-F-064 currentIdToken
110.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MK-ST-F-056 has → MK-CF-F-172 hasWage → MK-CF-F-173 earnerWages → MK-CF-F-092 incomeMonthlyGrid → MK-CF-F-120 pctBaseMonthly → MK-CF-F-003 categoryMonthly
4. MK-ST-F-052 toNum → MK-CF-F-062 equityRowValue → MK-CF-F-065 equityVestWeights → MK-CF-F-092 incomeMonthlyGrid → MK-CF-F-120 pctBaseMonthly → MK-CF-F-003 categoryMonthly
5. MK-CF-F-132 map → MK-CF-F-065 equityVestWeights → MK-CF-F-092 incomeMonthlyGrid → MK-CF-F-120 pctBaseMonthly → MK-CF-F-003 categoryMonthly
6. MK-CF-F-069 benefitActiveMonths → MK-CF-F-070 benefitAnnual → MK-CF-F-071 extraIncome → MK-CF-F-092 incomeMonthlyGrid → MK-CF-F-120 pctBaseMonthly → MK-CF-F-003 categoryMonthly
7. MK-ST-F-052 toNum → MK-CF-F-070 benefitAnnual → MK-CF-F-071 extraIncome → MK-CF-F-092 incomeMonthlyGrid → MK-CF-F-120 pctBaseMonthly → MK-CF-F-003 categoryMonthly
8. MK-ST-F-039 on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228</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110</v>
      </c>
      <c r="Q6" s="3" t="inlineStr">
        <is>
          <t>1. MK-CF-F-003 categoryMonthly
2. MK-ST-F-052 toNum
3. MK-CF-F-120 pctBaseMonthly
4. MK-XS-F-027 takeHomeMonthly
5. MK-XS-F-122 n
6. MK-CF-F-092 incomeMonthlyGrid
7. MK-CF-F-011 savingsByMonth
8. MK-CF-F-069 benefitActiveMonths
9. MK-CF-F-072 currentRetirementIncomeMonthly
10. MK-CF-F-173 earnerWages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MK-CF-F-177 wageGrossByMonth
25. MK-PL-F-012 waterfall
26. MK-CF-F-008 spendByMonth
27. MK-CF-F-075 retirementIncomeMonthly
28. MK-CF-F-172 hasWage
29. MK-CF-F-062 equityRowValue
30. MK-CF-F-070 benefitAnnual
31. MK-ST-F-039 on
32. MK-CF-F-176 sumMonthsOverEarners
33. MK-CF-F-203 MONTH
34. MK-CF-F-090 effectiveRate
35. MK-CF-F-180 enteredLandsAnnual
36. MK-CF-F-085 filingStatusOf
37. MK-CF-F-089 over65CountOf
38. MK-CF-F-082 salaryAnnual
39. MK-CF-F-086 stateRateOf
40. MK-CF-F-101 taxOwedFor
41. MK-CF-F-084 taxableAnnual
42. MK-CF-O-002 expenses
43. MK-CF-F-067 rentalList
44. MK-CF-F-063 rowVestYear
45. MK-CF-F-130 enteredMonthlyRaw
46. MK-CF-F-166 hasMonthlySalaryTable
47. MK-ST-F-036 reconcile
48. MK-CF-F-167 salaryCalendarYear
49. MK-CF-O-010 theMonth
50. MK-CF-F-100 taxableIncomeFor
51. MK-CF-F-074 tipsAnnual
52. MK-CF-F-151 actualSpending
53. MK-CF-F-150 debtPaymentsCountedAsExpenses
54. MK-CF-F-153 radar
55. MK-CF-F-149 recurringDebtPayments
56. MK-ST-F-085 rentFigure
57. MK-CF-F-216 typed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MK-NW-F-124 maturityParts
91. MK-NW-F-072 rowOf
92. MK-ST-F-047 activeCurrency
93. MK-NW-F-060 approxYTM
94. MK-NW-F-069 priceAtYield
95. MK-NW-F-131 pricedLikeBond
96. MK-NW-F-125 isPastMaturity
97. MK-ST-F-065 isoLocalDate
98. MK-NW-F-126 yearlyInterestNow
99. MK-NW-F-011 assetClassOf
100. MK-NW-F-009 maturityClass
101. MK-NW-F-070 accruedInterestCaveat
102. MK-NW-F-058 yearsToMaturity
103. MK-NW-F-119 estimatedAccrued
104. MK-NW-F-120 classEvidenceOf
105. MK-NW-F-067 plural
106. MK-NW-F-008 incomeBearingClassOf
107. MK-ST-F-010 nameEvidence
108. MK-XS-F-147 call
109. MK-XS-F-064 currentIdToken
110.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MK-CF-F-172 hasWage → MK-CF-F-173 earnerWages → MK-CF-F-092 incomeMonthlyGrid → MK-CF-F-120 pctBaseMonthly → MK-CF-F-003 categoryMonthly → MK-CF-F-004 spendBuckets
4. MK-CF-F-062 equityRowValue → MK-CF-F-065 equityVestWeights → MK-CF-F-092 incomeMonthlyGrid → MK-CF-F-120 pctBaseMonthly → MK-CF-F-003 categoryMonthly → MK-CF-F-004 spendBuckets
5. MK-CF-F-132 map → MK-CF-F-065 equityVestWeights → MK-CF-F-092 incomeMonthlyGrid → MK-CF-F-120 pctBaseMonthly → MK-CF-F-003 categoryMonthly → MK-CF-F-004 spendBuckets
6. MK-CF-F-070 benefitAnnual → MK-CF-F-071 extraIncome → MK-CF-F-092 incomeMonthlyGrid → MK-CF-F-120 pctBaseMonthly → MK-CF-F-003 categoryMonthly → MK-CF-F-004 spendBuckets
7. MK-ST-F-039 on → MK-CF-F-071 extraIncome → MK-CF-F-092 incomeMonthlyGrid → MK-CF-F-120 pctBaseMonthly → MK-CF-F-003 categoryMonthly → MK-CF-F-004 spendBuckets
8. MK-ST-F-052 toNum → MK-CF-F-071 extraIncome → MK-CF-F-092 incomeMonthlyGrid → MK-CF-F-120 pctBaseMonthly → MK-CF-F-003 categoryMonthly → MK-CF-F-004 spendBuckets
9. … and 5 more paths</t>
        </is>
      </c>
      <c r="S6" s="3" t="inlineStr">
        <is>
          <t>—</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324</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110</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MK-NW-F-112 yearlyInterest
25. MK-ST-F-048 currencySymbol
26. MK-ST-F-039 on
27. MK-ST-F-027 accountId
28. MK-NW-F-057 annualCoupon
29. MK-NW-F-056 bondInfo
30. MK-NW-F-064 bondRateSensitivity
31. MK-NW-F-061 bondSummary
32. MK-NW-F-055 isBond
33. MK-NW-F-124 maturityParts
34. MK-NW-F-072 rowOf
35. MK-CF-O-010 theMonth
36. MK-CF-F-021 defaultPaymentType
37. MK-CF-F-069 benefitActiveMonths
38. MK-CF-F-072 currentRetirementIncomeMonthly
39. MK-CF-F-173 earnerWages
40. MK-CF-F-065 equityVestWeights
41. MK-CF-F-071 extraIncome
42. MK-ST-F-056 has
43. MK-CF-F-206 householdK401ByMonth
44. MK-CF-F-087 monthlyTaxRates
45. MK-CF-F-073 otherIncomeMonth
46. MK-CF-F-181 rateInForce
47. MK-CF-F-068 rentalNetAnnual
48. MK-CF-F-066 rsuAnnual
49. MK-CF-F-060 salaryGrossByMonth
50. MK-CF-F-077 scholarshipByCalendarMonth
51. MK-CF-F-088 taxableByCalendarMonth
52. MK-CF-F-177 wageGrossByMonth
53. MK-PL-F-012 waterfall
54. MK-CF-F-008 spendByMonth
55. MK-ST-F-047 activeCurrency
56. MK-NW-F-060 approxYTM
57. MK-NW-F-069 priceAtYield
58. MK-NW-F-131 pricedLikeBond
59. MK-NW-F-125 isPastMaturity
60. MK-ST-F-065 isoLocalDate
61. MK-NW-F-126 yearlyInterestNow
62. MK-NW-F-011 assetClassOf
63. MK-NW-F-009 maturityClass
64. MK-CF-F-216 typed
65. MK-NW-F-070 accruedInterestCaveat
66. MK-NW-F-058 yearsToMaturity
67. MK-CF-O-002 expenses
68. MK-CF-O-003 thisMonth
69. MK-CF-F-075 retirementIncomeMonthly
70. MK-CF-F-172 hasWage
71. MK-CF-F-062 equityRowValue
72. MK-CF-F-070 benefitAnnual
73. MK-CF-F-176 sumMonthsOverEarners
74. MK-CF-F-090 effectiveRate
75. MK-CF-F-180 enteredLandsAnnual
76. MK-CF-F-085 filingStatusOf
77. MK-CF-F-089 over65CountOf
78. MK-CF-F-082 salaryAnnual
79. MK-CF-F-086 stateRateOf
80. MK-CF-F-101 taxOwedFor
81. MK-CF-F-084 taxableAnnual
82. MK-CF-F-067 rentalList
83. MK-CF-F-063 rowVestYear
84. MK-CF-F-130 enteredMonthlyRaw
85. MK-CF-F-166 hasMonthlySalaryTable
86. MK-ST-F-036 reconcile
87. MK-CF-F-167 salaryCalendarYear
88. MK-CF-F-120 pctBaseMonthly
89. MK-CF-F-004 spendBuckets
90. MK-NW-F-119 estimatedAccrued
91. MK-NW-F-120 classEvidenceOf
92. MK-NW-F-067 plural
93. MK-CF-F-151 actualSpending
94. MK-CF-F-150 debtPaymentsCountedAsExpenses
95. MK-CF-F-153 radar
96. MK-CF-F-149 recurringDebtPayments
97. MK-CF-F-156 plannedMonthFlow
98. MK-CF-F-100 taxableIncomeFor
99. MK-CF-F-074 tipsAnnual
100. MK-ST-F-085 rentFigure
101. MK-CF-F-165 salaryMonths
102. MK-CF-F-003 categoryMonthly
103. MK-NW-F-008 incomeBearingClassOf
104. MK-CF-F-099 deductionFor
105. MK-CF-F-081 salaryActiveMonths
106. MK-ST-F-010 nameEvidence
107. MK-CF-F-187 seniorDeductionFor
108. MK-XS-F-147 call
109. MK-XS-F-064 currentIdToken
110.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MK-NW-F-124 maturityParts → MK-NW-F-056 bondInfo → MK-NW-O-001 theBonds → MK-NW-F-077 ALL → MK-NW-F-078 ONE → MK-CF-F-005 actualMonthFlow
5. MK-NW-F-060 approxYTM → MK-NW-F-064 bondRateSensitivity → MK-NW-O-001 theBonds → MK-NW-F-077 ALL → MK-NW-F-078 ONE → MK-CF-F-005 actualMonthFlow
6. MK-NW-F-069 priceAtYield → MK-NW-F-064 bondRateSensitivity → MK-NW-O-001 theBonds → MK-NW-F-077 ALL → MK-NW-F-078 ONE → MK-CF-F-005 actualMonthFlow
7. MK-NW-F-131 pricedLikeBond → MK-NW-F-064 bondRateSensitivity → MK-NW-O-001 theBonds → MK-NW-F-077 ALL → MK-NW-F-078 ONE → MK-CF-F-005 actualMonthFlow
8. MK-NW-F-125 isPastMaturity → MK-NW-F-061 bondSummary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265</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298</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352</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110</v>
      </c>
      <c r="Q10" s="3" t="inlineStr">
        <is>
          <t>1. MK-CF-F-132 map
2. MK-CF-F-120 pctBaseMonthly
3. MK-CF-F-004 spendBuckets
4. MK-ST-F-052 toNum
5. MK-CF-F-092 incomeMonthlyGrid
6. MK-CF-F-003 categoryMonthly
7. MK-XS-F-122 n
8. MK-CF-F-069 benefitActiveMonths
9. MK-CF-F-072 currentRetirementIncomeMonthly
10. MK-CF-F-173 earnerWages
11. MK-CF-F-065 equityVestWeights
12. MK-CF-F-071 extraIncome
13. MK-ST-F-056 has
14. MK-CF-F-206 householdK401ByMonth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MK-XS-F-027 takeHomeMonthly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MK-CF-F-011 savingsByMonth
49. MK-CF-O-010 theMonth
50. MK-CF-F-100 taxableIncomeFor
51. MK-CF-F-074 tipsAnnual
52. MK-CF-F-151 actualSpending
53. MK-CF-F-150 debtPaymentsCountedAsExpenses
54. MK-CF-F-153 radar
55. MK-CF-F-149 recurringDebtPayments
56. MK-ST-F-085 rentFigure
57. MK-CF-F-216 typed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MK-NW-F-124 maturityParts
91. MK-NW-F-072 rowOf
92. MK-ST-F-047 activeCurrency
93. MK-NW-F-060 approxYTM
94. MK-NW-F-069 priceAtYield
95. MK-NW-F-131 pricedLikeBond
96. MK-NW-F-125 isPastMaturity
97. MK-ST-F-065 isoLocalDate
98. MK-NW-F-126 yearlyInterestNow
99. MK-NW-F-011 assetClassOf
100. MK-NW-F-009 maturityClass
101. MK-NW-F-070 accruedInterestCaveat
102. MK-NW-F-058 yearsToMaturity
103. MK-NW-F-119 estimatedAccrued
104. MK-NW-F-120 classEvidenceOf
105. MK-NW-F-067 plural
106. MK-NW-F-008 incomeBearingClassOf
107. MK-ST-F-010 nameEvidence
108. MK-XS-F-147 call
109. MK-XS-F-064 currentIdToken
110.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MK-ST-F-056 has → MK-CF-F-172 hasWage → MK-CF-F-173 earnerWages → MK-CF-F-092 incomeMonthlyGrid → MK-CF-F-120 pctBaseMonthly → MK-CF-F-008 spendByMonth
5. MK-ST-F-052 toNum → MK-CF-F-062 equityRowValue → MK-CF-F-065 equityVestWeights → MK-CF-F-092 incomeMonthlyGrid → MK-CF-F-120 pctBaseMonthly → MK-CF-F-008 spendByMonth
6. MK-CF-F-132 map → MK-CF-F-065 equityVestWeights → MK-CF-F-092 incomeMonthlyGrid → MK-CF-F-120 pctBaseMonthly → MK-CF-F-008 spendByMonth
7. MK-CF-F-069 benefitActiveMonths → MK-CF-F-070 benefitAnnual → MK-CF-F-071 extraIncome → MK-CF-F-092 incomeMonthlyGrid → MK-CF-F-120 pctBaseMonthly → MK-CF-F-008 spendByMonth
8. MK-ST-F-052 toNum → MK-CF-F-070 benefitAnnual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423</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112</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MK-CF-F-173 earnerWages
12. MK-CF-F-065 equityVestWeights
13. MK-CF-F-071 extraIncome
14. MK-ST-F-056 has
15. MK-CF-F-206 householdK401ByMonth
16. MK-CF-F-132 map
17. MK-CF-F-087 monthlyTaxRates
18. MK-CF-F-073 otherIncomeMonth
19. MK-CF-F-181 rateInForce
20. MK-CF-F-068 rentalNetAnnual
21. MK-CF-F-066 rsuAnnual
22. MK-CF-F-060 salaryGrossByMonth
23. MK-CF-F-077 scholarshipByCalendarMonth
24. MK-CF-F-088 taxableByCalendarMonth
25. MK-CF-F-177 wageGrossByMonth
26. MK-PL-F-012 waterfall
27. MK-CF-F-011 savingsByMonth
28. MK-CF-F-075 retirementIncomeMonthly
29. MK-CF-F-172 hasWage
30. MK-CF-F-062 equityRowValue
31. MK-CF-F-070 benefitAnnual
32. MK-ST-F-039 on
33. MK-CF-F-176 sumMonthsOverEarners
34. MK-CF-F-203 MONTH
35. MK-CF-F-090 effectiveRate
36. MK-CF-F-180 enteredLandsAnnual
37. MK-CF-F-085 filingStatusOf
38. MK-CF-F-089 over65CountOf
39. MK-CF-F-082 salaryAnnual
40. MK-CF-F-086 stateRateOf
41. MK-CF-F-101 taxOwedFor
42. MK-CF-F-084 taxableAnnual
43. MK-CF-O-002 expenses
44. MK-CF-F-067 rentalList
45. MK-CF-F-063 rowVestYear
46. MK-CF-F-130 enteredMonthlyRaw
47. MK-CF-F-166 hasMonthlySalaryTable
48. MK-ST-F-036 reconcile
49. MK-CF-F-167 salaryCalendarYear
50. MK-CF-F-008 spendByMonth
51. MK-CF-O-010 theMonth
52. MK-CF-F-100 taxableIncomeFor
53. MK-CF-F-074 tipsAnnual
54. MK-CF-F-151 actualSpending
55. MK-CF-F-150 debtPaymentsCountedAsExpenses
56. MK-CF-F-153 radar
57. MK-CF-F-149 recurringDebtPayments
58. MK-ST-F-085 rentFigure
59. MK-CF-F-216 typed
60. MK-CF-F-165 salaryMonths
61. MK-CF-F-155 cash
62. MK-CF-O-003 thisMonth
63. MK-CF-F-099 deductionFor
64. MK-CF-F-081 salaryActiveMonths
65. MK-CF-F-148 inMonth
66. MK-CF-F-191 ym
67. MK-CF-F-022 paymentShape
68. MK-CF-F-152 isRadarItem
69. MK-CF-F-023 requiredPayment
70. MK-CF-F-005 actualMonthFlow
71. MK-CF-F-156 plannedMonthFlow
72. MK-CF-F-187 seniorDeductionFor
73. MK-CF-F-021 defaultPaymentType
74. MK-NW-F-078 ONE
75. MK-CF-F-157 debtPaymentsByDebt
76. MK-CF-F-192 inflowLabel
77. MK-NW-F-077 ALL
78. MK-NW-F-059 currentYield
79. MK-XS-F-180 declareFigures
80. MK-ST-F-049 formatMoney
81. MK-ST-F-053 money
82. MK-NW-O-001 theBonds
83. MK-CF-F-193 inflowSourceWord
84. MK-NW-F-112 yearlyInterest
85. MK-ST-F-048 currencySymbol
86. MK-ST-F-027 accountId
87. MK-NW-F-057 annualCoupon
88. MK-NW-F-056 bondInfo
89. MK-NW-F-064 bondRateSensitivity
90. MK-NW-F-061 bondSummary
91. MK-NW-F-055 isBond
92. MK-NW-F-124 maturityParts
93. MK-NW-F-072 rowOf
94. MK-ST-F-047 activeCurrency
95. MK-NW-F-060 approxYTM
96. MK-NW-F-069 priceAtYield
97. MK-NW-F-131 pricedLikeBond
98. MK-NW-F-125 isPastMaturity
99. MK-ST-F-065 isoLocalDate
100. MK-NW-F-126 yearlyInterestNow
101. MK-NW-F-011 assetClassOf
102. MK-NW-F-009 maturityClass
103. MK-NW-F-070 accruedInterestCaveat
104. MK-NW-F-058 yearsToMaturity
105. MK-NW-F-119 estimatedAccrued
106. MK-NW-F-120 classEvidenceOf
107. MK-NW-F-067 plural
108. MK-NW-F-008 incomeBearingClassOf
109. MK-ST-F-010 nameEvidence
110. MK-XS-F-147 call
111. MK-XS-F-064 currentIdToken
112.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MK-ST-F-056 has → MK-CF-F-172 hasWage → MK-CF-F-173 earnerWages → MK-CF-F-092 incomeMonthlyGrid → MK-CF-F-120 pctBaseMonthly → MK-CF-F-009 monthlyEssentials
4. MK-ST-F-052 toNum → MK-CF-F-062 equityRowValue → MK-CF-F-065 equityVestWeights → MK-CF-F-092 incomeMonthlyGrid → MK-CF-F-120 pctBaseMonthly → MK-CF-F-009 monthlyEssentials
5. MK-CF-F-132 map → MK-CF-F-065 equityVestWeights → MK-CF-F-092 incomeMonthlyGrid → MK-CF-F-120 pctBaseMonthly → MK-CF-F-009 monthlyEssentials
6. MK-CF-F-069 benefitActiveMonths → MK-CF-F-070 benefitAnnual → MK-CF-F-071 extraIncome → MK-CF-F-092 incomeMonthlyGrid → MK-CF-F-120 pctBaseMonthly → MK-CF-F-009 monthlyEssentials
7. MK-ST-F-052 toNum → MK-CF-F-070 benefitAnnual → MK-CF-F-071 extraIncome → MK-CF-F-092 incomeMonthlyGrid → MK-CF-F-120 pctBaseMonthly → MK-CF-F-009 monthlyEssentials
8. MK-ST-F-039 on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491</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113</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MK-CF-F-173 earnerWages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MK-CF-F-177 wageGrossByMonth
28. MK-PL-F-012 waterfall
29. MK-CF-F-011 savingsByMonth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MK-CF-F-008 spendByMonth
53. MK-CF-O-010 theMonth
54. MK-CF-F-100 taxableIncomeFor
55. MK-CF-F-074 tipsAnnual
56. MK-CF-F-151 actualSpending
57. MK-CF-F-150 debtPaymentsCountedAsExpenses
58. MK-CF-F-153 radar
59. MK-CF-F-149 recurringDebtPayments
60. MK-ST-F-085 rentFigure
61. MK-CF-F-216 typed
62. MK-CF-F-165 salaryMonths
63. MK-CF-O-003 thisMonth
64. MK-CF-F-099 deductionFor
65. MK-CF-F-081 salaryActiveMonths
66. MK-CF-F-148 inMonth
67. MK-CF-F-191 ym
68. MK-CF-F-022 paymentShape
69. MK-CF-F-152 isRadarItem
70. MK-CF-F-023 requiredPayment
71. MK-CF-F-005 actualMonthFlow
72. MK-CF-F-156 plannedMonthFlow
73. MK-CF-F-187 seniorDeductionFor
74. MK-CF-F-021 defaultPaymentType
75. MK-NW-F-078 ONE
76. MK-CF-F-157 debtPaymentsByDebt
77. MK-CF-F-192 inflowLabel
78. MK-NW-F-077 ALL
79. MK-NW-F-059 currentYield
80. MK-XS-F-180 declareFigures
81. MK-ST-F-049 formatMoney
82. MK-ST-F-053 money
83. MK-NW-O-001 theBonds
84. MK-CF-F-193 inflowSourceWord
85. MK-NW-F-112 yearlyInterest
86. MK-ST-F-048 currencySymbol
87. MK-ST-F-027 accountId
88. MK-NW-F-057 annualCoupon
89. MK-NW-F-056 bondInfo
90. MK-NW-F-064 bondRateSensitivity
91. MK-NW-F-061 bondSummary
92. MK-NW-F-055 isBond
93. MK-NW-F-124 maturityParts
94. MK-NW-F-072 rowOf
95. MK-ST-F-047 activeCurrency
96. MK-NW-F-060 approxYTM
97. MK-NW-F-069 priceAtYield
98. MK-NW-F-131 pricedLikeBond
99. MK-NW-F-125 isPastMaturity
100. MK-ST-F-065 isoLocalDate
101. MK-NW-F-126 yearlyInterestNow
102. MK-NW-F-011 assetClassOf
103. MK-NW-F-009 maturityClass
104. MK-NW-F-070 accruedInterestCaveat
105. MK-NW-F-058 yearsToMaturity
106. MK-NW-F-119 estimatedAccrued
107. MK-NW-F-120 classEvidenceOf
108. MK-NW-F-067 plural
109. MK-NW-F-008 incomeBearingClassOf
110. MK-ST-F-010 nameEvidence
111. MK-XS-F-147 call
112. MK-XS-F-064 currentIdToken
113.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MK-CF-F-172 hasWage → MK-CF-F-173 earnerWages → MK-CF-F-092 incomeMonthlyGrid → MK-CF-F-120 pctBaseMonthly → MK-CF-F-009 monthlyEssentials → MK-CF-F-010 emergencyTest
5. MK-CF-F-062 equityRowValue → MK-CF-F-065 equityVestWeights → MK-CF-F-092 incomeMonthlyGrid → MK-CF-F-120 pctBaseMonthly → MK-CF-F-009 monthlyEssentials → MK-CF-F-010 emergencyTest
6. MK-CF-F-132 map → MK-CF-F-065 equityVestWeights → MK-CF-F-092 incomeMonthlyGrid → MK-CF-F-120 pctBaseMonthly → MK-CF-F-009 monthlyEssentials → MK-CF-F-010 emergencyTest
7. MK-CF-F-070 benefitAnnual → MK-CF-F-071 extraIncome → MK-CF-F-092 incomeMonthlyGrid → MK-CF-F-120 pctBaseMonthly → MK-CF-F-009 monthlyEssentials → MK-CF-F-010 emergencyTest
8. MK-ST-F-039 on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545</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110</v>
      </c>
      <c r="Q13" s="3" t="inlineStr">
        <is>
          <t>1. MK-CF-F-092 incomeMonthlyGrid
2. MK-CF-F-132 map
3. MK-CF-F-008 spendByMonth
4. MK-CF-F-069 benefitActiveMonths
5. MK-CF-F-072 currentRetirementIncomeMonthly
6. MK-CF-F-173 earnerWages
7. MK-CF-F-065 equityVestWeights
8. MK-CF-F-071 extraIncome
9. MK-ST-F-056 has
10. MK-CF-F-206 householdK401ByMonth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MK-ST-F-085 rentFigure
56. MK-CF-F-216 typed
57. MK-CF-F-165 salaryMonths
58. MK-XS-F-027 takeHomeMonthly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MK-NW-F-124 maturityParts
91. MK-NW-F-072 rowOf
92. MK-ST-F-047 activeCurrency
93. MK-NW-F-060 approxYTM
94. MK-NW-F-069 priceAtYield
95. MK-NW-F-131 pricedLikeBond
96. MK-NW-F-125 isPastMaturity
97. MK-ST-F-065 isoLocalDate
98. MK-NW-F-126 yearlyInterestNow
99. MK-NW-F-011 assetClassOf
100. MK-NW-F-009 maturityClass
101. MK-NW-F-070 accruedInterestCaveat
102. MK-NW-F-058 yearsToMaturity
103. MK-NW-F-119 estimatedAccrued
104. MK-NW-F-120 classEvidenceOf
105. MK-NW-F-067 plural
106. MK-NW-F-008 incomeBearingClassOf
107. MK-ST-F-010 nameEvidence
108. MK-XS-F-147 call
109. MK-XS-F-064 currentIdToken
110.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MK-ST-F-056 has → MK-CF-F-172 hasWage → MK-CF-F-173 earnerWages → MK-CF-F-092 incomeMonthlyGrid → MK-CF-F-011 savingsByMonth
4. MK-XS-F-122 n → MK-ST-F-052 toNum → MK-CF-F-062 equityRowValue → MK-CF-F-065 equityVestWeights → MK-CF-F-092 incomeMonthlyGrid → MK-CF-F-011 savingsByMonth
5. MK-CF-F-132 map → MK-CF-F-065 equityVestWeights → MK-CF-F-092 incomeMonthlyGrid → MK-CF-F-011 savingsByMonth
6. MK-CF-F-069 benefitActiveMonths → MK-CF-F-070 benefitAnnual → MK-CF-F-071 extraIncome → MK-CF-F-092 incomeMonthlyGrid → MK-CF-F-011 savingsByMonth
7. MK-XS-F-122 n → MK-ST-F-052 toNum → MK-CF-F-070 benefitAnnual → MK-CF-F-071 extraIncome → MK-CF-F-092 incomeMonthlyGrid → MK-CF-F-011 savingsByMonth
8. MK-ST-F-039 on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575</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111</v>
      </c>
      <c r="Q14" s="3" t="inlineStr">
        <is>
          <t>1. MK-CF-F-092 incomeMonthlyGrid
2. MK-CF-F-008 spendByMonth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MK-ST-F-085 rentFigure
56. MK-CF-F-216 typed
57. MK-CF-F-165 salaryMonths
58. MK-XS-F-027 takeHomeMonthly
59. MK-CF-F-155 cash
60. MK-CF-O-003 thisMonth
61. MK-CF-F-099 deductionFor
62. MK-CF-F-081 salaryActiveMonths
63. MK-CF-F-148 inMonth
64. MK-CF-F-191 ym
65. MK-CF-F-022 paymentShape
66. MK-CF-F-152 isRadarItem
67. MK-CF-F-023 requiredPayment
68. MK-CF-F-011 savingsByMonth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MK-NW-F-112 yearlyInterest
84. MK-ST-F-048 currencySymbol
85. MK-ST-F-027 accountId
86. MK-NW-F-057 annualCoupon
87. MK-NW-F-056 bondInfo
88. MK-NW-F-064 bondRateSensitivity
89. MK-NW-F-061 bondSummary
90. MK-NW-F-055 isBond
91. MK-NW-F-124 maturityParts
92. MK-NW-F-072 rowOf
93. MK-ST-F-047 activeCurrency
94. MK-NW-F-060 approxYTM
95. MK-NW-F-069 priceAtYield
96. MK-NW-F-131 pricedLikeBond
97. MK-NW-F-125 isPastMaturity
98. MK-ST-F-065 isoLocalDate
99. MK-NW-F-126 yearlyInterestNow
100. MK-NW-F-011 assetClassOf
101. MK-NW-F-009 maturityClass
102. MK-NW-F-070 accruedInterestCaveat
103. MK-NW-F-058 yearsToMaturity
104. MK-NW-F-119 estimatedAccrued
105. MK-NW-F-120 classEvidenceOf
106. MK-NW-F-067 plural
107. MK-NW-F-008 incomeBearingClassOf
108. MK-ST-F-010 nameEvidence
109. MK-XS-F-147 call
110. MK-XS-F-064 currentIdToken
111.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MK-ST-F-056 has → MK-CF-F-172 hasWage → MK-CF-F-173 earnerWages → MK-CF-F-092 incomeMonthlyGrid → MK-CF-F-012 annualCashflow
4. MK-XS-F-122 n → MK-ST-F-052 toNum → MK-CF-F-062 equityRowValue → MK-CF-F-065 equityVestWeights → MK-CF-F-092 incomeMonthlyGrid → MK-CF-F-012 annualCashflow
5. MK-CF-F-132 map → MK-CF-F-065 equityVestWeights → MK-CF-F-092 incomeMonthlyGrid → MK-CF-F-012 annualCashflow
6. MK-CF-F-069 benefitActiveMonths → MK-CF-F-070 benefitAnnual → MK-CF-F-071 extraIncome → MK-CF-F-092 incomeMonthlyGrid → MK-CF-F-012 annualCashflow
7. MK-XS-F-122 n → MK-ST-F-052 toNum → MK-CF-F-070 benefitAnnual → MK-CF-F-071 extraIncome → MK-CF-F-092 incomeMonthlyGrid → MK-CF-F-012 annualCashflow
8. MK-ST-F-039 on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614</v>
      </c>
      <c r="E15" s="3" t="inlineStr">
        <is>
          <t>3 · DEPENDENT</t>
        </is>
      </c>
      <c r="F15" s="3" t="inlineStr">
        <is>
          <t>Turns the answers about expenses given during setup into the stored budget: the monthly total and its three parts, which are fixed bills, once-in-a-while costs and everyday expenses.</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206</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MK-CF-F-218 moveOldRentFigure
26. MK-XS-F-122 n
27. MK-ST-F-043 newEntityId
28. MK-XS-F-006 pruneDaily
29. MK-ST-F-073 rebuildDays
30. MK-NW-F-054 reclassifyAccounts
31. MK-XS-F-174 recomputeBalances
32. MK-CF-F-115 restoreUndo
33. MK-CF-F-109 reviewTransactions
34. MK-ST-F-044 setMoneyFormat
35. MK-NW-O-004 theEmergencyFund
36. MK-CF-F-114 undoSnapshot
37. MK-CF-F-191 ym
38. MK-CF-F-069 benefitActiveMonths
39. MK-CF-F-072 currentRetirementIncomeMonthly
40. MK-CF-F-173 earnerWages
41. MK-CF-F-065 equityVestWeights
42. MK-CF-F-071 extraIncome
43. MK-CF-F-206 householdK401ByMonth
44. MK-CF-F-087 monthlyTaxRates
45. MK-CF-F-073 otherIncomeMonth
46. MK-CF-F-181 rateInForce
47. MK-CF-F-068 rentalNetAnnual
48. MK-CF-F-066 rsuAnnual
49. MK-CF-F-060 salaryGrossByMonth
50. MK-CF-F-077 scholarshipByCalendarMonth
51. MK-CF-F-088 taxableByCalendarMonth
52. MK-CF-F-177 wageGrossByMonth
53. MK-PL-F-012 waterfall
54. MK-CF-F-011 savingsByMonth
55. MK-CF-F-120 pctBaseMonthly
56. MK-CF-F-138 addLot
57. MK-CF-F-136 bumpCash
58. MK-CF-F-137 findPos
59. MK-CF-F-139 removeShares
60. MK-PF-F-001 totalShares
61. MK-ST-F-053 money
62. MK-CF-F-085 filingStatusOf
63. MK-CF-F-097 grossFromNet
64. MK-CF-F-185 needsTakeHomeConversion
65. MK-CF-F-089 over65CountOf
66. MK-CF-F-037 inferDebtType
67. MK-CF-F-217 hasOldRentFigure
68. MK-CF-F-216 typed
69. MK-ST-F-069 amountOf
70. MK-CF-F-133 cashOf
71. MK-ST-F-066 isDayKey
72. MK-ST-F-070 isOpening
73. MK-ST-F-039 on
74. MK-ST-F-071 rebuildableFrom
75. MK-ST-F-068 stepDay
76. MK-ST-F-072 undo
77. MK-NW-F-053 correctClassOf
78. MK-NW-F-123 holdingNameEvidence
79. MK-NW-F-121 holdingTagClass
80. MK-NW-F-122 holdingTagFor
81. MK-PF-F-002 costBasis
82. MK-PF-F-009 latestClose
83. MK-PF-F-004 marketValue
84. MK-ST-F-030 record
85. MK-XS-F-024 resolveLens
86. MK-ST-F-055 round2
87. MK-CF-F-162 daysApart
88. MK-CF-F-108 isMoneyOut
89. MK-PL-F-074 median
90. MK-CF-F-131 normPayee
91. MK-CF-F-155 cash
92. MK-NW-F-016 cashTotal
93. MK-CF-F-010 emergencyTest
94. MK-CF-F-190 essentialsMonthly
95. MK-CF-O-004 incomeSummary
96. MK-CF-F-009 monthlyEssentials
97. MK-CF-F-022 paymentShape
98. MK-NW-F-117 propertyUseMap
99. MK-ST-F-085 rentFigure
100. MK-CF-O-020 theBudgetCounted
101. MK-CF-F-113 affectedAccountIds
102. MK-CF-F-075 retirementIncomeMonthly
103. MK-CF-F-172 hasWage
104. MK-CF-F-062 equityRowValue
105. MK-CF-F-070 benefitAnnual
106. MK-CF-F-176 sumMonthsOverEarners
107. MK-CF-F-203 MONTH
108. MK-CF-F-090 effectiveRate
109. MK-CF-F-180 enteredLandsAnnual
110. MK-CF-F-082 salaryAnnual
111. MK-CF-F-086 stateRateOf
112. MK-CF-F-101 taxOwedFor
113. MK-CF-F-084 taxableAnnual
114. MK-CF-O-002 expenses
115. MK-CF-F-067 rentalList
116. MK-CF-F-063 rowVestYear
117. MK-CF-F-130 enteredMonthlyRaw
118. MK-CF-F-166 hasMonthlySalaryTable
119. MK-ST-F-036 reconcile
120. MK-CF-F-167 salaryCalendarYear
121. MK-CF-F-008 spendByMonth
122. MK-CF-F-134 usesSleeve
123. MK-ST-F-049 formatMoney
124. MK-ST-F-067 utcOfDay
125. MK-ST-F-035 covers
126. MK-NW-F-120 classEvidenceOf
127. MK-NW-F-008 incomeBearingClassOf
128. MK-PF-F-031 contractMultiplier
129. MK-PF-F-035 unknownFigure
130. MK-NW-F-027 accountClassBreakdown
131. MK-NW-F-029 assetAllocation
132. MK-NW-F-011 assetClassOf
133. MK-CF-F-189 essentialsFromLoggedSpending
134. MK-CF-O-001 basePay
135. MK-CF-F-179 entryFromWage
136. MK-CF-F-192 inflowLabel
137. MK-CF-F-103 marginalBracketFor
138. MK-CF-F-021 defaultPaymentType
139. MK-NW-F-116 rentedIdsOf
140. MK-NW-F-106 mortgagesByProperty
141. MK-NW-F-107 propertyUses
142. MK-CF-O-010 theMonth
143. MK-CF-F-100 taxableIncomeFor
144. MK-CF-F-074 tipsAnnual
145. MK-CF-F-151 actualSpending
146. MK-CF-F-150 debtPaymentsCountedAsExpenses
147. MK-CF-F-153 radar
148. MK-CF-F-149 recurringDebtPayments
149. MK-CF-F-165 salaryMonths
150. MK-ST-F-048 currencySymbol
151. MK-ST-F-034 firstDate
152. MK-NW-F-009 maturityClass
153. MK-ST-F-010 nameEvidence
154. MK-NW-F-109 holdingClassOf
155. MK-NW-F-067 plural
156. MK-CF-F-171 earnerPay
157. MK-CF-F-204 line
158. MK-HM-F-006 money0
159. MK-CF-F-198 payrollTaxWithheld
160. MK-CF-F-193 inflowSourceWord
161. MK-NW-F-115 liveRent
162. MK-CF-F-023 requiredPayment
163. MK-CF-O-003 thisMonth
164. MK-CF-F-099 deductionFor
165. MK-CF-F-081 salaryActiveMonths
166. MK-CF-F-148 inMonth
167. MK-CF-F-152 isRadarItem
168. MK-ST-F-047 activeCurrency
169. MK-NW-F-124 maturityParts
170. MK-XS-F-147 call
171. MK-CF-F-143 annualisedGross
172. MK-CF-F-145 deductionsFromPay
173. MK-CF-F-128 grossByMonth
174. MK-CF-F-146 payFiguresAgree
175. MK-CF-F-144 takeHomeAsEntered
176. MK-XS-F-180 declareFigures
177. MK-HM-F-005 pctTxt
178. MK-NW-F-114 rentAmount
179. MK-CF-F-005 actualMonthFlow
180. MK-CF-F-156 plannedMonthFlow
181. MK-CF-F-187 seniorDeductionFor
182. MK-XS-F-064 currentIdToken
183. MK-XS-F-112 relayUrl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MK-ST-F-056 has → MK-CF-F-172 hasWage → MK-CF-F-173 earnerWages → MK-CF-F-092 incomeMonthlyGrid → MK-CF-F-002 plannedMonthlySpend → MK-CF-F-013 budgetFromOnboarding
4. MK-ST-F-052 toNum → MK-CF-F-062 equityRowValue → MK-CF-F-065 equityVestWeights → MK-CF-F-092 incomeMonthlyGrid → MK-CF-F-002 plannedMonthlySpend → MK-CF-F-013 budgetFromOnboarding
5. MK-CF-F-132 map → MK-CF-F-065 equityVestWeights → MK-CF-F-092 incomeMonthlyGrid → MK-CF-F-002 plannedMonthlySpend → MK-CF-F-013 budgetFromOnboarding
6. MK-CF-F-069 benefitActiveMonths → MK-CF-F-070 benefitAnnual → MK-CF-F-071 extraIncome → MK-CF-F-092 incomeMonthlyGrid → MK-CF-F-002 plannedMonthlySpend → MK-CF-F-013 budgetFromOnboarding
7. MK-ST-F-052 toNum → MK-CF-F-070 benefitAnnual → MK-CF-F-071 extraIncome → MK-CF-F-092 incomeMonthlyGrid → MK-CF-F-002 plannedMonthlySpend → MK-CF-F-013 budgetFromOnboarding
8. MK-ST-F-039 on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668</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"Actual expenses so far" — on the Home screen, under "THIS MONTH"</t>
        </is>
      </c>
      <c r="M16" s="3" t="inlineStr">
        <is>
          <t>· Uses today's date from the device clock, so the answer changes by itself overnight.</t>
        </is>
      </c>
      <c r="N16" s="3" t="inlineStr">
        <is>
          <t>Yes</t>
        </is>
      </c>
      <c r="O16" s="3" t="inlineStr">
        <is>
          <t>1. MK-CF-F-132 map
2. MK-CF-F-004 spendBuckets
3. MK-ST-F-052 toNum
4. MK-CF-F-191 ym</t>
        </is>
      </c>
      <c r="P16" s="3" t="n">
        <v>111</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MK-CF-F-008 spendByMonth
29. MK-CF-F-075 retirementIncomeMonthly
30. MK-CF-F-172 hasWage
31. MK-CF-F-062 equityRowValue
32. MK-CF-F-070 benefitAnnual
33. MK-ST-F-039 on
34. MK-CF-F-176 sumMonthsOverEarners
35. MK-CF-F-203 MONTH
36. MK-CF-F-090 effectiveRate
37. MK-CF-F-180 enteredLandsAnnual
38. MK-CF-F-085 filingStatusOf
39. MK-CF-F-089 over65CountOf
40. MK-CF-F-082 salaryAnnual
41. MK-CF-F-086 stateRateOf
42. MK-CF-F-101 taxOwedFor
43. MK-CF-F-084 taxableAnnual
44. MK-CF-O-002 expenses
45. MK-CF-F-067 rentalList
46. MK-CF-F-063 rowVestYear
47. MK-CF-F-130 enteredMonthlyRaw
48. MK-CF-F-166 hasMonthlySalaryTable
49. MK-ST-F-036 reconcile
50. MK-CF-F-167 salaryCalendarYear
51. MK-CF-O-010 theMonth
52. MK-CF-F-100 taxableIncomeFor
53. MK-CF-F-074 tipsAnnual
54. MK-CF-F-151 actualSpending
55. MK-CF-F-150 debtPaymentsCountedAsExpenses
56. MK-CF-F-153 radar
57. MK-CF-F-149 recurringDebtPayments
58. MK-ST-F-085 rentFigure
59. MK-CF-F-216 typed
60. MK-CF-F-165 salaryMonths
61. MK-CF-F-155 cash
62. MK-CF-O-003 thisMonth
63. MK-CF-F-099 deductionFor
64. MK-CF-F-081 salaryActiveMonths
65. MK-CF-F-148 inMonth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MK-NW-F-112 yearlyInterest
84. MK-ST-F-048 currencySymbol
85. MK-ST-F-027 accountId
86. MK-NW-F-057 annualCoupon
87. MK-NW-F-056 bondInfo
88. MK-NW-F-064 bondRateSensitivity
89. MK-NW-F-061 bondSummary
90. MK-NW-F-055 isBond
91. MK-NW-F-124 maturityParts
92. MK-NW-F-072 rowOf
93. MK-ST-F-047 activeCurrency
94. MK-NW-F-060 approxYTM
95. MK-NW-F-069 priceAtYield
96. MK-NW-F-131 pricedLikeBond
97. MK-NW-F-125 isPastMaturity
98. MK-ST-F-065 isoLocalDate
99. MK-NW-F-126 yearlyInterestNow
100. MK-NW-F-011 assetClassOf
101. MK-NW-F-009 maturityClass
102. MK-NW-F-070 accruedInterestCaveat
103. MK-NW-F-058 yearsToMaturity
104. MK-NW-F-119 estimatedAccrued
105. MK-NW-F-120 classEvidenceOf
106. MK-NW-F-067 plural
107. MK-NW-F-008 incomeBearingClassOf
108. MK-ST-F-010 nameEvidence
109. MK-XS-F-147 call
110. MK-XS-F-064 currentIdToken
111.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708</v>
      </c>
      <c r="E17" s="3" t="inlineStr">
        <is>
          <t>3 · DEPENDENT (feeds an action only)</t>
        </is>
      </c>
      <c r="F17" s="3" t="inlineStr">
        <is>
          <t>Reads a person's saved budget from storage and calculates nothing.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206</v>
      </c>
      <c r="Q1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726</v>
      </c>
      <c r="E18" s="3" t="inlineStr">
        <is>
          <t>1 · ACTION</t>
        </is>
      </c>
      <c r="F18" s="3" t="inlineStr">
        <is>
          <t>Saves a person's budget to storage and calculates nothing.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207</v>
      </c>
      <c r="Q18"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MK-CF-F-218 moveOldRentFigure
21. MK-XS-F-122 n
22. MK-ST-F-043 newEntityId
23. MK-XS-F-006 pruneDaily
24. MK-ST-F-073 rebuildDays
25. MK-NW-F-054 reclassifyAccounts
26. MK-XS-F-174 recomputeBalances
27. MK-CF-F-115 restoreUndo
28. MK-CF-F-109 reviewTransactions
29. MK-ST-F-044 setMoneyFormat
30. MK-NW-O-004 theEmergencyFund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MK-CF-F-217 hasOldRentFigure
46. MK-CF-F-216 typed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MK-CF-F-155 cash
70. MK-NW-F-016 cashTotal
71. MK-CF-F-010 emergencyTest
72. MK-CF-F-190 essentialsMonthly
73. MK-CF-O-004 incomeSummary
74. MK-CF-F-009 monthlyEssentials
75. MK-CF-F-022 paymentShape
76. MK-CF-F-002 plannedMonthlySpend
77. MK-NW-F-117 propertyUseMap
78. MK-ST-F-085 rentFigure
79. MK-CF-O-020 theBudgetCounted
80. MK-CF-F-113 affectedAccountIds
81. MK-CF-F-134 usesSleeve
82. MK-ST-F-049 formatMoney
83. MK-CF-F-101 taxOwedFor
84. MK-ST-F-067 utcOfDay
85. MK-ST-F-035 covers
86. MK-NW-F-120 classEvidenceOf
87. MK-NW-F-008 incomeBearingClassOf
88. MK-PF-F-031 contractMultiplier
89. MK-PF-F-035 unknownFigure
90. MK-CF-F-072 currentRetirementIncomeMonthly
91. MK-NW-F-027 accountClassBreakdown
92. MK-NW-F-029 assetAllocation
93. MK-NW-F-011 assetClassOf
94. MK-CF-F-189 essentialsFromLoggedSpending
95. MK-CF-O-002 expenses
96. MK-CF-F-203 MONTH
97. MK-CF-O-001 basePay
98. MK-CF-F-069 benefitActiveMonths
99. MK-CF-F-173 earnerWages
100. MK-CF-F-179 entryFromWage
101. MK-CF-F-071 extraIncome
102. MK-CF-F-092 incomeMonthlyGrid
103. MK-CF-F-192 inflowLabel
104. MK-CF-F-103 marginalBracketFor
105. MK-CF-F-181 rateInForce
106. MK-CF-F-068 rentalNetAnnual
107. MK-CF-F-082 salaryAnnual
108. MK-CF-F-060 salaryGrossByMonth
109. MK-CF-F-084 taxableAnnual
110. MK-CF-F-120 pctBaseMonthly
111. MK-CF-F-004 spendBuckets
112. MK-CF-F-021 defaultPaymentType
113. MK-XS-F-027 takeHomeMonthly
114. MK-NW-F-116 rentedIdsOf
115. MK-NW-F-106 mortgagesByProperty
116. MK-NW-F-107 propertyUses
117. MK-ST-F-048 currencySymbol
118. MK-CF-F-100 taxableIncomeFor
119. MK-ST-F-034 firstDate
120. MK-NW-F-009 maturityClass
121. MK-ST-F-010 nameEvidence
122. MK-CF-F-075 retirementIncomeMonthly
123. MK-NW-F-109 holdingClassOf
124. MK-NW-F-067 plural
125. MK-CF-F-151 actualSpending
126. MK-CF-F-150 debtPaymentsCountedAsExpenses
127. MK-CF-F-153 radar
128. MK-CF-F-149 recurringDebtPayments
129. MK-CF-O-010 theMonth
130. MK-CF-F-171 earnerPay
131. MK-CF-F-204 line
132. MK-HM-F-006 money0
133. MK-CF-F-198 payrollTaxWithheld
134. MK-CF-F-172 hasWage
135. MK-CF-F-165 salaryMonths
136. MK-CF-F-070 benefitAnnual
137. MK-CF-F-065 equityVestWeights
138. MK-CF-F-206 householdK401ByMonth
139. MK-CF-F-087 monthlyTaxRates
140. MK-CF-F-073 otherIncomeMonth
141. MK-CF-F-066 rsuAnnual
142. MK-CF-F-077 scholarshipByCalendarMonth
143. MK-CF-F-088 taxableByCalendarMonth
144. MK-CF-F-177 wageGrossByMonth
145. MK-PL-F-012 waterfall
146. MK-CF-F-193 inflowSourceWord
147. MK-CF-F-180 enteredLandsAnnual
148. MK-CF-F-086 stateRateOf
149. MK-CF-F-067 rentalList
150. MK-CF-F-176 sumMonthsOverEarners
151. MK-CF-F-074 tipsAnnual
152. MK-CF-F-003 categoryMonthly
153. MK-CF-F-011 savingsByMonth
154. MK-NW-F-115 liveRent
155. MK-CF-F-023 requiredPayment
156. MK-ST-F-047 activeCurrency
157. MK-CF-F-099 deductionFor
158. MK-NW-F-124 maturityParts
159. MK-XS-F-147 call
160. MK-CF-F-148 inMonth
161. MK-CF-F-152 isRadarItem
162. MK-CF-O-003 thisMonth
163. MK-CF-F-143 annualisedGross
164. MK-CF-F-145 deductionsFromPay
165. MK-CF-F-128 grossByMonth
166. MK-CF-F-146 payFiguresAgree
167. MK-CF-F-144 takeHomeAsEntered
168. MK-XS-F-180 declareFigures
169. MK-HM-F-005 pctTxt
170. MK-CF-F-062 equityRowValue
171. MK-CF-F-090 effectiveRate
172. MK-CF-F-063 rowVestYear
173. MK-CF-F-130 enteredMonthlyRaw
174. MK-CF-F-166 hasMonthlySalaryTable
175. MK-ST-F-036 reconcile
176. MK-CF-F-167 salaryCalendarYear
177. MK-CF-F-081 salaryActiveMonths
178. MK-CF-F-008 spendByMonth
179. MK-NW-F-114 rentAmount
180. MK-CF-F-187 seniorDeductionFor
181. MK-XS-F-064 currentIdToken
182. MK-XS-F-112 relayUrl
183. MK-CF-F-005 actualMonthFlow
184. MK-CF-F-156 plannedMonthFlow
185. MK-CF-F-142 monthsOf
186. MK-CF-F-141 perMonth
187. MK-NW-F-078 ONE
188. MK-CF-F-157 debtPaymentsByDebt
189. MK-CF-F-140 periodsAYear
190. MK-NW-F-077 ALL
191. MK-NW-F-059 currentYield
192. MK-NW-O-001 theBonds
193. MK-NW-F-112 yearlyInterest
194. MK-NW-F-057 annualCoupon
195. MK-NW-F-056 bondInfo
196. MK-NW-F-064 bondRateSensitivity
197. MK-NW-F-061 bondSummary
198. MK-NW-F-055 isBond
199. MK-NW-F-072 rowOf
200. MK-NW-F-060 approxYTM
201. MK-NW-F-069 priceAtYield
202. MK-NW-F-131 pricedLikeBond
203. MK-NW-F-125 isPastMaturity
204. MK-NW-F-126 yearlyInterestNow
205. MK-NW-F-070 accruedInterestCaveat
206. MK-NW-F-058 yearsToMaturity
207. MK-NW-F-119 estimatedAccrued</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743</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207</v>
      </c>
      <c r="Q19" s="3" t="inlineStr">
        <is>
          <t>1. MK-ST-F-040 emit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MK-CF-F-218 moveOldRentFigure
21. MK-XS-F-122 n
22. MK-ST-F-043 newEntityId
23. MK-XS-F-006 pruneDaily
24. MK-ST-F-073 rebuildDays
25. MK-NW-F-054 reclassifyAccounts
26. MK-XS-F-174 recomputeBalances
27. MK-CF-F-115 restoreUndo
28. MK-CF-F-109 reviewTransactions
29. MK-ST-F-044 setMoneyFormat
30. MK-NW-O-004 theEmergencyFund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MK-CF-F-217 hasOldRentFigure
46. MK-CF-F-216 typed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MK-CF-F-155 cash
70. MK-NW-F-016 cashTotal
71. MK-CF-F-010 emergencyTest
72. MK-CF-F-190 essentialsMonthly
73. MK-CF-O-004 incomeSummary
74. MK-CF-F-009 monthlyEssentials
75. MK-CF-F-022 paymentShape
76. MK-CF-F-002 plannedMonthlySpend
77. MK-NW-F-117 propertyUseMap
78. MK-ST-F-085 rentFigure
79. MK-CF-O-020 theBudgetCounted
80. MK-CF-F-113 affectedAccountIds
81. MK-CF-F-134 usesSleeve
82. MK-ST-F-049 formatMoney
83. MK-CF-F-101 taxOwedFor
84. MK-ST-F-067 utcOfDay
85. MK-ST-F-035 covers
86. MK-NW-F-120 classEvidenceOf
87. MK-NW-F-008 incomeBearingClassOf
88. MK-PF-F-031 contractMultiplier
89. MK-PF-F-035 unknownFigure
90. MK-CF-F-072 currentRetirementIncomeMonthly
91. MK-NW-F-027 accountClassBreakdown
92. MK-NW-F-029 assetAllocation
93. MK-NW-F-011 assetClassOf
94. MK-CF-F-189 essentialsFromLoggedSpending
95. MK-CF-O-002 expenses
96. MK-CF-F-203 MONTH
97. MK-CF-O-001 basePay
98. MK-CF-F-069 benefitActiveMonths
99. MK-CF-F-173 earnerWages
100. MK-CF-F-179 entryFromWage
101. MK-CF-F-071 extraIncome
102. MK-CF-F-092 incomeMonthlyGrid
103. MK-CF-F-192 inflowLabel
104. MK-CF-F-103 marginalBracketFor
105. MK-CF-F-181 rateInForce
106. MK-CF-F-068 rentalNetAnnual
107. MK-CF-F-082 salaryAnnual
108. MK-CF-F-060 salaryGrossByMonth
109. MK-CF-F-084 taxableAnnual
110. MK-CF-F-120 pctBaseMonthly
111. MK-CF-F-004 spendBuckets
112. MK-CF-F-021 defaultPaymentType
113. MK-XS-F-027 takeHomeMonthly
114. MK-NW-F-116 rentedIdsOf
115. MK-NW-F-106 mortgagesByProperty
116. MK-NW-F-107 propertyUses
117. MK-ST-F-048 currencySymbol
118. MK-CF-F-100 taxableIncomeFor
119. MK-ST-F-034 firstDate
120. MK-NW-F-009 maturityClass
121. MK-ST-F-010 nameEvidence
122. MK-CF-F-075 retirementIncomeMonthly
123. MK-NW-F-109 holdingClassOf
124. MK-NW-F-067 plural
125. MK-CF-F-151 actualSpending
126. MK-CF-F-150 debtPaymentsCountedAsExpenses
127. MK-CF-F-153 radar
128. MK-CF-F-149 recurringDebtPayments
129. MK-CF-O-010 theMonth
130. MK-CF-F-171 earnerPay
131. MK-CF-F-204 line
132. MK-HM-F-006 money0
133. MK-CF-F-198 payrollTaxWithheld
134. MK-CF-F-172 hasWage
135. MK-CF-F-165 salaryMonths
136. MK-CF-F-070 benefitAnnual
137. MK-CF-F-065 equityVestWeights
138. MK-CF-F-206 householdK401ByMonth
139. MK-CF-F-087 monthlyTaxRates
140. MK-CF-F-073 otherIncomeMonth
141. MK-CF-F-066 rsuAnnual
142. MK-CF-F-077 scholarshipByCalendarMonth
143. MK-CF-F-088 taxableByCalendarMonth
144. MK-CF-F-177 wageGrossByMonth
145. MK-PL-F-012 waterfall
146. MK-CF-F-193 inflowSourceWord
147. MK-CF-F-180 enteredLandsAnnual
148. MK-CF-F-086 stateRateOf
149. MK-CF-F-067 rentalList
150. MK-CF-F-176 sumMonthsOverEarners
151. MK-CF-F-074 tipsAnnual
152. MK-CF-F-003 categoryMonthly
153. MK-CF-F-011 savingsByMonth
154. MK-NW-F-115 liveRent
155. MK-CF-F-023 requiredPayment
156. MK-ST-F-047 activeCurrency
157. MK-CF-F-099 deductionFor
158. MK-NW-F-124 maturityParts
159. MK-XS-F-147 call
160. MK-CF-F-148 inMonth
161. MK-CF-F-152 isRadarItem
162. MK-CF-O-003 thisMonth
163. MK-CF-F-143 annualisedGross
164. MK-CF-F-145 deductionsFromPay
165. MK-CF-F-128 grossByMonth
166. MK-CF-F-146 payFiguresAgree
167. MK-CF-F-144 takeHomeAsEntered
168. MK-XS-F-180 declareFigures
169. MK-HM-F-005 pctTxt
170. MK-CF-F-062 equityRowValue
171. MK-CF-F-090 effectiveRate
172. MK-CF-F-063 rowVestYear
173. MK-CF-F-130 enteredMonthlyRaw
174. MK-CF-F-166 hasMonthlySalaryTable
175. MK-ST-F-036 reconcile
176. MK-CF-F-167 salaryCalendarYear
177. MK-CF-F-081 salaryActiveMonths
178. MK-CF-F-008 spendByMonth
179. MK-NW-F-114 rentAmount
180. MK-CF-F-187 seniorDeductionFor
181. MK-XS-F-064 currentIdToken
182. MK-XS-F-112 relayUrl
183. MK-CF-F-005 actualMonthFlow
184. MK-CF-F-156 plannedMonthFlow
185. MK-CF-F-142 monthsOf
186. MK-CF-F-141 perMonth
187. MK-NW-F-078 ONE
188. MK-CF-F-157 debtPaymentsByDebt
189. MK-CF-F-140 periodsAYear
190. MK-NW-F-077 ALL
191. MK-NW-F-059 currentYield
192. MK-NW-O-001 theBonds
193. MK-NW-F-112 yearlyInterest
194. MK-NW-F-057 annualCoupon
195. MK-NW-F-056 bondInfo
196. MK-NW-F-064 bondRateSensitivity
197. MK-NW-F-061 bondSummary
198. MK-NW-F-055 isBond
199. MK-NW-F-072 rowOf
200. MK-NW-F-060 approxYTM
201. MK-NW-F-069 priceAtYield
202. MK-NW-F-131 pricedLikeBond
203. MK-NW-F-125 isPastMaturity
204. MK-NW-F-126 yearlyInterestNow
205. MK-NW-F-070 accruedInterestCaveat
206. MK-NW-F-058 yearsToMaturity
207. MK-NW-F-119 estimatedAccrued</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72</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233</v>
      </c>
      <c r="E21" s="3" t="inlineStr">
        <is>
          <t>3 · DEPENDENT</t>
        </is>
      </c>
      <c r="F21" s="3" t="inlineStr">
        <is>
          <t>The dated bills coming due over the next year, each with the day the money must be there, the cash expected by that day and how much short it would be.</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116</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MK-CF-F-180 enteredLandsAnnual
29. MK-CF-F-085 filingStatusOf
30. MK-CF-F-206 householdK401ByMonth
31. MK-CF-F-089 over65CountOf
32. MK-CF-F-086 stateRateOf
33. MK-CF-F-101 taxOwedFor
34. MK-CF-F-176 sumMonthsOverEarners
35. MK-CF-F-177 wageGrossByMonth
36. MK-CF-F-151 actualSpending
37. MK-CF-F-150 debtPaymentsCountedAsExpenses
38. MK-CF-F-153 radar
39. MK-CF-F-149 recurringDebtPayments
40. MK-ST-F-085 rentFigure
41. MK-CF-F-216 typed
42. MK-CF-F-120 pctBaseMonthly
43. MK-XS-F-027 takeHomeMonthly
44. MK-ST-F-039 on
45. MK-CF-F-062 equityRowValue
46. MK-CF-F-063 rowVestYear
47. MK-CF-F-081 salaryActiveMonths
48. MK-CF-F-172 hasWage
49. MK-CF-F-100 taxableIncomeFor
50. MK-CF-F-130 enteredMonthlyRaw
51. MK-CF-F-166 hasMonthlySalaryTable
52. MK-ST-F-036 reconcile
53. MK-CF-F-167 salaryCalendarYear
54. MK-CF-F-148 inMonth
55. MK-CF-F-191 ym
56. MK-ST-F-056 has
57. MK-CF-F-022 paymentShape
58. MK-CF-F-152 isRadarItem
59. MK-CF-F-023 requiredPayment
60. MK-CF-F-092 incomeMonthlyGrid
61. MK-CF-F-011 savingsByMonth
62. MK-CF-F-099 deductionFor
63. MK-CF-F-165 salaryMonths
64. MK-CF-F-021 defaultPaymentType
65. MK-CF-F-065 equityVestWeights
66. MK-CF-F-087 monthlyTaxRates
67. MK-CF-F-073 otherIncomeMonth
68. MK-CF-F-077 scholarshipByCalendarMonth
69. MK-CF-F-088 taxableByCalendarMonth
70. MK-PL-F-012 waterfall
71. MK-CF-F-008 spendByMonth
72. MK-CF-F-187 seniorDeductionFor
73. MK-CF-F-203 MONTH
74. MK-CF-O-010 theMonth
75. MK-CF-F-155 cash
76. MK-CF-O-003 thisMonth
77. MK-CF-F-005 actualMonthFlow
78. MK-CF-F-156 plannedMonthFlow
79. MK-NW-F-078 ONE
80. MK-CF-F-157 debtPaymentsByDebt
81. MK-CF-F-192 inflowLabel
82. MK-NW-F-077 ALL
83. MK-NW-F-059 currentYield
84. MK-XS-F-180 declareFigures
85. MK-ST-F-049 formatMoney
86. MK-ST-F-053 money
87. MK-NW-O-001 theBonds
88. MK-CF-F-193 inflowSourceWord
89. MK-NW-F-112 yearlyInterest
90. MK-ST-F-048 currencySymbol
91. MK-ST-F-027 accountId
92. MK-NW-F-057 annualCoupon
93. MK-NW-F-056 bondInfo
94. MK-NW-F-064 bondRateSensitivity
95. MK-NW-F-061 bondSummary
96. MK-NW-F-055 isBond
97. MK-NW-F-124 maturityParts
98. MK-NW-F-072 rowOf
99. MK-ST-F-047 activeCurrency
100. MK-NW-F-060 approxYTM
101. MK-NW-F-069 priceAtYield
102. MK-NW-F-131 pricedLikeBond
103. MK-NW-F-125 isPastMaturity
104. MK-NW-F-126 yearlyInterestNow
105. MK-NW-F-011 assetClassOf
106. MK-NW-F-009 maturityClass
107. MK-NW-F-070 accruedInterestCaveat
108. MK-NW-F-058 yearsToMaturity
109. MK-NW-F-119 estimatedAccrued
110. MK-NW-F-120 classEvidenceOf
111. MK-NW-F-067 plural
112. MK-NW-F-008 incomeBearingClassOf
113. MK-ST-F-010 nameEvidence
114. MK-XS-F-147 call
115. MK-XS-F-064 currentIdToken
116.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MK-CF-F-172 hasWage → MK-CF-F-173 earnerWages → MK-CF-F-180 enteredLandsAnnual → MK-CF-F-181 rateInForce → MK-CF-F-090 effectiveRate → MK-CF-F-019 upcomingBills
8. MK-XS-F-122 n → MK-ST-F-052 toNum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352</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113</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MK-CF-F-180 enteredLandsAnnual
26. MK-CF-F-085 filingStatusOf
27. MK-CF-F-206 householdK401ByMonth
28. MK-CF-F-089 over65CountOf
29. MK-CF-F-082 salaryAnnual
30. MK-CF-F-086 stateRateOf
31. MK-CF-F-101 taxOwedFor
32. MK-CF-F-084 taxableAnnual
33. MK-CF-F-063 rowVestYear
34. MK-CF-F-151 actualSpending
35. MK-CF-F-150 debtPaymentsCountedAsExpenses
36. MK-CF-F-153 radar
37. MK-CF-F-149 recurringDebtPayments
38. MK-ST-F-085 rentFigure
39. MK-CF-F-216 typed
40. MK-CF-F-130 enteredMonthlyRaw
41. MK-CF-F-166 hasMonthlySalaryTable
42. MK-ST-F-036 reconcile
43. MK-CF-F-167 salaryCalendarYear
44. MK-CF-F-092 incomeMonthlyGrid
45. MK-CF-F-003 categoryMonthly
46. MK-CF-F-172 hasWage
47. MK-CF-F-100 taxableIncomeFor
48. MK-CF-F-071 extraIncome
49. MK-CF-F-074 tipsAnnual
50. MK-CF-F-148 inMonth
51. MK-CF-F-191 ym
52. MK-CF-F-022 paymentShape
53. MK-CF-F-152 isRadarItem
54. MK-CF-F-023 requiredPayment
55. MK-CF-F-165 salaryMonths
56. MK-CF-F-065 equityVestWeights
57. MK-CF-F-087 monthlyTaxRates
58. MK-CF-F-077 scholarshipByCalendarMonth
59. MK-CF-F-088 taxableByCalendarMonth
60. MK-PL-F-012 waterfall
61. MK-XS-F-027 takeHomeMonthly
62. MK-CF-F-099 deductionFor
63. MK-CF-F-070 benefitAnnual
64. MK-ST-F-039 on
65. MK-CF-F-081 salaryActiveMonths
66. MK-CF-F-021 defaultPaymentType
67. MK-CF-F-203 MONTH
68. MK-CF-F-011 savingsByMonth
69. MK-CF-F-187 seniorDeductionFor
70. MK-CF-O-010 theMonth
71. MK-CF-F-155 cash
72. MK-CF-O-003 thisMonth
73. MK-CF-F-005 actualMonthFlow
74. MK-CF-F-156 plannedMonthFlow
75. MK-NW-F-078 ONE
76. MK-CF-F-157 debtPaymentsByDebt
77. MK-CF-F-192 inflowLabel
78. MK-NW-F-077 ALL
79. MK-NW-F-059 currentYield
80. MK-XS-F-180 declareFigures
81. MK-ST-F-049 formatMoney
82. MK-ST-F-053 money
83. MK-NW-O-001 theBonds
84. MK-CF-F-193 inflowSourceWord
85. MK-NW-F-112 yearlyInterest
86. MK-ST-F-048 currencySymbol
87. MK-ST-F-027 accountId
88. MK-NW-F-057 annualCoupon
89. MK-NW-F-056 bondInfo
90. MK-NW-F-064 bondRateSensitivity
91. MK-NW-F-061 bondSummary
92. MK-NW-F-055 isBond
93. MK-NW-F-124 maturityParts
94. MK-NW-F-072 rowOf
95. MK-ST-F-047 activeCurrency
96. MK-NW-F-060 approxYTM
97. MK-NW-F-069 priceAtYield
98. MK-NW-F-131 pricedLikeBond
99. MK-NW-F-125 isPastMaturity
100. MK-ST-F-065 isoLocalDate
101. MK-NW-F-126 yearlyInterestNow
102. MK-NW-F-011 assetClassOf
103. MK-NW-F-009 maturityClass
104. MK-NW-F-070 accruedInterestCaveat
105. MK-NW-F-058 yearsToMaturity
106. MK-NW-F-119 estimatedAccrued
107. MK-NW-F-120 classEvidenceOf
108. MK-NW-F-067 plural
109. MK-NW-F-008 incomeBearingClassOf
110. MK-ST-F-010 nameEvidence
111. MK-XS-F-147 call
112. MK-XS-F-064 currentIdToken
113.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MK-CF-F-172 hasWage → MK-CF-F-173 earnerWages → MK-CF-F-180 enteredLandsAnnual → MK-CF-F-181 rateInForce → MK-CF-F-090 effectiveRate → MK-CF-F-020 cashflowYear
5. MK-XS-F-122 n → MK-ST-F-052 toNum → MK-CF-F-180 enteredLandsAnnual → MK-CF-F-181 rateInForce → MK-CF-F-090 effectiveRate → MK-CF-F-020 cashflowYear
6. MK-CF-F-085 filingStatusOf → MK-CF-F-181 rateInForce → MK-CF-F-090 effectiveRate → MK-CF-F-020 cashflowYear
7. MK-CF-F-132 map → MK-CF-F-206 householdK401ByMonth → MK-CF-F-181 rateInForce → MK-CF-F-090 effectiveRate → MK-CF-F-020 cashflowYear
8. MK-CF-F-173 earnerWages → MK-CF-F-176 sumMonthsOverEarners → MK-CF-F-206 householdK401ByMonth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60" customHeight="1">
      <c r="A23" s="3" t="inlineStr">
        <is>
          <t>MK-CF-F-021</t>
        </is>
      </c>
      <c r="B23" s="3" t="inlineStr">
        <is>
          <t>defaultPaymentType</t>
        </is>
      </c>
      <c r="C23" s="3" t="inlineStr">
        <is>
          <t>src/domain/debt/index.ts</t>
        </is>
      </c>
      <c r="D23" s="3" t="n">
        <v>69</v>
      </c>
      <c r="E23" s="3" t="inlineStr">
        <is>
          <t>2 · DISPLAYED</t>
        </is>
      </c>
      <c r="F23" s="3" t="inlineStr">
        <is>
          <t>How a kind of debt is normally repaid: a card or a credit line revolves, and every other kind is a loan paid in fixed instalments.</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106</v>
      </c>
      <c r="E24" s="3" t="inlineStr">
        <is>
          <t>2 · DISPLAYED</t>
        </is>
      </c>
      <c r="F24" s="3" t="inlineStr">
        <is>
          <t>How this debt is repaid: the way the person said, or the normal way for its kind when they did not say.</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150</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181</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133</v>
      </c>
      <c r="Q26" s="3" t="inlineStr">
        <is>
          <t>1. MK-CF-F-201 INCOME
2. MK-CF-F-023 requiredPayment
3. MK-CF-F-207 SOURCE
4. MK-CF-O-004 incomeSummary
5. MK-CF-F-022 paymentShape
6. MK-CF-O-016 incomeSources
7. MK-CF-F-203 MONTH
8. MK-CF-O-001 basePay
9. MK-CF-F-069 benefitActiveMonths
10. MK-CF-F-072 currentRetirementIncomeMonthly
11. MK-CF-F-173 earnerWages
12. MK-CF-F-179 entryFromWage
13. MK-CF-F-071 extraIncome
14. MK-CF-F-085 filingStatusOf
15. MK-CF-F-092 incomeMonthlyGrid
16. MK-CF-F-192 inflowLabel
17. MK-CF-F-132 map
18. MK-CF-F-103 marginalBracketFor
19. MK-CF-F-089 over65CountOf
20. MK-CF-F-181 rateInForce
21. MK-CF-F-068 rentalNetAnnual
22. MK-CF-F-082 salaryAnnual
23. MK-CF-F-060 salaryGrossByMonth
24. MK-CF-F-084 taxableAnnual
25. MK-ST-F-052 toNum
26. MK-CF-F-021 defaultPaymentType
27. MK-CF-F-075 retirementIncomeMonthly
28. MK-CF-F-066 rsuAnnual
29. MK-CF-O-010 theMonth
30. MK-ST-F-035 covers
31. MK-CF-F-171 earnerPay
32. MK-CF-F-204 line
33. MK-ST-F-053 money
34. MK-HM-F-006 money0
35. MK-XS-F-122 n
36. MK-CF-F-198 payrollTaxWithheld
37. MK-CF-F-172 hasWage
38. MK-CF-F-165 salaryMonths
39. MK-CF-F-070 benefitAnnual
40. MK-ST-F-039 on
41. MK-CF-F-065 equityVestWeights
42. MK-ST-F-056 has
43. MK-CF-F-206 householdK401ByMonth
44. MK-CF-F-087 monthlyTaxRates
45. MK-CF-F-073 otherIncomeMonth
46. MK-CF-F-077 scholarshipByCalendarMonth
47. MK-CF-F-088 taxableByCalendarMonth
48. MK-CF-F-177 wageGrossByMonth
49. MK-PL-F-012 waterfall
50. MK-CF-F-193 inflowSourceWord
51. MK-CF-F-100 taxableIncomeFor
52. MK-CF-F-180 enteredLandsAnnual
53. MK-CF-F-086 stateRateOf
54. MK-CF-F-101 taxOwedFor
55. MK-CF-O-002 expenses
56. MK-CF-F-067 rentalList
57. MK-CF-F-176 sumMonthsOverEarners
58. MK-CF-F-074 tipsAnnual
59. MK-CF-F-062 equityRowValue
60. MK-CF-F-063 rowVestYear
61. MK-CF-F-155 cash
62. MK-CF-O-003 thisMonth
63. MK-ST-F-034 firstDate
64. MK-CF-F-143 annualisedGross
65. MK-CF-F-145 deductionsFromPay
66. MK-CF-F-128 grossByMonth
67. MK-CF-F-146 payFiguresAgree
68. MK-CF-F-144 takeHomeAsEntered
69. MK-XS-F-180 declareFigures
70. MK-ST-F-049 formatMoney
71. MK-HM-F-005 pctTxt
72. MK-NW-F-067 plural
73. MK-CF-F-090 effectiveRate
74. MK-CF-F-130 enteredMonthlyRaw
75. MK-CF-F-166 hasMonthlySalaryTable
76. MK-ST-F-036 reconcile
77. MK-CF-F-167 salaryCalendarYear
78. MK-CF-F-099 deductionFor
79. MK-CF-F-151 actualSpending
80. MK-CF-F-150 debtPaymentsCountedAsExpenses
81. MK-CF-F-153 radar
82. MK-CF-F-149 recurringDebtPayments
83. MK-ST-F-085 rentFigure
84. MK-CF-F-216 typed
85. MK-CF-F-081 salaryActiveMonths
86. MK-CF-F-005 actualMonthFlow
87. MK-CF-F-156 plannedMonthFlow
88. MK-CF-F-142 monthsOf
89. MK-CF-F-141 perMonth
90. MK-ST-F-048 currencySymbol
91. MK-CF-F-187 seniorDeductionFor
92. MK-CF-F-148 inMonth
93. MK-CF-F-191 ym
94. MK-CF-F-152 isRadarItem
95. MK-NW-F-078 ONE
96. MK-CF-F-157 debtPaymentsByDebt
97. MK-XS-F-027 takeHomeMonthly
98. MK-CF-F-140 periodsAYear
99. MK-ST-F-047 activeCurrency
100. MK-NW-F-077 ALL
101. MK-NW-F-059 currentYield
102. MK-NW-O-001 theBonds
103. MK-CF-F-011 savingsByMonth
104. MK-NW-F-112 yearlyInterest
105. MK-ST-F-027 accountId
106. MK-NW-F-057 annualCoupon
107. MK-NW-F-056 bondInfo
108. MK-NW-F-064 bondRateSensitivity
109. MK-NW-F-061 bondSummary
110. MK-NW-F-055 isBond
111. MK-NW-F-124 maturityParts
112. MK-NW-F-072 rowOf
113. MK-CF-F-008 spendByMonth
114. MK-NW-F-060 approxYTM
115. MK-NW-F-069 priceAtYield
116. MK-NW-F-131 pricedLikeBond
117. MK-NW-F-125 isPastMaturity
118. MK-ST-F-065 isoLocalDate
119. MK-NW-F-126 yearlyInterestNow
120. MK-NW-F-011 assetClassOf
121. MK-NW-F-009 maturityClass
122. MK-NW-F-070 accruedInterestCaveat
123. MK-NW-F-058 yearsToMaturity
124. MK-CF-F-120 pctBaseMonthly
125. MK-CF-F-004 spendBuckets
126. MK-NW-F-119 estimatedAccrued
127. MK-NW-F-120 classEvidenceOf
128. MK-CF-F-003 categoryMonthly
129. MK-NW-F-008 incomeBearingClassOf
130. MK-ST-F-010 nameEvidence
131. MK-XS-F-147 call
132. MK-XS-F-064 currentIdToken
133. MK-XS-F-112 relayUrl</t>
        </is>
      </c>
      <c r="R26" s="3" t="inlineStr">
        <is>
          <t>1. SOURCE (already above — a loop) → MK-CF-O-016 incomeSources → MK-CF-F-207 SOURCE → MK-CF-F-201 INCOME → MK-CF-F-024 totalDebtMonthly
2. MK-CF-F-075 retirementIncomeMonthly → MK-CF-F-072 currentRetirementIncomeMonthly → MK-CF-O-016 incomeSources → MK-CF-F-207 SOURCE → MK-CF-F-201 INCOME → MK-CF-F-024 totalDebtMonthly
3. MK-CF-F-172 hasWage → MK-CF-F-173 earnerWages → MK-CF-O-016 incomeSources → MK-CF-F-207 SOURCE → MK-CF-F-201 INCOME → MK-CF-F-024 totalDebtMonthly
4. MK-CF-O-002 expenses → MK-CF-F-068 rentalNetAnnual → MK-CF-O-016 incomeSources → MK-CF-F-207 SOURCE → MK-CF-F-201 INCOME → MK-CF-F-024 totalDebtMonthly
5. MK-CF-F-067 rentalList → MK-CF-F-068 rentalNetAnnual → MK-CF-O-016 incomeSources → MK-CF-F-207 SOURCE → MK-CF-F-201 INCOME → MK-CF-F-024 totalDebtMonthly
6. MK-ST-F-052 toNum → MK-CF-F-075 retirementIncomeMonthly → MK-CF-O-016 incomeSources → MK-CF-F-207 SOURCE → MK-CF-F-201 INCOME → MK-CF-F-024 totalDebtMonthly
7. MK-CF-F-062 equityRowValue → MK-CF-F-066 rsuAnnual → MK-CF-O-016 incomeSources → MK-CF-F-207 SOURCE → MK-CF-F-201 INCOME → MK-CF-F-024 totalDebtMonthly
8. MK-CF-F-132 map → MK-CF-F-066 rsuAnnual → MK-CF-O-016 incomeSources → MK-CF-F-207 SOURCE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217</v>
      </c>
      <c r="E27" s="3" t="inlineStr">
        <is>
          <t>2 · DISPLAYED</t>
        </is>
      </c>
      <c r="F27" s="3" t="inlineStr">
        <is>
          <t>The minimum payments every debt requires in a month, added up, leaving out any debt due in one lump on a date.</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NOT FOUND — a screen calls it, but the words printed beside its answer could not be traced automatically. Needs reading.</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243</v>
      </c>
      <c r="E28" s="3" t="inlineStr">
        <is>
          <t>3 · DEPENDENT</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t>
        </is>
      </c>
      <c r="M28" s="3" t="inlineStr">
        <is>
          <t>None found in this function — anything it assumes comes from the functions it depends on.</t>
        </is>
      </c>
      <c r="N28" s="3" t="inlineStr">
        <is>
          <t>Yes</t>
        </is>
      </c>
      <c r="O28" s="3" t="inlineStr">
        <is>
          <t>MK-CF-F-024 totalDebtMonthly</t>
        </is>
      </c>
      <c r="P28" s="3" t="n">
        <v>134</v>
      </c>
      <c r="Q28" s="3" t="inlineStr">
        <is>
          <t>1. MK-CF-F-024 totalDebtMonthly
2. MK-CF-F-201 INCOME
3. MK-CF-F-023 requiredPayment
4. MK-CF-F-207 SOURCE
5. MK-CF-O-004 incomeSummary
6. MK-CF-F-022 paymentShape
7. MK-CF-O-016 incomeSources
8. MK-CF-F-203 MONTH
9. MK-CF-O-001 basePay
10. MK-CF-F-069 benefitActiveMonths
11. MK-CF-F-072 currentRetirementIncomeMonthly
12. MK-CF-F-173 earnerWages
13. MK-CF-F-179 entryFromWage
14. MK-CF-F-071 extraIncome
15. MK-CF-F-085 filingStatusOf
16. MK-CF-F-092 incomeMonthlyGrid
17. MK-CF-F-192 inflowLabel
18. MK-CF-F-132 map
19. MK-CF-F-103 marginalBracketFor
20. MK-CF-F-089 over65CountOf
21. MK-CF-F-181 rateInForce
22. MK-CF-F-068 rentalNetAnnual
23. MK-CF-F-082 salaryAnnual
24. MK-CF-F-060 salaryGrossByMonth
25. MK-CF-F-084 taxableAnnual
26. MK-ST-F-052 toNum
27. MK-CF-F-021 defaultPaymentType
28. MK-CF-F-075 retirementIncomeMonthly
29. MK-CF-F-066 rsuAnnual
30. MK-CF-O-010 theMonth
31. MK-ST-F-035 covers
32. MK-CF-F-171 earnerPay
33. MK-CF-F-204 line
34. MK-ST-F-053 money
35. MK-HM-F-006 money0
36. MK-XS-F-122 n
37. MK-CF-F-198 payrollTaxWithheld
38. MK-CF-F-172 hasWage
39. MK-CF-F-165 salaryMonths
40. MK-CF-F-070 benefitAnnual
41. MK-ST-F-039 on
42. MK-CF-F-065 equityVestWeights
43. MK-ST-F-056 has
44. MK-CF-F-206 householdK401ByMonth
45. MK-CF-F-087 monthlyTaxRates
46. MK-CF-F-073 otherIncomeMonth
47. MK-CF-F-077 scholarshipByCalendarMonth
48. MK-CF-F-088 taxableByCalendarMonth
49. MK-CF-F-177 wageGrossByMonth
50. MK-PL-F-012 waterfall
51. MK-CF-F-193 inflowSourceWord
52. MK-CF-F-100 taxableIncomeFor
53. MK-CF-F-180 enteredLandsAnnual
54. MK-CF-F-086 stateRateOf
55. MK-CF-F-101 taxOwedFor
56. MK-CF-O-002 expenses
57. MK-CF-F-067 rentalList
58. MK-CF-F-176 sumMonthsOverEarners
59. MK-CF-F-074 tipsAnnual
60. MK-CF-F-062 equityRowValue
61. MK-CF-F-063 rowVestYear
62. MK-CF-F-155 cash
63. MK-CF-O-003 thisMonth
64. MK-ST-F-034 firstDate
65. MK-CF-F-143 annualisedGross
66. MK-CF-F-145 deductionsFromPay
67. MK-CF-F-128 grossByMonth
68. MK-CF-F-146 payFiguresAgree
69. MK-CF-F-144 takeHomeAsEntered
70. MK-XS-F-180 declareFigures
71. MK-ST-F-049 formatMoney
72. MK-HM-F-005 pctTxt
73. MK-NW-F-067 plural
74. MK-CF-F-090 effectiveRate
75. MK-CF-F-130 enteredMonthlyRaw
76. MK-CF-F-166 hasMonthlySalaryTable
77. MK-ST-F-036 reconcile
78. MK-CF-F-167 salaryCalendarYear
79. MK-CF-F-099 deductionFor
80. MK-CF-F-151 actualSpending
81. MK-CF-F-150 debtPaymentsCountedAsExpenses
82. MK-CF-F-153 radar
83. MK-CF-F-149 recurringDebtPayments
84. MK-ST-F-085 rentFigure
85. MK-CF-F-216 typed
86. MK-CF-F-081 salaryActiveMonths
87. MK-CF-F-005 actualMonthFlow
88. MK-CF-F-156 plannedMonthFlow
89. MK-CF-F-142 monthsOf
90. MK-CF-F-141 perMonth
91. MK-ST-F-048 currencySymbol
92. MK-CF-F-187 seniorDeductionFor
93. MK-CF-F-148 inMonth
94. MK-CF-F-191 ym
95. MK-CF-F-152 isRadarItem
96. MK-NW-F-078 ONE
97. MK-CF-F-157 debtPaymentsByDebt
98. MK-XS-F-027 takeHomeMonthly
99. MK-CF-F-140 periodsAYear
100. MK-ST-F-047 activeCurrency
101. MK-NW-F-077 ALL
102. MK-NW-F-059 currentYield
103. MK-NW-O-001 theBonds
104. MK-CF-F-011 savingsByMonth
105. MK-NW-F-112 yearlyInterest
106. MK-ST-F-027 accountId
107. MK-NW-F-057 annualCoupon
108. MK-NW-F-056 bondInfo
109. MK-NW-F-064 bondRateSensitivity
110. MK-NW-F-061 bondSummary
111. MK-NW-F-055 isBond
112. MK-NW-F-124 maturityParts
113. MK-NW-F-072 rowOf
114. MK-CF-F-008 spendByMonth
115. MK-NW-F-060 approxYTM
116. MK-NW-F-069 priceAtYield
117. MK-NW-F-131 pricedLikeBond
118. MK-NW-F-125 isPastMaturity
119. MK-ST-F-065 isoLocalDate
120. MK-NW-F-126 yearlyInterestNow
121. MK-NW-F-011 assetClassOf
122. MK-NW-F-009 maturityClass
123. MK-NW-F-070 accruedInterestCaveat
124. MK-NW-F-058 yearsToMaturity
125. MK-CF-F-120 pctBaseMonthly
126. MK-CF-F-004 spendBuckets
127. MK-NW-F-119 estimatedAccrued
128. MK-NW-F-120 classEvidenceOf
129. MK-CF-F-003 categoryMonthly
130. MK-NW-F-008 incomeBearingClassOf
131. MK-ST-F-010 nameEvidence
132. MK-XS-F-147 call
133. MK-XS-F-064 currentIdToken
134. MK-XS-F-112 relayUrl</t>
        </is>
      </c>
      <c r="R28" s="3" t="inlineStr">
        <is>
          <t>1. SOURCE (already above — a loop) → MK-CF-O-016 incomeSources → MK-CF-F-207 SOURCE → MK-CF-F-201 INCOME → MK-CF-F-024 totalDebtMonthly → MK-CF-F-026 actualDebtPayment
2. MK-CF-F-072 currentRetirementIncomeMonthly → MK-CF-O-016 incomeSources → MK-CF-F-207 SOURCE → MK-CF-F-201 INCOME → MK-CF-F-024 totalDebtMonthly → MK-CF-F-026 actualDebtPayment
3. MK-CF-F-173 earnerWages → MK-CF-O-016 incomeSources → MK-CF-F-207 SOURCE → MK-CF-F-201 INCOME → MK-CF-F-024 totalDebtMonthly → MK-CF-F-026 actualDebtPayment
4. MK-CF-F-068 rentalNetAnnual → MK-CF-O-016 incomeSources → MK-CF-F-207 SOURCE → MK-CF-F-201 INCOME → MK-CF-F-024 totalDebtMonthly → MK-CF-F-026 actualDebtPayment
5. MK-CF-F-075 retirementIncomeMonthly → MK-CF-O-016 incomeSources → MK-CF-F-207 SOURCE → MK-CF-F-201 INCOME → MK-CF-F-024 totalDebtMonthly → MK-CF-F-026 actualDebtPayment
6. MK-CF-F-066 rsuAnnual → MK-CF-O-016 incomeSources → MK-CF-F-207 SOURCE → MK-CF-F-201 INCOME → MK-CF-F-024 totalDebtMonthly → MK-CF-F-026 actualDebtPayment
7. MK-ST-F-052 toNum → MK-CF-O-016 incomeSources → MK-CF-F-207 SOURCE → MK-CF-F-201 INCOME → MK-CF-F-024 totalDebtMonthly → MK-CF-F-026 actualDebtPayment
8. MK-CF-O-010 theMonth → MK-CF-F-203 MONTH → MK-CF-O-004 incomeSummary → MK-CF-F-201 INCOME → MK-CF-F-024 totalDebtMonthly → MK-CF-F-026 actualDebtPayment
9. … and 4 more paths</t>
        </is>
      </c>
      <c r="S28" s="3" t="inlineStr">
        <is>
          <t>—</t>
        </is>
      </c>
      <c r="T28" s="3" t="inlineStr">
        <is>
          <t>DEBT_PAYMENTS_ACTUAL</t>
        </is>
      </c>
      <c r="U28" s="3" t="inlineStr">
        <is>
          <t>ACTIVE</t>
        </is>
      </c>
      <c r="V28" s="3" t="inlineStr">
        <is>
          <t>2026-10-03</t>
        </is>
      </c>
      <c r="W28" s="3" t="n"/>
      <c r="X28" s="3" t="n"/>
      <c r="Y28" s="3" t="inlineStr">
        <is>
          <t>NOTHING OPEN</t>
        </is>
      </c>
    </row>
    <row r="29" ht="45" customHeight="1">
      <c r="A29" s="3" t="inlineStr">
        <is>
          <t>MK-CF-F-027</t>
        </is>
      </c>
      <c r="B29" s="3" t="inlineStr">
        <is>
          <t>totalDebtBalance</t>
        </is>
      </c>
      <c r="C29" s="3" t="inlineStr">
        <is>
          <t>src/domain/debt/index.ts</t>
        </is>
      </c>
      <c r="D29" s="3" t="n">
        <v>273</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316</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356</v>
      </c>
      <c r="E31" s="3" t="inlineStr">
        <is>
          <t>2 · DISPLAYED</t>
        </is>
      </c>
      <c r="F31" s="3" t="inlineStr">
        <is>
          <t>How many months it takes to clear a balance at a given yearly rate and monthly payment, or never when the payment does not cover the interest.</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385</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428</v>
      </c>
      <c r="E33" s="3" t="inlineStr">
        <is>
          <t>3 · DEPENDENT</t>
        </is>
      </c>
      <c r="F33" s="3" t="inlineStr">
        <is>
          <t>How much of a credit limit is in use, as a share, and whether that is good (30% or less), a caution (up to 50%) or high.</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459</v>
      </c>
      <c r="E34" s="3" t="inlineStr">
        <is>
          <t>2 · DISPLAYED</t>
        </is>
      </c>
      <c r="F34" s="3" t="inlineStr">
        <is>
          <t>The word for a credit score: Excellent from 800, Very good from 740, Good from 670, Fair from 580 and Poor below that.</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501</v>
      </c>
      <c r="E35" s="3" t="inlineStr">
        <is>
          <t>2 · DISPLAYED</t>
        </is>
      </c>
      <c r="F35" s="3" t="inlineStr">
        <is>
          <t>Monthly debt payments as a share of gross monthly income, judged against a guideline of 36% for a homeowner and 20% for anyone else.</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555</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under "YOUR DEBTS"
2. "Extra / month (beyond minimums)" — on the Goals screen, under "DEBT PAYOFF PLAN"
3. "Extra / month" — on the budget screen, under "YOUR DEBT"
4. "Income (take-home)" — on the budget screen
5. "No budget yet" — on the budget screen
6. "Payoff plan" — on the budget screen, under "YOUR DEBT"</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630</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NOT FOUND — a screen calls it, but the words printed beside its answer could not be traced automatically. Needs reading.</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675</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 If remaining balance is missing it counts as zero, so nothing recorded and a real zero look the same.</t>
        </is>
      </c>
      <c r="N38" s="3" t="inlineStr">
        <is>
          <t>Yes</t>
        </is>
      </c>
      <c r="O38" s="3" t="inlineStr">
        <is>
          <t>1. MK-CF-F-026 actualDebtPayment
2. MK-CF-F-204 line
3. MK-CF-F-025 minimumDebtService
4. MK-CF-F-027 totalDebtBalance
5. MK-XS-F-175 uid</t>
        </is>
      </c>
      <c r="P38" s="3" t="n">
        <v>213</v>
      </c>
      <c r="Q38" s="3" t="inlineStr">
        <is>
          <t>1. MK-CF-F-026 actualDebtPayment
2. MK-CF-F-204 line
3. MK-CF-F-025 minimumDebtService
4. MK-CF-F-027 totalDebtBalance
5. MK-XS-F-175 uid
6. MK-CF-F-024 totalDebtMonthly
7. MK-CF-F-203 MONTH
8. MK-XS-F-180 declareFigures
9. MK-CF-F-022 paymentShape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MK-CF-F-218 moveOldRentFigure
28. MK-XS-F-122 n
29. MK-ST-F-043 newEntityId
30. MK-XS-F-006 pruneDaily
31. MK-ST-F-073 rebuildDays
32. MK-NW-F-054 reclassifyAccounts
33. MK-XS-F-174 recomputeBalances
34. MK-CF-F-115 restoreUndo
35. MK-CF-F-109 reviewTransactions
36. MK-ST-F-044 setMoneyFormat
37. MK-NW-O-004 theEmergencyFund
38. MK-CF-F-114 undoSnapshot
39. MK-CF-F-191 ym
40. MK-CF-F-201 INCOME
41. MK-CF-F-023 requiredPayment
42. MK-CF-O-010 theMonth
43. MK-CF-F-021 defaultPaymentType
44. MK-CF-F-138 addLot
45. MK-CF-F-136 bumpCash
46. MK-CF-F-137 findPos
47. MK-CF-F-139 removeShares
48. MK-PF-F-001 totalShares
49. MK-ST-F-052 toNum
50. MK-ST-F-053 money
51. MK-CF-F-085 filingStatusOf
52. MK-CF-F-097 grossFromNet
53. MK-CF-F-185 needsTakeHomeConversion
54. MK-CF-F-089 over65CountOf
55. MK-CF-F-037 inferDebtType
56. MK-CF-F-217 hasOldRentFigure
57. MK-CF-F-216 typed
58. MK-ST-F-069 amountOf
59. MK-CF-F-133 cashOf
60. MK-ST-F-066 isDayKey
61. MK-ST-F-070 isOpening
62. MK-ST-F-039 on
63. MK-ST-F-071 rebuildableFrom
64. MK-ST-F-068 stepDay
65. MK-ST-F-072 undo
66. MK-NW-F-053 correctClassOf
67. MK-NW-F-123 holdingNameEvidence
68. MK-NW-F-121 holdingTagClass
69. MK-NW-F-122 holdingTagFor
70. MK-PF-F-002 costBasis
71. MK-PF-F-009 latestClose
72. MK-PF-F-004 marketValue
73. MK-ST-F-030 record
74. MK-XS-F-024 resolveLens
75. MK-ST-F-055 round2
76. MK-CF-F-162 daysApart
77. MK-CF-F-108 isMoneyOut
78. MK-PL-F-074 median
79. MK-CF-F-131 normPayee
80. MK-CF-F-155 cash
81. MK-NW-F-016 cashTotal
82. MK-CF-F-010 emergencyTest
83. MK-CF-F-190 essentialsMonthly
84. MK-CF-O-004 incomeSummary
85. MK-CF-F-009 monthlyEssentials
86. MK-CF-F-002 plannedMonthlySpend
87. MK-NW-F-117 propertyUseMap
88. MK-ST-F-085 rentFigure
89. MK-CF-O-020 theBudgetCounted
90. MK-CF-F-113 affectedAccountIds
91. MK-CF-F-207 SOURCE
92. MK-CF-O-002 expenses
93. MK-CF-O-003 thisMonth
94. MK-CF-F-134 usesSleeve
95. MK-ST-F-049 formatMoney
96. MK-CF-F-101 taxOwedFor
97. MK-ST-F-067 utcOfDay
98. MK-ST-F-035 covers
99. MK-NW-F-120 classEvidenceOf
100. MK-NW-F-008 incomeBearingClassOf
101. MK-PF-F-031 contractMultiplier
102. MK-PF-F-035 unknownFigure
103. MK-CF-F-072 currentRetirementIncomeMonthly
104. MK-NW-F-027 accountClassBreakdown
105. MK-NW-F-029 assetAllocation
106. MK-NW-F-011 assetClassOf
107. MK-CF-F-189 essentialsFromLoggedSpending
108. MK-CF-O-001 basePay
109. MK-CF-F-069 benefitActiveMonths
110. MK-CF-F-173 earnerWages
111. MK-CF-F-179 entryFromWage
112. MK-CF-F-071 extraIncome
113. MK-CF-F-092 incomeMonthlyGrid
114. MK-CF-F-192 inflowLabel
115. MK-CF-F-103 marginalBracketFor
116. MK-CF-F-181 rateInForce
117. MK-CF-F-068 rentalNetAnnual
118. MK-CF-F-082 salaryAnnual
119. MK-CF-F-060 salaryGrossByMonth
120. MK-CF-F-084 taxableAnnual
121. MK-CF-F-120 pctBaseMonthly
122. MK-CF-F-004 spendBuckets
123. MK-XS-F-027 takeHomeMonthly
124. MK-NW-F-116 rentedIdsOf
125. MK-NW-F-106 mortgagesByProperty
126. MK-NW-F-107 propertyUses
127. MK-CF-O-016 incomeSources
128. MK-CF-F-151 actualSpending
129. MK-CF-F-150 debtPaymentsCountedAsExpenses
130. MK-CF-F-153 radar
131. MK-CF-F-149 recurringDebtPayments
132. MK-CF-F-005 actualMonthFlow
133. MK-CF-F-156 plannedMonthFlow
134. MK-ST-F-048 currencySymbol
135. MK-CF-F-100 taxableIncomeFor
136. MK-ST-F-034 firstDate
137. MK-NW-F-009 maturityClass
138. MK-ST-F-010 nameEvidence
139. MK-CF-F-075 retirementIncomeMonthly
140. MK-NW-F-109 holdingClassOf
141. MK-NW-F-067 plural
142. MK-CF-F-171 earnerPay
143. MK-HM-F-006 money0
144. MK-CF-F-198 payrollTaxWithheld
145. MK-CF-F-172 hasWage
146. MK-CF-F-165 salaryMonths
147. MK-CF-F-070 benefitAnnual
148. MK-CF-F-065 equityVestWeights
149. MK-CF-F-206 householdK401ByMonth
150. MK-CF-F-087 monthlyTaxRates
151. MK-CF-F-073 otherIncomeMonth
152. MK-CF-F-066 rsuAnnual
153. MK-CF-F-077 scholarshipByCalendarMonth
154. MK-CF-F-088 taxableByCalendarMonth
155. MK-CF-F-177 wageGrossByMonth
156. MK-PL-F-012 waterfall
157. MK-CF-F-193 inflowSourceWord
158. MK-CF-F-180 enteredLandsAnnual
159. MK-CF-F-086 stateRateOf
160. MK-CF-F-067 rentalList
161. MK-CF-F-176 sumMonthsOverEarners
162. MK-CF-F-074 tipsAnnual
163. MK-CF-F-003 categoryMonthly
164. MK-CF-F-011 savingsByMonth
165. MK-NW-F-115 liveRent
166. MK-CF-F-148 inMonth
167. MK-CF-F-152 isRadarItem
168. MK-NW-F-078 ONE
169. MK-CF-F-157 debtPaymentsByDebt
170. MK-ST-F-047 activeCurrency
171. MK-CF-F-099 deductionFor
172. MK-NW-F-124 maturityParts
173. MK-XS-F-147 call
174. MK-CF-F-143 annualisedGross
175. MK-CF-F-145 deductionsFromPay
176. MK-CF-F-128 grossByMonth
177. MK-CF-F-146 payFiguresAgree
178. MK-CF-F-144 takeHomeAsEntered
179. MK-HM-F-005 pctTxt
180. MK-CF-F-062 equityRowValue
181. MK-CF-F-090 effectiveRate
182. MK-CF-F-063 rowVestYear
183. MK-CF-F-130 enteredMonthlyRaw
184. MK-CF-F-166 hasMonthlySalaryTable
185. MK-ST-F-036 reconcile
186. MK-CF-F-167 salaryCalendarYear
187. MK-CF-F-081 salaryActiveMonths
188. MK-CF-F-008 spendByMonth
189. MK-NW-F-114 rentAmount
190. MK-NW-F-077 ALL
191. MK-NW-F-059 currentYield
192. MK-NW-O-001 theBonds
193. MK-CF-F-187 seniorDeductionFor
194. MK-XS-F-064 currentIdToken
195. MK-XS-F-112 relayUrl
196. MK-CF-F-142 monthsOf
197. MK-CF-F-141 perMonth
198. MK-NW-F-112 yearlyInterest
199. MK-NW-F-057 annualCoupon
200. MK-NW-F-056 bondInfo
201. MK-NW-F-064 bondRateSensitivity
202. MK-NW-F-061 bondSummary
203. MK-NW-F-055 isBond
204. MK-NW-F-072 rowOf
205. MK-CF-F-140 periodsAYear
206. MK-NW-F-060 approxYTM
207. MK-NW-F-069 priceAtYield
208. MK-NW-F-131 pricedLikeBond
209. MK-NW-F-125 isPastMaturity
210. MK-NW-F-126 yearlyInterestNow
211. MK-NW-F-070 accruedInterestCaveat
212. MK-NW-F-058 yearsToMaturity
213. MK-NW-F-119 estimatedAccrued</t>
        </is>
      </c>
      <c r="R38" s="3" t="inlineStr">
        <is>
          <t>1. MK-CF-O-016 incomeSources → MK-CF-F-207 SOURCE → MK-CF-F-201 INCOME → MK-CF-F-024 totalDebtMonthly → MK-CF-F-026 actualDebtPayment → MK-CF-F-036 buildDebtState
2. MK-CF-F-203 MONTH → MK-CF-O-004 incomeSummary → MK-CF-F-201 INCOME → MK-CF-F-024 totalDebtMonthly → MK-CF-F-026 actualDebtPayment → MK-CF-F-036 buildDebtState
3. MK-CF-O-001 basePay → MK-CF-O-004 incomeSummary → MK-CF-F-201 INCOME → MK-CF-F-024 totalDebtMonthly → MK-CF-F-026 actualDebtPayment → MK-CF-F-036 buildDebtState
4. MK-CF-F-069 benefitActiveMonths → MK-CF-O-004 incomeSummary → MK-CF-F-201 INCOME → MK-CF-F-024 totalDebtMonthly → MK-CF-F-026 actualDebtPayment → MK-CF-F-036 buildDebtState
5. MK-CF-F-072 currentRetirementIncomeMonthly → MK-CF-O-004 incomeSummary → MK-CF-F-201 INCOME → MK-CF-F-024 totalDebtMonthly → MK-CF-F-026 actualDebtPayment → MK-CF-F-036 buildDebtState
6. MK-CF-F-173 earnerWages → MK-CF-O-004 incomeSummary → MK-CF-F-201 INCOME → MK-CF-F-024 totalDebtMonthly → MK-CF-F-026 actualDebtPayment → MK-CF-F-036 buildDebtState
7. MK-CF-F-179 entryFromWage → MK-CF-O-004 incomeSummary → MK-CF-F-201 INCOME → MK-CF-F-024 totalDebtMonthly → MK-CF-F-026 actualDebtPayment → MK-CF-F-036 buildDebtState
8. MK-CF-F-071 extraIncome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729</v>
      </c>
      <c r="E39" s="3" t="inlineStr">
        <is>
          <t>3 · DEPENDENT</t>
        </is>
      </c>
      <c r="F39" s="3" t="inlineStr">
        <is>
          <t>The kind of debt, judged from its name: a home-equity credit line, a mortgage, a car loan, a student loan, a credit card, a medical debt, a personal loan or something else.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778</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205</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MK-CF-F-218 moveOldRentFigure
23. MK-XS-F-006 pruneDaily
24. MK-ST-F-073 rebuildDays
25. MK-NW-F-054 reclassifyAccounts
26. MK-XS-F-174 recomputeBalances
27. MK-CF-F-115 restoreUndo
28. MK-CF-F-109 reviewTransactions
29. MK-ST-F-044 setMoneyFormat
30. MK-NW-O-004 theEmergencyFund
31. MK-CF-F-114 undoSnapshot
32. MK-CF-F-191 ym
33. MK-CF-F-138 addLot
34. MK-CF-F-136 bumpCash
35. MK-CF-F-137 findPos
36. MK-CF-F-139 removeShares
37. MK-PF-F-001 totalShares
38. MK-ST-F-053 money
39. MK-CF-F-085 filingStatusOf
40. MK-CF-F-097 grossFromNet
41. MK-CF-F-185 needsTakeHomeConversion
42. MK-CF-F-089 over65CountOf
43. MK-CF-F-217 hasOldRentFigure
44. MK-CF-F-216 typed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MK-CF-F-155 cash
68. MK-NW-F-016 cashTotal
69. MK-CF-F-010 emergencyTest
70. MK-CF-F-190 essentialsMonthly
71. MK-CF-O-004 incomeSummary
72. MK-CF-F-009 monthlyEssentials
73. MK-CF-F-022 paymentShape
74. MK-CF-F-002 plannedMonthlySpend
75. MK-NW-F-117 propertyUseMap
76. MK-ST-F-085 rentFigure
77. MK-CF-O-020 theBudgetCounted
78. MK-CF-F-113 affectedAccountIds
79. MK-CF-F-134 usesSleeve
80. MK-ST-F-049 formatMoney
81. MK-CF-F-101 taxOwedFor
82. MK-ST-F-067 utcOfDay
83. MK-ST-F-035 covers
84. MK-NW-F-120 classEvidenceOf
85. MK-NW-F-008 incomeBearingClassOf
86. MK-PF-F-031 contractMultiplier
87. MK-PF-F-035 unknownFigure
88. MK-CF-F-072 currentRetirementIncomeMonthly
89. MK-NW-F-027 accountClassBreakdown
90. MK-NW-F-029 assetAllocation
91. MK-NW-F-011 assetClassOf
92. MK-CF-F-189 essentialsFromLoggedSpending
93. MK-CF-O-002 expenses
94. MK-CF-F-203 MONTH
95. MK-CF-O-001 basePay
96. MK-CF-F-069 benefitActiveMonths
97. MK-CF-F-173 earnerWages
98. MK-CF-F-179 entryFromWage
99. MK-CF-F-071 extraIncome
100. MK-CF-F-092 incomeMonthlyGrid
101. MK-CF-F-192 inflowLabel
102. MK-CF-F-103 marginalBracketFor
103. MK-CF-F-181 rateInForce
104. MK-CF-F-068 rentalNetAnnual
105. MK-CF-F-082 salaryAnnual
106. MK-CF-F-060 salaryGrossByMonth
107. MK-CF-F-084 taxableAnnual
108. MK-CF-F-120 pctBaseMonthly
109. MK-CF-F-004 spendBuckets
110. MK-CF-F-021 defaultPaymentType
111. MK-XS-F-027 takeHomeMonthly
112. MK-NW-F-116 rentedIdsOf
113. MK-NW-F-106 mortgagesByProperty
114. MK-NW-F-107 propertyUses
115. MK-ST-F-048 currencySymbol
116. MK-CF-F-100 taxableIncomeFor
117. MK-ST-F-034 firstDate
118. MK-NW-F-009 maturityClass
119. MK-ST-F-010 nameEvidence
120. MK-CF-F-075 retirementIncomeMonthly
121. MK-NW-F-109 holdingClassOf
122. MK-NW-F-067 plural
123. MK-CF-F-151 actualSpending
124. MK-CF-F-150 debtPaymentsCountedAsExpenses
125. MK-CF-F-153 radar
126. MK-CF-F-149 recurringDebtPayments
127. MK-CF-O-010 theMonth
128. MK-CF-F-171 earnerPay
129. MK-CF-F-204 line
130. MK-HM-F-006 money0
131. MK-CF-F-198 payrollTaxWithheld
132. MK-CF-F-172 hasWage
133. MK-CF-F-165 salaryMonths
134. MK-CF-F-070 benefitAnnual
135. MK-CF-F-065 equityVestWeights
136. MK-CF-F-206 householdK401ByMonth
137. MK-CF-F-087 monthlyTaxRates
138. MK-CF-F-073 otherIncomeMonth
139. MK-CF-F-066 rsuAnnual
140. MK-CF-F-077 scholarshipByCalendarMonth
141. MK-CF-F-088 taxableByCalendarMonth
142. MK-CF-F-177 wageGrossByMonth
143. MK-PL-F-012 waterfall
144. MK-CF-F-193 inflowSourceWord
145. MK-CF-F-180 enteredLandsAnnual
146. MK-CF-F-086 stateRateOf
147. MK-CF-F-067 rentalList
148. MK-CF-F-176 sumMonthsOverEarners
149. MK-CF-F-074 tipsAnnual
150. MK-CF-F-003 categoryMonthly
151. MK-CF-F-011 savingsByMonth
152. MK-NW-F-115 liveRent
153. MK-CF-F-023 requiredPayment
154. MK-ST-F-047 activeCurrency
155. MK-CF-F-099 deductionFor
156. MK-NW-F-124 maturityParts
157. MK-XS-F-147 call
158. MK-CF-F-148 inMonth
159. MK-CF-F-152 isRadarItem
160. MK-CF-O-003 thisMonth
161. MK-CF-F-143 annualisedGross
162. MK-CF-F-145 deductionsFromPay
163. MK-CF-F-128 grossByMonth
164. MK-CF-F-146 payFiguresAgree
165. MK-CF-F-144 takeHomeAsEntered
166. MK-XS-F-180 declareFigures
167. MK-HM-F-005 pctTxt
168. MK-CF-F-062 equityRowValue
169. MK-CF-F-090 effectiveRate
170. MK-CF-F-063 rowVestYear
171. MK-CF-F-130 enteredMonthlyRaw
172. MK-CF-F-166 hasMonthlySalaryTable
173. MK-ST-F-036 reconcile
174. MK-CF-F-167 salaryCalendarYear
175. MK-CF-F-081 salaryActiveMonths
176. MK-CF-F-008 spendByMonth
177. MK-NW-F-114 rentAmount
178. MK-CF-F-187 seniorDeductionFor
179. MK-XS-F-064 currentIdToken
180. MK-XS-F-112 relayUrl
181. MK-CF-F-005 actualMonthFlow
182. MK-CF-F-156 plannedMonthFlow
183. MK-CF-F-142 monthsOf
184. MK-CF-F-141 perMonth
185. MK-NW-F-078 ONE
186. MK-CF-F-157 debtPaymentsByDebt
187. MK-CF-F-140 periodsAYear
188. MK-NW-F-077 ALL
189. MK-NW-F-059 currentYield
190. MK-NW-O-001 theBonds
191. MK-NW-F-112 yearlyInterest
192. MK-NW-F-057 annualCoupon
193. MK-NW-F-056 bondInfo
194. MK-NW-F-064 bondRateSensitivity
195. MK-NW-F-061 bondSummary
196. MK-NW-F-055 isBond
197. MK-NW-F-072 rowOf
198. MK-NW-F-060 approxYTM
199. MK-NW-F-069 priceAtYield
200. MK-NW-F-131 pricedLikeBond
201. MK-NW-F-125 isPastMaturity
202. MK-NW-F-126 yearlyInterestNow
203. MK-NW-F-070 accruedInterestCaveat
204. MK-NW-F-058 yearsToMaturity
205. MK-NW-F-119 estimatedAccrued</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815</v>
      </c>
      <c r="E41" s="3" t="inlineStr">
        <is>
          <t>3 · DEPENDENT (feeds an action only)</t>
        </is>
      </c>
      <c r="F41" s="3" t="inlineStr">
        <is>
          <t>Reads a person's saved debts from storage and calculates nothing.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206</v>
      </c>
      <c r="Q4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833</v>
      </c>
      <c r="E42" s="3" t="inlineStr">
        <is>
          <t>1 · ACTION</t>
        </is>
      </c>
      <c r="F42" s="3" t="inlineStr">
        <is>
          <t>Saves a person's debts to storage, tells the rest of the app it changed, and calculates nothing.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208</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MK-CF-F-218 moveOldRentFigure
22. MK-XS-F-122 n
23. MK-ST-F-043 newEntityId
24. MK-XS-F-006 pruneDaily
25. MK-ST-F-073 rebuildDays
26. MK-NW-F-054 reclassifyAccounts
27. MK-XS-F-174 recomputeBalances
28. MK-CF-F-115 restoreUndo
29. MK-CF-F-109 reviewTransactions
30. MK-ST-F-044 setMoneyFormat
31. MK-NW-O-004 theEmergencyFund
32. MK-CF-F-114 undoSnapshot
33. MK-CF-F-191 ym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MK-CF-F-217 hasOldRentFigure
47. MK-CF-F-216 typed
48. MK-ST-F-069 amountOf
49. MK-CF-F-133 cashOf
50. MK-ST-F-066 isDayKey
51. MK-ST-F-070 isOpening
52. MK-ST-F-039 on
53. MK-ST-F-071 rebuildableFrom
54. MK-ST-F-068 stepDay
55. MK-ST-F-072 undo
56. MK-NW-F-053 correctClassOf
57. MK-NW-F-123 holdingNameEvidence
58. MK-NW-F-121 holdingTagClass
59. MK-NW-F-122 holdingTagFor
60. MK-PF-F-002 costBasis
61. MK-PF-F-009 latestClose
62. MK-PF-F-004 marketValue
63. MK-ST-F-030 record
64. MK-XS-F-024 resolveLens
65. MK-ST-F-055 round2
66. MK-CF-F-162 daysApart
67. MK-CF-F-108 isMoneyOut
68. MK-PL-F-074 median
69. MK-CF-F-131 normPayee
70. MK-CF-F-155 cash
71. MK-NW-F-016 cashTotal
72. MK-CF-F-010 emergencyTest
73. MK-CF-F-190 essentialsMonthly
74. MK-CF-O-004 incomeSummary
75. MK-CF-F-009 monthlyEssentials
76. MK-CF-F-022 paymentShape
77. MK-CF-F-002 plannedMonthlySpend
78. MK-NW-F-117 propertyUseMap
79. MK-ST-F-085 rentFigure
80. MK-CF-O-020 theBudgetCounted
81. MK-CF-F-113 affectedAccountIds
82. MK-CF-F-134 usesSleeve
83. MK-ST-F-049 formatMoney
84. MK-CF-F-101 taxOwedFor
85. MK-ST-F-067 utcOfDay
86. MK-ST-F-035 covers
87. MK-NW-F-120 classEvidenceOf
88. MK-NW-F-008 incomeBearingClassOf
89. MK-PF-F-031 contractMultiplier
90. MK-PF-F-035 unknownFigure
91. MK-CF-F-072 currentRetirementIncomeMonthly
92. MK-NW-F-027 accountClassBreakdown
93. MK-NW-F-029 assetAllocation
94. MK-NW-F-011 assetClassOf
95. MK-CF-F-189 essentialsFromLoggedSpending
96. MK-CF-O-002 expenses
97. MK-CF-F-203 MONTH
98. MK-CF-O-001 basePay
99. MK-CF-F-069 benefitActiveMonths
100. MK-CF-F-173 earnerWages
101. MK-CF-F-179 entryFromWage
102. MK-CF-F-071 extraIncome
103. MK-CF-F-092 incomeMonthlyGrid
104. MK-CF-F-192 inflowLabel
105. MK-CF-F-103 marginalBracketFor
106. MK-CF-F-181 rateInForce
107. MK-CF-F-068 rentalNetAnnual
108. MK-CF-F-082 salaryAnnual
109. MK-CF-F-060 salaryGrossByMonth
110. MK-CF-F-084 taxableAnnual
111. MK-CF-F-120 pctBaseMonthly
112. MK-CF-F-004 spendBuckets
113. MK-CF-F-021 defaultPaymentType
114. MK-XS-F-027 takeHomeMonthly
115. MK-NW-F-116 rentedIdsOf
116. MK-NW-F-106 mortgagesByProperty
117. MK-NW-F-107 propertyUses
118. MK-ST-F-048 currencySymbol
119. MK-CF-F-100 taxableIncomeFor
120. MK-ST-F-034 firstDate
121. MK-NW-F-009 maturityClass
122. MK-ST-F-010 nameEvidence
123. MK-CF-F-075 retirementIncomeMonthly
124. MK-NW-F-109 holdingClassOf
125. MK-NW-F-067 plural
126. MK-CF-F-151 actualSpending
127. MK-CF-F-150 debtPaymentsCountedAsExpenses
128. MK-CF-F-153 radar
129. MK-CF-F-149 recurringDebtPayments
130. MK-CF-O-010 theMonth
131. MK-CF-F-171 earnerPay
132. MK-CF-F-204 line
133. MK-HM-F-006 money0
134. MK-CF-F-198 payrollTaxWithheld
135. MK-CF-F-172 hasWage
136. MK-CF-F-165 salaryMonths
137. MK-CF-F-070 benefitAnnual
138. MK-CF-F-065 equityVestWeights
139. MK-CF-F-206 householdK401ByMonth
140. MK-CF-F-087 monthlyTaxRates
141. MK-CF-F-073 otherIncomeMonth
142. MK-CF-F-066 rsuAnnual
143. MK-CF-F-077 scholarshipByCalendarMonth
144. MK-CF-F-088 taxableByCalendarMonth
145. MK-CF-F-177 wageGrossByMonth
146. MK-PL-F-012 waterfall
147. MK-CF-F-193 inflowSourceWord
148. MK-CF-F-180 enteredLandsAnnual
149. MK-CF-F-086 stateRateOf
150. MK-CF-F-067 rentalList
151. MK-CF-F-176 sumMonthsOverEarners
152. MK-CF-F-074 tipsAnnual
153. MK-CF-F-003 categoryMonthly
154. MK-CF-F-011 savingsByMonth
155. MK-NW-F-115 liveRent
156. MK-CF-F-023 requiredPayment
157. MK-ST-F-047 activeCurrency
158. MK-CF-F-099 deductionFor
159. MK-NW-F-124 maturityParts
160. MK-XS-F-147 call
161. MK-CF-F-148 inMonth
162. MK-CF-F-152 isRadarItem
163. MK-CF-O-003 thisMonth
164. MK-CF-F-143 annualisedGross
165. MK-CF-F-145 deductionsFromPay
166. MK-CF-F-128 grossByMonth
167. MK-CF-F-146 payFiguresAgree
168. MK-CF-F-144 takeHomeAsEntered
169. MK-XS-F-180 declareFigures
170. MK-HM-F-005 pctTxt
171. MK-CF-F-062 equityRowValue
172. MK-CF-F-090 effectiveRate
173. MK-CF-F-063 rowVestYear
174. MK-CF-F-130 enteredMonthlyRaw
175. MK-CF-F-166 hasMonthlySalaryTable
176. MK-ST-F-036 reconcile
177. MK-CF-F-167 salaryCalendarYear
178. MK-CF-F-081 salaryActiveMonths
179. MK-CF-F-008 spendByMonth
180. MK-NW-F-114 rentAmount
181. MK-CF-F-187 seniorDeductionFor
182. MK-XS-F-064 currentIdToken
183. MK-XS-F-112 relayUrl
184. MK-CF-F-005 actualMonthFlow
185. MK-CF-F-156 plannedMonthFlow
186. MK-CF-F-142 monthsOf
187. MK-CF-F-141 perMonth
188. MK-NW-F-078 ONE
189. MK-CF-F-157 debtPaymentsByDebt
190. MK-CF-F-140 periodsAYear
191. MK-NW-F-077 ALL
192. MK-NW-F-059 currentYield
193. MK-NW-O-001 theBonds
194. MK-NW-F-112 yearlyInterest
195. MK-NW-F-057 annualCoupon
196. MK-NW-F-056 bondInfo
197. MK-NW-F-064 bondRateSensitivity
198. MK-NW-F-061 bondSummary
199. MK-NW-F-055 isBond
200. MK-NW-F-072 rowOf
201. MK-NW-F-060 approxYTM
202. MK-NW-F-069 priceAtYield
203. MK-NW-F-131 pricedLikeBond
204. MK-NW-F-125 isPastMaturity
205. MK-NW-F-126 yearlyInterestNow
206. MK-NW-F-070 accruedInterestCaveat
207. MK-NW-F-058 yearsToMaturity
208. MK-NW-F-119 estimatedAccrued</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852</v>
      </c>
      <c r="E43" s="3" t="inlineStr">
        <is>
          <t>3 · DEPENDENT (feeds an action only)</t>
        </is>
      </c>
      <c r="F43" s="3" t="inlineStr">
        <is>
          <t>Reads a person's saved debts and returns their totals, or nothing when none are saved.</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215</v>
      </c>
      <c r="Q43" s="3" t="inlineStr">
        <is>
          <t>1. MK-CF-F-036 buildDebtState
2. MK-CF-F-039 loadDebt
3. MK-XS-F-175 uid
4. MK-CF-F-026 actualDebtPayment
5. MK-CF-F-204 line
6. MK-CF-F-025 minimumDebtService
7. MK-CF-F-027 totalDebtBalance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MK-CF-F-218 moveOldRentFigure
26. MK-XS-F-122 n
27. MK-ST-F-043 newEntityId
28. MK-XS-F-006 pruneDaily
29. MK-ST-F-073 rebuildDays
30. MK-NW-F-054 reclassifyAccounts
31. MK-XS-F-174 recomputeBalances
32. MK-CF-F-115 restoreUndo
33. MK-CF-F-109 reviewTransactions
34. MK-ST-F-044 setMoneyFormat
35. MK-NW-O-004 theEmergencyFund
36. MK-CF-F-114 undoSnapshot
37. MK-CF-F-191 ym
38. MK-CF-F-024 totalDebtMonthly
39. MK-CF-F-203 MONTH
40. MK-XS-F-180 declareFigures
41. MK-CF-F-022 paymentShape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MK-CF-F-217 hasOldRentFigure
55. MK-CF-F-216 typed
56. MK-ST-F-069 amountOf
57. MK-CF-F-133 cashOf
58. MK-ST-F-066 isDayKey
59. MK-ST-F-070 isOpening
60. MK-ST-F-039 on
61. MK-ST-F-071 rebuildableFrom
62. MK-ST-F-068 stepDay
63. MK-ST-F-072 undo
64. MK-NW-F-053 correctClassOf
65. MK-NW-F-123 holdingNameEvidence
66. MK-NW-F-121 holdingTagClass
67. MK-NW-F-122 holdingTagFor
68. MK-PF-F-002 costBasis
69. MK-PF-F-009 latestClose
70. MK-PF-F-004 marketValue
71. MK-ST-F-030 record
72. MK-XS-F-024 resolveLens
73. MK-ST-F-055 round2
74. MK-CF-F-162 daysApart
75. MK-CF-F-108 isMoneyOut
76. MK-PL-F-074 median
77. MK-CF-F-131 normPayee
78. MK-CF-F-155 cash
79. MK-NW-F-016 cashTotal
80. MK-CF-F-010 emergencyTest
81. MK-CF-F-190 essentialsMonthly
82. MK-CF-O-004 incomeSummary
83. MK-CF-F-009 monthlyEssentials
84. MK-CF-F-002 plannedMonthlySpend
85. MK-NW-F-117 propertyUseMap
86. MK-ST-F-085 rentFigure
87. MK-CF-O-020 theBudgetCounted
88. MK-CF-F-113 affectedAccountIds
89. MK-CF-F-201 INCOME
90. MK-CF-F-023 requiredPayment
91. MK-CF-O-010 theMonth
92. MK-CF-F-021 defaultPaymentType
93. MK-CF-F-134 usesSleeve
94. MK-ST-F-049 formatMoney
95. MK-CF-F-101 taxOwedFor
96. MK-ST-F-067 utcOfDay
97. MK-ST-F-035 covers
98. MK-NW-F-120 classEvidenceOf
99. MK-NW-F-008 incomeBearingClassOf
100. MK-PF-F-031 contractMultiplier
101. MK-PF-F-035 unknownFigure
102. MK-CF-F-072 currentRetirementIncomeMonthly
103. MK-NW-F-027 accountClassBreakdown
104. MK-NW-F-029 assetAllocation
105. MK-NW-F-011 assetClassOf
106. MK-CF-F-189 essentialsFromLoggedSpending
107. MK-CF-O-002 expenses
108. MK-CF-O-001 basePay
109. MK-CF-F-069 benefitActiveMonths
110. MK-CF-F-173 earnerWages
111. MK-CF-F-179 entryFromWage
112. MK-CF-F-071 extraIncome
113. MK-CF-F-092 incomeMonthlyGrid
114. MK-CF-F-192 inflowLabel
115. MK-CF-F-103 marginalBracketFor
116. MK-CF-F-181 rateInForce
117. MK-CF-F-068 rentalNetAnnual
118. MK-CF-F-082 salaryAnnual
119. MK-CF-F-060 salaryGrossByMonth
120. MK-CF-F-084 taxableAnnual
121. MK-CF-F-120 pctBaseMonthly
122. MK-CF-F-004 spendBuckets
123. MK-XS-F-027 takeHomeMonthly
124. MK-NW-F-116 rentedIdsOf
125. MK-NW-F-106 mortgagesByProperty
126. MK-NW-F-107 propertyUses
127. MK-CF-F-207 SOURCE
128. MK-CF-O-003 thisMonth
129. MK-ST-F-048 currencySymbol
130. MK-CF-F-100 taxableIncomeFor
131. MK-ST-F-034 firstDate
132. MK-NW-F-009 maturityClass
133. MK-ST-F-010 nameEvidence
134. MK-CF-F-075 retirementIncomeMonthly
135. MK-NW-F-109 holdingClassOf
136. MK-NW-F-067 plural
137. MK-CF-F-151 actualSpending
138. MK-CF-F-150 debtPaymentsCountedAsExpenses
139. MK-CF-F-153 radar
140. MK-CF-F-149 recurringDebtPayments
141. MK-CF-F-171 earnerPay
142. MK-HM-F-006 money0
143. MK-CF-F-198 payrollTaxWithheld
144. MK-CF-F-172 hasWage
145. MK-CF-F-165 salaryMonths
146. MK-CF-F-070 benefitAnnual
147. MK-CF-F-065 equityVestWeights
148. MK-CF-F-206 householdK401ByMonth
149. MK-CF-F-087 monthlyTaxRates
150. MK-CF-F-073 otherIncomeMonth
151. MK-CF-F-066 rsuAnnual
152. MK-CF-F-077 scholarshipByCalendarMonth
153. MK-CF-F-088 taxableByCalendarMonth
154. MK-CF-F-177 wageGrossByMonth
155. MK-PL-F-012 waterfall
156. MK-CF-F-193 inflowSourceWord
157. MK-CF-F-180 enteredLandsAnnual
158. MK-CF-F-086 stateRateOf
159. MK-CF-F-067 rentalList
160. MK-CF-F-176 sumMonthsOverEarners
161. MK-CF-F-074 tipsAnnual
162. MK-CF-F-003 categoryMonthly
163. MK-CF-F-011 savingsByMonth
164. MK-NW-F-115 liveRent
165. MK-CF-O-016 incomeSources
166. MK-CF-F-005 actualMonthFlow
167. MK-CF-F-156 plannedMonthFlow
168. MK-ST-F-047 activeCurrency
169. MK-CF-F-099 deductionFor
170. MK-NW-F-124 maturityParts
171. MK-XS-F-147 call
172. MK-CF-F-148 inMonth
173. MK-CF-F-152 isRadarItem
174. MK-CF-F-143 annualisedGross
175. MK-CF-F-145 deductionsFromPay
176. MK-CF-F-128 grossByMonth
177. MK-CF-F-146 payFiguresAgree
178. MK-CF-F-144 takeHomeAsEntered
179. MK-HM-F-005 pctTxt
180. MK-CF-F-062 equityRowValue
181. MK-CF-F-090 effectiveRate
182. MK-CF-F-063 rowVestYear
183. MK-CF-F-130 enteredMonthlyRaw
184. MK-CF-F-166 hasMonthlySalaryTable
185. MK-ST-F-036 reconcile
186. MK-CF-F-167 salaryCalendarYear
187. MK-CF-F-081 salaryActiveMonths
188. MK-CF-F-008 spendByMonth
189. MK-NW-F-114 rentAmount
190. MK-NW-F-078 ONE
191. MK-CF-F-157 debtPaymentsByDebt
192. MK-CF-F-187 seniorDeductionFor
193. MK-XS-F-064 currentIdToken
194. MK-XS-F-112 relayUrl
195. MK-CF-F-142 monthsOf
196. MK-CF-F-141 perMonth
197. MK-NW-F-077 ALL
198. MK-NW-F-059 currentYield
199. MK-NW-O-001 theBonds
200. MK-CF-F-140 periodsAYear
201. MK-NW-F-112 yearlyInterest
202. MK-NW-F-057 annualCoupon
203. MK-NW-F-056 bondInfo
204. MK-NW-F-064 bondRateSensitivity
205. MK-NW-F-061 bondSummary
206. MK-NW-F-055 isBond
207. MK-NW-F-072 rowOf
208. MK-NW-F-060 approxYTM
209. MK-NW-F-069 priceAtYield
210. MK-NW-F-131 pricedLikeBond
211. MK-NW-F-125 isPastMaturity
212. MK-NW-F-126 yearlyInterestNow
213. MK-NW-F-070 accruedInterestCaveat
214. MK-NW-F-058 yearsToMaturity
215. MK-NW-F-119 estimatedAccrued</t>
        </is>
      </c>
      <c r="R43" s="3" t="inlineStr">
        <is>
          <t>1. MK-CF-F-207 SOURCE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MONTH (already above — a loop) → MK-CF-O-010 theMonth → MK-CF-F-203 MONTH → MK-CF-F-204 line → MK-CF-F-036 buildDebtState → MK-CF-F-041 getDebtState
5. MK-CF-F-155 cash → MK-CF-O-010 theMonth → MK-CF-F-203 MONTH → MK-CF-F-204 line → MK-CF-F-036 buildDebtState → MK-CF-F-041 getDebtState
6. MK-CF-O-002 expenses → MK-CF-O-010 theMonth → MK-CF-F-203 MONTH → MK-CF-F-204 line → MK-CF-F-036 buildDebtState → MK-CF-F-041 getDebtState
7. MK-CF-O-003 thisMonth → MK-CF-O-010 theMonth → MK-CF-F-203 MONTH → MK-CF-F-204 line → MK-CF-F-036 buildDebtState → MK-CF-F-041 getDebtState
8. MK-XS-F-180 declareFigures → MK-CF-F-204 line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59</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84</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112</v>
      </c>
      <c r="E48" s="3" t="inlineStr">
        <is>
          <t>3 · DEPENDENT</t>
        </is>
      </c>
      <c r="F48" s="3" t="inlineStr">
        <is>
          <t>The employer's 401(k) match for a year, added up across every job.</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147</v>
      </c>
      <c r="E49" s="3" t="inlineStr">
        <is>
          <t>3 · DEPENDENT</t>
        </is>
      </c>
      <c r="F49" s="3" t="inlineStr">
        <is>
          <t>The share of gross income that goes to tax: the person's own rate where they gave one, otherwise the calculated federal rate for the way they file.</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234</v>
      </c>
      <c r="E50" s="3" t="inlineStr">
        <is>
          <t>2 · DISPLAYED</t>
        </is>
      </c>
      <c r="F50" s="3" t="inlineStr">
        <is>
          <t>The income picture for a year: gross, tax rate and take-home, and the gross, tax and take-home of each of the twelve months.</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38</v>
      </c>
      <c r="E51" s="3" t="inlineStr">
        <is>
          <t>3 · DEPENDENT (feeds an action only)</t>
        </is>
      </c>
      <c r="F51" s="3" t="inlineStr">
        <is>
          <t>Reads a person's saved income from storage and calculates nothing.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206</v>
      </c>
      <c r="Q5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58</v>
      </c>
      <c r="E52" s="3" t="inlineStr">
        <is>
          <t>1 · ACTION</t>
        </is>
      </c>
      <c r="F52" s="3" t="inlineStr">
        <is>
          <t>Saves a person's income to storage, tells the rest of the app it changed, and calculates nothing.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208</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MK-CF-F-218 moveOldRentFigure
22. MK-XS-F-122 n
23. MK-ST-F-043 newEntityId
24. MK-XS-F-006 pruneDaily
25. MK-ST-F-073 rebuildDays
26. MK-NW-F-054 reclassifyAccounts
27. MK-XS-F-174 recomputeBalances
28. MK-CF-F-115 restoreUndo
29. MK-CF-F-109 reviewTransactions
30. MK-ST-F-044 setMoneyFormat
31. MK-NW-O-004 theEmergencyFund
32. MK-CF-F-114 undoSnapshot
33. MK-CF-F-191 ym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MK-CF-F-217 hasOldRentFigure
47. MK-CF-F-216 typed
48. MK-ST-F-069 amountOf
49. MK-CF-F-133 cashOf
50. MK-ST-F-066 isDayKey
51. MK-ST-F-070 isOpening
52. MK-ST-F-039 on
53. MK-ST-F-071 rebuildableFrom
54. MK-ST-F-068 stepDay
55. MK-ST-F-072 undo
56. MK-NW-F-053 correctClassOf
57. MK-NW-F-123 holdingNameEvidence
58. MK-NW-F-121 holdingTagClass
59. MK-NW-F-122 holdingTagFor
60. MK-PF-F-002 costBasis
61. MK-PF-F-009 latestClose
62. MK-PF-F-004 marketValue
63. MK-ST-F-030 record
64. MK-XS-F-024 resolveLens
65. MK-ST-F-055 round2
66. MK-CF-F-162 daysApart
67. MK-CF-F-108 isMoneyOut
68. MK-PL-F-074 median
69. MK-CF-F-131 normPayee
70. MK-CF-F-155 cash
71. MK-NW-F-016 cashTotal
72. MK-CF-F-010 emergencyTest
73. MK-CF-F-190 essentialsMonthly
74. MK-CF-O-004 incomeSummary
75. MK-CF-F-009 monthlyEssentials
76. MK-CF-F-022 paymentShape
77. MK-CF-F-002 plannedMonthlySpend
78. MK-NW-F-117 propertyUseMap
79. MK-ST-F-085 rentFigure
80. MK-CF-O-020 theBudgetCounted
81. MK-CF-F-113 affectedAccountIds
82. MK-CF-F-134 usesSleeve
83. MK-ST-F-049 formatMoney
84. MK-CF-F-101 taxOwedFor
85. MK-ST-F-067 utcOfDay
86. MK-ST-F-035 covers
87. MK-NW-F-120 classEvidenceOf
88. MK-NW-F-008 incomeBearingClassOf
89. MK-PF-F-031 contractMultiplier
90. MK-PF-F-035 unknownFigure
91. MK-CF-F-072 currentRetirementIncomeMonthly
92. MK-NW-F-027 accountClassBreakdown
93. MK-NW-F-029 assetAllocation
94. MK-NW-F-011 assetClassOf
95. MK-CF-F-189 essentialsFromLoggedSpending
96. MK-CF-O-002 expenses
97. MK-CF-F-203 MONTH
98. MK-CF-O-001 basePay
99. MK-CF-F-069 benefitActiveMonths
100. MK-CF-F-173 earnerWages
101. MK-CF-F-179 entryFromWage
102. MK-CF-F-071 extraIncome
103. MK-CF-F-092 incomeMonthlyGrid
104. MK-CF-F-192 inflowLabel
105. MK-CF-F-103 marginalBracketFor
106. MK-CF-F-181 rateInForce
107. MK-CF-F-068 rentalNetAnnual
108. MK-CF-F-082 salaryAnnual
109. MK-CF-F-060 salaryGrossByMonth
110. MK-CF-F-084 taxableAnnual
111. MK-CF-F-120 pctBaseMonthly
112. MK-CF-F-004 spendBuckets
113. MK-CF-F-021 defaultPaymentType
114. MK-XS-F-027 takeHomeMonthly
115. MK-NW-F-116 rentedIdsOf
116. MK-NW-F-106 mortgagesByProperty
117. MK-NW-F-107 propertyUses
118. MK-ST-F-048 currencySymbol
119. MK-CF-F-100 taxableIncomeFor
120. MK-ST-F-034 firstDate
121. MK-NW-F-009 maturityClass
122. MK-ST-F-010 nameEvidence
123. MK-CF-F-075 retirementIncomeMonthly
124. MK-NW-F-109 holdingClassOf
125. MK-NW-F-067 plural
126. MK-CF-F-151 actualSpending
127. MK-CF-F-150 debtPaymentsCountedAsExpenses
128. MK-CF-F-153 radar
129. MK-CF-F-149 recurringDebtPayments
130. MK-CF-O-010 theMonth
131. MK-CF-F-171 earnerPay
132. MK-CF-F-204 line
133. MK-HM-F-006 money0
134. MK-CF-F-198 payrollTaxWithheld
135. MK-CF-F-172 hasWage
136. MK-CF-F-165 salaryMonths
137. MK-CF-F-070 benefitAnnual
138. MK-CF-F-065 equityVestWeights
139. MK-CF-F-206 householdK401ByMonth
140. MK-CF-F-087 monthlyTaxRates
141. MK-CF-F-073 otherIncomeMonth
142. MK-CF-F-066 rsuAnnual
143. MK-CF-F-077 scholarshipByCalendarMonth
144. MK-CF-F-088 taxableByCalendarMonth
145. MK-CF-F-177 wageGrossByMonth
146. MK-PL-F-012 waterfall
147. MK-CF-F-193 inflowSourceWord
148. MK-CF-F-180 enteredLandsAnnual
149. MK-CF-F-086 stateRateOf
150. MK-CF-F-067 rentalList
151. MK-CF-F-176 sumMonthsOverEarners
152. MK-CF-F-074 tipsAnnual
153. MK-CF-F-003 categoryMonthly
154. MK-CF-F-011 savingsByMonth
155. MK-NW-F-115 liveRent
156. MK-CF-F-023 requiredPayment
157. MK-ST-F-047 activeCurrency
158. MK-CF-F-099 deductionFor
159. MK-NW-F-124 maturityParts
160. MK-XS-F-147 call
161. MK-CF-F-148 inMonth
162. MK-CF-F-152 isRadarItem
163. MK-CF-O-003 thisMonth
164. MK-CF-F-143 annualisedGross
165. MK-CF-F-145 deductionsFromPay
166. MK-CF-F-128 grossByMonth
167. MK-CF-F-146 payFiguresAgree
168. MK-CF-F-144 takeHomeAsEntered
169. MK-XS-F-180 declareFigures
170. MK-HM-F-005 pctTxt
171. MK-CF-F-062 equityRowValue
172. MK-CF-F-090 effectiveRate
173. MK-CF-F-063 rowVestYear
174. MK-CF-F-130 enteredMonthlyRaw
175. MK-CF-F-166 hasMonthlySalaryTable
176. MK-ST-F-036 reconcile
177. MK-CF-F-167 salaryCalendarYear
178. MK-CF-F-081 salaryActiveMonths
179. MK-CF-F-008 spendByMonth
180. MK-NW-F-114 rentAmount
181. MK-CF-F-187 seniorDeductionFor
182. MK-XS-F-064 currentIdToken
183. MK-XS-F-112 relayUrl
184. MK-CF-F-005 actualMonthFlow
185. MK-CF-F-156 plannedMonthFlow
186. MK-CF-F-142 monthsOf
187. MK-CF-F-141 perMonth
188. MK-NW-F-078 ONE
189. MK-CF-F-157 debtPaymentsByDebt
190. MK-CF-F-140 periodsAYear
191. MK-NW-F-077 ALL
192. MK-NW-F-059 currentYield
193. MK-NW-O-001 theBonds
194. MK-NW-F-112 yearlyInterest
195. MK-NW-F-057 annualCoupon
196. MK-NW-F-056 bondInfo
197. MK-NW-F-064 bondRateSensitivity
198. MK-NW-F-061 bondSummary
199. MK-NW-F-055 isBond
200. MK-NW-F-072 rowOf
201. MK-NW-F-060 approxYTM
202. MK-NW-F-069 priceAtYield
203. MK-NW-F-131 pricedLikeBond
204. MK-NW-F-125 isPastMaturity
205. MK-NW-F-126 yearlyInterestNow
206. MK-NW-F-070 accruedInterestCaveat
207. MK-NW-F-058 yearsToMaturity
208. MK-NW-F-119 estimatedAccrued</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81</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217</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MK-CF-F-218 moveOldRentFigure
28. MK-XS-F-122 n
29. MK-ST-F-043 newEntityId
30. MK-XS-F-006 pruneDaily
31. MK-ST-F-073 rebuildDays
32. MK-NW-F-054 reclassifyAccounts
33. MK-XS-F-174 recomputeBalances
34. MK-CF-F-115 restoreUndo
35. MK-CF-F-109 reviewTransactions
36. MK-ST-F-044 setMoneyFormat
37. MK-NW-O-004 theEmergencyFund
38. MK-CF-F-114 undoSnapshot
39. MK-CF-F-191 ym
40. MK-CF-F-102 effectiveRateOnGrossFor
41. MK-CF-F-044 annualNet
42. MK-CF-F-127 isRental
43. MK-CF-F-101 taxOwedFor
44. MK-CF-F-100 taxableIncomeFor
45. MK-CF-F-138 addLot
46. MK-CF-F-136 bumpCash
47. MK-CF-F-137 findPos
48. MK-CF-F-139 removeShares
49. MK-PF-F-001 totalShares
50. MK-ST-F-052 toNum
51. MK-ST-F-053 money
52. MK-CF-F-085 filingStatusOf
53. MK-CF-F-097 grossFromNet
54. MK-CF-F-185 needsTakeHomeConversion
55. MK-CF-F-089 over65CountOf
56. MK-CF-F-037 inferDebtType
57. MK-CF-F-217 hasOldRentFigure
58. MK-CF-F-216 typed
59. MK-ST-F-069 amountOf
60. MK-CF-F-133 cashOf
61. MK-ST-F-066 isDayKey
62. MK-ST-F-070 isOpening
63. MK-ST-F-039 on
64. MK-ST-F-071 rebuildableFrom
65. MK-ST-F-068 stepDay
66. MK-ST-F-072 undo
67. MK-NW-F-053 correctClassOf
68. MK-NW-F-123 holdingNameEvidence
69. MK-NW-F-121 holdingTagClass
70. MK-NW-F-122 holdingTagFor
71. MK-PF-F-002 costBasis
72. MK-PF-F-009 latestClose
73. MK-PF-F-004 marketValue
74. MK-ST-F-030 record
75. MK-XS-F-024 resolveLens
76. MK-ST-F-055 round2
77. MK-CF-F-162 daysApart
78. MK-CF-F-108 isMoneyOut
79. MK-PL-F-074 median
80. MK-CF-F-131 normPayee
81. MK-CF-F-155 cash
82. MK-NW-F-016 cashTotal
83. MK-CF-F-010 emergencyTest
84. MK-CF-F-190 essentialsMonthly
85. MK-CF-O-004 incomeSummary
86. MK-CF-F-009 monthlyEssentials
87. MK-CF-F-022 paymentShape
88. MK-CF-F-002 plannedMonthlySpend
89. MK-NW-F-117 propertyUseMap
90. MK-ST-F-085 rentFigure
91. MK-CF-O-020 theBudgetCounted
92. MK-CF-F-113 affectedAccountIds
93. MK-CF-O-002 expenses
94. MK-CF-F-099 deductionFor
95. MK-CF-F-134 usesSleeve
96. MK-ST-F-049 formatMoney
97. MK-ST-F-067 utcOfDay
98. MK-ST-F-035 covers
99. MK-NW-F-120 classEvidenceOf
100. MK-NW-F-008 incomeBearingClassOf
101. MK-PF-F-031 contractMultiplier
102. MK-PF-F-035 unknownFigure
103. MK-CF-F-072 currentRetirementIncomeMonthly
104. MK-NW-F-027 accountClassBreakdown
105. MK-NW-F-029 assetAllocation
106. MK-NW-F-011 assetClassOf
107. MK-CF-F-189 essentialsFromLoggedSpending
108. MK-CF-F-203 MONTH
109. MK-CF-O-001 basePay
110. MK-CF-F-069 benefitActiveMonths
111. MK-CF-F-173 earnerWages
112. MK-CF-F-179 entryFromWage
113. MK-CF-F-071 extraIncome
114. MK-CF-F-092 incomeMonthlyGrid
115. MK-CF-F-192 inflowLabel
116. MK-CF-F-103 marginalBracketFor
117. MK-CF-F-181 rateInForce
118. MK-CF-F-068 rentalNetAnnual
119. MK-CF-F-082 salaryAnnual
120. MK-CF-F-060 salaryGrossByMonth
121. MK-CF-F-084 taxableAnnual
122. MK-CF-F-120 pctBaseMonthly
123. MK-CF-F-004 spendBuckets
124. MK-CF-F-021 defaultPaymentType
125. MK-XS-F-027 takeHomeMonthly
126. MK-NW-F-116 rentedIdsOf
127. MK-NW-F-106 mortgagesByProperty
128. MK-NW-F-107 propertyUses
129. MK-CF-F-151 actualSpending
130. MK-CF-F-150 debtPaymentsCountedAsExpenses
131. MK-CF-F-153 radar
132. MK-CF-F-149 recurringDebtPayments
133. MK-CF-F-187 seniorDeductionFor
134. MK-ST-F-048 currencySymbol
135. MK-ST-F-034 firstDate
136. MK-NW-F-009 maturityClass
137. MK-ST-F-010 nameEvidence
138. MK-CF-F-075 retirementIncomeMonthly
139. MK-NW-F-109 holdingClassOf
140. MK-NW-F-067 plural
141. MK-CF-O-010 theMonth
142. MK-CF-F-171 earnerPay
143. MK-CF-F-204 line
144. MK-HM-F-006 money0
145. MK-CF-F-198 payrollTaxWithheld
146. MK-CF-F-172 hasWage
147. MK-CF-F-165 salaryMonths
148. MK-CF-F-070 benefitAnnual
149. MK-CF-F-065 equityVestWeights
150. MK-CF-F-206 householdK401ByMonth
151. MK-CF-F-087 monthlyTaxRates
152. MK-CF-F-073 otherIncomeMonth
153. MK-CF-F-066 rsuAnnual
154. MK-CF-F-077 scholarshipByCalendarMonth
155. MK-CF-F-088 taxableByCalendarMonth
156. MK-CF-F-177 wageGrossByMonth
157. MK-PL-F-012 waterfall
158. MK-CF-F-193 inflowSourceWord
159. MK-CF-F-180 enteredLandsAnnual
160. MK-CF-F-086 stateRateOf
161. MK-CF-F-067 rentalList
162. MK-CF-F-176 sumMonthsOverEarners
163. MK-CF-F-074 tipsAnnual
164. MK-CF-F-003 categoryMonthly
165. MK-CF-F-011 savingsByMonth
166. MK-NW-F-115 liveRent
167. MK-CF-F-023 requiredPayment
168. MK-CF-F-148 inMonth
169. MK-CF-F-152 isRadarItem
170. MK-ST-F-047 activeCurrency
171. MK-NW-F-124 maturityParts
172. MK-XS-F-147 call
173. MK-CF-O-003 thisMonth
174. MK-CF-F-143 annualisedGross
175. MK-CF-F-145 deductionsFromPay
176. MK-CF-F-128 grossByMonth
177. MK-CF-F-146 payFiguresAgree
178. MK-CF-F-144 takeHomeAsEntered
179. MK-XS-F-180 declareFigures
180. MK-HM-F-005 pctTxt
181. MK-CF-F-062 equityRowValue
182. MK-CF-F-090 effectiveRate
183. MK-CF-F-063 rowVestYear
184. MK-CF-F-130 enteredMonthlyRaw
185. MK-CF-F-166 hasMonthlySalaryTable
186. MK-ST-F-036 reconcile
187. MK-CF-F-167 salaryCalendarYear
188. MK-CF-F-081 salaryActiveMonths
189. MK-CF-F-008 spendByMonth
190. MK-NW-F-114 rentAmount
191. MK-XS-F-064 currentIdToken
192. MK-XS-F-112 relayUrl
193. MK-CF-F-005 actualMonthFlow
194. MK-CF-F-156 plannedMonthFlow
195. MK-CF-F-142 monthsOf
196. MK-CF-F-141 perMonth
197. MK-NW-F-078 ONE
198. MK-CF-F-157 debtPaymentsByDebt
199. MK-CF-F-140 periodsAYear
200. MK-NW-F-077 ALL
201. MK-NW-F-059 currentYield
202. MK-NW-O-001 theBonds
203. MK-NW-F-112 yearlyInterest
204. MK-NW-F-057 annualCoupon
205. MK-NW-F-056 bondInfo
206. MK-NW-F-064 bondRateSensitivity
207. MK-NW-F-061 bondSummary
208. MK-NW-F-055 isBond
209. MK-NW-F-072 rowOf
210. MK-NW-F-060 approxYTM
211. MK-NW-F-069 priceAtYield
212. MK-NW-F-131 pricedLikeBond
213. MK-NW-F-125 isPastMaturity
214. MK-NW-F-126 yearlyInterestNow
215. MK-NW-F-070 accruedInterestCaveat
216. MK-NW-F-058 yearsToMaturity
217. MK-NW-F-119 estimatedAccrued</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143</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173</v>
      </c>
      <c r="E55" s="3" t="inlineStr">
        <is>
          <t>2 · DISPLAYED</t>
        </is>
      </c>
      <c r="F55" s="3" t="inlineStr">
        <is>
          <t>How much a person may put into an IRA this year: the standard limit, plus the catch-up amount from age 50.</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201</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235</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259</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283</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130</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216</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255</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294</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321</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378</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435</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482</v>
      </c>
      <c r="E68" s="3" t="inlineStr">
        <is>
          <t>3 · DEPENDENT</t>
        </is>
      </c>
      <c r="F68" s="3" t="inlineStr">
        <is>
          <t>Normalized list of rental properties, read from the `rentals` array.</t>
        </is>
      </c>
      <c r="G68" s="11" t="inlineStr">
        <is>
          <t>a = op (or none when missing)
norm = (t: any): 'long' | 'short' =&gt; (t = 'short' ? 'short' : 'long')
rent = (v: any) =&gt; rent figure(v) (or 0 when missing)
the answer = []</t>
        </is>
      </c>
      <c r="H68" s="3" t="inlineStr">
        <is>
          <t>A is op (or none — when missing). Norm is (t: any): 'long' | 'short' =&gt; (t = 'short' ? 'short' : 'long'). Rent is (v: any) =&gt; rent figure(v) (or 0 — when missing).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MK-ST-F-085 rentFigure
4. MK-CF-F-216 typed</t>
        </is>
      </c>
      <c r="P68" s="3" t="n">
        <v>17</v>
      </c>
      <c r="Q68" s="3" t="inlineStr">
        <is>
          <t>1. MK-CF-O-002 expenses
2. MK-CF-F-132 map
3. MK-ST-F-085 rentFigure
4. MK-CF-F-216 typed
5. MK-CF-F-151 actualSpending
6. MK-CF-F-150 debtPaymentsCountedAsExpenses
7. MK-CF-F-153 radar
8. MK-CF-F-149 recurringDebtPayments
9. MK-XS-F-122 n
10. MK-CF-F-148 inMonth
11. MK-ST-F-052 toNum
12. MK-CF-F-191 ym
13. MK-ST-F-056 has
14. MK-CF-F-022 paymentShape
15. MK-CF-F-152 isRadarItem
16. MK-CF-F-023 requiredPayment
17.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2026-10-10</t>
        </is>
      </c>
      <c r="W68" s="3" t="n"/>
      <c r="X68" s="3" t="n"/>
      <c r="Y68" s="3" t="inlineStr">
        <is>
          <t>NOTHING OPEN</t>
        </is>
      </c>
    </row>
    <row r="69" ht="60" customHeight="1">
      <c r="A69" s="3" t="inlineStr">
        <is>
          <t>MK-CF-F-068</t>
        </is>
      </c>
      <c r="B69" s="3" t="inlineStr">
        <is>
          <t>rentalNetAnnual</t>
        </is>
      </c>
      <c r="C69" s="3" t="inlineStr">
        <is>
          <t>src/domain/income/onboarding.ts</t>
        </is>
      </c>
      <c r="D69" s="3" t="n">
        <v>538</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NOT FOUND — a screen calls it, but the words printed beside its answer could not be traced automatically. Needs reading.</t>
        </is>
      </c>
      <c r="M69" s="3" t="inlineStr">
        <is>
          <t>· Turns a monthly figure into a year by multiplying by twelve.</t>
        </is>
      </c>
      <c r="N69" s="3" t="inlineStr">
        <is>
          <t>Yes</t>
        </is>
      </c>
      <c r="O69" s="3" t="inlineStr">
        <is>
          <t>1. MK-CF-O-002 expenses
2. MK-CF-F-067 rentalList</t>
        </is>
      </c>
      <c r="P69" s="3" t="n">
        <v>18</v>
      </c>
      <c r="Q69" s="3" t="inlineStr">
        <is>
          <t>1. MK-CF-O-002 expenses
2. MK-CF-F-067 rentalList
3. MK-CF-F-151 actualSpending
4. MK-CF-F-150 debtPaymentsCountedAsExpenses
5. MK-CF-F-153 radar
6. MK-CF-F-149 recurringDebtPayments
7. MK-CF-F-132 map
8. MK-ST-F-085 rentFigure
9. MK-CF-F-216 typed
10. MK-CF-F-148 inMonth
11. MK-ST-F-052 toNum
12. MK-CF-F-191 ym
13. MK-ST-F-056 has
14. MK-CF-F-022 paymentShape
15. MK-CF-F-152 isRadarItem
16. MK-CF-F-023 requiredPayment
17. MK-XS-F-122 n
18.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576</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610</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664</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743</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778</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817</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862</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"Your guaranteed income" — on the Monthly income screen, under "Other steady income"</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908</v>
      </c>
      <c r="E77" s="3" t="inlineStr">
        <is>
          <t>2 · DISPLAYED</t>
        </is>
      </c>
      <c r="F77" s="3" t="inlineStr">
        <is>
          <t>The guaranteed income that comes from outside the person's own savings, one row for each source that pays anything: Social Security, a pension, an annuity or another, each as a monthly amount with whether it rises with prices.</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958</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1000</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1071</v>
      </c>
      <c r="E80" s="3" t="inlineStr">
        <is>
          <t>2 · DISPLAYED</t>
        </is>
      </c>
      <c r="F80" s="3" t="inlineStr">
        <is>
          <t>Turns the income answers given during setup into the list of income sources the app stores.</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209</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MK-ST-F-085 rentFigure
24. MK-CF-F-216 typed
25. MK-CF-F-063 rowVestYear
26. MK-CF-F-060 salaryGrossByMonth
27. MK-CF-F-081 salaryActiveMonths
28. MK-XS-F-122 n
29. MK-ST-F-027 accountId
30. MK-CF-F-111 applyTransaction
31. MK-NW-F-040 assetsFromOnboarding
32. MK-PF-F-013 benchmarkTicker
33. MK-ST-F-028 buildDayFromAccounts
34. MK-PF-F-034 closeOnOrBefore
35. MK-CF-F-186 convertTakeHomeMode
36. MK-ST-F-079 dailyWindowStart
37. MK-CF-F-038 debtsFromOnboarding
38. MK-XS-F-083 fetchPriceSeries
39. MK-ST-F-084 fillBetweenObservations
40. MK-PL-F-013 goalsFromOnboarding
41. MK-ST-F-056 has
42. MK-CF-F-116 inverseOf
43. MK-ST-F-065 isoLocalDate
44. MK-CF-F-112 makeTransaction
45. MK-CF-F-218 moveOldRentFigure
46. MK-XS-F-006 pruneDaily
47. MK-ST-F-073 rebuildDays
48. MK-NW-F-054 reclassifyAccounts
49. MK-XS-F-174 recomputeBalances
50. MK-CF-F-115 restoreUndo
51. MK-CF-F-109 reviewTransactions
52. MK-ST-F-044 setMoneyFormat
53. MK-NW-O-004 theEmergencyFund
54. MK-CF-F-114 undoSnapshot
55. MK-CF-F-191 ym
56. MK-CF-F-173 earnerWages
57. MK-CF-F-148 inMonth
58. MK-CF-F-022 paymentShape
59. MK-CF-F-152 isRadarItem
60. MK-CF-F-023 requiredPayment
61. MK-CF-F-176 sumMonthsOverEarners
62. MK-CF-F-177 wageGrossByMonth
63. MK-CF-F-138 addLot
64. MK-CF-F-136 bumpCash
65. MK-CF-F-137 findPos
66. MK-CF-F-139 removeShares
67. MK-PF-F-001 totalShares
68. MK-ST-F-053 money
69. MK-CF-F-085 filingStatusOf
70. MK-CF-F-097 grossFromNet
71. MK-CF-F-185 needsTakeHomeConversion
72. MK-CF-F-089 over65CountOf
73. MK-CF-F-037 inferDebtType
74. MK-CF-F-217 hasOldRentFigure
75. MK-ST-F-069 amountOf
76. MK-CF-F-133 cashOf
77. MK-ST-F-066 isDayKey
78. MK-ST-F-070 isOpening
79. MK-ST-F-039 on
80. MK-ST-F-071 rebuildableFrom
81. MK-ST-F-068 stepDay
82. MK-ST-F-072 undo
83. MK-NW-F-053 correctClassOf
84. MK-NW-F-123 holdingNameEvidence
85. MK-NW-F-121 holdingTagClass
86. MK-NW-F-122 holdingTagFor
87. MK-PF-F-002 costBasis
88. MK-PF-F-009 latestClose
89. MK-PF-F-004 marketValue
90. MK-ST-F-030 record
91. MK-XS-F-024 resolveLens
92. MK-ST-F-055 round2
93. MK-CF-F-162 daysApart
94. MK-CF-F-108 isMoneyOut
95. MK-PL-F-074 median
96. MK-CF-F-131 normPayee
97. MK-CF-F-155 cash
98. MK-NW-F-016 cashTotal
99. MK-CF-F-010 emergencyTest
100. MK-CF-F-190 essentialsMonthly
101. MK-CF-O-004 incomeSummary
102. MK-CF-F-009 monthlyEssentials
103. MK-CF-F-002 plannedMonthlySpend
104. MK-NW-F-117 propertyUseMap
105. MK-CF-O-020 theBudgetCounted
106. MK-CF-F-113 affectedAccountIds
107. MK-CF-F-172 hasWage
108. MK-CF-F-021 defaultPaymentType
109. MK-CF-F-130 enteredMonthlyRaw
110. MK-CF-F-166 hasMonthlySalaryTable
111. MK-ST-F-036 reconcile
112. MK-CF-F-167 salaryCalendarYear
113. MK-CF-F-134 usesSleeve
114. MK-ST-F-049 formatMoney
115. MK-CF-F-101 taxOwedFor
116. MK-ST-F-067 utcOfDay
117. MK-ST-F-035 covers
118. MK-NW-F-120 classEvidenceOf
119. MK-NW-F-008 incomeBearingClassOf
120. MK-PF-F-031 contractMultiplier
121. MK-PF-F-035 unknownFigure
122. MK-NW-F-027 accountClassBreakdown
123. MK-NW-F-029 assetAllocation
124. MK-NW-F-011 assetClassOf
125. MK-CF-F-189 essentialsFromLoggedSpending
126. MK-CF-F-203 MONTH
127. MK-CF-O-001 basePay
128. MK-CF-F-179 entryFromWage
129. MK-CF-F-071 extraIncome
130. MK-CF-F-092 incomeMonthlyGrid
131. MK-CF-F-192 inflowLabel
132. MK-CF-F-103 marginalBracketFor
133. MK-CF-F-181 rateInForce
134. MK-CF-F-068 rentalNetAnnual
135. MK-CF-F-084 taxableAnnual
136. MK-CF-F-120 pctBaseMonthly
137. MK-CF-F-004 spendBuckets
138. MK-XS-F-027 takeHomeMonthly
139. MK-NW-F-116 rentedIdsOf
140. MK-NW-F-106 mortgagesByProperty
141. MK-NW-F-107 propertyUses
142. MK-CF-F-165 salaryMonths
143. MK-ST-F-048 currencySymbol
144. MK-CF-F-100 taxableIncomeFor
145. MK-ST-F-034 firstDate
146. MK-NW-F-009 maturityClass
147. MK-ST-F-010 nameEvidence
148. MK-NW-F-109 holdingClassOf
149. MK-NW-F-067 plural
150. MK-CF-O-010 theMonth
151. MK-CF-F-171 earnerPay
152. MK-CF-F-204 line
153. MK-HM-F-006 money0
154. MK-CF-F-198 payrollTaxWithheld
155. MK-CF-F-206 householdK401ByMonth
156. MK-CF-F-087 monthlyTaxRates
157. MK-CF-F-073 otherIncomeMonth
158. MK-CF-F-077 scholarshipByCalendarMonth
159. MK-CF-F-088 taxableByCalendarMonth
160. MK-PL-F-012 waterfall
161. MK-CF-F-193 inflowSourceWord
162. MK-CF-F-180 enteredLandsAnnual
163. MK-CF-F-086 stateRateOf
164. MK-CF-F-003 categoryMonthly
165. MK-CF-F-011 savingsByMonth
166. MK-NW-F-115 liveRent
167. MK-ST-F-047 activeCurrency
168. MK-CF-F-099 deductionFor
169. MK-NW-F-124 maturityParts
170. MK-XS-F-147 call
171. MK-CF-O-003 thisMonth
172. MK-CF-F-143 annualisedGross
173. MK-CF-F-145 deductionsFromPay
174. MK-CF-F-128 grossByMonth
175. MK-CF-F-146 payFiguresAgree
176. MK-CF-F-144 takeHomeAsEntered
177. MK-XS-F-180 declareFigures
178. MK-HM-F-005 pctTxt
179. MK-CF-F-090 effectiveRate
180. MK-CF-F-008 spendByMonth
181. MK-NW-F-114 rentAmount
182. MK-CF-F-187 seniorDeductionFor
183. MK-XS-F-064 currentIdToken
184. MK-XS-F-112 relayUrl
185. MK-CF-F-005 actualMonthFlow
186. MK-CF-F-156 plannedMonthFlow
187. MK-CF-F-142 monthsOf
188. MK-CF-F-141 perMonth
189. MK-NW-F-078 ONE
190. MK-CF-F-157 debtPaymentsByDebt
191. MK-CF-F-140 periodsAYear
192. MK-NW-F-077 ALL
193. MK-NW-F-059 currentYield
194. MK-NW-O-001 theBonds
195. MK-NW-F-112 yearlyInterest
196. MK-NW-F-057 annualCoupon
197. MK-NW-F-056 bondInfo
198. MK-NW-F-064 bondRateSensitivity
199. MK-NW-F-061 bondSummary
200. MK-NW-F-055 isBond
201. MK-NW-F-072 rowOf
202. MK-NW-F-060 approxYTM
203. MK-NW-F-069 priceAtYield
204. MK-NW-F-131 pricedLikeBond
205. MK-NW-F-125 isPastMaturity
206. MK-NW-F-126 yearlyInterestNow
207. MK-NW-F-070 accruedInterestCaveat
208. MK-NW-F-058 yearsToMaturity
209. MK-NW-F-119 estimatedAccrued</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1143</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1177</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1215</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1249</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41</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MK-ST-F-085 rentFigure
25. MK-CF-F-216 typed
26. MK-CF-F-176 sumMonthsOverEarners
27. MK-CF-F-177 wageGrossByMonth
28. MK-CF-F-148 inMonth
29. MK-CF-F-191 ym
30. MK-ST-F-056 has
31. MK-CF-F-022 paymentShape
32. MK-CF-F-152 isRadarItem
33. MK-CF-F-023 requiredPayment
34. MK-CF-F-173 earnerWages
35. MK-CF-F-130 enteredMonthlyRaw
36. MK-CF-F-166 hasMonthlySalaryTable
37. MK-ST-F-036 reconcile
38. MK-CF-F-167 salaryCalendarYear
39. MK-CF-F-021 defaultPaymentType
40. MK-CF-F-172 hasWage
41.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1291</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41</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MK-ST-F-085 rentFigure
25. MK-CF-F-216 typed
26. MK-CF-F-176 sumMonthsOverEarners
27. MK-CF-F-177 wageGrossByMonth
28. MK-CF-F-148 inMonth
29. MK-CF-F-191 ym
30. MK-ST-F-056 has
31. MK-CF-F-022 paymentShape
32. MK-CF-F-152 isRadarItem
33. MK-CF-F-023 requiredPayment
34. MK-CF-F-173 earnerWages
35. MK-CF-F-130 enteredMonthlyRaw
36. MK-CF-F-166 hasMonthlySalaryTable
37. MK-ST-F-036 reconcile
38. MK-CF-F-167 salaryCalendarYear
39. MK-CF-F-021 defaultPaymentType
40. MK-CF-F-172 hasWage
41.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1336</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1384</v>
      </c>
      <c r="E87" s="3" t="inlineStr">
        <is>
          <t>2 · DISPLAYED</t>
        </is>
      </c>
      <c r="F87" s="3" t="inlineStr">
        <is>
          <t>The state income tax rate the person entered, as a share, held between 0% and 15%.</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1429</v>
      </c>
      <c r="E88" s="3" t="inlineStr">
        <is>
          <t>3 · DEPENDENT</t>
        </is>
      </c>
      <c r="F88" s="3" t="inlineStr">
        <is>
          <t>The tax rate for each of the twelve months, as a share: the one rate in force in every month — the person's own where they gave one, otherwise the calculated rate.</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t>
        </is>
      </c>
      <c r="M88" s="3" t="inlineStr">
        <is>
          <t>· Uses today's date from the device clock, so the answer changes by itself overnight.</t>
        </is>
      </c>
      <c r="N88" s="3" t="inlineStr">
        <is>
          <t>Yes</t>
        </is>
      </c>
      <c r="O88" s="3" t="inlineStr">
        <is>
          <t>1. MK-CF-F-203 MONTH
2. MK-CF-F-090 effectiveRate
3. MK-ST-F-039 on
4. MK-ST-F-052 toNum</t>
        </is>
      </c>
      <c r="P88" s="3" t="n">
        <v>110</v>
      </c>
      <c r="Q88" s="3" t="inlineStr">
        <is>
          <t>1. MK-CF-F-203 MONTH
2. MK-CF-F-090 effectiveRate
3. MK-ST-F-039 on
4. MK-ST-F-052 toNum
5. MK-CF-O-010 theMonth
6. MK-CF-F-181 rateInForce
7. MK-XS-F-122 n
8. MK-CF-F-155 cash
9. MK-CF-O-002 expenses
10. MK-CF-O-003 thisMonth
11. MK-CF-F-173 earnerWages
12. MK-CF-F-180 enteredLandsAnnual
13. MK-CF-F-085 filingStatusOf
14. MK-CF-F-206 householdK401ByMonth
15. MK-CF-F-089 over65CountOf
16. MK-CF-F-082 salaryAnnual
17. MK-CF-F-086 stateRateOf
18. MK-CF-F-101 taxOwedFor
19. MK-CF-F-084 taxableAnnual
20. MK-CF-F-151 actualSpending
21. MK-CF-F-150 debtPaymentsCountedAsExpenses
22. MK-CF-F-153 radar
23. MK-CF-F-149 recurringDebtPayments
24. MK-CF-F-005 actualMonthFlow
25. MK-CF-F-156 plannedMonthFlow
26. MK-CF-F-172 hasWage
27. MK-CF-F-132 map
28. MK-CF-F-176 sumMonthsOverEarners
29. MK-CF-F-177 wageGrossByMonth
30. MK-CF-F-060 salaryGrossByMonth
31. MK-CF-F-100 taxableIncomeFor
32. MK-CF-F-072 currentRetirementIncomeMonthly
33. MK-CF-F-071 extraIncome
34. MK-CF-F-068 rentalNetAnnual
35. MK-CF-F-066 rsuAnnual
36. MK-CF-F-074 tipsAnnual
37. MK-CF-F-148 inMonth
38. MK-CF-F-191 ym
39. MK-ST-F-056 has
40. MK-CF-F-022 paymentShape
41. MK-CF-F-152 isRadarItem
42. MK-CF-F-023 requiredPayment
43. MK-NW-F-078 ONE
44. MK-CF-F-157 debtPaymentsByDebt
45. MK-CF-F-192 inflowLabel
46. MK-XS-F-027 takeHomeMonthly
47. MK-CF-F-130 enteredMonthlyRaw
48. MK-CF-F-166 hasMonthlySalaryTable
49. MK-ST-F-036 reconcile
50. MK-CF-F-167 salaryCalendarYear
51. MK-CF-F-099 deductionFor
52. MK-CF-F-075 retirementIncomeMonthly
53. MK-CF-F-070 benefitAnnual
54. MK-CF-F-067 rentalList
55. MK-CF-F-062 equityRowValue
56. MK-CF-F-063 rowVestYear
57. MK-CF-F-081 salaryActiveMonths
58. MK-CF-F-021 defaultPaymentType
59. MK-NW-F-077 ALL
60. MK-NW-F-059 currentYield
61. MK-XS-F-180 declareFigures
62. MK-ST-F-049 formatMoney
63. MK-ST-F-053 money
64. MK-NW-O-001 theBonds
65. MK-CF-F-193 inflowSourceWord
66. MK-CF-F-092 incomeMonthlyGrid
67. MK-CF-F-011 savingsByMonth
68. MK-CF-F-165 salaryMonths
69. MK-CF-F-187 seniorDeductionFor
70. MK-CF-F-069 benefitActiveMonths
71. MK-ST-F-085 rentFigure
72. MK-CF-F-216 typed
73. MK-NW-F-112 yearlyInterest
74. MK-ST-F-048 currencySymbol
75. MK-ST-F-027 accountId
76. MK-NW-F-057 annualCoupon
77. MK-NW-F-056 bondInfo
78. MK-NW-F-064 bondRateSensitivity
79. MK-NW-F-061 bondSummary
80. MK-NW-F-055 isBond
81. MK-NW-F-124 maturityParts
82. MK-NW-F-072 rowOf
83. MK-CF-F-065 equityVestWeights
84. MK-CF-F-073 otherIncomeMonth
85. MK-CF-F-077 scholarshipByCalendarMonth
86. MK-CF-F-088 taxableByCalendarMonth
87. MK-PL-F-012 waterfall
88. MK-CF-F-008 spendByMonth
89. MK-ST-F-047 activeCurrency
90. MK-NW-F-060 approxYTM
91. MK-NW-F-069 priceAtYield
92. MK-NW-F-131 pricedLikeBond
93. MK-NW-F-125 isPastMaturity
94. MK-ST-F-065 isoLocalDate
95. MK-NW-F-126 yearlyInterestNow
96. MK-NW-F-011 assetClassOf
97. MK-NW-F-009 maturityClass
98. MK-NW-F-070 accruedInterestCaveat
99. MK-NW-F-058 yearsToMaturity
100. MK-CF-F-120 pctBaseMonthly
101. MK-CF-F-004 spendBuckets
102. MK-NW-F-119 estimatedAccrued
103. MK-NW-F-120 classEvidenceOf
104. MK-NW-F-067 plural
105. MK-CF-F-003 categoryMonthly
106. MK-NW-F-008 incomeBearingClassOf
107. MK-ST-F-010 nameEvidence
108. MK-XS-F-147 call
109. MK-XS-F-064 currentIdToken
110.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2026-10-04</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1552</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41</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MK-ST-F-085 rentFigure
32. MK-CF-F-216 typed
33. MK-CF-F-172 hasWage
34. MK-CF-F-165 salaryMonths
35. MK-CF-F-148 inMonth
36. MK-CF-F-191 ym
37. MK-ST-F-056 has
38. MK-CF-F-022 paymentShape
39. MK-CF-F-152 isRadarItem
40. MK-CF-F-023 requiredPayment
41.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1628</v>
      </c>
      <c r="E90" s="3" t="inlineStr">
        <is>
          <t>2 · DISPLAYED</t>
        </is>
      </c>
      <c r="F90" s="3" t="inlineStr">
        <is>
          <t>How many people on the tax return are 65 or older: none, one or two.</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1672</v>
      </c>
      <c r="E91" s="3" t="inlineStr">
        <is>
          <t>3 · DEPENDENT</t>
        </is>
      </c>
      <c r="F91" s="3" t="inlineStr">
        <is>
          <t>The one tax rate in force for the household, as a share of gross: their own figure where they gave one, otherwise the calculated rate.</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52</v>
      </c>
      <c r="Q91" s="3" t="inlineStr">
        <is>
          <t>1. MK-CF-F-181 rateInForce
2. MK-CF-F-173 earnerWages
3. MK-CF-F-180 enteredLandsAnnual
4. MK-CF-F-085 filingStatusOf
5. MK-CF-F-206 householdK401ByMonth
6. MK-CF-F-089 over65CountOf
7. MK-CF-F-082 salaryAnnual
8. MK-CF-F-086 stateRateOf
9. MK-CF-F-101 taxOwedFor
10. MK-CF-F-084 taxableAnnual
11. MK-ST-F-052 toNum
12. MK-CF-F-172 hasWage
13. MK-CF-F-132 map
14. MK-CF-F-176 sumMonthsOverEarners
15. MK-CF-F-177 wageGrossByMonth
16. MK-CF-F-060 salaryGrossByMonth
17. MK-CF-F-100 taxableIncomeFor
18. MK-CF-F-072 currentRetirementIncomeMonthly
19. MK-CF-F-071 extraIncome
20. MK-CF-F-068 rentalNetAnnual
21. MK-CF-F-066 rsuAnnual
22. MK-CF-F-074 tipsAnnual
23. MK-XS-F-122 n
24. MK-ST-F-056 has
25. MK-CF-F-130 enteredMonthlyRaw
26. MK-CF-F-166 hasMonthlySalaryTable
27. MK-ST-F-036 reconcile
28. MK-CF-F-167 salaryCalendarYear
29. MK-CF-F-099 deductionFor
30. MK-CF-F-075 retirementIncomeMonthly
31. MK-CF-F-070 benefitAnnual
32. MK-ST-F-039 on
33. MK-CF-O-002 expenses
34. MK-CF-F-067 rentalList
35. MK-CF-F-062 equityRowValue
36. MK-CF-F-063 rowVestYear
37. MK-CF-F-081 salaryActiveMonths
38. MK-CF-F-165 salaryMonths
39. MK-CF-F-187 seniorDeductionFor
40. MK-CF-F-069 benefitActiveMonths
41. MK-CF-F-151 actualSpending
42. MK-CF-F-150 debtPaymentsCountedAsExpenses
43. MK-CF-F-153 radar
44. MK-CF-F-149 recurringDebtPayments
45. MK-ST-F-085 rentFigure
46. MK-CF-F-216 typed
47. MK-CF-F-148 inMonth
48. MK-CF-F-191 ym
49. MK-CF-F-022 paymentShape
50. MK-CF-F-152 isRadarItem
51. MK-CF-F-023 requiredPayment
52. MK-CF-F-021 defaultPaymentType</t>
        </is>
      </c>
      <c r="R91" s="3" t="inlineStr">
        <is>
          <t>1. MK-ST-F-056 has → MK-CF-F-172 hasWage → MK-CF-F-173 earnerWages → MK-CF-F-181 rateInForce → MK-CF-F-090 effectiveRate
2. MK-ST-F-056 has → MK-CF-F-172 hasWage → MK-CF-F-173 earnerWages → MK-CF-F-180 enteredLandsAnnual → MK-CF-F-181 rateInForce → MK-CF-F-090 effectiveRate
3. MK-XS-F-122 n → MK-ST-F-052 toNum → MK-CF-F-180 enteredLandsAnnual → MK-CF-F-181 rateInForce → MK-CF-F-090 effectiveRate
4. MK-CF-F-085 filingStatusOf → MK-CF-F-181 rateInForce → MK-CF-F-090 effectiveRate
5. MK-CF-F-132 map → MK-CF-F-206 householdK401ByMonth → MK-CF-F-181 rateInForce → MK-CF-F-090 effectiveRate
6. MK-CF-F-172 hasWage → MK-CF-F-173 earnerWages → MK-CF-F-176 sumMonthsOverEarners → MK-CF-F-206 householdK401ByMonth → MK-CF-F-181 rateInForce → MK-CF-F-090 effectiveRate
7. MK-CF-F-132 map → MK-CF-F-176 sumMonthsOverEarners → MK-CF-F-206 householdK401ByMonth → MK-CF-F-181 rateInForce → MK-CF-F-090 effectiveRate
8. MK-XS-F-122 n → MK-ST-F-052 toNum → MK-CF-F-206 householdK401ByMonth → MK-CF-F-181 rateInForce → MK-CF-F-090 effectiveRate
9. … and 4 more paths</t>
        </is>
      </c>
      <c r="S91" s="3" t="inlineStr">
        <is>
          <t>—</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1708</v>
      </c>
      <c r="E92" s="3" t="inlineStr">
        <is>
          <t>3 · DEPENDENT (feeds an action only)</t>
        </is>
      </c>
      <c r="F92" s="3" t="inlineStr">
        <is>
          <t>The person's own capital-gains tax rates, long-term and short-term, each with their state rate added.</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50</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MK-ST-F-085 rentFigure
34. MK-CF-F-216 typed
35. MK-CF-F-176 sumMonthsOverEarners
36. MK-CF-F-177 wageGrossByMonth
37. MK-CF-F-148 inMonth
38. MK-CF-F-191 ym
39. MK-ST-F-056 has
40. MK-CF-F-022 paymentShape
41. MK-CF-F-152 isRadarItem
42. MK-CF-F-023 requiredPayment
43. MK-CF-F-173 earnerWages
44. MK-CF-F-130 enteredMonthlyRaw
45. MK-CF-F-166 hasMonthlySalaryTable
46. MK-ST-F-036 reconcile
47. MK-CF-F-167 salaryCalendarYear
48. MK-CF-F-021 defaultPaymentType
49. MK-CF-F-172 hasWage
50.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1770</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1. Turns a monthly figure into a year by multiplying by twelve.
2. Uses today's date from the device clock, so the answer changes by itself overnight.
3. Never lets earned before401k fall below 0.</t>
        </is>
      </c>
      <c r="N93" s="3" t="inlineStr">
        <is>
          <t>Yes</t>
        </is>
      </c>
      <c r="O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t>
        </is>
      </c>
      <c r="P93" s="3" t="n">
        <v>110</v>
      </c>
      <c r="Q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
20. MK-CF-F-075 retirementIncomeMonthly
21. MK-CF-F-172 hasWage
22. MK-CF-F-062 equityRowValue
23. MK-CF-F-070 benefitAnnual
24. MK-ST-F-039 on
25. MK-CF-F-176 sumMonthsOverEarners
26. MK-CF-F-203 MONTH
27. MK-CF-F-090 effectiveRate
28. MK-CF-F-180 enteredLandsAnnual
29. MK-CF-F-085 filingStatusOf
30. MK-CF-F-089 over65CountOf
31. MK-CF-F-082 salaryAnnual
32. MK-CF-F-086 stateRateOf
33. MK-CF-F-101 taxOwedFor
34. MK-CF-F-084 taxableAnnual
35. MK-CF-O-002 expenses
36. MK-CF-F-067 rentalList
37. MK-CF-F-063 rowVestYear
38. MK-XS-F-122 n
39. MK-CF-F-130 enteredMonthlyRaw
40. MK-CF-F-166 hasMonthlySalaryTable
41. MK-ST-F-036 reconcile
42. MK-CF-F-167 salaryCalendarYear
43. MK-CF-O-010 theMonth
44. MK-CF-F-100 taxableIncomeFor
45. MK-CF-F-074 tipsAnnual
46. MK-CF-F-151 actualSpending
47. MK-CF-F-150 debtPaymentsCountedAsExpenses
48. MK-CF-F-153 radar
49. MK-CF-F-149 recurringDebtPayments
50. MK-ST-F-085 rentFigure
51. MK-CF-F-216 typed
52. MK-CF-F-165 salaryMonths
53. MK-CF-F-155 cash
54. MK-CF-O-003 thisMonth
55. MK-CF-F-099 deductionFor
56. MK-CF-F-081 salaryActiveMonths
57. MK-CF-F-148 inMonth
58. MK-CF-F-191 ym
59. MK-CF-F-022 paymentShape
60. MK-CF-F-152 isRadarItem
61. MK-CF-F-023 requiredPayment
62. MK-CF-F-005 actualMonthFlow
63. MK-CF-F-156 plannedMonthFlow
64. MK-CF-F-187 seniorDeductionFor
65. MK-CF-F-021 defaultPaymentType
66. MK-NW-F-078 ONE
67. MK-CF-F-157 debtPaymentsByDebt
68. MK-CF-F-192 inflowLabel
69. MK-XS-F-027 takeHomeMonthly
70. MK-NW-F-077 ALL
71. MK-NW-F-059 currentYield
72. MK-XS-F-180 declareFigures
73. MK-ST-F-049 formatMoney
74. MK-ST-F-053 money
75. MK-NW-O-001 theBonds
76. MK-CF-F-193 inflowSourceWord
77. MK-CF-F-011 savingsByMonth
78. MK-NW-F-112 yearlyInterest
79. MK-ST-F-048 currencySymbol
80. MK-ST-F-027 accountId
81. MK-NW-F-057 annualCoupon
82. MK-NW-F-056 bondInfo
83. MK-NW-F-064 bondRateSensitivity
84. MK-NW-F-061 bondSummary
85. MK-NW-F-055 isBond
86. MK-NW-F-124 maturityParts
87. MK-NW-F-072 rowOf
88. MK-CF-F-008 spendByMonth
89. MK-ST-F-047 activeCurrency
90. MK-NW-F-060 approxYTM
91. MK-NW-F-069 priceAtYield
92. MK-NW-F-131 pricedLikeBond
93. MK-NW-F-125 isPastMaturity
94. MK-ST-F-065 isoLocalDate
95. MK-NW-F-126 yearlyInterestNow
96. MK-NW-F-011 assetClassOf
97. MK-NW-F-009 maturityClass
98. MK-NW-F-070 accruedInterestCaveat
99. MK-NW-F-058 yearsToMaturity
100. MK-CF-F-120 pctBaseMonthly
101. MK-CF-F-004 spendBuckets
102. MK-NW-F-119 estimatedAccrued
103. MK-NW-F-120 classEvidenceOf
104. MK-NW-F-067 plural
105. MK-CF-F-003 categoryMonthly
106. MK-NW-F-008 incomeBearingClassOf
107. MK-ST-F-010 nameEvidence
108. MK-XS-F-147 call
109. MK-XS-F-064 currentIdToken
110. MK-XS-F-112 relayUrl</t>
        </is>
      </c>
      <c r="R93"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S93" s="3" t="inlineStr">
        <is>
          <t>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97</v>
      </c>
      <c r="E95" s="3" t="inlineStr">
        <is>
          <t>3 · DEPENDENT</t>
        </is>
      </c>
      <c r="F95" s="3" t="inlineStr">
        <is>
          <t>The tax taken in each of the twelve months when the brackets fill as the year's income builds up, so a month with a bonus is taxed higher and the twelve add up to the year's tax exactly.</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256</v>
      </c>
      <c r="E96" s="3" t="inlineStr">
        <is>
          <t>3 · DEPENDENT</t>
        </is>
      </c>
      <c r="F96" s="3" t="inlineStr">
        <is>
          <t>The amount of income that is free of tax before the brackets start: the standard deduction for the way the person files, plus the extra amounts for anyone 65 or older.</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290</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333</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371</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406</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444</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2026-10-03</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2026-10-03</t>
        </is>
      </c>
      <c r="W103" s="3" t="n"/>
      <c r="X103" s="3" t="n"/>
      <c r="Y103" s="3" t="inlineStr">
        <is>
          <t>NOTHING OPEN</t>
        </is>
      </c>
    </row>
    <row r="104" ht="60" customHeight="1">
      <c r="A104" s="3" t="inlineStr">
        <is>
          <t>MK-CF-F-107</t>
        </is>
      </c>
      <c r="B104" s="3" t="inlineStr">
        <is>
          <t>buildPaycheckYear</t>
        </is>
      </c>
      <c r="C104" s="3" t="inlineStr">
        <is>
          <t>src/domain/paycheck/index.ts</t>
        </is>
      </c>
      <c r="D104" s="3" t="n">
        <v>225</v>
      </c>
      <c r="E104" s="3" t="inlineStr">
        <is>
          <t>3 · DEPENDENT</t>
        </is>
      </c>
      <c r="F104" s="3" t="inlineStr">
        <is>
          <t>Build the month-by-month paycheck.</t>
        </is>
      </c>
      <c r="G104" s="11" t="inlineStr">
        <is>
          <t>now = opts.now (or new date() when missing)
rows = guaranteed rows(op, now)
nest egg = opts.nest egg (or retirement earmarked value(opts.accounts ?? [], array.is array((op as any).rentals) ? (op as any).rentals : nothing)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array.is array((op as any).rentals) ? (op as any).rentals : no answer)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135</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MK-NW-F-110 primaryHomeIdOf
24. MK-PL-F-050 simulate
25. MK-CF-F-075 retirementIncomeMonthly
26. MK-CF-F-062 equityRowValue
27. MK-CF-F-066 rsuAnnual
28. MK-CF-F-121 zero12
29. MK-CF-F-151 actualSpending
30. MK-CF-F-150 debtPaymentsCountedAsExpenses
31. MK-CF-F-153 radar
32. MK-CF-F-149 recurringDebtPayments
33. MK-CF-F-203 MONTH
34. MK-XS-F-180 declareFigures
35. MK-ST-F-049 formatMoney
36. MK-XS-F-122 n
37. MK-CF-F-090 effectiveRate
38. MK-ST-F-039 on
39. MK-CF-F-021 defaultPaymentType
40. MK-CF-F-067 rentalList
41. MK-CF-F-176 sumMonthsOverEarners
42. MK-CF-F-177 wageGrossByMonth
43. MK-CF-F-120 pctBaseMonthly
44. MK-CF-F-004 spendBuckets
45. MK-NW-F-030 earmarkDefault
46. MK-NW-F-134 carValueNotEnteredNotes
47. MK-NW-F-133 valueEntered
48. MK-NW-F-117 propertyUseMap
49. MK-PL-F-074 median
50. MK-PL-F-072 mulberry32
51. MK-PL-F-073 normal
52. MK-PL-F-075 pctOfSorted
53. MK-ST-F-025 rmdStartAgeFromAge
54. MK-CF-F-063 rowVestYear
55. MK-CF-F-148 inMonth
56. MK-CF-F-191 ym
57. MK-CF-F-152 isRadarItem
58. MK-CF-O-010 theMonth
59. MK-ST-F-048 currencySymbol
60. MK-CF-F-181 rateInForce
61. MK-ST-F-085 rentFigure
62. MK-CF-F-216 typed
63. MK-CF-F-173 earnerWages
64. MK-CF-F-130 enteredMonthlyRaw
65. MK-CF-F-166 hasMonthlySalaryTable
66. MK-ST-F-036 reconcile
67. MK-CF-F-167 salaryCalendarYear
68. MK-CF-F-092 incomeMonthlyGrid
69. MK-CF-F-003 categoryMonthly
70. MK-NW-F-011 assetClassOf
71. MK-NW-F-116 rentedIdsOf
72. MK-ST-F-024 rmdStartAge
73. MK-CF-F-155 cash
74. MK-CF-O-003 thisMonth
75. MK-ST-F-047 activeCurrency
76. MK-CF-F-180 enteredLandsAnnual
77. MK-CF-F-085 filingStatusOf
78. MK-CF-F-206 householdK401ByMonth
79. MK-CF-F-089 over65CountOf
80. MK-CF-F-082 salaryAnnual
81. MK-CF-F-086 stateRateOf
82. MK-CF-F-101 taxOwedFor
83. MK-CF-F-084 taxableAnnual
84. MK-CF-F-172 hasWage
85. MK-CF-F-165 salaryMonths
86. MK-CF-F-065 equityVestWeights
87. MK-CF-F-071 extraIncome
88. MK-CF-F-077 scholarshipByCalendarMonth
89. MK-CF-F-088 taxableByCalendarMonth
90. MK-PL-F-012 waterfall
91. MK-XS-F-027 takeHomeMonthly
92. MK-NW-F-120 classEvidenceOf
93. MK-NW-F-115 liveRent
94. MK-CF-F-005 actualMonthFlow
95. MK-CF-F-156 plannedMonthFlow
96. MK-CF-F-100 taxableIncomeFor
97. MK-CF-F-074 tipsAnnual
98. MK-CF-F-070 benefitAnnual
99. MK-CF-F-011 savingsByMonth
100. MK-NW-F-008 incomeBearingClassOf
101. MK-NW-F-009 maturityClass
102. MK-NW-F-114 rentAmount
103. MK-NW-F-078 ONE
104. MK-CF-F-157 debtPaymentsByDebt
105. MK-CF-F-192 inflowLabel
106. MK-CF-F-099 deductionFor
107. MK-CF-F-081 salaryActiveMonths
108. MK-ST-F-010 nameEvidence
109. MK-NW-F-124 maturityParts
110. MK-NW-F-077 ALL
111. MK-NW-F-059 currentYield
112. MK-NW-O-001 theBonds
113. MK-CF-F-193 inflowSourceWord
114. MK-CF-F-187 seniorDeductionFor
115. MK-XS-F-147 call
116. MK-NW-F-112 yearlyInterest
117. MK-ST-F-027 accountId
118. MK-NW-F-057 annualCoupon
119. MK-NW-F-056 bondInfo
120. MK-NW-F-064 bondRateSensitivity
121. MK-NW-F-061 bondSummary
122. MK-NW-F-055 isBond
123. MK-NW-F-072 rowOf
124. MK-XS-F-064 currentIdToken
125. MK-XS-F-112 relayUrl
126. MK-NW-F-060 approxYTM
127. MK-NW-F-069 priceAtYield
128. MK-NW-F-131 pricedLikeBond
129. MK-NW-F-125 isPastMaturity
130. MK-ST-F-065 isoLocalDate
131. MK-NW-F-126 yearlyInterestNow
132. MK-NW-F-070 accruedInterestCaveat
133. MK-NW-F-058 yearsToMaturity
134. MK-NW-F-119 estimatedAccrued
135. MK-NW-F-067 plural</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2026-10-13</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206</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329</v>
      </c>
      <c r="E107" s="3" t="inlineStr">
        <is>
          <t>3 · DEPENDENT (feeds an action only)</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t>
        </is>
      </c>
      <c r="M107" s="3" t="inlineStr">
        <is>
          <t>· Rounds the answer to a whole number.</t>
        </is>
      </c>
      <c r="N107" s="3" t="inlineStr">
        <is>
          <t>No</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2026-10-02</t>
        </is>
      </c>
      <c r="W107" s="3" t="n"/>
      <c r="X107" s="3" t="n"/>
      <c r="Y107" s="3" t="inlineStr">
        <is>
          <t>NOTHING OPEN</t>
        </is>
      </c>
    </row>
    <row r="108" ht="60" customHeight="1">
      <c r="A108" s="3" t="inlineStr">
        <is>
          <t>MK-CF-F-111</t>
        </is>
      </c>
      <c r="B108" s="3" t="inlineStr">
        <is>
          <t>applyTransaction</t>
        </is>
      </c>
      <c r="C108" s="3" t="inlineStr">
        <is>
          <t>src/domain/transactions/index.ts</t>
        </is>
      </c>
      <c r="D108" s="3" t="n">
        <v>487</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577</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616</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649</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685</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727</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767</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800</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835</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132</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110</v>
      </c>
      <c r="Q117" s="3" t="inlineStr">
        <is>
          <t>1. MK-CF-F-092 incomeMonthlyGrid
2. MK-CF-F-069 benefitActiveMonths
3. MK-CF-F-072 currentRetirementIncomeMonthly
4. MK-CF-F-173 earnerWages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MK-CF-F-177 wageGrossByMonth
20. MK-PL-F-012 waterfall
21. MK-CF-F-075 retirementIncomeMonthly
22. MK-CF-F-172 hasWage
23. MK-CF-F-062 equityRowValue
24. MK-CF-F-070 benefitAnnual
25. MK-ST-F-039 on
26. MK-CF-F-176 sumMonthsOverEarners
27. MK-CF-F-203 MONTH
28. MK-CF-F-090 effectiveRate
29. MK-CF-F-180 enteredLandsAnnual
30. MK-CF-F-085 filingStatusOf
31. MK-CF-F-089 over65CountOf
32. MK-CF-F-082 salaryAnnual
33. MK-CF-F-086 stateRateOf
34. MK-CF-F-101 taxOwedFor
35. MK-CF-F-084 taxableAnnual
36. MK-CF-O-002 expenses
37. MK-CF-F-067 rentalList
38. MK-CF-F-063 rowVestYear
39. MK-XS-F-122 n
40. MK-CF-F-130 enteredMonthlyRaw
41. MK-CF-F-166 hasMonthlySalaryTable
42. MK-ST-F-036 reconcile
43. MK-CF-F-167 salaryCalendarYear
44. MK-CF-O-010 theMonth
45. MK-CF-F-100 taxableIncomeFor
46. MK-CF-F-074 tipsAnnual
47. MK-CF-F-151 actualSpending
48. MK-CF-F-150 debtPaymentsCountedAsExpenses
49. MK-CF-F-153 radar
50. MK-CF-F-149 recurringDebtPayments
51. MK-ST-F-085 rentFigure
52. MK-CF-F-216 typed
53. MK-CF-F-165 salaryMonths
54. MK-CF-F-155 cash
55. MK-CF-O-003 thisMonth
56. MK-CF-F-099 deductionFor
57. MK-CF-F-081 salaryActiveMonths
58. MK-CF-F-148 inMonth
59. MK-CF-F-191 ym
60. MK-CF-F-022 paymentShape
61. MK-CF-F-152 isRadarItem
62. MK-CF-F-023 requiredPayment
63. MK-CF-F-005 actualMonthFlow
64. MK-CF-F-156 plannedMonthFlow
65. MK-CF-F-187 seniorDeductionFor
66. MK-CF-F-021 defaultPaymentType
67. MK-NW-F-078 ONE
68. MK-CF-F-157 debtPaymentsByDebt
69. MK-CF-F-192 inflowLabel
70. MK-XS-F-027 takeHomeMonthly
71. MK-NW-F-077 ALL
72. MK-NW-F-059 currentYield
73. MK-XS-F-180 declareFigures
74. MK-ST-F-049 formatMoney
75. MK-ST-F-053 money
76. MK-NW-O-001 theBonds
77. MK-CF-F-193 inflowSourceWord
78. MK-CF-F-011 savingsByMonth
79. MK-NW-F-112 yearlyInterest
80. MK-ST-F-048 currencySymbol
81. MK-ST-F-027 accountId
82. MK-NW-F-057 annualCoupon
83. MK-NW-F-056 bondInfo
84. MK-NW-F-064 bondRateSensitivity
85. MK-NW-F-061 bondSummary
86. MK-NW-F-055 isBond
87. MK-NW-F-124 maturityParts
88. MK-NW-F-072 rowOf
89. MK-CF-F-008 spendByMonth
90. MK-ST-F-047 activeCurrency
91. MK-NW-F-060 approxYTM
92. MK-NW-F-069 priceAtYield
93. MK-NW-F-131 pricedLikeBond
94. MK-NW-F-125 isPastMaturity
95. MK-ST-F-065 isoLocalDate
96. MK-NW-F-126 yearlyInterestNow
97. MK-NW-F-011 assetClassOf
98. MK-NW-F-009 maturityClass
99. MK-NW-F-070 accruedInterestCaveat
100. MK-NW-F-058 yearsToMaturity
101. MK-CF-F-004 spendBuckets
102. MK-NW-F-119 estimatedAccrued
103. MK-NW-F-120 classEvidenceOf
104. MK-NW-F-067 plural
105. MK-CF-F-003 categoryMonthly
106. MK-NW-F-008 incomeBearingClassOf
107. MK-ST-F-010 nameEvidence
108. MK-XS-F-147 call
109. MK-XS-F-064 currentIdToken
110.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MK-ST-F-056 has → MK-CF-F-172 hasWage → MK-CF-F-173 earnerWages → MK-CF-F-092 incomeMonthlyGrid → MK-CF-F-120 pctBaseMonthly
4. MK-XS-F-122 n → MK-ST-F-052 toNum → MK-CF-F-062 equityRowValue → MK-CF-F-065 equityVestWeights → MK-CF-F-092 incomeMonthlyGrid → MK-CF-F-120 pctBaseMonthly
5. MK-CF-F-132 map → MK-CF-F-065 equityVestWeights → MK-CF-F-092 incomeMonthlyGrid → MK-CF-F-120 pctBaseMonthly
6. MK-CF-F-069 benefitActiveMonths → MK-CF-F-070 benefitAnnual → MK-CF-F-071 extraIncome → MK-CF-F-092 incomeMonthlyGrid → MK-CF-F-120 pctBaseMonthly
7. MK-XS-F-122 n → MK-ST-F-052 toNum → MK-CF-F-070 benefitAnnual → MK-CF-F-071 extraIncome → MK-CF-F-092 incomeMonthlyGrid → MK-CF-F-120 pctBaseMonthly
8. MK-ST-F-039 on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45" customHeight="1">
      <c r="A118" s="3" t="inlineStr">
        <is>
          <t>MK-CF-F-121</t>
        </is>
      </c>
      <c r="B118" s="3" t="inlineStr">
        <is>
          <t>zero12</t>
        </is>
      </c>
      <c r="C118" s="3" t="inlineStr">
        <is>
          <t>src/domain/cashflow/index.ts</t>
        </is>
      </c>
      <c r="D118" s="3" t="n">
        <v>36</v>
      </c>
      <c r="E118" s="3" t="inlineStr">
        <is>
          <t>3 · DEPENDENT</t>
        </is>
      </c>
      <c r="F118" s="3" t="inlineStr">
        <is>
          <t>Twelve zeros: an empty year, one slot for each month.</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45" customHeight="1">
      <c r="A119" s="3" t="inlineStr">
        <is>
          <t>MK-CF-F-122</t>
        </is>
      </c>
      <c r="B119" s="3" t="inlineStr">
        <is>
          <t>addDays</t>
        </is>
      </c>
      <c r="C119" s="3" t="inlineStr">
        <is>
          <t>src/domain/cashflow/index.ts</t>
        </is>
      </c>
      <c r="D119" s="3" t="n">
        <v>140</v>
      </c>
      <c r="E119" s="3" t="inlineStr">
        <is>
          <t>2 · DISPLAYED</t>
        </is>
      </c>
      <c r="F119" s="3" t="inlineStr">
        <is>
          <t>The date a given number of days after another date.</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166</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45" customHeight="1">
      <c r="A123" s="3" t="inlineStr">
        <is>
          <t>MK-CF-F-127</t>
        </is>
      </c>
      <c r="B123" s="3" t="inlineStr">
        <is>
          <t>isRental</t>
        </is>
      </c>
      <c r="C123" s="3" t="inlineStr">
        <is>
          <t>src/domain/income/calc.ts</t>
        </is>
      </c>
      <c r="D123" s="3" t="n">
        <v>30</v>
      </c>
      <c r="E123" s="3" t="inlineStr">
        <is>
          <t>1 · ACTION</t>
        </is>
      </c>
      <c r="F123" s="3" t="inlineStr">
        <is>
          <t>Whether an income source is rent from a property, long-term or short-term.</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45" customHeight="1">
      <c r="A125" s="3" t="inlineStr">
        <is>
          <t>MK-CF-F-129</t>
        </is>
      </c>
      <c r="B125" s="3" t="inlineStr">
        <is>
          <t>round4</t>
        </is>
      </c>
      <c r="C125" s="3" t="inlineStr">
        <is>
          <t>src/domain/income/calc.ts</t>
        </is>
      </c>
      <c r="D125" s="3" t="n">
        <v>282</v>
      </c>
      <c r="E125" s="3" t="inlineStr">
        <is>
          <t>1 · ACTION</t>
        </is>
      </c>
      <c r="F125" s="3" t="inlineStr">
        <is>
          <t>Returns a number unchanged, because rounding is done once, where a figure is shown.</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45" customHeight="1">
      <c r="A127" s="3" t="inlineStr">
        <is>
          <t>MK-CF-F-131</t>
        </is>
      </c>
      <c r="B127" s="3" t="inlineStr">
        <is>
          <t>normPayee</t>
        </is>
      </c>
      <c r="C127" s="3" t="inlineStr">
        <is>
          <t>src/domain/transactions/flags.ts</t>
        </is>
      </c>
      <c r="D127" s="3" t="n">
        <v>93</v>
      </c>
      <c r="E127" s="3" t="inlineStr">
        <is>
          <t>1 · ACTION</t>
        </is>
      </c>
      <c r="F127" s="3" t="inlineStr">
        <is>
          <t>Tidies a payee's name so two can be compared: trims the spaces and puts it in lower case.</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132</v>
      </c>
      <c r="E128" s="3" t="inlineStr">
        <is>
          <t>1 · ACTION</t>
        </is>
      </c>
      <c r="F128" s="3" t="inlineStr">
        <is>
          <t>Applies one change to the one account named and leaves every other account as it was.</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"ACCOUNTS (year-end)" — on the Tax organiser screen, under "ACCOUNTS (year-end)"
2. "Account name" — on the Import holdings screen, under "REVIEW YOUR HOLDINGS"
3. "Add a goal ›" — on the Goals together screen, under "TRY THESE TOGETHER"
4. "Add your income ›" — on the income summary screen
5. "COMING UP" — on the Bill calendar screen, under "COMING UP"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45" customHeight="1">
      <c r="A129" s="3" t="inlineStr">
        <is>
          <t>MK-CF-F-133</t>
        </is>
      </c>
      <c r="B129" s="3" t="inlineStr">
        <is>
          <t>cashOf</t>
        </is>
      </c>
      <c r="C129" s="3" t="inlineStr">
        <is>
          <t>src/domain/transactions/index.ts</t>
        </is>
      </c>
      <c r="D129" s="3" t="n">
        <v>167</v>
      </c>
      <c r="E129" s="3" t="inlineStr">
        <is>
          <t>1 · ACTION</t>
        </is>
      </c>
      <c r="F129" s="3" t="inlineStr">
        <is>
          <t>The uninvested cash held inside an account, or zero when none is recorded.</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203</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231</v>
      </c>
      <c r="E131" s="3" t="inlineStr">
        <is>
          <t>1 · ACTION</t>
        </is>
      </c>
      <c r="F131" s="3" t="inlineStr">
        <is>
          <t>The cash an account can spend right now: the uninvested cash inside an investment account, or the whole balance of a bank account.</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273</v>
      </c>
      <c r="E132" s="3" t="inlineStr">
        <is>
          <t>3 · DEPENDENT</t>
        </is>
      </c>
      <c r="F132" s="3" t="inlineStr">
        <is>
          <t>Adds cash to an account, or takes it out, in the right place: the uninvested cash of an investment account, or the balance of a bank account.</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45" customHeight="1">
      <c r="A133" s="3" t="inlineStr">
        <is>
          <t>MK-CF-F-137</t>
        </is>
      </c>
      <c r="B133" s="3" t="inlineStr">
        <is>
          <t>findPos</t>
        </is>
      </c>
      <c r="C133" s="3" t="inlineStr">
        <is>
          <t>src/domain/transactions/index.ts</t>
        </is>
      </c>
      <c r="D133" s="3" t="n">
        <v>324</v>
      </c>
      <c r="E133" s="3" t="inlineStr">
        <is>
          <t>1 · ACTION</t>
        </is>
      </c>
      <c r="F133" s="3" t="inlineStr">
        <is>
          <t>Finds the holding a transaction refers to, by the holding's own identifier or by its ticker.</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372</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419</v>
      </c>
      <c r="E135" s="3" t="inlineStr">
        <is>
          <t>3 · DEPENDENT</t>
        </is>
      </c>
      <c r="F135" s="3" t="inlineStr">
        <is>
          <t>Remove `shares` from a position FIFO (oldest lots first); returns updated account.</t>
        </is>
      </c>
      <c r="G135" s="11" t="inlineStr">
        <is>
          <t>pos = find pos(a, t)
a   when pos is missing
remaining = shares
lots = for each of pos.lots: { ...each }
oldest first = [...lots].sort((x, y) =&gt; string(purchase date or '9999').locale compare(string(purchase date or '9999')))
take = min(shares, remaining)
kept = lots where shares &gt; 1e − 9
the answer = { ...a, positions }</t>
        </is>
      </c>
      <c r="H135" s="3" t="inlineStr">
        <is>
          <t>Pos is find pos(a, t). When pos is missing, it answers a. Remaining is shares. Lots is for each of pos.lots: { ...each }. Oldest first is [...lots].sort((x, y) =&gt; string(purchase date or '9999').locale compare(string(purchase date or '9999'))). Take: the smaller of shares and remaining. Kept is lots where shares &gt; 1e minus 9. The answer is { ...a, positions }.</t>
        </is>
      </c>
      <c r="I135" s="3" t="inlineStr">
        <is>
          <t>PARTLY READ — some of the code is still showing through; needs a hand pass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2026-10-04</t>
        </is>
      </c>
      <c r="W135" s="3" t="n"/>
      <c r="X135" s="3" t="n"/>
      <c r="Y135" s="3" t="inlineStr">
        <is>
          <t>NOTHING OPEN</t>
        </is>
      </c>
    </row>
    <row r="136" ht="45" customHeight="1">
      <c r="A136" s="3" t="inlineStr">
        <is>
          <t>MK-CF-F-140</t>
        </is>
      </c>
      <c r="B136" s="3" t="inlineStr">
        <is>
          <t>periodsAYear</t>
        </is>
      </c>
      <c r="C136" s="3" t="inlineStr">
        <is>
          <t>MoneyKeel/functions/cashflow/base-pay.ts</t>
        </is>
      </c>
      <c r="D136" s="3" t="n">
        <v>80</v>
      </c>
      <c r="E136" s="3" t="inlineStr">
        <is>
          <t>1 · ACTION</t>
        </is>
      </c>
      <c r="F136" s="3" t="inlineStr">
        <is>
          <t>How many pay periods a year a pay frequency has, taken as 12 when it is monthly or not stated.</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1. MK-CF-F-128 grossByMonth
2. MK-CF-F-216 typed</t>
        </is>
      </c>
      <c r="P139" s="3" t="n">
        <v>10</v>
      </c>
      <c r="Q139" s="3" t="inlineStr">
        <is>
          <t>1. MK-CF-F-128 grossByMonth
2. MK-CF-F-216 typed
3. MK-CF-F-142 monthsOf
4. MK-CF-F-141 perMonth
5. MK-ST-F-035 covers
6. MK-CF-F-132 map
7. MK-ST-F-052 toNum
8. MK-CF-F-140 periodsAYear
9. MK-ST-F-034 firstDate
10.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
6. MK-CF-F-216 typed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291</v>
      </c>
      <c r="E140" s="3" t="inlineStr">
        <is>
          <t>3 · DEPENDENT</t>
        </is>
      </c>
      <c r="F140" s="3" t="inlineStr">
        <is>
          <t>A person's monthly take-home exactly as they entered it, averaged over their month-by-month table when their pay varies, or a calculated figure marked as calculated when they entered none.</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MK-CF-F-101 taxOwedFor
5. MK-ST-F-052 toNum
6. MK-CF-F-216 typed</t>
        </is>
      </c>
      <c r="P140" s="3" t="n">
        <v>16</v>
      </c>
      <c r="Q140" s="3" t="inlineStr">
        <is>
          <t>1. MK-CF-F-143 annualisedGross
2. MK-CF-F-142 monthsOf
3. MK-ST-F-039 on
4. MK-CF-F-101 taxOwedFor
5. MK-ST-F-052 toNum
6. MK-CF-F-216 typed
7. MK-CF-F-128 grossByMonth
8. MK-ST-F-035 covers
9. MK-CF-F-132 map
10. MK-CF-F-100 taxableIncomeFor
11. MK-XS-F-122 n
12. MK-CF-F-141 perMonth
13. MK-ST-F-034 firstDate
14. MK-CF-F-099 deductionFor
15. MK-CF-F-140 periodsAYear
16.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MK-CF-F-216 typed → MK-CF-F-143 annualisedGross → MK-CF-F-144 takeHomeAsEntered
7. MK-ST-F-034 firstDate → MK-ST-F-035 covers → MK-CF-F-142 monthsOf → MK-CF-F-144 takeHomeAsEntered
8. MK-CF-F-132 map → MK-CF-F-142 monthsOf → MK-CF-F-144 takeHomeAsEntered
9. … and 5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373</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17</v>
      </c>
      <c r="Q141" s="3" t="inlineStr">
        <is>
          <t>1. MK-CF-F-143 annualisedGross
2. MK-CF-F-144 takeHomeAsEntered
3. MK-ST-F-052 toNum
4. MK-CF-F-128 grossByMonth
5. MK-CF-F-216 typed
6. MK-CF-F-142 monthsOf
7. MK-ST-F-039 on
8. MK-CF-F-101 taxOwedFor
9. MK-XS-F-122 n
10. MK-CF-F-141 perMonth
11. MK-ST-F-035 covers
12. MK-CF-F-132 map
13. MK-CF-F-100 taxableIncomeFor
14. MK-CF-F-140 periodsAYear
15. MK-ST-F-034 firstDate
16. MK-CF-F-099 deductionFor
17.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MK-CF-F-216 typed → MK-CF-F-143 annualisedGross → MK-CF-F-145 deductionsFromPay
7. MK-ST-F-035 covers → MK-CF-F-142 monthsOf → MK-CF-F-128 grossByMonth → MK-CF-F-143 annualisedGross → MK-CF-F-144 takeHomeAsEntered → MK-CF-F-145 deductionsFromPay
8. MK-CF-F-132 map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441</v>
      </c>
      <c r="E142" s="3" t="inlineStr">
        <is>
          <t>3 · DEPENDENT</t>
        </is>
      </c>
      <c r="F142" s="3" t="inlineStr">
        <is>
          <t>Checks month by month that gross pay, less the 401(k), is enough to leave the take-home the person entered, and says in words when it is not or when an unusually large share goes elsewhere.</t>
        </is>
      </c>
      <c r="G142" s="11" t="inlineStr">
        <is>
          <t>t = take home as entered(e)
ok = true
warn = false
say = ''   when estimated
k401 = monthly401k read as a number (0 when it is not one)
gm = gross by month(e)
lands = a lookup of lm
landed = lands.get(key) as number   if lands.has(key)
lands typical read as a number (0 when it is not one)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lands typical read as a number (0 — when it is one is missing)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MK-CF-F-144 takeHomeAsEntered
7. MK-ST-F-052 toNum</t>
        </is>
      </c>
      <c r="P142" s="3" t="n">
        <v>22</v>
      </c>
      <c r="Q142" s="3" t="inlineStr">
        <is>
          <t>1. MK-CF-F-128 grossByMonth
2. MK-ST-F-056 has
3. MK-CF-F-132 map
4. MK-ST-F-053 money
5. MK-CF-F-142 monthsOf
6. MK-CF-F-144 takeHomeAsEntered
7. MK-ST-F-052 toNum
8. MK-CF-F-141 perMonth
9. MK-ST-F-049 formatMoney
10. MK-XS-F-122 n
11. MK-ST-F-035 covers
12. MK-CF-F-143 annualisedGross
13. MK-ST-F-039 on
14. MK-CF-F-101 taxOwedFor
15. MK-CF-F-216 typed
16. MK-CF-F-140 periodsAYear
17. MK-ST-F-048 currencySymbol
18. MK-ST-F-034 firstDate
19. MK-CF-F-100 taxableIncomeFor
20. MK-ST-F-047 activeCurrency
21. MK-CF-F-099 deductionFor
22.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2026-10-04</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160</v>
      </c>
      <c r="E146" s="3" t="inlineStr">
        <is>
          <t>3 · DEPENDENT</t>
        </is>
      </c>
      <c r="F146" s="3" t="inlineStr">
        <is>
          <t>What was actually spent in a month, debt payments left out: every expense newest first, the five shown, how many more there are and the totals, for all of them or only those entered by hand or only those imported.</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1. s: ExpensesInput
2. origin?: 'by-hand' | 'imported'</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217</v>
      </c>
      <c r="E147" s="3" t="inlineStr">
        <is>
          <t>3 · DEPENDENT</t>
        </is>
      </c>
      <c r="F147" s="3" t="inlineStr">
        <is>
          <t>Whether a debt belongs on the big-ticket radar: yes for a card or a credit line and for a debt due in one lump, no for a loan paid the same every month.</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259</v>
      </c>
      <c r="E148" s="3" t="inlineStr">
        <is>
          <t>3 · DEPENDENT</t>
        </is>
      </c>
      <c r="F148" s="3" t="inlineStr">
        <is>
          <t>The big-ticket radar for a month: each card, credit-line or lump-sum debt payment and each large dated bill, with its amount and whether it is already counted as an expense.</t>
        </is>
      </c>
      <c r="G148" s="11" t="inlineStr">
        <is>
          <t>out = []
reason = is radar item(d)
amount = paid   if paid &gt; 0
required payment(d)   otherwise
counted = !purchases captured.has(string(debt id))
name = label   if ÷ payment$ ÷ test(string(label).trim())
`${label} payment`   otherwise
the answer = out</t>
        </is>
      </c>
      <c r="H148" s="3" t="inlineStr">
        <is>
          <t>Out is []. Reason is is radar item(d). Amount is paid — when paid &gt; 0; required payment(d) — otherwise. Counted is !purchases captured.has(string(debt id)). Name is label — when divided by payment$ divided by test(string(label).trim()); `${label} payment` — otherwise.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MK-CF-O-002 expenses
2. MK-ST-F-056 has
3. MK-CF-F-148 inMonth
4. MK-CF-F-152 isRadarItem
5. MK-CF-F-023 requiredPayment
6. MK-ST-F-052 toNum
7. MK-CF-F-191 ym</t>
        </is>
      </c>
      <c r="P148" s="3" t="n">
        <v>14</v>
      </c>
      <c r="Q148" s="3" t="inlineStr">
        <is>
          <t>1. MK-CF-O-002 expenses
2. MK-ST-F-056 has
3. MK-CF-F-148 inMonth
4. MK-CF-F-152 isRadarItem
5. MK-CF-F-023 requiredPayment
6. MK-ST-F-052 toNum
7. MK-CF-F-191 ym
8. MK-CF-F-151 actualSpending
9. MK-CF-F-150 debtPaymentsCountedAsExpenses
10. MK-CF-F-149 recurringDebtPayments
11. MK-CF-F-022 paymentShape
12. MK-XS-F-122 n
13. MK-CF-F-132 map
14. MK-CF-F-021 defaultPaymentType</t>
        </is>
      </c>
      <c r="R148" s="3" t="inlineStr">
        <is>
          <t>1. MK-CF-F-191 ym → MK-CF-F-148 inMonth → MK-CF-F-151 actualSpending → MK-CF-O-002 expenses → MK-CF-F-153 radar
2. MK-XS-F-122 n → MK-ST-F-052 toNum → MK-CF-F-151 actualSpending → MK-CF-O-002 expenses → MK-CF-F-153 radar
3. MK-CF-F-191 ym → MK-CF-F-151 actualSpending → MK-CF-O-002 expenses → MK-CF-F-153 radar
4. MK-ST-F-056 has → MK-CF-F-150 debtPaymentsCountedAsExpenses → MK-CF-O-002 expenses → MK-CF-F-153 radar
5. MK-CF-F-191 ym → MK-CF-F-148 inMonth → MK-CF-F-150 debtPaymentsCountedAsExpenses → MK-CF-O-002 expenses → MK-CF-F-153 radar
6. MK-CF-F-021 defaultPaymentType → MK-CF-F-022 paymentShape → MK-CF-F-150 debtPaymentsCountedAsExpenses → MK-CF-O-002 expenses → MK-CF-F-153 radar
7. MK-XS-F-122 n → MK-ST-F-052 toNum → MK-CF-F-150 debtPaymentsCountedAsExpenses → MK-CF-O-002 expenses → MK-CF-F-153 radar
8. MK-CF-F-191 ym → MK-CF-F-150 debtPaymentsCountedAsExpenses → MK-CF-O-002 expenses → MK-CF-F-153 radar
9. … and 5 more paths</t>
        </is>
      </c>
      <c r="S148" s="3" t="inlineStr">
        <is>
          <t>—</t>
        </is>
      </c>
      <c r="T148" s="3" t="inlineStr">
        <is>
          <t>—</t>
        </is>
      </c>
      <c r="U148" s="3" t="inlineStr">
        <is>
          <t>ACTIVE</t>
        </is>
      </c>
      <c r="V148" s="3" t="inlineStr">
        <is>
          <t>2026-10-03</t>
        </is>
      </c>
      <c r="W148" s="3" t="n"/>
      <c r="X148" s="3" t="n"/>
      <c r="Y148" s="3" t="inlineStr">
        <is>
          <t>NOTHING OPEN</t>
        </is>
      </c>
    </row>
    <row r="149" ht="60" customHeight="1">
      <c r="A149" s="3" t="inlineStr">
        <is>
          <t>MK-CF-F-155</t>
        </is>
      </c>
      <c r="B149" s="3" t="inlineStr">
        <is>
          <t>cash</t>
        </is>
      </c>
      <c r="C149" s="3" t="inlineStr">
        <is>
          <t>MoneyKeel/functions/cashflow/this-month.ts</t>
        </is>
      </c>
      <c r="D149" s="3" t="n">
        <v>205</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251</v>
      </c>
      <c r="E150" s="3" t="inlineStr">
        <is>
          <t>3 · DEPENDENT</t>
        </is>
      </c>
      <c r="F150" s="3" t="inlineStr">
        <is>
          <t>THE PLAN for this month: the take-home, less each debt, less planned expenses.</t>
        </is>
      </c>
      <c r="G150" s="11" t="inlineStr">
        <is>
          <t>plan set = (planned expenses ?? 0) &gt; 0
every month = debts (or none when missing) where !is radar item(each)
radar = debts (or none when missing) where is radar item(each)
due = required payment(d)
radar kind = is radar item(d)
the answer:
lines = lines
surplus = cash(lines.reduce((t, l) =&gt; t + amount, 0))
plan set = plan set</t>
        </is>
      </c>
      <c r="H150" s="3" t="inlineStr">
        <is>
          <t>Plan set is (planned expenses ?? 0) &gt; 0. Every month is debts (or none — when missing) where !is radar item(each). Radar is debts (or none — when missing) where is radar item(each). Due is required payment(d). Radar kind is is radar item(d). The answer is lines = lines; surplus = cash(lines.reduce((t, l) =&gt; t plus amount, 0)); plan set = plan set.</t>
        </is>
      </c>
      <c r="I150" s="3" t="inlineStr">
        <is>
          <t>PARTLY READ — some of the code is still showing through; needs a hand pass</t>
        </is>
      </c>
      <c r="J150" s="3" t="inlineStr">
        <is>
          <t>m: MonthInput</t>
        </is>
      </c>
      <c r="K150" s="3" t="inlineStr">
        <is>
          <t>MonthBlock</t>
        </is>
      </c>
      <c r="L150" s="3" t="inlineStr">
        <is>
          <t>—</t>
        </is>
      </c>
      <c r="M150" s="3" t="inlineStr">
        <is>
          <t>· If planned expenses is missing it uses 0.</t>
        </is>
      </c>
      <c r="N150" s="3" t="inlineStr">
        <is>
          <t>Yes</t>
        </is>
      </c>
      <c r="O150" s="3" t="inlineStr">
        <is>
          <t>1. MK-CF-F-155 cash
2. MK-CF-F-192 inflowLabel
3. MK-CF-F-152 isRadarItem
4. MK-CF-F-023 requiredPayment
5. MK-XS-F-027 takeHomeMonthly</t>
        </is>
      </c>
      <c r="P150" s="3" t="n">
        <v>110</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MK-CF-F-173 earnerWages
15. MK-CF-F-065 equityVestWeights
16. MK-CF-F-071 extraIncome
17. MK-ST-F-056 has
18. MK-CF-F-206 householdK401ByMonth
19. MK-CF-F-132 map
20. MK-CF-F-087 monthlyTaxRates
21. MK-CF-F-073 otherIncomeMonth
22. MK-CF-F-181 rateInForce
23. MK-CF-F-068 rentalNetAnnual
24. MK-CF-F-066 rsuAnnual
25. MK-CF-F-060 salaryGrossByMonth
26. MK-CF-F-077 scholarshipByCalendarMonth
27. MK-CF-F-088 taxableByCalendarMonth
28. MK-ST-F-052 toNum
29. MK-CF-F-177 wageGrossByMonth
30. MK-PL-F-012 waterfall
31. MK-CF-F-008 spendByMonth
32. MK-CF-F-075 retirementIncomeMonthly
33. MK-CF-F-172 hasWage
34. MK-CF-F-062 equityRowValue
35. MK-CF-F-070 benefitAnnual
36. MK-ST-F-039 on
37. MK-CF-F-176 sumMonthsOverEarners
38. MK-CF-F-203 MONTH
39. MK-CF-F-090 effectiveRate
40. MK-CF-F-180 enteredLandsAnnual
41. MK-CF-F-085 filingStatusOf
42. MK-CF-F-089 over65CountOf
43. MK-CF-F-082 salaryAnnual
44. MK-CF-F-086 stateRateOf
45. MK-CF-F-101 taxOwedFor
46. MK-CF-F-084 taxableAnnual
47. MK-CF-O-002 expenses
48. MK-CF-F-067 rentalList
49. MK-CF-F-063 rowVestYear
50. MK-CF-F-130 enteredMonthlyRaw
51. MK-CF-F-166 hasMonthlySalaryTable
52. MK-ST-F-036 reconcile
53. MK-CF-F-167 salaryCalendarYear
54. MK-CF-F-120 pctBaseMonthly
55. MK-CF-F-004 spendBuckets
56. MK-CF-O-010 theMonth
57. MK-CF-F-100 taxableIncomeFor
58. MK-CF-F-074 tipsAnnual
59. MK-CF-F-151 actualSpending
60. MK-CF-F-150 debtPaymentsCountedAsExpenses
61. MK-CF-F-153 radar
62. MK-CF-F-149 recurringDebtPayments
63. MK-ST-F-085 rentFigure
64. MK-CF-F-216 typed
65. MK-CF-F-165 salaryMonths
66. MK-CF-F-003 categoryMonthly
67. MK-CF-O-003 thisMonth
68. MK-CF-F-099 deductionFor
69. MK-CF-F-081 salaryActiveMonths
70. MK-CF-F-148 inMonth
71. MK-CF-F-191 ym
72. MK-CF-F-005 actualMonthFlow
73. MK-CF-F-187 seniorDeductionFor
74. MK-NW-F-078 ONE
75. MK-CF-F-157 debtPaymentsByDebt
76. MK-NW-F-077 ALL
77. MK-NW-F-059 currentYield
78. MK-XS-F-180 declareFigures
79. MK-ST-F-049 formatMoney
80. MK-ST-F-053 money
81. MK-NW-O-001 theBonds
82. MK-NW-F-112 yearlyInterest
83. MK-ST-F-048 currencySymbol
84. MK-ST-F-027 accountId
85. MK-NW-F-057 annualCoupon
86. MK-NW-F-056 bondInfo
87. MK-NW-F-064 bondRateSensitivity
88. MK-NW-F-061 bondSummary
89. MK-NW-F-055 isBond
90. MK-NW-F-124 maturityParts
91. MK-NW-F-072 rowOf
92. MK-ST-F-047 activeCurrency
93. MK-NW-F-060 approxYTM
94. MK-NW-F-069 priceAtYield
95. MK-NW-F-131 pricedLikeBond
96. MK-NW-F-125 isPastMaturity
97. MK-ST-F-065 isoLocalDate
98. MK-NW-F-126 yearlyInterestNow
99. MK-NW-F-011 assetClassOf
100. MK-NW-F-009 maturityClass
101. MK-NW-F-070 accruedInterestCaveat
102. MK-NW-F-058 yearsToMaturity
103. MK-NW-F-119 estimatedAccrued
104. MK-NW-F-120 classEvidenceOf
105. MK-NW-F-067 plural
106. MK-NW-F-008 incomeBearingClassOf
107. MK-ST-F-010 nameEvidence
108. MK-XS-F-147 call
109. MK-XS-F-064 currentIdToken
110.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MK-ST-F-056 has → MK-CF-F-172 hasWage → MK-CF-F-173 earnerWages → MK-CF-F-092 incomeMonthlyGrid → MK-XS-F-027 takeHomeMonthly → MK-CF-F-156 plannedMonthFlow
8. MK-ST-F-052 toNum → MK-CF-F-062 equityRowValue → MK-CF-F-065 equityVestWeights → MK-CF-F-092 incomeMonthlyGrid → MK-XS-F-027 takeHomeMonthly → MK-CF-F-156 plannedMonthFlow
9. … and 4 more paths</t>
        </is>
      </c>
      <c r="S150" s="3" t="inlineStr">
        <is>
          <t>—</t>
        </is>
      </c>
      <c r="T150" s="3" t="inlineStr">
        <is>
          <t>—</t>
        </is>
      </c>
      <c r="U150" s="3" t="inlineStr">
        <is>
          <t>ACTIVE</t>
        </is>
      </c>
      <c r="V150" s="3" t="inlineStr">
        <is>
          <t>2026-10-03</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417</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110</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MK-NW-F-124 maturityParts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MK-NW-F-131 pricedLikeBond
66. MK-NW-F-125 isPastMaturity
67. MK-ST-F-065 isoLocalDate
68. MK-NW-F-126 yearlyInterestNow
69. MK-NW-F-011 assetClassOf
70. MK-NW-F-009 maturityClass
71. MK-CF-F-216 typed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MK-NW-F-120 classEvidenceOf
97. MK-NW-F-067 plural
98. MK-CF-F-100 taxableIncomeFor
99. MK-CF-F-074 tipsAnnual
100. MK-ST-F-085 rentFigure
101. MK-CF-F-165 salaryMonths
102. MK-CF-F-003 categoryMonthly
103. MK-NW-F-008 incomeBearingClassOf
104. MK-CF-F-099 deductionFor
105. MK-CF-F-081 salaryActiveMonths
106. MK-ST-F-010 nameEvidence
107. MK-CF-F-187 seniorDeductionFor
108. MK-XS-F-147 call
109. MK-XS-F-064 currentIdToken
110.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684</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30" customHeight="1">
      <c r="A153" s="3" t="inlineStr">
        <is>
          <t>MK-CF-F-160</t>
        </is>
      </c>
      <c r="B153" s="3" t="inlineStr">
        <is>
          <t>daysBetweenDates</t>
        </is>
      </c>
      <c r="C153" s="3" t="inlineStr">
        <is>
          <t>src/domain/cashflow/index.ts</t>
        </is>
      </c>
      <c r="D153" s="3" t="n">
        <v>118</v>
      </c>
      <c r="E153" s="3" t="inlineStr">
        <is>
          <t>3 · DEPENDENT</t>
        </is>
      </c>
      <c r="F153" s="3" t="inlineStr">
        <is>
          <t>The number of whole days from one date to another.</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191</v>
      </c>
      <c r="E154" s="3" t="inlineStr">
        <is>
          <t>3 · DEPENDENT</t>
        </is>
      </c>
      <c r="F154" s="3" t="inlineStr">
        <is>
          <t>The gross amount one income source brings in each of the twelve months, with rent taken after its running costs and lump payments placed in the months they arrive.</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133</v>
      </c>
      <c r="E155" s="3" t="inlineStr">
        <is>
          <t>1 · ACTION</t>
        </is>
      </c>
      <c r="F155" s="3" t="inlineStr">
        <is>
          <t>How many days lie between two dates, whichever comes first.</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535</v>
      </c>
      <c r="E164" s="3" t="inlineStr">
        <is>
          <t>3 · DEPENDENT</t>
        </is>
      </c>
      <c r="F164" s="3" t="inlineStr">
        <is>
          <t>One earner's pay: gross for a month and for a year, their 401(k), their take-home and whether it was entered or calculated, and everything else taken out.</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24</v>
      </c>
      <c r="Q164" s="3" t="inlineStr">
        <is>
          <t>1. MK-CF-F-143 annualisedGross
2. MK-CF-F-145 deductionsFromPay
3. MK-CF-F-128 grossByMonth
4. MK-ST-F-053 money
5. MK-CF-F-146 payFiguresAgree
6. MK-CF-F-144 takeHomeAsEntered
7. MK-ST-F-052 toNum
8. MK-CF-F-216 typed
9. MK-CF-F-142 monthsOf
10. MK-CF-F-141 perMonth
11. MK-ST-F-049 formatMoney
12. MK-XS-F-122 n
13. MK-ST-F-056 has
14. MK-CF-F-132 map
15. MK-ST-F-039 on
16. MK-CF-F-101 taxOwedFor
17. MK-ST-F-035 covers
18. MK-CF-F-140 periodsAYear
19. MK-ST-F-048 currencySymbol
20. MK-CF-F-100 taxableIncomeFor
21. MK-ST-F-034 firstDate
22. MK-ST-F-047 activeCurrency
23. MK-CF-F-099 deductionFor
24.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MK-CF-F-216 typed → MK-CF-F-143 annualisedGross → MK-CF-F-171 earnerPay
7. MK-ST-F-035 covers → MK-CF-F-142 monthsOf → MK-CF-F-128 grossByMonth → MK-CF-F-143 annualisedGross → MK-CF-F-145 deductionsFromPay → MK-CF-F-171 earnerPay
8. MK-CF-F-132 map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45" customHeight="1">
      <c r="A165" s="3" t="inlineStr">
        <is>
          <t>MK-CF-F-172</t>
        </is>
      </c>
      <c r="B165" s="3" t="inlineStr">
        <is>
          <t>hasWage</t>
        </is>
      </c>
      <c r="C165" s="3" t="inlineStr">
        <is>
          <t>src/domain/income/earners.ts</t>
        </is>
      </c>
      <c r="D165" s="3" t="n">
        <v>63</v>
      </c>
      <c r="E165" s="3" t="inlineStr">
        <is>
          <t>1 · ACTION</t>
        </is>
      </c>
      <c r="F165" s="3" t="inlineStr">
        <is>
          <t>Whether a person has a wage on record: a base salary above zero, or a month-by-month pay table.</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107</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139</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170</v>
      </c>
      <c r="E168" s="3" t="inlineStr">
        <is>
          <t>3 · DEPENDENT</t>
        </is>
      </c>
      <c r="F168" s="3" t="inlineStr">
        <is>
          <t>Adds up one figure across every earner in the household.</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206</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173</v>
      </c>
      <c r="E170" s="3" t="inlineStr">
        <is>
          <t>3 · DEPENDENT</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2026-10-04</t>
        </is>
      </c>
      <c r="W170" s="3" t="n"/>
      <c r="X170" s="3" t="n"/>
      <c r="Y170" s="3" t="inlineStr">
        <is>
          <t>NOTHING OPEN</t>
        </is>
      </c>
    </row>
    <row r="171" ht="60" customHeight="1">
      <c r="A171" s="3" t="inlineStr">
        <is>
          <t>MK-CF-F-178</t>
        </is>
      </c>
      <c r="B171" s="3" t="inlineStr">
        <is>
          <t>wageMatchMonthly</t>
        </is>
      </c>
      <c r="C171" s="3" t="inlineStr">
        <is>
          <t>src/domain/income/onboarding.ts</t>
        </is>
      </c>
      <c r="D171" s="3" t="n">
        <v>1035</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1102</v>
      </c>
      <c r="E172" s="3" t="inlineStr">
        <is>
          <t>2 · DISPLAYED</t>
        </is>
      </c>
      <c r="F172" s="3" t="inlineStr">
        <is>
          <t>Turns a wage as the profile stores it into the form the pay calculations read: how often it is paid, whether it varies, the gross, the 401(k) and the take-home entered.</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77</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1. Uses a built-in total of 0.
2. Turns a monthly figure into a year by multiplying by twelve.</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132</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taxed = taxable annual(op)
k401 = Σ over household k401 by month(op) of (each)</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Taxed is taxable annual(op). K401: the each added up across household k401 by month(op).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MK-CF-F-180 enteredLandsAnnual
3. MK-CF-F-085 filingStatusOf
4. MK-CF-F-206 householdK401ByMonth
5. MK-CF-F-089 over65CountOf
6. MK-CF-F-082 salaryAnnual
7. MK-CF-F-086 stateRateOf
8. MK-CF-F-101 taxOwedFor
9. MK-CF-F-084 taxableAnnual
10. MK-ST-F-052 toNum</t>
        </is>
      </c>
      <c r="P174" s="3" t="n">
        <v>51</v>
      </c>
      <c r="Q174" s="3" t="inlineStr">
        <is>
          <t>1. MK-CF-F-173 earnerWages
2. MK-CF-F-180 enteredLandsAnnual
3. MK-CF-F-085 filingStatusOf
4. MK-CF-F-206 householdK401ByMonth
5. MK-CF-F-089 over65CountOf
6. MK-CF-F-082 salaryAnnual
7. MK-CF-F-086 stateRateOf
8. MK-CF-F-101 taxOwedFor
9. MK-CF-F-084 taxableAnnual
10. MK-ST-F-052 toNum
11. MK-CF-F-172 hasWage
12. MK-CF-F-132 map
13. MK-CF-F-176 sumMonthsOverEarners
14. MK-CF-F-177 wageGrossByMonth
15. MK-CF-F-060 salaryGrossByMonth
16. MK-CF-F-100 taxableIncomeFor
17. MK-CF-F-072 currentRetirementIncomeMonthly
18. MK-CF-F-071 extraIncome
19. MK-CF-F-068 rentalNetAnnual
20. MK-CF-F-066 rsuAnnual
21. MK-CF-F-074 tipsAnnual
22. MK-XS-F-122 n
23. MK-ST-F-056 has
24. MK-CF-F-130 enteredMonthlyRaw
25. MK-CF-F-166 hasMonthlySalaryTable
26. MK-ST-F-036 reconcile
27. MK-CF-F-167 salaryCalendarYear
28. MK-CF-F-099 deductionFor
29. MK-CF-F-075 retirementIncomeMonthly
30. MK-CF-F-070 benefitAnnual
31. MK-ST-F-039 on
32. MK-CF-O-002 expenses
33. MK-CF-F-067 rentalList
34. MK-CF-F-062 equityRowValue
35. MK-CF-F-063 rowVestYear
36. MK-CF-F-081 salaryActiveMonths
37. MK-CF-F-165 salaryMonths
38. MK-CF-F-187 seniorDeductionFor
39. MK-CF-F-069 benefitActiveMonths
40. MK-CF-F-151 actualSpending
41. MK-CF-F-150 debtPaymentsCountedAsExpenses
42. MK-CF-F-153 radar
43. MK-CF-F-149 recurringDebtPayments
44. MK-ST-F-085 rentFigure
45. MK-CF-F-216 typed
46. MK-CF-F-148 inMonth
47. MK-CF-F-191 ym
48. MK-CF-F-022 paymentShape
49. MK-CF-F-152 isRadarItem
50. MK-CF-F-023 requiredPayment
51. MK-CF-F-021 defaultPaymentType</t>
        </is>
      </c>
      <c r="R174" s="3" t="inlineStr">
        <is>
          <t>1. MK-ST-F-056 has → MK-CF-F-172 hasWage → MK-CF-F-173 earnerWages → MK-CF-F-181 rateInForce
2. MK-ST-F-056 has → MK-CF-F-172 hasWage → MK-CF-F-173 earnerWages → MK-CF-F-180 enteredLandsAnnual → MK-CF-F-181 rateInForce
3. MK-XS-F-122 n → MK-ST-F-052 toNum → MK-CF-F-180 enteredLandsAnnual → MK-CF-F-181 rateInForce
4. MK-CF-F-085 filingStatusOf → MK-CF-F-181 rateInForce
5. MK-CF-F-132 map → MK-CF-F-206 householdK401ByMonth → MK-CF-F-181 rateInForce
6. MK-ST-F-056 has → MK-CF-F-172 hasWage → MK-CF-F-173 earnerWages → MK-CF-F-176 sumMonthsOverEarners → MK-CF-F-206 householdK401ByMonth → MK-CF-F-181 rateInForce
7. MK-CF-F-132 map → MK-CF-F-176 sumMonthsOverEarners → MK-CF-F-206 householdK401ByMonth → MK-CF-F-181 rateInForce
8. MK-XS-F-122 n → MK-ST-F-052 toNum → MK-CF-F-206 householdK401ByMonth → MK-CF-F-181 rateInForce
9. … and 5 more paths</t>
        </is>
      </c>
      <c r="S174" s="3" t="inlineStr">
        <is>
          <t>—</t>
        </is>
      </c>
      <c r="T174" s="3" t="inlineStr">
        <is>
          <t>—</t>
        </is>
      </c>
      <c r="U174" s="3" t="inlineStr">
        <is>
          <t>ACTIVE</t>
        </is>
      </c>
      <c r="V174" s="3" t="inlineStr">
        <is>
          <t>2026-10-04</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59</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0.038 × 100 is 3.8000000000000003</t>
        </is>
      </c>
      <c r="L175" s="3" t="inlineStr">
        <is>
          <t>—</t>
        </is>
      </c>
      <c r="M175" s="3" t="inlineStr">
        <is>
          <t>· Shows 2 decimal places.</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90</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150</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"From your accounts" — on the Income manager screen</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23</v>
      </c>
      <c r="Q177" s="3" t="inlineStr">
        <is>
          <t>1. MK-CF-F-182 asPercent
2. MK-NW-F-011 assetClassOf
3. MK-ST-F-053 money
4. MK-CF-F-183 paidOutByAccount
5. MK-NW-F-120 classEvidenceOf
6. MK-ST-F-049 formatMoney
7. MK-XS-F-122 n
8. MK-ST-F-065 isoLocalDate
9. MK-CF-F-155 cash
10. MK-NW-F-008 incomeBearingClassOf
11. MK-NW-F-009 maturityClass
12. MK-ST-F-048 currencySymbol
13. MK-ST-F-039 on
14. MK-ST-F-010 nameEvidence
15. MK-NW-F-124 maturityParts
16. MK-CF-F-216 typed
17. MK-ST-F-047 activeCurrency
18. MK-XS-F-147 call
19. MK-ST-F-056 has
20. MK-CF-F-132 map
21. MK-ST-F-027 accountId
22. MK-XS-F-064 currentIdToken
23. MK-XS-F-112 relayUrl</t>
        </is>
      </c>
      <c r="R177" s="3" t="inlineStr">
        <is>
          <t>1. MK-CF-F-182 asPercent → MK-CF-F-184 incomeFromAccounts
2. MK-XS-F-122 n → MK-CF-F-155 cash → MK-NW-F-120 classEvidenceOf → MK-NW-F-011 assetClassOf → MK-CF-F-184 incomeFromAccounts
3. MK-XS-F-122 n → MK-CF-F-155 cash → MK-NW-F-008 incomeBearingClassOf → MK-NW-F-120 classEvidenceOf → MK-NW-F-011 assetClassOf → MK-CF-F-184 incomeFromAccounts
4. MK-XS-F-147 call → MK-ST-F-010 nameEvidence → MK-NW-F-008 incomeBearingClassOf → MK-NW-F-120 classEvidenceOf → MK-NW-F-011 assetClassOf → MK-CF-F-184 incomeFromAccounts
5. MK-ST-F-056 has → MK-ST-F-010 nameEvidence → MK-NW-F-008 incomeBearingClassOf → MK-NW-F-120 classEvidenceOf → MK-NW-F-011 assetClassOf → MK-CF-F-184 incomeFromAccounts
6. MK-CF-F-132 map → MK-ST-F-010 nameEvidence → MK-NW-F-008 incomeBearingClassOf → MK-NW-F-120 classEvidenceOf → MK-NW-F-011 assetClassOf → MK-CF-F-184 incomeFromAccounts
7. assetClassOf (already above — a loop) → MK-NW-F-009 maturityClass → MK-NW-F-120 classEvidenceOf → MK-NW-F-011 assetClassOf → MK-CF-F-184 incomeFromAccounts
8. maturityClass (already above — a loop) → MK-NW-F-124 maturityParts → MK-NW-F-009 maturityClass → MK-NW-F-120 classEvidenceOf → MK-NW-F-011 assetClassOf → MK-CF-F-184 incomeFromAccounts
9. … and 5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94</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 Treats a year as twelve equal months.</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209</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238</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97</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157</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
3. MK-CF-F-216 typed</t>
        </is>
      </c>
      <c r="P183" s="3" t="n">
        <v>17</v>
      </c>
      <c r="Q183" s="3" t="inlineStr">
        <is>
          <t>1. MK-CF-F-189 essentialsFromLoggedSpending
2. MK-CF-O-002 expenses
3. MK-CF-F-216 typed
4. MK-ST-F-056 has
5. MK-XS-F-122 n
6. MK-ST-F-052 toNum
7. MK-CF-F-191 ym
8. MK-CF-F-151 actualSpending
9. MK-CF-F-150 debtPaymentsCountedAsExpenses
10. MK-CF-F-153 radar
11. MK-CF-F-149 recurringDebtPayments
12. MK-CF-F-148 inMonth
13. MK-CF-F-022 paymentShape
14. MK-CF-F-152 isRadarItem
15. MK-CF-F-023 requiredPayment
16. MK-CF-F-132 map
17.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5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30" customHeight="1">
      <c r="A184" s="3" t="inlineStr">
        <is>
          <t>MK-CF-F-191</t>
        </is>
      </c>
      <c r="B184" s="3" t="inlineStr">
        <is>
          <t>ym</t>
        </is>
      </c>
      <c r="C184" s="3" t="inlineStr">
        <is>
          <t>MoneyKeel/functions/cashflow/essentials.ts</t>
        </is>
      </c>
      <c r="D184" s="3" t="n">
        <v>54</v>
      </c>
      <c r="E184" s="3" t="inlineStr">
        <is>
          <t>1 · ACTION</t>
        </is>
      </c>
      <c r="F184" s="3" t="inlineStr">
        <is>
          <t>Writes a date as its year and month: 2026-08.</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106</v>
      </c>
      <c r="E185" s="3" t="inlineStr">
        <is>
          <t>3 · DEPENDENT</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2026-10-02</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149</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65</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85</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112</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53</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1056</v>
      </c>
      <c r="E191" s="3" t="inlineStr">
        <is>
          <t>3 · DEPENDENT</t>
        </is>
      </c>
      <c r="F191" s="3" t="inlineStr">
        <is>
          <t>Social Security and Medicare tax on a year's wages: 6.2% up to the wage cap, 1.45% of all of it, and 0.9% more above the higher-earner threshold.</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145</v>
      </c>
      <c r="E192" s="3" t="inlineStr">
        <is>
          <t>1 · ACTION</t>
        </is>
      </c>
      <c r="F192" s="3" t="inlineStr">
        <is>
          <t>Example only: runs theContributionRoom on the worked example and calculates nothing of its own.</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98</v>
      </c>
      <c r="E193" s="3" t="inlineStr">
        <is>
          <t>1 · ACTION</t>
        </is>
      </c>
      <c r="F193" s="3" t="inlineStr">
        <is>
          <t>Example only: runs theCreditLine on the worked example and calculates nothing of its own.</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114</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MK-NW-F-112 yearlyInterest
39. MK-ST-F-048 currencySymbol
40. MK-ST-F-039 on
41. MK-ST-F-027 accountId
42. MK-NW-F-057 annualCoupon
43. MK-NW-F-056 bondInfo
44. MK-NW-F-064 bondRateSensitivity
45. MK-NW-F-061 bondSummary
46. MK-NW-F-055 isBond
47. MK-NW-F-124 maturityParts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MK-NW-F-131 pricedLikeBond
70. MK-NW-F-125 isPastMaturity
71. MK-ST-F-065 isoLocalDate
72. MK-NW-F-126 yearlyInterestNow
73. MK-NW-F-011 assetClassOf
74. MK-NW-F-009 maturityClass
75. MK-CF-F-216 typed
76. MK-NW-F-070 accruedInterestCaveat
77. MK-NW-F-058 yearsToMaturity
78. MK-CF-F-075 retirementIncomeMonthly
79. MK-CF-F-172 hasWage
80. MK-CF-F-062 equityRowValue
81. MK-CF-F-070 benefitAnnual
82. MK-CF-F-176 sumMonthsOverEarners
83. MK-CF-F-090 effectiveRate
84. MK-CF-F-180 enteredLandsAnnual
85. MK-CF-F-085 filingStatusOf
86. MK-CF-F-089 over65CountOf
87. MK-CF-F-082 salaryAnnual
88. MK-CF-F-086 stateRateOf
89. MK-CF-F-101 taxOwedFor
90. MK-CF-F-084 taxableAnnual
91. MK-CF-F-067 rentalList
92. MK-CF-F-063 rowVestYear
93. MK-CF-F-130 enteredMonthlyRaw
94. MK-CF-F-166 hasMonthlySalaryTable
95. MK-ST-F-036 reconcile
96. MK-CF-F-167 salaryCalendarYear
97. MK-CF-F-120 pctBaseMonthly
98. MK-CF-F-004 spendBuckets
99. MK-NW-F-119 estimatedAccrued
100. MK-NW-F-120 classEvidenceOf
101. MK-NW-F-067 plural
102. MK-CF-F-100 taxableIncomeFor
103. MK-CF-F-074 tipsAnnual
104. MK-ST-F-085 rentFigure
105. MK-CF-F-165 salaryMonths
106. MK-CF-F-003 categoryMonthly
107. MK-NW-F-008 incomeBearingClassOf
108. MK-CF-F-099 deductionFor
109. MK-CF-F-081 salaryActiveMonths
110. MK-ST-F-010 nameEvidence
111. MK-CF-F-187 seniorDeductionFor
112. MK-XS-F-147 call
113. MK-XS-F-064 currentIdToken
114.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120</v>
      </c>
      <c r="E194" s="3" t="inlineStr">
        <is>
          <t>1 · ACTION</t>
        </is>
      </c>
      <c r="F194" s="3" t="inlineStr">
        <is>
          <t>Example only: runs incomeSummary on the worked example and calculates nothing of its own.</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MK-CF-F-207 SOURCE
2. MK-CF-O-004 incomeSummary</t>
        </is>
      </c>
      <c r="P194" s="3" t="n">
        <v>132</v>
      </c>
      <c r="Q194" s="3" t="inlineStr">
        <is>
          <t>1. MK-CF-F-207 SOURCE
2. MK-CF-O-004 incomeSummary
3. MK-CF-O-016 incomeSources
4. MK-CF-F-203 MONTH
5. MK-CF-O-001 basePay
6. MK-CF-F-069 benefitActiveMonths
7. MK-CF-F-072 currentRetirementIncomeMonthly
8. MK-CF-F-173 earnerWages
9. MK-CF-F-179 entryFromWage
10. MK-CF-F-071 extraIncome
11. MK-CF-F-085 filingStatusOf
12. MK-CF-F-092 incomeMonthlyGrid
13. MK-CF-F-192 inflowLabel
14. MK-CF-F-132 map
15. MK-CF-F-103 marginalBracketFor
16. MK-CF-F-089 over65CountOf
17. MK-CF-F-181 rateInForce
18. MK-CF-F-068 rentalNetAnnual
19. MK-CF-F-082 salaryAnnual
20. MK-CF-F-060 salaryGrossByMonth
21. MK-CF-F-084 taxableAnnual
22. MK-ST-F-052 toNum
23. MK-CF-F-075 retirementIncomeMonthly
24. MK-CF-F-066 rsuAnnual
25. MK-CF-O-010 theMonth
26. MK-ST-F-035 covers
27. MK-CF-F-171 earnerPay
28. MK-CF-F-204 line
29. MK-ST-F-053 money
30. MK-HM-F-006 money0
31. MK-XS-F-122 n
32. MK-CF-F-198 payrollTaxWithheld
33. MK-CF-F-172 hasWage
34. MK-CF-F-165 salaryMonths
35. MK-CF-F-070 benefitAnnual
36. MK-ST-F-039 on
37. MK-CF-F-065 equityVestWeights
38. MK-ST-F-056 has
39. MK-CF-F-206 householdK401ByMonth
40. MK-CF-F-087 monthlyTaxRates
41. MK-CF-F-073 otherIncomeMonth
42. MK-CF-F-077 scholarshipByCalendarMonth
43. MK-CF-F-088 taxableByCalendarMonth
44. MK-CF-F-177 wageGrossByMonth
45. MK-PL-F-012 waterfall
46. MK-CF-F-193 inflowSourceWord
47. MK-CF-F-100 taxableIncomeFor
48. MK-CF-F-180 enteredLandsAnnual
49. MK-CF-F-086 stateRateOf
50. MK-CF-F-101 taxOwedFor
51. MK-CF-O-002 expenses
52. MK-CF-F-067 rentalList
53. MK-CF-F-176 sumMonthsOverEarners
54. MK-CF-F-074 tipsAnnual
55. MK-CF-F-062 equityRowValue
56. MK-CF-F-063 rowVestYear
57. MK-CF-F-155 cash
58. MK-CF-O-003 thisMonth
59. MK-ST-F-034 firstDate
60. MK-CF-F-143 annualisedGross
61. MK-CF-F-145 deductionsFromPay
62. MK-CF-F-128 grossByMonth
63. MK-CF-F-146 payFiguresAgree
64. MK-CF-F-144 takeHomeAsEntered
65. MK-XS-F-180 declareFigures
66. MK-ST-F-049 formatMoney
67. MK-HM-F-005 pctTxt
68. MK-NW-F-067 plural
69. MK-CF-F-090 effectiveRate
70. MK-CF-F-130 enteredMonthlyRaw
71. MK-CF-F-166 hasMonthlySalaryTable
72. MK-ST-F-036 reconcile
73. MK-CF-F-167 salaryCalendarYear
74. MK-CF-F-099 deductionFor
75. MK-CF-F-151 actualSpending
76. MK-CF-F-150 debtPaymentsCountedAsExpenses
77. MK-CF-F-153 radar
78. MK-CF-F-149 recurringDebtPayments
79. MK-ST-F-085 rentFigure
80. MK-CF-F-216 typed
81. MK-CF-F-081 salaryActiveMonths
82. MK-CF-F-005 actualMonthFlow
83. MK-CF-F-156 plannedMonthFlow
84. MK-CF-F-142 monthsOf
85. MK-CF-F-141 perMonth
86. MK-ST-F-048 currencySymbol
87. MK-CF-F-187 seniorDeductionFor
88. MK-CF-F-148 inMonth
89. MK-CF-F-191 ym
90. MK-CF-F-022 paymentShape
91. MK-CF-F-152 isRadarItem
92. MK-CF-F-023 requiredPayment
93. MK-NW-F-078 ONE
94. MK-CF-F-157 debtPaymentsByDebt
95. MK-XS-F-027 takeHomeMonthly
96. MK-CF-F-140 periodsAYear
97. MK-ST-F-047 activeCurrency
98. MK-CF-F-021 defaultPaymentType
99. MK-NW-F-077 ALL
100. MK-NW-F-059 currentYield
101. MK-NW-O-001 theBonds
102. MK-CF-F-011 savingsByMonth
103. MK-NW-F-112 yearlyInterest
104. MK-ST-F-027 accountId
105. MK-NW-F-057 annualCoupon
106. MK-NW-F-056 bondInfo
107. MK-NW-F-064 bondRateSensitivity
108. MK-NW-F-061 bondSummary
109. MK-NW-F-055 isBond
110. MK-NW-F-124 maturityParts
111. MK-NW-F-072 rowOf
112. MK-CF-F-008 spendByMonth
113. MK-NW-F-060 approxYTM
114. MK-NW-F-069 priceAtYield
115. MK-NW-F-131 pricedLikeBond
116. MK-NW-F-125 isPastMaturity
117. MK-ST-F-065 isoLocalDate
118. MK-NW-F-126 yearlyInterestNow
119. MK-NW-F-011 assetClassOf
120. MK-NW-F-009 maturityClass
121. MK-NW-F-070 accruedInterestCaveat
122. MK-NW-F-058 yearsToMaturity
123. MK-CF-F-120 pctBaseMonthly
124. MK-CF-F-004 spendBuckets
125. MK-NW-F-119 estimatedAccrued
126. MK-NW-F-120 classEvidenceOf
127. MK-CF-F-003 categoryMonthly
128. MK-NW-F-008 incomeBearingClassOf
129. MK-ST-F-010 nameEvidence
130. MK-XS-F-147 call
131. MK-XS-F-064 currentIdToken
132. MK-XS-F-112 relayUrl</t>
        </is>
      </c>
      <c r="R194" s="3" t="inlineStr">
        <is>
          <t>1. SOURCE (already above — a loop) → MK-CF-O-016 incomeSources → MK-CF-F-207 SOURCE → MK-CF-F-201 INCOME
2. MK-ST-F-052 toNum → MK-CF-F-075 retirementIncomeMonthly → MK-CF-F-072 currentRetirementIncomeMonthly → MK-CF-O-016 incomeSources → MK-CF-F-207 SOURCE → MK-CF-F-201 INCOME
3. MK-ST-F-056 has → MK-CF-F-172 hasWage → MK-CF-F-173 earnerWages → MK-CF-O-016 incomeSources → MK-CF-F-207 SOURCE → MK-CF-F-201 INCOME
4. MK-CF-F-151 actualSpending → MK-CF-O-002 expenses → MK-CF-F-068 rentalNetAnnual → MK-CF-O-016 incomeSources → MK-CF-F-207 SOURCE → MK-CF-F-201 INCOME
5. MK-CF-F-150 debtPaymentsCountedAsExpenses → MK-CF-O-002 expenses → MK-CF-F-068 rentalNetAnnual → MK-CF-O-016 incomeSources → MK-CF-F-207 SOURCE → MK-CF-F-201 INCOME
6. MK-CF-F-153 radar → MK-CF-O-002 expenses → MK-CF-F-068 rentalNetAnnual → MK-CF-O-016 incomeSources → MK-CF-F-207 SOURCE → MK-CF-F-201 INCOME
7. MK-CF-F-149 recurringDebtPayments → MK-CF-O-002 expenses → MK-CF-F-068 rentalNetAnnual → MK-CF-O-016 incomeSources → MK-CF-F-207 SOURCE → MK-CF-F-201 INCOME
8. MK-CF-O-002 expenses → MK-CF-F-067 rentalList → MK-CF-F-068 rentalNetAnnual → MK-CF-O-016 incomeSources → MK-CF-F-207 SOURCE → MK-CF-F-201 INCOME
9. … and 5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105</v>
      </c>
      <c r="E195" s="3" t="inlineStr">
        <is>
          <t>1 · ACTION</t>
        </is>
      </c>
      <c r="F195" s="3" t="inlineStr">
        <is>
          <t>Example only: runs theTaxOrganizer on the worked example and calculates nothing of its own.</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78</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MK-NW-F-120 classEvidenceOf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MK-NW-F-008 incomeBearingClassOf
41. MK-NW-F-009 maturityClass
42. MK-ST-F-048 currencySymbol
43. MK-CF-F-173 earnerWages
44. MK-CF-F-180 enteredLandsAnnual
45. MK-CF-F-206 householdK401ByMonth
46. MK-CF-F-086 stateRateOf
47. MK-CF-F-101 taxOwedFor
48. MK-CF-F-084 taxableAnnual
49. MK-CF-F-151 actualSpending
50. MK-CF-F-150 debtPaymentsCountedAsExpenses
51. MK-CF-F-153 radar
52. MK-CF-F-149 recurringDebtPayments
53. MK-ST-F-085 rentFigure
54. MK-CF-F-216 typed
55. MK-CF-F-176 sumMonthsOverEarners
56. MK-CF-F-177 wageGrossByMonth
57. MK-CF-F-175 sumOverEarners
58. MK-ST-F-010 nameEvidence
59. MK-NW-F-124 maturityParts
60. MK-ST-F-047 activeCurrency
61. MK-CF-F-172 hasWage
62. MK-CF-F-100 taxableIncomeFor
63. MK-CF-F-071 extraIncome
64. MK-CF-F-148 inMonth
65. MK-CF-F-191 ym
66. MK-CF-F-022 paymentShape
67. MK-CF-F-152 isRadarItem
68. MK-CF-F-023 requiredPayment
69. MK-CF-F-130 enteredMonthlyRaw
70. MK-CF-F-166 hasMonthlySalaryTable
71. MK-ST-F-036 reconcile
72. MK-CF-F-167 salaryCalendarYear
73. MK-XS-F-147 call
74. MK-CF-F-021 defaultPaymentType
75. MK-CF-F-165 salaryMonths
76. MK-ST-F-027 accountId
77. MK-XS-F-064 currentIdToken
78. MK-XS-F-112 relayUrl</t>
        </is>
      </c>
      <c r="R195" s="3" t="inlineStr">
        <is>
          <t>1. MK-XS-F-180 declareFigures → MK-CF-F-202 TAX
2. MK-ST-F-039 on → MK-CF-F-202 TAX
3. MK-CF-F-182 asPercent → MK-CF-F-184 incomeFromAccounts → MK-CF-O-007 theTaxOrganizer → MK-CF-F-202 TAX
4. MK-CF-F-155 cash → MK-NW-F-120 classEvidenceOf → MK-NW-F-011 assetClassOf → MK-CF-F-184 incomeFromAccounts → MK-CF-O-007 theTaxOrganizer → MK-CF-F-202 TAX
5. MK-NW-F-008 incomeBearingClassOf → MK-NW-F-120 classEvidenceOf → MK-NW-F-011 assetClassOf → MK-CF-F-184 incomeFromAccounts → MK-CF-O-007 theTaxOrganizer → MK-CF-F-202 TAX
6. MK-NW-F-009 maturityClass → MK-NW-F-120 classEvidenceOf → MK-NW-F-011 assetClassOf → MK-CF-F-184 incomeFromAccounts → MK-CF-O-007 theTaxOrganizer → MK-CF-F-202 TAX
7. MK-ST-F-048 currencySymbol → MK-ST-F-049 formatMoney → MK-ST-F-053 money → MK-CF-F-184 incomeFromAccounts → MK-CF-O-007 theTaxOrganizer → MK-CF-F-202 TAX
8. MK-XS-F-122 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174</v>
      </c>
      <c r="E196" s="3" t="inlineStr">
        <is>
          <t>1 · ACTION</t>
        </is>
      </c>
      <c r="F196" s="3" t="inlineStr">
        <is>
          <t>Example only: runs theMonth on the worked example and calculates nothing of its own.</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110</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MK-NW-F-124 maturityParts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MK-NW-F-131 pricedLikeBond
66. MK-NW-F-125 isPastMaturity
67. MK-ST-F-065 isoLocalDate
68. MK-NW-F-126 yearlyInterestNow
69. MK-NW-F-011 assetClassOf
70. MK-NW-F-009 maturityClass
71. MK-CF-F-216 typed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MK-NW-F-120 classEvidenceOf
97. MK-NW-F-067 plural
98. MK-CF-F-100 taxableIncomeFor
99. MK-CF-F-074 tipsAnnual
100. MK-ST-F-085 rentFigure
101. MK-CF-F-165 salaryMonths
102. MK-CF-F-003 categoryMonthly
103. MK-NW-F-008 incomeBearingClassOf
104. MK-CF-F-099 deductionFor
105. MK-CF-F-081 salaryActiveMonths
106. MK-ST-F-010 nameEvidence
107. MK-CF-F-187 seniorDeductionFor
108. MK-XS-F-147 call
109. MK-XS-F-064 currentIdToken
110.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214</v>
      </c>
      <c r="E197" s="3" t="inlineStr">
        <is>
          <t>1 · ACTION</t>
        </is>
      </c>
      <c r="F197" s="3" t="inlineStr">
        <is>
          <t>Example only: reads one row's amount from the worked example of the month.</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111</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MK-NW-F-112 yearlyInterest
36. MK-ST-F-048 currencySymbol
37. MK-ST-F-039 on
38. MK-ST-F-027 accountId
39. MK-NW-F-057 annualCoupon
40. MK-NW-F-056 bondInfo
41. MK-NW-F-064 bondRateSensitivity
42. MK-NW-F-061 bondSummary
43. MK-NW-F-055 isBond
44. MK-NW-F-124 maturityParts
45. MK-NW-F-072 rowOf
46. MK-CF-F-069 benefitActiveMonths
47. MK-CF-F-072 currentRetirementIncomeMonthly
48. MK-CF-F-173 earnerWages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MK-CF-F-177 wageGrossByMonth
61. MK-PL-F-012 waterfall
62. MK-CF-F-008 spendByMonth
63. MK-ST-F-047 activeCurrency
64. MK-NW-F-060 approxYTM
65. MK-NW-F-069 priceAtYield
66. MK-NW-F-131 pricedLikeBond
67. MK-NW-F-125 isPastMaturity
68. MK-ST-F-065 isoLocalDate
69. MK-NW-F-126 yearlyInterestNow
70. MK-NW-F-011 assetClassOf
71. MK-NW-F-009 maturityClass
72. MK-CF-F-216 typed
73. MK-NW-F-070 accruedInterestCaveat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MK-NW-F-119 estimatedAccrued
97. MK-NW-F-120 classEvidenceOf
98. MK-NW-F-067 plural
99. MK-CF-F-100 taxableIncomeFor
100. MK-CF-F-074 tipsAnnual
101. MK-ST-F-085 rentFigure
102. MK-CF-F-165 salaryMonths
103. MK-CF-F-003 categoryMonthly
104. MK-NW-F-008 incomeBearingClassOf
105. MK-CF-F-099 deductionFor
106. MK-CF-F-081 salaryActiveMonths
107. MK-ST-F-010 nameEvidence
108. MK-CF-F-187 seniorDeductionFor
109. MK-XS-F-147 call
110. MK-XS-F-064 currentIdToken
111.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118</v>
      </c>
      <c r="E198" s="3" t="inlineStr">
        <is>
          <t>1 · ACTION</t>
        </is>
      </c>
      <c r="F198" s="3" t="inlineStr">
        <is>
          <t>Example only: runs whatsComing on the worked example and calculates nothing of its own.</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Yes</t>
        </is>
      </c>
      <c r="O198" s="3" t="inlineStr">
        <is>
          <t>1. MK-CF-F-203 MONTH
2. MK-CF-O-008 whatsComing</t>
        </is>
      </c>
      <c r="P198" s="3" t="n">
        <v>118</v>
      </c>
      <c r="Q198" s="3" t="inlineStr">
        <is>
          <t>1. MK-CF-F-203 MONTH
2. MK-CF-O-008 whatsComing
3. MK-CF-O-010 theMonth
4. MK-CF-F-019 upcomingBills
5. MK-CF-F-155 cash
6. MK-CF-O-002 expenses
7. MK-CF-O-003 thisMonth
8. MK-CF-F-122 addDays
9. MK-CF-F-070 benefitAnnual
10. MK-CF-F-072 currentRetirementIncomeMonthly
11. MK-CF-F-160 daysBetweenDates
12. MK-CF-F-090 effectiveRate
13. MK-CF-F-061 grossSalaryMonthly
14. MK-ST-F-065 isoLocalDate
15. MK-CF-F-132 map
16. MK-CF-F-124 nextOccurrence
17. MK-CF-F-068 rentalNetAnnual
18. MK-CF-F-004 spendBuckets
19. MK-CF-F-084 taxableAnnual
20. MK-ST-F-052 toNum
21. MK-CF-F-083 totalGrossAnnual
22. MK-XS-F-122 n
23. MK-CF-F-151 actualSpending
24. MK-CF-F-150 debtPaymentsCountedAsExpenses
25. MK-CF-F-153 radar
26. MK-CF-F-149 recurringDebtPayments
27. MK-CF-F-005 actualMonthFlow
28. MK-CF-F-156 plannedMonthFlow
29. MK-CF-F-069 benefitActiveMonths
30. MK-CF-F-075 retirementIncomeMonthly
31. MK-CF-F-181 rateInForce
32. MK-CF-F-060 salaryGrossByMonth
33. MK-CF-F-067 rentalList
34. MK-CF-F-003 categoryMonthly
35. MK-CF-F-071 extraIncome
36. MK-CF-F-066 rsuAnnual
37. MK-CF-F-082 salaryAnnual
38. MK-CF-F-074 tipsAnnual
39. MK-CF-F-148 inMonth
40. MK-CF-F-191 ym
41. MK-ST-F-056 has
42. MK-CF-F-022 paymentShape
43. MK-CF-F-152 isRadarItem
44. MK-CF-F-023 requiredPayment
45. MK-NW-F-078 ONE
46. MK-CF-F-157 debtPaymentsByDebt
47. MK-CF-F-192 inflowLabel
48. MK-XS-F-027 takeHomeMonthly
49. MK-CF-F-173 earnerWages
50. MK-CF-F-180 enteredLandsAnnual
51. MK-CF-F-085 filingStatusOf
52. MK-CF-F-206 householdK401ByMonth
53. MK-CF-F-089 over65CountOf
54. MK-CF-F-086 stateRateOf
55. MK-CF-F-101 taxOwedFor
56. MK-CF-F-176 sumMonthsOverEarners
57. MK-CF-F-177 wageGrossByMonth
58. MK-ST-F-085 rentFigure
59. MK-CF-F-216 typed
60. MK-CF-F-120 pctBaseMonthly
61. MK-ST-F-039 on
62. MK-CF-F-062 equityRowValue
63. MK-CF-F-063 rowVestYear
64. MK-CF-F-081 salaryActiveMonths
65. MK-CF-F-021 defaultPaymentType
66. MK-NW-F-077 ALL
67. MK-NW-F-059 currentYield
68. MK-XS-F-180 declareFigures
69. MK-ST-F-049 formatMoney
70. MK-ST-F-053 money
71. MK-NW-O-001 theBonds
72. MK-CF-F-193 inflowSourceWord
73. MK-CF-F-092 incomeMonthlyGrid
74. MK-CF-F-011 savingsByMonth
75. MK-CF-F-172 hasWage
76. MK-CF-F-100 taxableIncomeFor
77. MK-CF-F-130 enteredMonthlyRaw
78. MK-CF-F-166 hasMonthlySalaryTable
79. MK-ST-F-036 reconcile
80. MK-CF-F-167 salaryCalendarYear
81. MK-NW-F-112 yearlyInterest
82. MK-ST-F-048 currencySymbol
83. MK-ST-F-027 accountId
84. MK-NW-F-057 annualCoupon
85. MK-NW-F-056 bondInfo
86. MK-NW-F-064 bondRateSensitivity
87. MK-NW-F-061 bondSummary
88. MK-NW-F-055 isBond
89. MK-NW-F-124 maturityParts
90. MK-NW-F-072 rowOf
91. MK-CF-F-065 equityVestWeights
92. MK-CF-F-087 monthlyTaxRates
93. MK-CF-F-073 otherIncomeMonth
94. MK-CF-F-077 scholarshipByCalendarMonth
95. MK-CF-F-088 taxableByCalendarMonth
96. MK-PL-F-012 waterfall
97. MK-CF-F-008 spendByMonth
98. MK-CF-F-099 deductionFor
99. MK-CF-F-165 salaryMonths
100. MK-ST-F-047 activeCurrency
101. MK-NW-F-060 approxYTM
102. MK-NW-F-069 priceAtYield
103. MK-NW-F-131 pricedLikeBond
104. MK-NW-F-125 isPastMaturity
105. MK-NW-F-126 yearlyInterestNow
106. MK-NW-F-011 assetClassOf
107. MK-NW-F-009 maturityClass
108. MK-NW-F-070 accruedInterestCaveat
109. MK-NW-F-058 yearsToMaturity
110. MK-CF-F-187 seniorDeductionFor
111. MK-NW-F-119 estimatedAccrued
112. MK-NW-F-120 classEvidenceOf
113. MK-NW-F-067 plural
114. MK-NW-F-008 incomeBearingClassOf
115. MK-ST-F-010 nameEvidence
116. MK-XS-F-147 call
117. MK-XS-F-064 currentIdToken
118. MK-XS-F-112 relayUrl</t>
        </is>
      </c>
      <c r="R198" s="3" t="inlineStr">
        <is>
          <t>1. MONTH (already above — a loop) → MK-CF-O-010 theMonth → MK-CF-F-203 MONTH → MK-CF-F-205 COMING
2. MK-XS-F-122 n → MK-CF-F-155 cash → MK-CF-O-010 theMonth → MK-CF-F-203 MONTH → MK-CF-F-205 COMING
3. MK-CF-F-148 inMonth → MK-CF-F-151 actualSpending → MK-CF-O-002 expenses → MK-CF-O-010 theMonth → MK-CF-F-203 MONTH → MK-CF-F-205 COMING
4. MK-ST-F-052 toNum → MK-CF-F-151 actualSpending → MK-CF-O-002 expenses → MK-CF-O-010 theMonth → MK-CF-F-203 MONTH → MK-CF-F-205 COMING
5. MK-CF-F-191 ym → MK-CF-F-151 actualSpending → MK-CF-O-002 expenses → MK-CF-O-010 theMonth → MK-CF-F-203 MONTH → MK-CF-F-205 COMING
6. MK-ST-F-056 has → MK-CF-F-150 debtPaymentsCountedAsExpenses → MK-CF-O-002 expenses → MK-CF-O-010 theMonth → MK-CF-F-203 MONTH → MK-CF-F-205 COMING
7. MK-CF-F-148 inMonth → MK-CF-F-150 debtPaymentsCountedAsExpenses → MK-CF-O-002 expenses → MK-CF-O-010 theMonth → MK-CF-F-203 MONTH → MK-CF-F-205 COMING
8. MK-CF-F-022 paymentShape → MK-CF-F-150 debtPaymentsCountedAsExpenses → MK-CF-O-002 expenses → MK-CF-O-010 theMonth → MK-CF-F-203 MONTH → MK-CF-F-205 COMING
9. … and 5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1498</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MK-CF-F-207</t>
        </is>
      </c>
      <c r="B200" s="3" t="inlineStr">
        <is>
          <t>SOURCE</t>
        </is>
      </c>
      <c r="C200" s="3" t="inlineStr">
        <is>
          <t>MoneyKeel/functions/cashflow/income-summary.ts</t>
        </is>
      </c>
      <c r="D200" s="3" t="n">
        <v>167</v>
      </c>
      <c r="E200" s="3" t="inlineStr">
        <is>
          <t>1 · ACTION</t>
        </is>
      </c>
      <c r="F200" s="3" t="inlineStr">
        <is>
          <t>Example only: picks one kind of income source out of the worked example household.</t>
        </is>
      </c>
      <c r="G200" s="11" t="inlineStr">
        <is>
          <t>income sources(SOURCES_EXAMPLE).find((x) =&gt; kind = kind)!</t>
        </is>
      </c>
      <c r="H200" s="3" t="inlineStr">
        <is>
          <t>income sources(SOURCES_EXAMPLE).find((x) =&gt; kind = kind)!</t>
        </is>
      </c>
      <c r="I200" s="3" t="inlineStr">
        <is>
          <t>PARTLY READ — some of the code is still showing through; needs a hand pass</t>
        </is>
      </c>
      <c r="J200" s="3" t="inlineStr">
        <is>
          <t>kind: IncomeSource['kind']</t>
        </is>
      </c>
      <c r="K200" s="3" t="inlineStr">
        <is>
          <t>NOT DECLARED — the code does not say what it gives back</t>
        </is>
      </c>
      <c r="L200" s="3" t="inlineStr">
        <is>
          <t>—</t>
        </is>
      </c>
      <c r="M200" s="3" t="inlineStr">
        <is>
          <t>None found in this function — anything it assumes comes from the functions it depends on.</t>
        </is>
      </c>
      <c r="N200" s="3" t="inlineStr">
        <is>
          <t>Yes</t>
        </is>
      </c>
      <c r="O200" s="3" t="inlineStr">
        <is>
          <t>MK-CF-O-016 incomeSources</t>
        </is>
      </c>
      <c r="P200" s="3" t="n">
        <v>27</v>
      </c>
      <c r="Q200" s="3" t="inlineStr">
        <is>
          <t>1. MK-CF-O-016 incomeSources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MK-ST-F-085 rentFigure
21. MK-CF-F-216 typed
22. MK-CF-F-148 inMonth
23. MK-CF-F-191 ym
24. MK-CF-F-022 paymentShape
25. MK-CF-F-152 isRadarItem
26. MK-CF-F-023 requiredPayment
27. MK-CF-F-021 defaultPaymentType</t>
        </is>
      </c>
      <c r="R200" s="3" t="inlineStr">
        <is>
          <t>1. SOURCE (already above — a loop) → MK-CF-O-016 incomeSources → MK-CF-F-207 SOURCE
2. MK-XS-F-122 n → MK-ST-F-052 toNum → MK-CF-F-075 retirementIncomeMonthly → MK-CF-F-072 currentRetirementIncomeMonthly → MK-CF-O-016 incomeSources → MK-CF-F-207 SOURCE
3. MK-ST-F-056 has → MK-CF-F-172 hasWage → MK-CF-F-173 earnerWages → MK-CF-O-016 incomeSources → MK-CF-F-207 SOURCE
4. MK-CF-F-148 inMonth → MK-CF-F-151 actualSpending → MK-CF-O-002 expenses → MK-CF-F-068 rentalNetAnnual → MK-CF-O-016 incomeSources → MK-CF-F-207 SOURCE
5. MK-ST-F-052 toNum → MK-CF-F-151 actualSpending → MK-CF-O-002 expenses → MK-CF-F-068 rentalNetAnnual → MK-CF-O-016 incomeSources → MK-CF-F-207 SOURCE
6. MK-CF-F-191 ym → MK-CF-F-151 actualSpending → MK-CF-O-002 expenses → MK-CF-F-068 rentalNetAnnual → MK-CF-O-016 incomeSources → MK-CF-F-207 SOURCE
7. MK-ST-F-056 has → MK-CF-F-150 debtPaymentsCountedAsExpenses → MK-CF-O-002 expenses → MK-CF-F-068 rentalNetAnnual → MK-CF-O-016 incomeSources → MK-CF-F-207 SOURCE
8. MK-CF-F-148 inMonth → MK-CF-F-150 debtPaymentsCountedAsExpenses → MK-CF-O-002 expenses → MK-CF-F-068 rentalNetAnnual → MK-CF-O-016 incomeSources → MK-CF-F-207 SOURCE
9. … and 4 more paths</t>
        </is>
      </c>
      <c r="S200" s="3" t="inlineStr">
        <is>
          <t>—</t>
        </is>
      </c>
      <c r="T200" s="3" t="inlineStr">
        <is>
          <t>—</t>
        </is>
      </c>
      <c r="U200" s="3" t="inlineStr">
        <is>
          <t>ACTIVE</t>
        </is>
      </c>
      <c r="V200" s="3" t="inlineStr">
        <is>
          <t>2026-10-02</t>
        </is>
      </c>
      <c r="W200" s="3" t="n"/>
      <c r="X200" s="3" t="n"/>
      <c r="Y200" s="3" t="inlineStr">
        <is>
          <t>NOTHING OPEN</t>
        </is>
      </c>
    </row>
    <row r="201" ht="60" customHeight="1">
      <c r="A201" s="3" t="inlineStr">
        <is>
          <t>MK-CF-F-210</t>
        </is>
      </c>
      <c r="B201" s="3" t="inlineStr">
        <is>
          <t>annualOfSource</t>
        </is>
      </c>
      <c r="C201" s="3" t="inlineStr">
        <is>
          <t>MoneyKeel/functions/cashflow/income-summary.ts</t>
        </is>
      </c>
      <c r="D201" s="3" t="n">
        <v>197</v>
      </c>
      <c r="E201" s="3" t="inlineStr">
        <is>
          <t>3 · DEPENDENT (feeds an action only)</t>
        </is>
      </c>
      <c r="F201" s="3" t="inlineStr">
        <is>
          <t>A source's yearly amount: a monthly one × 12, a yearly one as it is, a salary from its pay period.</t>
        </is>
      </c>
      <c r="G201" s="11" t="inlineStr">
        <is>
          <t>amount × 12   when per = 'month'
amount   when per = 'year'
salary annual((op ?? {}) as any) (or amount when missing or zero)</t>
        </is>
      </c>
      <c r="H201" s="3" t="inlineStr">
        <is>
          <t>When per = 'month', it answers amount times 12. When per = 'year', it answers amount. salary annual((op ?? {}) as any) (or amount — when missing or zero).</t>
        </is>
      </c>
      <c r="I201" s="3" t="inlineStr">
        <is>
          <t>PARTLY READ — some of the code is still showing through; needs a hand pass</t>
        </is>
      </c>
      <c r="J201" s="3" t="inlineStr">
        <is>
          <t>1. x: IncomeSource
2. op?: Record&lt;string, any&gt; | null</t>
        </is>
      </c>
      <c r="K201" s="3" t="inlineStr">
        <is>
          <t>number</t>
        </is>
      </c>
      <c r="L201" s="3" t="inlineStr">
        <is>
          <t>—</t>
        </is>
      </c>
      <c r="M201" s="3" t="inlineStr">
        <is>
          <t>· Turns a monthly figure into a year by multiplying by twelve.</t>
        </is>
      </c>
      <c r="N201" s="3" t="inlineStr">
        <is>
          <t>No</t>
        </is>
      </c>
      <c r="O201" s="3" t="inlineStr">
        <is>
          <t>1. MK-CF-F-201 INCOME
2. MK-CF-F-207 SOURCE
3. MK-XS-F-180 declareFigures
4. MK-CF-F-076 guaranteedOutsideStreams
5. MK-CF-F-184 incomeFromAccounts
6. MK-CF-O-004 incomeSummary
7. MK-CF-F-075 retirementIncomeMonthly
8. MK-CF-F-082 salaryAnnual
9. MK-CF-O-019 theIncomeManager</t>
        </is>
      </c>
      <c r="P201" s="3" t="n">
        <v>138</v>
      </c>
      <c r="Q201" s="3" t="inlineStr">
        <is>
          <t>1. MK-CF-F-201 INCOME
2. MK-CF-F-207 SOURCE
3. MK-XS-F-180 declareFigures
4. MK-CF-F-076 guaranteedOutsideStreams
5. MK-CF-F-184 incomeFromAccounts
6. MK-CF-O-004 incomeSummary
7. MK-CF-F-075 retirementIncomeMonthly
8. MK-CF-F-082 salaryAnnual
9. MK-CF-O-019 theIncomeManager
10. MK-CF-O-016 incomeSources
11. MK-ST-F-052 toNum
12. MK-CF-F-182 asPercent
13. MK-NW-F-011 assetClassOf
14. MK-ST-F-053 money
15. MK-CF-F-183 paidOutByAccount
16. MK-CF-F-203 MONTH
17. MK-CF-O-001 basePay
18. MK-CF-F-069 benefitActiveMonths
19. MK-CF-F-072 currentRetirementIncomeMonthly
20. MK-CF-F-173 earnerWages
21. MK-CF-F-179 entryFromWage
22. MK-CF-F-071 extraIncome
23. MK-CF-F-085 filingStatusOf
24. MK-CF-F-092 incomeMonthlyGrid
25. MK-CF-F-192 inflowLabel
26. MK-CF-F-132 map
27. MK-CF-F-103 marginalBracketFor
28. MK-CF-F-089 over65CountOf
29. MK-CF-F-181 rateInForce
30. MK-CF-F-068 rentalNetAnnual
31. MK-CF-F-060 salaryGrossByMonth
32. MK-CF-F-084 taxableAnnual
33. MK-NW-F-067 plural
34. MK-CF-F-067 rentalList
35. MK-CF-F-066 rsuAnnual
36. MK-XS-F-122 n
37. MK-NW-F-120 classEvidenceOf
38. MK-ST-F-049 formatMoney
39. MK-ST-F-065 isoLocalDate
40. MK-CF-O-010 theMonth
41. MK-ST-F-035 covers
42. MK-CF-F-171 earnerPay
43. MK-CF-F-204 line
44. MK-HM-F-006 money0
45. MK-CF-F-198 payrollTaxWithheld
46. MK-CF-F-172 hasWage
47. MK-CF-F-165 salaryMonths
48. MK-CF-F-070 benefitAnnual
49. MK-ST-F-039 on
50. MK-CF-F-065 equityVestWeights
51. MK-ST-F-056 has
52. MK-CF-F-206 householdK401ByMonth
53. MK-CF-F-087 monthlyTaxRates
54. MK-CF-F-073 otherIncomeMonth
55. MK-CF-F-077 scholarshipByCalendarMonth
56. MK-CF-F-088 taxableByCalendarMonth
57. MK-CF-F-177 wageGrossByMonth
58. MK-PL-F-012 waterfall
59. MK-CF-F-193 inflowSourceWord
60. MK-CF-F-100 taxableIncomeFor
61. MK-CF-F-180 enteredLandsAnnual
62. MK-CF-F-086 stateRateOf
63. MK-CF-F-101 taxOwedFor
64. MK-CF-O-002 expenses
65. MK-CF-F-176 sumMonthsOverEarners
66. MK-CF-F-074 tipsAnnual
67. MK-ST-F-085 rentFigure
68. MK-CF-F-216 typed
69. MK-CF-F-062 equityRowValue
70. MK-CF-F-063 rowVestYear
71. MK-CF-F-155 cash
72. MK-NW-F-008 incomeBearingClassOf
73. MK-NW-F-009 maturityClass
74. MK-ST-F-048 currencySymbol
75. MK-CF-O-003 thisMonth
76. MK-ST-F-034 firstDate
77. MK-CF-F-143 annualisedGross
78. MK-CF-F-145 deductionsFromPay
79. MK-CF-F-128 grossByMonth
80. MK-CF-F-146 payFiguresAgree
81. MK-CF-F-144 takeHomeAsEntered
82. MK-HM-F-005 pctTxt
83. MK-CF-F-090 effectiveRate
84. MK-CF-F-130 enteredMonthlyRaw
85. MK-CF-F-166 hasMonthlySalaryTable
86. MK-ST-F-036 reconcile
87. MK-CF-F-167 salaryCalendarYear
88. MK-CF-F-099 deductionFor
89. MK-CF-F-151 actualSpending
90. MK-CF-F-150 debtPaymentsCountedAsExpenses
91. MK-CF-F-153 radar
92. MK-CF-F-149 recurringDebtPayments
93. MK-CF-F-081 salaryActiveMonths
94. MK-ST-F-010 nameEvidence
95. MK-NW-F-124 maturityParts
96. MK-ST-F-047 activeCurrency
97. MK-CF-F-005 actualMonthFlow
98. MK-CF-F-156 plannedMonthFlow
99. MK-CF-F-142 monthsOf
100. MK-CF-F-141 perMonth
101. MK-CF-F-187 seniorDeductionFor
102. MK-CF-F-148 inMonth
103. MK-CF-F-191 ym
104. MK-CF-F-022 paymentShape
105. MK-CF-F-152 isRadarItem
106. MK-CF-F-023 requiredPayment
107. MK-XS-F-147 call
108. MK-NW-F-078 ONE
109. MK-CF-F-157 debtPaymentsByDebt
110. MK-XS-F-027 takeHomeMonthly
111. MK-CF-F-140 periodsAYear
112. MK-CF-F-021 defaultPaymentType
113. MK-ST-F-027 accountId
114. MK-XS-F-064 currentIdToken
115. MK-XS-F-112 relayUrl
116. MK-NW-F-077 ALL
117. MK-NW-F-059 currentYield
118. MK-NW-O-001 theBonds
119. MK-CF-F-011 savingsByMonth
120. MK-NW-F-112 yearlyInterest
121. MK-NW-F-057 annualCoupon
122. MK-NW-F-056 bondInfo
123. MK-NW-F-064 bondRateSensitivity
124. MK-NW-F-061 bondSummary
125. MK-NW-F-055 isBond
126. MK-NW-F-072 rowOf
127. MK-CF-F-008 spendByMonth
128. MK-NW-F-060 approxYTM
129. MK-NW-F-069 priceAtYield
130. MK-NW-F-131 pricedLikeBond
131. MK-NW-F-125 isPastMaturity
132. MK-NW-F-126 yearlyInterestNow
133. MK-NW-F-070 accruedInterestCaveat
134. MK-NW-F-058 yearsToMaturity
135. MK-CF-F-120 pctBaseMonthly
136. MK-CF-F-004 spendBuckets
137. MK-NW-F-119 estimatedAccrued
138. MK-CF-F-003 categoryMonthly</t>
        </is>
      </c>
      <c r="R201" s="3" t="inlineStr">
        <is>
          <t>1. SOURCE (already above — a loop) → MK-CF-O-016 incomeSources → MK-CF-F-207 SOURCE → MK-CF-F-201 INCOME → MK-CF-F-210 annualOfSource
2. MK-CF-F-075 retirementIncomeMonthly → MK-CF-F-072 currentRetirementIncomeMonthly → MK-CF-O-016 incomeSources → MK-CF-F-207 SOURCE → MK-CF-F-201 INCOME → MK-CF-F-210 annualOfSource
3. MK-CF-F-172 hasWage → MK-CF-F-173 earnerWages → MK-CF-O-016 incomeSources → MK-CF-F-207 SOURCE → MK-CF-F-201 INCOME → MK-CF-F-210 annualOfSource
4. MK-CF-O-002 expenses → MK-CF-F-068 rentalNetAnnual → MK-CF-O-016 incomeSources → MK-CF-F-207 SOURCE → MK-CF-F-201 INCOME → MK-CF-F-210 annualOfSource
5. MK-CF-F-067 rentalList → MK-CF-F-068 rentalNetAnnual → MK-CF-O-016 incomeSources → MK-CF-F-207 SOURCE → MK-CF-F-201 INCOME → MK-CF-F-210 annualOfSource
6. MK-ST-F-052 toNum → MK-CF-F-075 retirementIncomeMonthly → MK-CF-O-016 incomeSources → MK-CF-F-207 SOURCE → MK-CF-F-201 INCOME → MK-CF-F-210 annualOfSource
7. MK-CF-F-062 equityRowValue → MK-CF-F-066 rsuAnnual → MK-CF-O-016 incomeSources → MK-CF-F-207 SOURCE → MK-CF-F-201 INCOME → MK-CF-F-210 annualOfSource
8. MK-CF-F-132 map → MK-CF-F-066 rsuAnnual → MK-CF-O-016 incomeSources → MK-CF-F-207 SOURCE → MK-CF-F-201 INCOME → MK-CF-F-210 annualOfSource
9. … and 5 more paths</t>
        </is>
      </c>
      <c r="S201" s="3" t="inlineStr">
        <is>
          <t>—</t>
        </is>
      </c>
      <c r="T201" s="3" t="inlineStr">
        <is>
          <t>—</t>
        </is>
      </c>
      <c r="U201" s="3" t="inlineStr">
        <is>
          <t>ACTIVE</t>
        </is>
      </c>
      <c r="V201" s="3" t="inlineStr">
        <is>
          <t>2026-10-02</t>
        </is>
      </c>
      <c r="W201" s="3" t="n"/>
      <c r="X201" s="3" t="n"/>
      <c r="Y201" s="3" t="inlineStr">
        <is>
          <t>NOTHING OPEN</t>
        </is>
      </c>
    </row>
    <row r="202" ht="60" customHeight="1">
      <c r="A202" s="3" t="inlineStr">
        <is>
          <t>MK-CF-F-211</t>
        </is>
      </c>
      <c r="B202" s="3" t="inlineStr">
        <is>
          <t>DEBTS</t>
        </is>
      </c>
      <c r="C202" s="3" t="inlineStr">
        <is>
          <t>MoneyKeel/functions/cashflow/the-debts.ts</t>
        </is>
      </c>
      <c r="D202" s="3" t="n">
        <v>110</v>
      </c>
      <c r="E202" s="3" t="inlineStr">
        <is>
          <t>1 · ACTION</t>
        </is>
      </c>
      <c r="F202" s="3" t="inlineStr">
        <is>
          <t>Example only: runs theDebts on the worked example and calculates nothing of its own.</t>
        </is>
      </c>
      <c r="G202" s="11" t="inlineStr">
        <is>
          <t>the debts(EXAMPLE)</t>
        </is>
      </c>
      <c r="H202" s="3" t="inlineStr">
        <is>
          <t>the debts(EXAMPLE)</t>
        </is>
      </c>
      <c r="I202" s="3" t="inlineStr">
        <is>
          <t>READ FROM THE CODE — rendered from the expressions the function runs</t>
        </is>
      </c>
      <c r="J202" s="3" t="inlineStr">
        <is>
          <t>Nothing is handed to it</t>
        </is>
      </c>
      <c r="K202" s="3" t="inlineStr">
        <is>
          <t>NOT DECLARED — the code does not say what it gives back</t>
        </is>
      </c>
      <c r="L202" s="3" t="inlineStr">
        <is>
          <t>—</t>
        </is>
      </c>
      <c r="M202" s="3" t="inlineStr">
        <is>
          <t>None found in this function — anything it assumes comes from the functions it depends on.</t>
        </is>
      </c>
      <c r="N202" s="3" t="inlineStr">
        <is>
          <t>No</t>
        </is>
      </c>
      <c r="O202" s="3" t="inlineStr">
        <is>
          <t>1. MK-XS-F-180 declareFigures
2. MK-ST-F-030 record
3. MK-CF-F-023 requiredPayment
4. MK-CF-O-018 theDebts</t>
        </is>
      </c>
      <c r="P202" s="3" t="n">
        <v>138</v>
      </c>
      <c r="Q202" s="3" t="inlineStr">
        <is>
          <t>1. MK-XS-F-180 declareFigures
2. MK-ST-F-030 record
3. MK-CF-F-023 requiredPayment
4. MK-CF-O-018 theDebts
5. MK-CF-F-022 paymentShape
6. MK-CF-F-025 minimumDebtService
7. MK-CF-F-034 payoffPlan
8. MK-CF-F-024 totalDebtMonthly
9. MK-CF-F-021 defaultPaymentType
10. MK-CF-F-132 map
11. MK-CF-F-201 INCOME
12. MK-CF-F-207 SOURCE
13. MK-CF-O-004 incomeSummary
14. MK-CF-O-016 incomeSources
15. MK-CF-F-203 MONTH
16. MK-CF-O-001 basePay
17. MK-CF-F-069 benefitActiveMonths
18. MK-CF-F-072 currentRetirementIncomeMonthly
19. MK-CF-F-173 earnerWages
20. MK-CF-F-179 entryFromWage
21. MK-CF-F-071 extraIncome
22. MK-CF-F-085 filingStatusOf
23. MK-CF-F-092 incomeMonthlyGrid
24. MK-CF-F-192 inflowLabel
25. MK-CF-F-103 marginalBracketFor
26. MK-CF-F-089 over65CountOf
27. MK-CF-F-181 rateInForce
28. MK-CF-F-068 rentalNetAnnual
29. MK-CF-F-082 salaryAnnual
30. MK-CF-F-060 salaryGrossByMonth
31. MK-CF-F-084 taxableAnnual
32. MK-ST-F-052 toNum
33. MK-CF-F-075 retirementIncomeMonthly
34. MK-CF-F-066 rsuAnnual
35. MK-CF-O-010 theMonth
36. MK-ST-F-035 covers
37. MK-CF-F-171 earnerPay
38. MK-CF-F-204 line
39. MK-ST-F-053 money
40. MK-HM-F-006 money0
41. MK-XS-F-122 n
42. MK-CF-F-198 payrollTaxWithheld
43. MK-CF-F-172 hasWage
44. MK-CF-F-165 salaryMonths
45. MK-CF-F-070 benefitAnnual
46. MK-ST-F-039 on
47. MK-CF-F-065 equityVestWeights
48. MK-ST-F-056 has
49. MK-CF-F-206 householdK401ByMonth
50. MK-CF-F-087 monthlyTaxRates
51. MK-CF-F-073 otherIncomeMonth
52. MK-CF-F-077 scholarshipByCalendarMonth
53. MK-CF-F-088 taxableByCalendarMonth
54. MK-CF-F-177 wageGrossByMonth
55. MK-PL-F-012 waterfall
56. MK-CF-F-193 inflowSourceWord
57. MK-CF-F-100 taxableIncomeFor
58. MK-CF-F-180 enteredLandsAnnual
59. MK-CF-F-086 stateRateOf
60. MK-CF-F-101 taxOwedFor
61. MK-CF-O-002 expenses
62. MK-CF-F-067 rentalList
63. MK-CF-F-176 sumMonthsOverEarners
64. MK-CF-F-074 tipsAnnual
65. MK-CF-F-062 equityRowValue
66. MK-CF-F-063 rowVestYear
67. MK-CF-F-155 cash
68. MK-CF-O-003 thisMonth
69. MK-ST-F-034 firstDate
70. MK-CF-F-143 annualisedGross
71. MK-CF-F-145 deductionsFromPay
72. MK-CF-F-128 grossByMonth
73. MK-CF-F-146 payFiguresAgree
74. MK-CF-F-144 takeHomeAsEntered
75. MK-ST-F-049 formatMoney
76. MK-HM-F-005 pctTxt
77. MK-NW-F-067 plural
78. MK-CF-F-090 effectiveRate
79. MK-CF-F-130 enteredMonthlyRaw
80. MK-CF-F-166 hasMonthlySalaryTable
81. MK-ST-F-036 reconcile
82. MK-CF-F-167 salaryCalendarYear
83. MK-CF-F-099 deductionFor
84. MK-CF-F-151 actualSpending
85. MK-CF-F-150 debtPaymentsCountedAsExpenses
86. MK-CF-F-153 radar
87. MK-CF-F-149 recurringDebtPayments
88. MK-ST-F-085 rentFigure
89. MK-CF-F-216 typed
90. MK-CF-F-081 salaryActiveMonths
91. MK-CF-F-005 actualMonthFlow
92. MK-CF-F-156 plannedMonthFlow
93. MK-CF-F-142 monthsOf
94. MK-CF-F-141 perMonth
95. MK-ST-F-048 currencySymbol
96. MK-CF-F-187 seniorDeductionFor
97. MK-CF-F-148 inMonth
98. MK-CF-F-191 ym
99. MK-CF-F-152 isRadarItem
100. MK-NW-F-078 ONE
101. MK-CF-F-157 debtPaymentsByDebt
102. MK-XS-F-027 takeHomeMonthly
103. MK-CF-F-140 periodsAYear
104. MK-ST-F-047 activeCurrency
105. MK-NW-F-077 ALL
106. MK-NW-F-059 currentYield
107. MK-NW-O-001 theBonds
108. MK-CF-F-011 savingsByMonth
109. MK-NW-F-112 yearlyInterest
110. MK-ST-F-027 accountId
111. MK-NW-F-057 annualCoupon
112. MK-NW-F-056 bondInfo
113. MK-NW-F-064 bondRateSensitivity
114. MK-NW-F-061 bondSummary
115. MK-NW-F-055 isBond
116. MK-NW-F-124 maturityParts
117. MK-NW-F-072 rowOf
118. MK-CF-F-008 spendByMonth
119. MK-NW-F-060 approxYTM
120. MK-NW-F-069 priceAtYield
121. MK-NW-F-131 pricedLikeBond
122. MK-NW-F-125 isPastMaturity
123. MK-ST-F-065 isoLocalDate
124. MK-NW-F-126 yearlyInterestNow
125. MK-NW-F-011 assetClassOf
126. MK-NW-F-009 maturityClass
127. MK-NW-F-070 accruedInterestCaveat
128. MK-NW-F-058 yearsToMaturity
129. MK-CF-F-120 pctBaseMonthly
130. MK-CF-F-004 spendBuckets
131. MK-NW-F-119 estimatedAccrued
132. MK-NW-F-120 classEvidenceOf
133. MK-CF-F-003 categoryMonthly
134. MK-NW-F-008 incomeBearingClassOf
135. MK-ST-F-010 nameEvidence
136. MK-XS-F-147 call
137. MK-XS-F-064 currentIdToken
138. MK-XS-F-112 relayUrl</t>
        </is>
      </c>
      <c r="R202" s="3" t="inlineStr">
        <is>
          <t>1. MK-XS-F-180 declareFigures → MK-CF-F-211 DEBTS
2. MK-ST-F-030 record → MK-CF-F-211 DEBTS
3. MK-CF-F-021 defaultPaymentType → MK-CF-F-022 paymentShape → MK-CF-F-023 requiredPayment → MK-CF-F-211 DEBTS
4. MK-CF-F-021 defaultPaymentType → MK-CF-F-022 paymentShape → MK-CF-F-025 minimumDebtService → MK-CF-O-018 theDebts → MK-CF-F-211 DEBTS
5. MK-CF-F-132 map → MK-CF-F-034 payoffPlan → MK-CF-O-018 theDebts → MK-CF-F-211 DEBTS
6. MK-CF-F-021 defaultPaymentType → MK-CF-F-022 paymentShape → MK-CF-F-034 payoffPlan → MK-CF-O-018 theDebts → MK-CF-F-211 DEBTS
7. MK-CF-O-016 incomeSources → MK-CF-F-207 SOURCE → MK-CF-F-201 INCOME → MK-CF-F-024 totalDebtMonthly → MK-CF-O-018 theDebts → MK-CF-F-211 DEBTS
8. MK-CF-F-203 MONTH → MK-CF-O-004 incomeSummary → MK-CF-F-201 INCOME → MK-CF-F-024 totalDebtMonthly → MK-CF-O-018 theDebts → MK-CF-F-211 DEBTS
9. … and 4 more paths</t>
        </is>
      </c>
      <c r="S202" s="3" t="inlineStr">
        <is>
          <t>—</t>
        </is>
      </c>
      <c r="T202" s="3" t="inlineStr">
        <is>
          <t>—</t>
        </is>
      </c>
      <c r="U202" s="3" t="inlineStr">
        <is>
          <t>ACTIVE</t>
        </is>
      </c>
      <c r="V202" s="3" t="inlineStr">
        <is>
          <t>2026-10-02</t>
        </is>
      </c>
      <c r="W202" s="3" t="n"/>
      <c r="X202" s="3" t="n"/>
      <c r="Y202" s="3" t="inlineStr">
        <is>
          <t>NOTHING OPEN</t>
        </is>
      </c>
    </row>
    <row r="203" ht="60" customHeight="1">
      <c r="A203" s="3" t="inlineStr">
        <is>
          <t>MK-CF-F-212</t>
        </is>
      </c>
      <c r="B203" s="3" t="inlineStr">
        <is>
          <t>receivedInMonth</t>
        </is>
      </c>
      <c r="C203" s="3" t="inlineStr">
        <is>
          <t>MoneyKeel/functions/cashflow/whats-coming.ts</t>
        </is>
      </c>
      <c r="D203" s="3" t="n">
        <v>141</v>
      </c>
      <c r="E203" s="3" t="inlineStr">
        <is>
          <t>2 · DISPLAYED</t>
        </is>
      </c>
      <c r="F203" s="3" t="inlineStr">
        <is>
          <t>RECEIVED THIS MONTH (MK-CF-M-012) — the income records dated inside the month, newest first.</t>
        </is>
      </c>
      <c r="G203" s="11" t="inlineStr">
        <is>
          <t>NOT READ YET — the body is not a shape this can render faithfully, so nothing is claimed rather than something being guessed. It needs reading by hand.</t>
        </is>
      </c>
      <c r="H203" s="3" t="inlineStr">
        <is>
          <t>NOT READ YET — the body is not a shape this can render faithfully, so nothing is claimed rather than something being guessed. It needs reading by hand.</t>
        </is>
      </c>
      <c r="I203" s="3" t="inlineStr">
        <is>
          <t>NOT READ — nothing is claimed rather than something guessed</t>
        </is>
      </c>
      <c r="J203" s="3" t="inlineStr">
        <is>
          <t>1. incomes: { date?: string; amount?: any }[] | null | undefined
2. ym: string</t>
        </is>
      </c>
      <c r="K203" s="3" t="inlineStr">
        <is>
          <t>NOT DECLARED — the code does not say what it gives back</t>
        </is>
      </c>
      <c r="L203" s="3" t="inlineStr">
        <is>
          <t>"Nothing received yet this month." — on the Cash flow screen, under "current ?"</t>
        </is>
      </c>
      <c r="M203" s="3" t="inlineStr">
        <is>
          <t>None found in this function — anything it assumes comes from the functions it depends on.</t>
        </is>
      </c>
      <c r="N203" s="3" t="inlineStr">
        <is>
          <t>Yes</t>
        </is>
      </c>
      <c r="O203" s="3" t="inlineStr">
        <is>
          <t>1. MK-CF-F-205 COMING
2. MK-XS-F-004 buildDatedGrid
3. MK-XS-F-180 declareFigures
4. MK-CF-F-191 ym</t>
        </is>
      </c>
      <c r="P203" s="3" t="n">
        <v>123</v>
      </c>
      <c r="Q203" s="3" t="inlineStr">
        <is>
          <t>1. MK-CF-F-205 COMING
2. MK-XS-F-004 buildDatedGrid
3. MK-XS-F-180 declareFigures
4. MK-CF-F-191 ym
5. MK-CF-F-203 MONTH
6. MK-CF-O-008 whatsComing
7. MK-CF-F-069 benefitActiveMonths
8. MK-CF-F-072 currentRetirementIncomeMonthly
9. MK-CF-F-018 equityByMonth
10. MK-CF-O-002 expenses
11. MK-ST-F-056 has
12. MK-CF-F-204 line
13. MK-CF-F-132 map
14. MK-ST-F-053 money
15. MK-CF-F-087 monthlyTaxRates
16. MK-CF-F-073 otherIncomeMonth
17. MK-CF-F-022 paymentShape
18. MK-CF-F-068 rentalNetAnnual
19. MK-CF-F-023 requiredPayment
20. MK-CF-F-060 salaryGrossByMonth
21. MK-CF-F-008 spendByMonth
22. MK-ST-F-052 toNum
23. MK-CF-O-010 theMonth
24. MK-CF-F-019 upcomingBills
25. MK-CF-F-075 retirementIncomeMonthly
26. MK-CF-F-062 equityRowValue
27. MK-CF-F-066 rsuAnnual
28. MK-CF-F-121 zero12
29. MK-CF-F-151 actualSpending
30. MK-CF-F-150 debtPaymentsCountedAsExpenses
31. MK-CF-F-153 radar
32. MK-CF-F-149 recurringDebtPayments
33. MK-ST-F-049 formatMoney
34. MK-XS-F-122 n
35. MK-CF-F-090 effectiveRate
36. MK-ST-F-039 on
37. MK-CF-F-021 defaultPaymentType
38. MK-CF-F-067 rentalList
39. MK-CF-F-176 sumMonthsOverEarners
40. MK-CF-F-177 wageGrossByMonth
41. MK-CF-F-120 pctBaseMonthly
42. MK-CF-F-004 spendBuckets
43. MK-CF-F-155 cash
44. MK-CF-O-003 thisMonth
45. MK-CF-F-122 addDays
46. MK-CF-F-070 benefitAnnual
47. MK-CF-F-160 daysBetweenDates
48. MK-CF-F-061 grossSalaryMonthly
49. MK-ST-F-065 isoLocalDate
50. MK-CF-F-124 nextOccurrence
51. MK-CF-F-084 taxableAnnual
52. MK-CF-F-083 totalGrossAnnual
53. MK-CF-F-063 rowVestYear
54. MK-CF-F-148 inMonth
55. MK-CF-F-152 isRadarItem
56. MK-ST-F-048 currencySymbol
57. MK-CF-F-181 rateInForce
58. MK-ST-F-085 rentFigure
59. MK-CF-F-216 typed
60. MK-CF-F-173 earnerWages
61. MK-CF-F-130 enteredMonthlyRaw
62. MK-CF-F-166 hasMonthlySalaryTable
63. MK-ST-F-036 reconcile
64. MK-CF-F-167 salaryCalendarYear
65. MK-CF-F-092 incomeMonthlyGrid
66. MK-CF-F-003 categoryMonthly
67. MK-CF-F-005 actualMonthFlow
68. MK-CF-F-156 plannedMonthFlow
69. MK-CF-F-071 extraIncome
70. MK-CF-F-082 salaryAnnual
71. MK-CF-F-074 tipsAnnual
72. MK-ST-F-047 activeCurrency
73. MK-CF-F-180 enteredLandsAnnual
74. MK-CF-F-085 filingStatusOf
75. MK-CF-F-206 householdK401ByMonth
76. MK-CF-F-089 over65CountOf
77. MK-CF-F-086 stateRateOf
78. MK-CF-F-101 taxOwedFor
79. MK-CF-F-172 hasWage
80. MK-CF-F-165 salaryMonths
81. MK-CF-F-065 equityVestWeights
82. MK-CF-F-077 scholarshipByCalendarMonth
83. MK-CF-F-088 taxableByCalendarMonth
84. MK-PL-F-012 waterfall
85. MK-XS-F-027 takeHomeMonthly
86. MK-NW-F-078 ONE
87. MK-CF-F-157 debtPaymentsByDebt
88. MK-CF-F-192 inflowLabel
89. MK-CF-F-081 salaryActiveMonths
90. MK-CF-F-100 taxableIncomeFor
91. MK-CF-F-011 savingsByMonth
92. MK-NW-F-077 ALL
93. MK-NW-F-059 currentYield
94. MK-NW-O-001 theBonds
95. MK-CF-F-193 inflowSourceWord
96. MK-CF-F-099 deductionFor
97. MK-NW-F-112 yearlyInterest
98. MK-ST-F-027 accountId
99. MK-NW-F-057 annualCoupon
100. MK-NW-F-056 bondInfo
101. MK-NW-F-064 bondRateSensitivity
102. MK-NW-F-061 bondSummary
103. MK-NW-F-055 isBond
104. MK-NW-F-124 maturityParts
105. MK-NW-F-072 rowOf
106. MK-CF-F-187 seniorDeductionFor
107. MK-NW-F-060 approxYTM
108. MK-NW-F-069 priceAtYield
109. MK-NW-F-131 pricedLikeBond
110. MK-NW-F-125 isPastMaturity
111. MK-NW-F-126 yearlyInterestNow
112. MK-NW-F-011 assetClassOf
113. MK-NW-F-009 maturityClass
114. MK-NW-F-070 accruedInterestCaveat
115. MK-NW-F-058 yearsToMaturity
116. MK-NW-F-119 estimatedAccrued
117. MK-NW-F-120 classEvidenceOf
118. MK-NW-F-067 plural
119. MK-NW-F-008 incomeBearingClassOf
120. MK-ST-F-010 nameEvidence
121. MK-XS-F-147 call
122. MK-XS-F-064 currentIdToken
123. MK-XS-F-112 relayUrl</t>
        </is>
      </c>
      <c r="R203" s="3" t="inlineStr">
        <is>
          <t>1. MONTH (already above — a loop) → MK-CF-O-010 theMonth → MK-CF-F-203 MONTH → MK-CF-F-205 COMING → MK-CF-F-212 receivedInMonth
2. MK-XS-F-122 n → MK-CF-F-155 cash → MK-CF-O-010 theMonth → MK-CF-F-203 MONTH → MK-CF-F-205 COMING → MK-CF-F-212 receivedInMonth
3. MK-CF-F-151 actualSpending → MK-CF-O-002 expenses → MK-CF-O-010 theMonth → MK-CF-F-203 MONTH → MK-CF-F-205 COMING → MK-CF-F-212 receivedInMonth
4. MK-CF-F-150 debtPaymentsCountedAsExpenses → MK-CF-O-002 expenses → MK-CF-O-010 theMonth → MK-CF-F-203 MONTH → MK-CF-F-205 COMING → MK-CF-F-212 receivedInMonth
5. MK-CF-F-153 radar → MK-CF-O-002 expenses → MK-CF-O-010 theMonth → MK-CF-F-203 MONTH → MK-CF-F-205 COMING → MK-CF-F-212 receivedInMonth
6. MK-CF-F-149 recurringDebtPayments → MK-CF-O-002 expenses → MK-CF-O-010 theMonth → MK-CF-F-203 MONTH → MK-CF-F-205 COMING → MK-CF-F-212 receivedInMonth
7. MK-CF-F-005 actualMonthFlow → MK-CF-O-003 thisMonth → MK-CF-O-010 theMonth → MK-CF-F-203 MONTH → MK-CF-F-205 COMING → MK-CF-F-212 receivedInMonth
8. MK-CF-F-156 plannedMonthFlow → MK-CF-O-003 thisMonth → MK-CF-O-010 theMonth → MK-CF-F-203 MONTH → MK-CF-F-205 COMING → MK-CF-F-212 receivedInMonth
9. … and 5 more paths</t>
        </is>
      </c>
      <c r="S203" s="3" t="inlineStr">
        <is>
          <t>—</t>
        </is>
      </c>
      <c r="T203" s="3" t="inlineStr">
        <is>
          <t>—</t>
        </is>
      </c>
      <c r="U203" s="3" t="inlineStr">
        <is>
          <t>ACTIVE</t>
        </is>
      </c>
      <c r="V203" s="3" t="inlineStr">
        <is>
          <t>2026-10-02</t>
        </is>
      </c>
      <c r="W203" s="3" t="n"/>
      <c r="X203" s="3" t="n"/>
      <c r="Y203" s="3" t="inlineStr">
        <is>
          <t>NOTHING OPEN</t>
        </is>
      </c>
    </row>
    <row r="204" ht="45" customHeight="1">
      <c r="A204" s="3" t="inlineStr">
        <is>
          <t>MK-CF-F-216</t>
        </is>
      </c>
      <c r="B204" s="3" t="inlineStr">
        <is>
          <t>typed</t>
        </is>
      </c>
      <c r="C204" s="3" t="inlineStr">
        <is>
          <t>src/domain/income/old-rent-migration.ts</t>
        </is>
      </c>
      <c r="D204" s="3" t="n">
        <v>52</v>
      </c>
      <c r="E204" s="3" t="inlineStr">
        <is>
          <t>1 · ACTION</t>
        </is>
      </c>
      <c r="F204" s="3" t="inlineStr">
        <is>
          <t>THE OLD SINGLE RENT FIGURE, MOVED ONCE INTO THE RENT LIST.</t>
        </is>
      </c>
      <c r="G204" s="11" t="inlineStr">
        <is>
          <t>v ≠ nothing and string(v).trim() ! = ''</t>
        </is>
      </c>
      <c r="H204" s="3" t="inlineStr">
        <is>
          <t>v is not no answer and string(v).trim() ! = ''</t>
        </is>
      </c>
      <c r="I204" s="3" t="inlineStr">
        <is>
          <t>PARTLY READ — some of the code is still showing through; needs a hand pass</t>
        </is>
      </c>
      <c r="J204" s="3" t="inlineStr">
        <is>
          <t>v: unknown</t>
        </is>
      </c>
      <c r="K204" s="3" t="inlineStr">
        <is>
          <t>NOT DECLARED — the code does not say what it gives back</t>
        </is>
      </c>
      <c r="L204" s="3" t="inlineStr">
        <is>
          <t>—</t>
        </is>
      </c>
      <c r="M204" s="3" t="inlineStr">
        <is>
          <t>None found in this function — anything it assumes comes from the functions it depends on.</t>
        </is>
      </c>
      <c r="N204" s="3" t="inlineStr">
        <is>
          <t>Yes</t>
        </is>
      </c>
      <c r="O204" s="3" t="inlineStr">
        <is>
          <t>—</t>
        </is>
      </c>
      <c r="P204" s="3" t="n">
        <v>0</v>
      </c>
      <c r="Q204" s="3" t="inlineStr">
        <is>
          <t>None — no dependent function stands behind it</t>
        </is>
      </c>
      <c r="R204" s="3" t="inlineStr">
        <is>
          <t>No dependent function — it reads its inputs and answers</t>
        </is>
      </c>
      <c r="S204" s="3" t="inlineStr">
        <is>
          <t>—</t>
        </is>
      </c>
      <c r="T204" s="3" t="inlineStr">
        <is>
          <t>—</t>
        </is>
      </c>
      <c r="U204" s="3" t="inlineStr">
        <is>
          <t>ACTIVE</t>
        </is>
      </c>
      <c r="V204" s="3" t="inlineStr">
        <is>
          <t>2026-10-18</t>
        </is>
      </c>
      <c r="W204" s="3" t="n"/>
      <c r="X204" s="3" t="n"/>
      <c r="Y204" s="3" t="inlineStr">
        <is>
          <t>NOTHING OPEN</t>
        </is>
      </c>
    </row>
    <row r="205" ht="60" customHeight="1">
      <c r="A205" s="3" t="inlineStr">
        <is>
          <t>MK-CF-F-217</t>
        </is>
      </c>
      <c r="B205" s="3" t="inlineStr">
        <is>
          <t>hasOldRentFigure</t>
        </is>
      </c>
      <c r="C205" s="3" t="inlineStr">
        <is>
          <t>src/domain/income/old-rent-migration.ts</t>
        </is>
      </c>
      <c r="D205" s="3" t="n">
        <v>83</v>
      </c>
      <c r="E205" s="3" t="inlineStr">
        <is>
          <t>3 · DEPENDENT</t>
        </is>
      </c>
      <c r="F205" s="3" t="inlineStr">
        <is>
          <t>True when this profile still holds the old single rent figure.</t>
        </is>
      </c>
      <c r="G205" s="11" t="inlineStr">
        <is>
          <t>false   when op is missing
'rentalIncome' in op (or 'rentalExpenses' in op (or 'rentalType' in op when missing or zero) when missing or zero)</t>
        </is>
      </c>
      <c r="H205" s="3" t="inlineStr">
        <is>
          <t>When op is missing, it answers false. 'rentalIncome' in op (or 'rentalExpenses' in op (or 'rentalType' in op — when missing or zero) — when missing or zero).</t>
        </is>
      </c>
      <c r="I205" s="3" t="inlineStr">
        <is>
          <t>READ FROM THE CODE — rendered from the expressions the function runs</t>
        </is>
      </c>
      <c r="J205" s="3" t="inlineStr">
        <is>
          <t>op: Record&lt;string, any&gt; | null | undefined</t>
        </is>
      </c>
      <c r="K205" s="3" t="inlineStr">
        <is>
          <t>boolean</t>
        </is>
      </c>
      <c r="L205" s="3" t="inlineStr">
        <is>
          <t>—</t>
        </is>
      </c>
      <c r="M205" s="3" t="inlineStr">
        <is>
          <t>None found in this function — anything it assumes comes from the functions it depends on.</t>
        </is>
      </c>
      <c r="N205" s="3" t="inlineStr">
        <is>
          <t>Yes</t>
        </is>
      </c>
      <c r="O205" s="3" t="inlineStr">
        <is>
          <t>—</t>
        </is>
      </c>
      <c r="P205" s="3" t="n">
        <v>0</v>
      </c>
      <c r="Q205" s="3" t="inlineStr">
        <is>
          <t>None — no dependent function stands behind it</t>
        </is>
      </c>
      <c r="R205" s="3" t="inlineStr">
        <is>
          <t>No dependent function — it reads its inputs and answers</t>
        </is>
      </c>
      <c r="S205" s="3" t="inlineStr">
        <is>
          <t>—</t>
        </is>
      </c>
      <c r="T205" s="3" t="inlineStr">
        <is>
          <t>—</t>
        </is>
      </c>
      <c r="U205" s="3" t="inlineStr">
        <is>
          <t>ACTIVE</t>
        </is>
      </c>
      <c r="V205" s="3" t="inlineStr">
        <is>
          <t>2026-10-18</t>
        </is>
      </c>
      <c r="W205" s="3" t="n"/>
      <c r="X205" s="3" t="n"/>
      <c r="Y205" s="3" t="inlineStr">
        <is>
          <t>NOTHING OPEN</t>
        </is>
      </c>
    </row>
    <row r="206" ht="60" customHeight="1">
      <c r="A206" s="3" t="inlineStr">
        <is>
          <t>MK-CF-F-218</t>
        </is>
      </c>
      <c r="B206" s="3" t="inlineStr">
        <is>
          <t>moveOldRentFigure</t>
        </is>
      </c>
      <c r="C206" s="3" t="inlineStr">
        <is>
          <t>src/domain/income/old-rent-migration.ts</t>
        </is>
      </c>
      <c r="D206" s="3" t="n">
        <v>128</v>
      </c>
      <c r="E206" s="3" t="inlineStr">
        <is>
          <t>3 · DEPENDENT</t>
        </is>
      </c>
      <c r="F206" s="3" t="inlineStr">
        <is>
          <t>The profile with its old single rent figure moved into the rent list as an entry with no property.</t>
        </is>
      </c>
      <c r="G206" s="11" t="inlineStr">
        <is>
          <t>op   when !has old rent figure(op)
list = (op as any).rentals
op   when list ≠ nothing and !array.is array(list)
rest as T   when array.is array(list) and list.length &gt; 0
rest as T   when !typed(rental income) and !typed(rental expenses)
entry = type = 'short'   if rental type = 'short'
'long'   otherwise
income = rental income   if typed(rental income)
''   otherwise
expenses = rental expenses   if typed(rental expenses)
''   otherwise
the answer = { ...rest, rentals: [entry] } as unknown as T</t>
        </is>
      </c>
      <c r="H206" s="3" t="inlineStr">
        <is>
          <t>When !has old rent figure(op), it answers op. List is (op as any).rentals. When list is not no answer and !array.is array(list), it answers op. When array.is array(list) and list.length &gt; 0, it answers rest as T. When !typed(rental income) and !typed(rental expenses), it answers rest as T. Entry is type = 'short' — when rental type = 'short'; 'long' — otherwise; income = rental income — when typed(rental income); '' — otherwise; expenses = rental expenses — when typed(rental expenses); '' — otherwise. The answer is { ...rest, rentals: [entry] } as unknown as T.</t>
        </is>
      </c>
      <c r="I206" s="3" t="inlineStr">
        <is>
          <t>PARTLY READ — some of the code is still showing through; needs a hand pass</t>
        </is>
      </c>
      <c r="J206" s="3" t="inlineStr">
        <is>
          <t>op: T</t>
        </is>
      </c>
      <c r="K206" s="3" t="inlineStr">
        <is>
          <t>T</t>
        </is>
      </c>
      <c r="L206" s="3" t="inlineStr">
        <is>
          <t>—</t>
        </is>
      </c>
      <c r="M206" s="3" t="inlineStr">
        <is>
          <t>None found in this function — anything it assumes comes from the functions it depends on.</t>
        </is>
      </c>
      <c r="N206" s="3" t="inlineStr">
        <is>
          <t>Yes</t>
        </is>
      </c>
      <c r="O206" s="3" t="inlineStr">
        <is>
          <t>1. MK-CF-F-217 hasOldRentFigure
2. MK-CF-F-216 typed</t>
        </is>
      </c>
      <c r="P206" s="3" t="n">
        <v>2</v>
      </c>
      <c r="Q206" s="3" t="inlineStr">
        <is>
          <t>1. MK-CF-F-217 hasOldRentFigure
2. MK-CF-F-216 typed</t>
        </is>
      </c>
      <c r="R206" s="3" t="inlineStr">
        <is>
          <t>1. MK-CF-F-217 hasOldRentFigure → MK-CF-F-218 moveOldRentFigure
2. MK-CF-F-216 typed → MK-CF-F-218 moveOldRentFigure</t>
        </is>
      </c>
      <c r="S206" s="3" t="inlineStr">
        <is>
          <t>—</t>
        </is>
      </c>
      <c r="T206" s="3" t="inlineStr">
        <is>
          <t>—</t>
        </is>
      </c>
      <c r="U206" s="3" t="inlineStr">
        <is>
          <t>ACTIVE</t>
        </is>
      </c>
      <c r="V206" s="3" t="inlineStr">
        <is>
          <t>2026-10-18</t>
        </is>
      </c>
      <c r="W206" s="3" t="n"/>
      <c r="X206" s="3" t="n"/>
      <c r="Y206" s="3" t="inlineStr">
        <is>
          <t>NOTHING OPEN</t>
        </is>
      </c>
    </row>
    <row r="207" ht="60" customHeight="1">
      <c r="A207" s="3" t="inlineStr">
        <is>
          <t>MK-CF-O-001</t>
        </is>
      </c>
      <c r="B207" s="3" t="inlineStr">
        <is>
          <t>basePay</t>
        </is>
      </c>
      <c r="C207" s="3" t="inlineStr">
        <is>
          <t>MoneyKeel/functions/cashflow/base-pay.ts</t>
        </is>
      </c>
      <c r="D207" s="3" t="n">
        <v>904</v>
      </c>
      <c r="E207" s="3" t="inlineStr">
        <is>
          <t>2 · DISPLAYED</t>
        </is>
      </c>
      <c r="F207" s="3" t="inlineStr">
        <is>
          <t>What does this household's base pay come to: each earner's pay, and the household's gross, tax bracket, tax, 401(k)s and take-home for a month?</t>
        </is>
      </c>
      <c r="G207"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7"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7" s="3" t="inlineStr">
        <is>
          <t>PARTLY READ — some of the code is still showing through; needs a hand pass</t>
        </is>
      </c>
      <c r="J207" s="3" t="inlineStr">
        <is>
          <t>h: HouseholdPayInput</t>
        </is>
      </c>
      <c r="K207" s="3" t="inlineStr">
        <is>
          <t>BasePay</t>
        </is>
      </c>
      <c r="L207" s="3" t="inlineStr">
        <is>
          <t>1. "Calculated federal tax" — on the base pay screen
2. "Everything else taken out" — on the base pay screen
3. "Federal tax bracket" — on the base pay screen
4. "Gross /year" — on the base pay screen
5. "Nothing is taken out for a 401(k)" — on the base pay screen
6. "Your 401(k)s" — on the base pay screen</t>
        </is>
      </c>
      <c r="M207" s="3" t="inlineStr">
        <is>
          <t>1. If over65 is missing it uses 0.
2. If gross annualised is missing it uses 0.
3. Uses a built-in f i c a s h a r e of 7.65%.
4. Treats a year as twelve equal months.
5. Rounds the answer to a whole number.</t>
        </is>
      </c>
      <c r="N207" s="3" t="inlineStr">
        <is>
          <t>Yes</t>
        </is>
      </c>
      <c r="O207" s="3" t="inlineStr">
        <is>
          <t>1. MK-ST-F-035 covers
2. MK-CF-F-171 earnerPay
3. MK-CF-F-204 line
4. MK-CF-F-132 map
5. MK-CF-F-103 marginalBracketFor
6. MK-ST-F-053 money
7. MK-HM-F-006 money0
8. MK-XS-F-122 n
9. MK-CF-F-198 payrollTaxWithheld
10. MK-CF-F-181 rateInForce</t>
        </is>
      </c>
      <c r="P207" s="3" t="n">
        <v>127</v>
      </c>
      <c r="Q207"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MK-NW-F-067 plural
25. MK-CF-F-173 earnerWages
26. MK-CF-F-180 enteredLandsAnnual
27. MK-CF-F-085 filingStatusOf
28. MK-CF-F-206 householdK401ByMonth
29. MK-CF-F-089 over65CountOf
30. MK-CF-F-082 salaryAnnual
31. MK-CF-F-086 stateRateOf
32. MK-CF-F-101 taxOwedFor
33. MK-CF-F-084 taxableAnnual
34. MK-CF-F-216 typed
35. MK-CF-F-142 monthsOf
36. MK-CF-F-141 perMonth
37. MK-ST-F-056 has
38. MK-ST-F-039 on
39. MK-CF-O-010 theMonth
40. MK-CF-F-099 deductionFor
41. MK-ST-F-048 currencySymbol
42. MK-CF-F-172 hasWage
43. MK-CF-F-176 sumMonthsOverEarners
44. MK-CF-F-177 wageGrossByMonth
45. MK-CF-F-060 salaryGrossByMonth
46. MK-CF-F-072 currentRetirementIncomeMonthly
47. MK-CF-F-071 extraIncome
48. MK-CF-F-068 rentalNetAnnual
49. MK-CF-F-066 rsuAnnual
50. MK-CF-F-074 tipsAnnual
51. MK-CF-F-140 periodsAYear
52. MK-CF-O-002 expenses
53. MK-CF-O-003 thisMonth
54. MK-CF-F-187 seniorDeductionFor
55. MK-ST-F-047 activeCurrency
56. MK-CF-F-130 enteredMonthlyRaw
57. MK-CF-F-166 hasMonthlySalaryTable
58. MK-ST-F-036 reconcile
59. MK-CF-F-167 salaryCalendarYear
60. MK-CF-F-075 retirementIncomeMonthly
61. MK-CF-F-070 benefitAnnual
62. MK-CF-F-067 rentalList
63. MK-CF-F-062 equityRowValue
64. MK-CF-F-063 rowVestYear
65. MK-CF-F-081 salaryActiveMonths
66. MK-CF-F-151 actualSpending
67. MK-CF-F-150 debtPaymentsCountedAsExpenses
68. MK-CF-F-153 radar
69. MK-CF-F-149 recurringDebtPayments
70. MK-CF-F-005 actualMonthFlow
71. MK-CF-F-156 plannedMonthFlow
72. MK-CF-F-165 salaryMonths
73. MK-CF-F-069 benefitActiveMonths
74. MK-ST-F-085 rentFigure
75. MK-CF-F-148 inMonth
76. MK-CF-F-191 ym
77. MK-CF-F-022 paymentShape
78. MK-CF-F-152 isRadarItem
79. MK-CF-F-023 requiredPayment
80. MK-NW-F-078 ONE
81. MK-CF-F-157 debtPaymentsByDebt
82. MK-CF-F-192 inflowLabel
83. MK-XS-F-027 takeHomeMonthly
84. MK-CF-F-021 defaultPaymentType
85. MK-NW-F-077 ALL
86. MK-NW-F-059 currentYield
87. MK-NW-O-001 theBonds
88. MK-CF-F-193 inflowSourceWord
89. MK-CF-F-092 incomeMonthlyGrid
90. MK-CF-F-011 savingsByMonth
91. MK-NW-F-112 yearlyInterest
92. MK-ST-F-027 accountId
93. MK-NW-F-057 annualCoupon
94. MK-NW-F-056 bondInfo
95. MK-NW-F-064 bondRateSensitivity
96. MK-NW-F-061 bondSummary
97. MK-NW-F-055 isBond
98. MK-NW-F-124 maturityParts
99. MK-NW-F-072 rowOf
100. MK-CF-F-065 equityVestWeights
101. MK-CF-F-087 monthlyTaxRates
102. MK-CF-F-073 otherIncomeMonth
103. MK-CF-F-077 scholarshipByCalendarMonth
104. MK-CF-F-088 taxableByCalendarMonth
105. MK-PL-F-012 waterfall
106. MK-CF-F-008 spendByMonth
107. MK-NW-F-060 approxYTM
108. MK-NW-F-069 priceAtYield
109. MK-NW-F-131 pricedLikeBond
110. MK-NW-F-125 isPastMaturity
111. MK-ST-F-065 isoLocalDate
112. MK-NW-F-126 yearlyInterestNow
113. MK-NW-F-011 assetClassOf
114. MK-NW-F-009 maturityClass
115. MK-NW-F-070 accruedInterestCaveat
116. MK-NW-F-058 yearsToMaturity
117. MK-CF-F-090 effectiveRate
118. MK-CF-F-120 pctBaseMonthly
119. MK-CF-F-004 spendBuckets
120. MK-NW-F-119 estimatedAccrued
121. MK-NW-F-120 classEvidenceOf
122. MK-CF-F-003 categoryMonthly
123. MK-NW-F-008 incomeBearingClassOf
124. MK-ST-F-010 nameEvidence
125. MK-XS-F-147 call
126. MK-XS-F-064 currentIdToken
127. MK-XS-F-112 relayUrl</t>
        </is>
      </c>
      <c r="R207"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MK-CF-F-216 typed → MK-CF-F-143 annualisedGross → MK-CF-F-171 earnerPay → MK-CF-O-001 basePay
8. MK-CF-F-142 monthsOf → MK-CF-F-128 grossByMonth → MK-CF-F-143 annualisedGross → MK-CF-F-145 deductionsFromPay → MK-CF-F-171 earnerPay → MK-CF-O-001 basePay
9. … and 5 more paths</t>
        </is>
      </c>
      <c r="S207" s="3" t="inlineStr">
        <is>
          <t>MK-CF-M-030 · MK-CF-M-031 · MK-CF-M-032 · MK-CF-M-033 · MK-CF-M-034 · MK-CF-M-035 · MK-CF-M-036 · MK-CF-M-045 · MK-CF-M-046</t>
        </is>
      </c>
      <c r="T207" s="3" t="inlineStr">
        <is>
          <t>—</t>
        </is>
      </c>
      <c r="U207" s="3" t="inlineStr">
        <is>
          <t>ACTIVE</t>
        </is>
      </c>
      <c r="V207" s="3" t="inlineStr">
        <is>
          <t>2026-09-09</t>
        </is>
      </c>
      <c r="W207" s="3" t="n"/>
      <c r="X207" s="3" t="n"/>
      <c r="Y207" s="6" t="inlineStr">
        <is>
          <t>TESTED, NOT VERIFIED (G37, G38, G4, G41, G42, G45)</t>
        </is>
      </c>
    </row>
    <row r="208" ht="60" customHeight="1">
      <c r="A208" s="3" t="inlineStr">
        <is>
          <t>MK-CF-O-002</t>
        </is>
      </c>
      <c r="B208" s="3" t="inlineStr">
        <is>
          <t>expenses</t>
        </is>
      </c>
      <c r="C208" s="3" t="inlineStr">
        <is>
          <t>MoneyKeel/functions/cashflow/expenses.ts</t>
        </is>
      </c>
      <c r="D208" s="3" t="n">
        <v>345</v>
      </c>
      <c r="E208" s="3" t="inlineStr">
        <is>
          <t>2 · DISPLAYED</t>
        </is>
      </c>
      <c r="F208" s="3" t="inlineStr">
        <is>
          <t>What is being spent this month: the debts that repeat every month, the planned expenses by category, what was actually spent by where it came from, and the big-ticket radar?</t>
        </is>
      </c>
      <c r="G208" s="11" t="inlineStr">
        <is>
          <t>rec = recurring debt payments(s)
act = actual expenses(s)
debt exp = debt payments counted as expenses(s, purchases captured)</t>
        </is>
      </c>
      <c r="H208" s="3" t="inlineStr">
        <is>
          <t>Rec is recurring debt payments(s). Act is actual expenses(s). Debt exp is debt payments counted as expenses(s, purchases captured).</t>
        </is>
      </c>
      <c r="I208" s="3" t="inlineStr">
        <is>
          <t>READ FROM THE CODE — rendered from the expressions the function runs</t>
        </is>
      </c>
      <c r="J208" s="3" t="inlineStr">
        <is>
          <t>1. s: ExpensesInput
2. purchasesCaptured: Set&lt;string&gt; = new Set()</t>
        </is>
      </c>
      <c r="K208" s="3" t="inlineStr">
        <is>
          <t>Expenses</t>
        </is>
      </c>
      <c r="L208" s="3" t="inlineStr">
        <is>
          <t>NOT FOUND — a screen calls it, but the words printed beside its answer could not be traced automatically. Needs reading.</t>
        </is>
      </c>
      <c r="M208" s="3" t="inlineStr">
        <is>
          <t>None found in this function — anything it assumes comes from the functions it depends on.</t>
        </is>
      </c>
      <c r="N208" s="3" t="inlineStr">
        <is>
          <t>Yes</t>
        </is>
      </c>
      <c r="O208" s="3" t="inlineStr">
        <is>
          <t>1. MK-CF-F-151 actualSpending
2. MK-CF-F-150 debtPaymentsCountedAsExpenses
3. MK-CF-F-153 radar
4. MK-CF-F-149 recurringDebtPayments</t>
        </is>
      </c>
      <c r="P208" s="3" t="n">
        <v>14</v>
      </c>
      <c r="Q208"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8"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8" s="3" t="inlineStr">
        <is>
          <t>—</t>
        </is>
      </c>
      <c r="T208" s="3" t="inlineStr">
        <is>
          <t>—</t>
        </is>
      </c>
      <c r="U208" s="3" t="inlineStr">
        <is>
          <t>DECOMMISSIONED 2026-09-28 — it was here and is not any more. Kept so the number is never reused and earlier work can still be traced.</t>
        </is>
      </c>
      <c r="V208" s="3" t="inlineStr">
        <is>
          <t>2026-09-28</t>
        </is>
      </c>
      <c r="W208" s="3" t="n"/>
      <c r="X208" s="3" t="n"/>
      <c r="Y208" s="9" t="inlineStr">
        <is>
          <t>CODED, NOT TESTED (Cash-flow worked example)</t>
        </is>
      </c>
    </row>
    <row r="209" ht="60" customHeight="1">
      <c r="A209" s="3" t="inlineStr">
        <is>
          <t>MK-CF-O-003</t>
        </is>
      </c>
      <c r="B209" s="3" t="inlineStr">
        <is>
          <t>thisMonth</t>
        </is>
      </c>
      <c r="C209" s="3" t="inlineStr">
        <is>
          <t>MoneyKeel/functions/cashflow/this-month.ts</t>
        </is>
      </c>
      <c r="D209" s="3" t="n">
        <v>662</v>
      </c>
      <c r="E209" s="3" t="inlineStr">
        <is>
          <t>3 · DEPENDENT</t>
        </is>
      </c>
      <c r="F209" s="3" t="inlineStr">
        <is>
          <t>How is the month going: what the plan says it holds and what has actually happened so far, each row by row and each ending in its surplus?</t>
        </is>
      </c>
      <c r="G209" s="11" t="inlineStr">
        <is>
          <t>planned = planned month flow(m)
actual = actual month flow(m)</t>
        </is>
      </c>
      <c r="H209" s="3" t="inlineStr">
        <is>
          <t>planned = planned month flow(m); actual = actual month flow(m).</t>
        </is>
      </c>
      <c r="I209" s="3" t="inlineStr">
        <is>
          <t>READ FROM THE CODE — rendered from the expressions the function runs</t>
        </is>
      </c>
      <c r="J209" s="3" t="inlineStr">
        <is>
          <t>m: MonthInput</t>
        </is>
      </c>
      <c r="K209" s="3" t="inlineStr">
        <is>
          <t>ThisMonth</t>
        </is>
      </c>
      <c r="L209" s="3" t="inlineStr">
        <is>
          <t>—</t>
        </is>
      </c>
      <c r="M209" s="3" t="inlineStr">
        <is>
          <t>None found in this function — anything it assumes comes from the functions it depends on.</t>
        </is>
      </c>
      <c r="N209" s="3" t="inlineStr">
        <is>
          <t>Yes</t>
        </is>
      </c>
      <c r="O209" s="3" t="inlineStr">
        <is>
          <t>1. MK-CF-F-005 actualMonthFlow
2. MK-CF-F-156 plannedMonthFlow</t>
        </is>
      </c>
      <c r="P209" s="3" t="n">
        <v>110</v>
      </c>
      <c r="Q209"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MK-NW-F-112 yearlyInterest
27. MK-ST-F-048 currencySymbol
28. MK-ST-F-039 on
29. MK-ST-F-027 accountId
30. MK-NW-F-057 annualCoupon
31. MK-NW-F-056 bondInfo
32. MK-NW-F-064 bondRateSensitivity
33. MK-NW-F-061 bondSummary
34. MK-NW-F-055 isBond
35. MK-NW-F-124 maturityParts
36. MK-NW-F-072 rowOf
37. MK-CF-O-010 theMonth
38. MK-CF-F-021 defaultPaymentType
39. MK-CF-F-069 benefitActiveMonths
40. MK-CF-F-072 currentRetirementIncomeMonthly
41. MK-CF-F-173 earnerWages
42. MK-CF-F-065 equityVestWeights
43. MK-CF-F-071 extraIncome
44. MK-ST-F-056 has
45. MK-CF-F-206 householdK401ByMonth
46. MK-CF-F-087 monthlyTaxRates
47. MK-CF-F-073 otherIncomeMonth
48. MK-CF-F-181 rateInForce
49. MK-CF-F-068 rentalNetAnnual
50. MK-CF-F-066 rsuAnnual
51. MK-CF-F-060 salaryGrossByMonth
52. MK-CF-F-077 scholarshipByCalendarMonth
53. MK-CF-F-088 taxableByCalendarMonth
54. MK-CF-F-177 wageGrossByMonth
55. MK-PL-F-012 waterfall
56. MK-CF-F-008 spendByMonth
57. MK-ST-F-047 activeCurrency
58. MK-NW-F-060 approxYTM
59. MK-NW-F-069 priceAtYield
60. MK-NW-F-131 pricedLikeBond
61. MK-NW-F-125 isPastMaturity
62. MK-ST-F-065 isoLocalDate
63. MK-NW-F-126 yearlyInterestNow
64. MK-NW-F-011 assetClassOf
65. MK-NW-F-009 maturityClass
66. MK-CF-F-216 typed
67. MK-NW-F-070 accruedInterestCaveat
68. MK-NW-F-058 yearsToMaturity
69. MK-CF-O-002 expenses
70. MK-CF-F-075 retirementIncomeMonthly
71. MK-CF-F-172 hasWage
72. MK-CF-F-062 equityRowValue
73. MK-CF-F-070 benefitAnnual
74. MK-CF-F-176 sumMonthsOverEarners
75. MK-CF-F-090 effectiveRate
76. MK-CF-F-180 enteredLandsAnnual
77. MK-CF-F-085 filingStatusOf
78. MK-CF-F-089 over65CountOf
79. MK-CF-F-082 salaryAnnual
80. MK-CF-F-086 stateRateOf
81. MK-CF-F-101 taxOwedFor
82. MK-CF-F-084 taxableAnnual
83. MK-CF-F-067 rentalList
84. MK-CF-F-063 rowVestYear
85. MK-CF-F-130 enteredMonthlyRaw
86. MK-CF-F-166 hasMonthlySalaryTable
87. MK-ST-F-036 reconcile
88. MK-CF-F-167 salaryCalendarYear
89. MK-CF-F-120 pctBaseMonthly
90. MK-CF-F-004 spendBuckets
91. MK-NW-F-119 estimatedAccrued
92. MK-NW-F-120 classEvidenceOf
93. MK-NW-F-067 plural
94. MK-CF-F-151 actualSpending
95. MK-CF-F-150 debtPaymentsCountedAsExpenses
96. MK-CF-F-153 radar
97. MK-CF-F-149 recurringDebtPayments
98. MK-CF-F-100 taxableIncomeFor
99. MK-CF-F-074 tipsAnnual
100. MK-ST-F-085 rentFigure
101. MK-CF-F-165 salaryMonths
102. MK-CF-F-003 categoryMonthly
103. MK-NW-F-008 incomeBearingClassOf
104. MK-CF-F-099 deductionFor
105. MK-CF-F-081 salaryActiveMonths
106. MK-ST-F-010 nameEvidence
107. MK-CF-F-187 seniorDeductionFor
108. MK-XS-F-147 call
109. MK-XS-F-064 currentIdToken
110. MK-XS-F-112 relayUrl</t>
        </is>
      </c>
      <c r="R209"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MK-CF-F-132 map → MK-NW-O-001 theBonds → MK-NW-F-077 ALL → MK-NW-F-078 ONE → MK-CF-F-005 actualMonthFlow → MK-CF-O-003 thisMonth
8. MK-NW-F-124 maturityParts → MK-NW-O-001 theBonds → MK-NW-F-077 ALL → MK-NW-F-078 ONE → MK-CF-F-005 actualMonthFlow → MK-CF-O-003 thisMonth
9. … and 5 more paths</t>
        </is>
      </c>
      <c r="S209" s="3" t="inlineStr">
        <is>
          <t>MK-CF-M-047 · MK-CF-M-048 · MK-CF-M-049 · MK-CF-M-050 · MK-CF-M-051 · MK-CF-M-052 · MK-CF-M-053 · MK-CF-M-054</t>
        </is>
      </c>
      <c r="T209" s="3" t="inlineStr">
        <is>
          <t>—</t>
        </is>
      </c>
      <c r="U209" s="3" t="inlineStr">
        <is>
          <t>ACTIVE</t>
        </is>
      </c>
      <c r="V209" s="3" t="inlineStr">
        <is>
          <t>2026-09-28</t>
        </is>
      </c>
      <c r="W209" s="3" t="n"/>
      <c r="X209" s="3" t="n"/>
      <c r="Y209" s="9" t="inlineStr">
        <is>
          <t>CODED, NOT TESTED (Cash-flow worked example)</t>
        </is>
      </c>
    </row>
    <row r="210" ht="60" customHeight="1">
      <c r="A210" s="3" t="inlineStr">
        <is>
          <t>MK-CF-O-004</t>
        </is>
      </c>
      <c r="B210" s="3" t="inlineStr">
        <is>
          <t>incomeSummary</t>
        </is>
      </c>
      <c r="C210" s="3" t="inlineStr">
        <is>
          <t>MoneyKeel/functions/cashflow/income-summary.ts</t>
        </is>
      </c>
      <c r="D210" s="3" t="n">
        <v>599</v>
      </c>
      <c r="E210" s="3" t="inlineStr">
        <is>
          <t>2 · DISPLAYED</t>
        </is>
      </c>
      <c r="F210" s="3" t="inlineStr">
        <is>
          <t>What is this household's income: what reaches the bank each month, and what the year is taxed on?</t>
        </is>
      </c>
      <c r="G210" s="11" t="inlineStr">
        <is>
          <t>a = op (or none when missing)
wages = earner wages(op as any)
inf = rate in force(op as any)
r = inf.rate, theirs = inf.mine
after tax = (x: number) =&gt; x × (1 − r)
steady pay = salary gross by month(op as any).every((m) =&gt; m &gt; 0)
tips = tips monthly read as a number (0 when it is not one)   if steady pay
0   otherwise
self employed = to num(se amount) ÷ 12   if se freq = 'annual'
se amount read as a number (0 when it is not one)   otherwise
rent = rental net annual(op as any) ÷ 12
rent arriving = rent   if theirs
after tax(rent)   otherwise   if rent &gt; 0
0   otherwise
inv monthly = to num(inv annual) ÷ 12
… the first steps only — the rest of the body needs reading by hand.</t>
        </is>
      </c>
      <c r="H210" s="3" t="inlineStr">
        <is>
          <t>A is op (or none — when missing). Wages is earner wages(op as any). Inf is rate in force(op as any). R is inf.rate, theirs = inf.mine. After tax is (x: number) =&gt; x times (1 minus r). Steady pay is salary gross by month(op as any).every((m) =&gt; m &gt; 0). Tips is tips monthly read as a number (0 when it is one is missing) — when steady pay; 0 — otherwise. Self employed is to num(se amount) divided by 12 — when se freq = 'annual'; se amount read as a number (0 — when it is one is missing) — otherwise. Rent is rental net annual(op as any) divided by 12. Rent arriving is rent — when theirs; after tax(rent) — otherwise — when rent &gt; 0; 0 — otherwise. Inv monthly is to num(inv annual) divided by 12. Only the first steps are shown; the rest of the body needs reading by hand.</t>
        </is>
      </c>
      <c r="I210" s="3" t="inlineStr">
        <is>
          <t>PARTLY READ — some of the code is still showing through; needs a hand pass</t>
        </is>
      </c>
      <c r="J210" s="3" t="inlineStr">
        <is>
          <t>op: Record&lt;string, any&gt; | null</t>
        </is>
      </c>
      <c r="K210" s="3" t="inlineStr">
        <is>
          <t>IncomeSummary</t>
        </is>
      </c>
      <c r="L210" s="3" t="inlineStr">
        <is>
          <t>1. "Add your income ›" — on the income summary screen
2. "Federal tax bracket" — on the income summary screen
3. "Take-home each month" — on the income summary screen
4. "What it is taxed on" — on the income summary screen</t>
        </is>
      </c>
      <c r="M210" s="3" t="inlineStr">
        <is>
          <t>· Rounds the answer to a whole number.</t>
        </is>
      </c>
      <c r="N210" s="3" t="inlineStr">
        <is>
          <t>Yes</t>
        </is>
      </c>
      <c r="O210"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t>
        </is>
      </c>
      <c r="P210" s="3" t="n">
        <v>129</v>
      </c>
      <c r="Q210"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
20. MK-CF-O-010 theMonth
21. MK-ST-F-035 covers
22. MK-CF-F-171 earnerPay
23. MK-CF-F-204 line
24. MK-ST-F-053 money
25. MK-HM-F-006 money0
26. MK-XS-F-122 n
27. MK-CF-F-198 payrollTaxWithheld
28. MK-CF-F-075 retirementIncomeMonthly
29. MK-CF-F-172 hasWage
30. MK-CF-F-165 salaryMonths
31. MK-CF-F-070 benefitAnnual
32. MK-ST-F-039 on
33. MK-CF-F-065 equityVestWeights
34. MK-ST-F-056 has
35. MK-CF-F-206 householdK401ByMonth
36. MK-CF-F-087 monthlyTaxRates
37. MK-CF-F-073 otherIncomeMonth
38. MK-CF-F-066 rsuAnnual
39. MK-CF-F-077 scholarshipByCalendarMonth
40. MK-CF-F-088 taxableByCalendarMonth
41. MK-CF-F-177 wageGrossByMonth
42. MK-PL-F-012 waterfall
43. MK-CF-F-193 inflowSourceWord
44. MK-CF-F-100 taxableIncomeFor
45. MK-CF-F-180 enteredLandsAnnual
46. MK-CF-F-086 stateRateOf
47. MK-CF-F-101 taxOwedFor
48. MK-CF-O-002 expenses
49. MK-CF-F-067 rentalList
50. MK-CF-F-176 sumMonthsOverEarners
51. MK-CF-F-074 tipsAnnual
52. MK-CF-F-155 cash
53. MK-CF-O-003 thisMonth
54. MK-ST-F-034 firstDate
55. MK-CF-F-143 annualisedGross
56. MK-CF-F-145 deductionsFromPay
57. MK-CF-F-128 grossByMonth
58. MK-CF-F-146 payFiguresAgree
59. MK-CF-F-144 takeHomeAsEntered
60. MK-XS-F-180 declareFigures
61. MK-ST-F-049 formatMoney
62. MK-HM-F-005 pctTxt
63. MK-NW-F-067 plural
64. MK-CF-F-062 equityRowValue
65. MK-CF-F-090 effectiveRate
66. MK-CF-F-063 rowVestYear
67. MK-CF-F-130 enteredMonthlyRaw
68. MK-CF-F-166 hasMonthlySalaryTable
69. MK-ST-F-036 reconcile
70. MK-CF-F-167 salaryCalendarYear
71. MK-CF-F-099 deductionFor
72. MK-CF-F-151 actualSpending
73. MK-CF-F-150 debtPaymentsCountedAsExpenses
74. MK-CF-F-153 radar
75. MK-CF-F-149 recurringDebtPayments
76. MK-ST-F-085 rentFigure
77. MK-CF-F-216 typed
78. MK-CF-F-081 salaryActiveMonths
79. MK-CF-F-005 actualMonthFlow
80. MK-CF-F-156 plannedMonthFlow
81. MK-CF-F-142 monthsOf
82. MK-CF-F-141 perMonth
83. MK-ST-F-048 currencySymbol
84. MK-CF-F-187 seniorDeductionFor
85. MK-CF-F-148 inMonth
86. MK-CF-F-191 ym
87. MK-CF-F-022 paymentShape
88. MK-CF-F-152 isRadarItem
89. MK-CF-F-023 requiredPayment
90. MK-NW-F-078 ONE
91. MK-CF-F-157 debtPaymentsByDebt
92. MK-XS-F-027 takeHomeMonthly
93. MK-CF-F-140 periodsAYear
94. MK-ST-F-047 activeCurrency
95. MK-CF-F-021 defaultPaymentType
96. MK-NW-F-077 ALL
97. MK-NW-F-059 currentYield
98. MK-NW-O-001 theBonds
99. MK-CF-F-011 savingsByMonth
100. MK-NW-F-112 yearlyInterest
101. MK-ST-F-027 accountId
102. MK-NW-F-057 annualCoupon
103. MK-NW-F-056 bondInfo
104. MK-NW-F-064 bondRateSensitivity
105. MK-NW-F-061 bondSummary
106. MK-NW-F-055 isBond
107. MK-NW-F-124 maturityParts
108. MK-NW-F-072 rowOf
109. MK-CF-F-008 spendByMonth
110. MK-NW-F-060 approxYTM
111. MK-NW-F-069 priceAtYield
112. MK-NW-F-131 pricedLikeBond
113. MK-NW-F-125 isPastMaturity
114. MK-ST-F-065 isoLocalDate
115. MK-NW-F-126 yearlyInterestNow
116. MK-NW-F-011 assetClassOf
117. MK-NW-F-009 maturityClass
118. MK-NW-F-070 accruedInterestCaveat
119. MK-NW-F-058 yearsToMaturity
120. MK-CF-F-120 pctBaseMonthly
121. MK-CF-F-004 spendBuckets
122. MK-NW-F-119 estimatedAccrued
123. MK-NW-F-120 classEvidenceOf
124. MK-CF-F-003 categoryMonthly
125. MK-NW-F-008 incomeBearingClassOf
126. MK-ST-F-010 nameEvidence
127. MK-XS-F-147 call
128. MK-XS-F-064 currentIdToken
129. MK-XS-F-112 relayUrl</t>
        </is>
      </c>
      <c r="R210" s="3" t="inlineStr">
        <is>
          <t>1. MONTH (already above — a loop) → MK-CF-O-010 theMonth → MK-CF-F-203 MONTH → MK-CF-O-004 incomeSummary
2. MK-XS-F-122 n → MK-CF-F-155 cash → MK-CF-O-010 theMonth → MK-CF-F-203 MONTH → MK-CF-O-004 incomeSummary
3. MK-CF-F-148 inMonth → MK-CF-F-151 actualSpending → MK-CF-O-002 expenses → MK-CF-O-010 theMonth → MK-CF-F-203 MONTH → MK-CF-O-004 incomeSummary
4. MK-ST-F-052 toNum → MK-CF-F-151 actualSpending → MK-CF-O-002 expenses → MK-CF-O-010 theMonth → MK-CF-F-203 MONTH → MK-CF-O-004 incomeSummary
5. MK-CF-F-191 ym → MK-CF-F-151 actualSpending → MK-CF-O-002 expenses → MK-CF-O-010 theMonth → MK-CF-F-203 MONTH → MK-CF-O-004 incomeSummary
6. MK-ST-F-056 has → MK-CF-F-150 debtPaymentsCountedAsExpenses → MK-CF-O-002 expenses → MK-CF-O-010 theMonth → MK-CF-F-203 MONTH → MK-CF-O-004 incomeSummary
7. MK-CF-F-148 inMonth → MK-CF-F-150 debtPaymentsCountedAsExpenses → MK-CF-O-002 expenses → MK-CF-O-010 theMonth → MK-CF-F-203 MONTH → MK-CF-O-004 incomeSummary
8. MK-CF-F-022 paymentShape → MK-CF-F-150 debtPaymentsCountedAsExpenses → MK-CF-O-002 expenses → MK-CF-O-010 theMonth → MK-CF-F-203 MONTH → MK-CF-O-004 incomeSummary
9. … and 5 more paths</t>
        </is>
      </c>
      <c r="S210" s="3" t="inlineStr">
        <is>
          <t>MK-CF-M-006 · MK-CF-M-007 · MK-CF-M-008 · MK-CF-M-009 · MK-CF-M-010 · MK-CF-M-011 · MK-CF-M-024 · MK-CF-M-027 · MK-CF-M-037 · MK-CF-M-038 · MK-CF-M-039 · MK-CF-M-040 · MK-CF-M-041 · MK-CF-M-042 · MK-CF-M-043 · MK-CF-M-044 · MK-CF-M-066 · MK-CF-M-069 · MK-MN-M-011 · MK-MN-M-012 · MK-MN-M-013</t>
        </is>
      </c>
      <c r="T210" s="3" t="inlineStr">
        <is>
          <t>—</t>
        </is>
      </c>
      <c r="U210" s="3" t="inlineStr">
        <is>
          <t>ACTIVE</t>
        </is>
      </c>
      <c r="V210" s="3" t="inlineStr">
        <is>
          <t>2026-10-04</t>
        </is>
      </c>
      <c r="W210" s="3" t="n"/>
      <c r="X210" s="3" t="n"/>
      <c r="Y210" s="6" t="inlineStr">
        <is>
          <t>TESTED, NOT VERIFIED (G37, G47, G48)</t>
        </is>
      </c>
    </row>
    <row r="211" ht="60" customHeight="1">
      <c r="A211" s="3" t="inlineStr">
        <is>
          <t>MK-CF-O-005</t>
        </is>
      </c>
      <c r="B211" s="3" t="inlineStr">
        <is>
          <t>theContributionRoom</t>
        </is>
      </c>
      <c r="C211" s="3" t="inlineStr">
        <is>
          <t>MoneyKeel/functions/cashflow/contribution-room.ts</t>
        </is>
      </c>
      <c r="D211" s="3" t="n">
        <v>75</v>
      </c>
      <c r="E211" s="3" t="inlineStr">
        <is>
          <t>2 · DISPLAYED</t>
        </is>
      </c>
      <c r="F211" s="3" t="inlineStr">
        <is>
          <t>How much room is left in my 401(k), IRA and HSA this year, and what would fill it?</t>
        </is>
      </c>
      <c r="G211"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11"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11" s="3" t="inlineStr">
        <is>
          <t>PARTLY READ — some of the code is still showing through; needs a hand pass</t>
        </is>
      </c>
      <c r="J211" s="3" t="inlineStr">
        <is>
          <t>Nothing is handed to it</t>
        </is>
      </c>
      <c r="K211" s="3" t="inlineStr">
        <is>
          <t>NOT DECLARED — the code does not say what it gives back</t>
        </is>
      </c>
      <c r="L211" s="3" t="inlineStr">
        <is>
          <t>NOT FOUND — a screen calls it, but the words printed beside its answer could not be traced automatically. Needs reading.</t>
        </is>
      </c>
      <c r="M211" s="3" t="inlineStr">
        <is>
          <t>· Turns a monthly figure into a year by multiplying by twelve.</t>
        </is>
      </c>
      <c r="N211" s="3" t="inlineStr">
        <is>
          <t>Yes</t>
        </is>
      </c>
      <c r="O211" s="3" t="inlineStr">
        <is>
          <t>1. MK-CF-F-197 ageAttainedInYear
2. MK-CF-F-055 annualHsaLimit
3. MK-CF-F-054 annualIraLimit
4. MK-CF-F-056 k401Headroom
5. MK-CF-F-195 monthsLeftInYear
6. MK-CF-F-196 perMonthToFill</t>
        </is>
      </c>
      <c r="P211" s="3" t="n">
        <v>7</v>
      </c>
      <c r="Q211" s="3" t="inlineStr">
        <is>
          <t>1. MK-CF-F-197 ageAttainedInYear
2. MK-CF-F-055 annualHsaLimit
3. MK-CF-F-054 annualIraLimit
4. MK-CF-F-056 k401Headroom
5. MK-CF-F-195 monthsLeftInYear
6. MK-CF-F-196 perMonthToFill
7. MK-CF-F-053 annual401kLimit</t>
        </is>
      </c>
      <c r="R211"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11" s="3" t="inlineStr">
        <is>
          <t>—</t>
        </is>
      </c>
      <c r="T211" s="3" t="inlineStr">
        <is>
          <t>—</t>
        </is>
      </c>
      <c r="U211" s="3" t="inlineStr">
        <is>
          <t>ACTIVE</t>
        </is>
      </c>
      <c r="V211" s="3" t="inlineStr">
        <is>
          <t>2026-09-28</t>
        </is>
      </c>
      <c r="W211" s="3" t="n"/>
      <c r="X211" s="3" t="n"/>
      <c r="Y211" s="3" t="inlineStr">
        <is>
          <t>NOTHING OPEN</t>
        </is>
      </c>
    </row>
    <row r="212" ht="60" customHeight="1">
      <c r="A212" s="3" t="inlineStr">
        <is>
          <t>MK-CF-O-006</t>
        </is>
      </c>
      <c r="B212" s="3" t="inlineStr">
        <is>
          <t>theCreditLine</t>
        </is>
      </c>
      <c r="C212" s="3" t="inlineStr">
        <is>
          <t>MoneyKeel/functions/cashflow/credit-line.ts</t>
        </is>
      </c>
      <c r="D212" s="3" t="n">
        <v>60</v>
      </c>
      <c r="E212" s="3" t="inlineStr">
        <is>
          <t>2 · DISPLAYED</t>
        </is>
      </c>
      <c r="F212" s="3" t="inlineStr">
        <is>
          <t>How much of my credit limit am I using?</t>
        </is>
      </c>
      <c r="G212"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12"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12" s="3" t="inlineStr">
        <is>
          <t>PARTLY READ — some of the code is still showing through; needs a hand pass</t>
        </is>
      </c>
      <c r="J212" s="3" t="inlineStr">
        <is>
          <t>input: { balance: number; limit: number }</t>
        </is>
      </c>
      <c r="K212" s="3" t="inlineStr">
        <is>
          <t>CreditLine</t>
        </is>
      </c>
      <c r="L212" s="3" t="inlineStr">
        <is>
          <t>NOT FOUND — a screen calls it, but the words printed beside its answer could not be traced automatically. Needs reading.</t>
        </is>
      </c>
      <c r="M212" s="3" t="inlineStr">
        <is>
          <t>1. If balance is missing it counts as zero, so nothing recorded and a real zero look the same.
2. If limit is missing it counts as zero, so nothing recorded and a real zero look the same.</t>
        </is>
      </c>
      <c r="N212" s="3" t="inlineStr">
        <is>
          <t>Yes</t>
        </is>
      </c>
      <c r="O212" s="3" t="inlineStr">
        <is>
          <t>1. MK-CF-F-031 creditUtilization
2. MK-CF-F-204 line</t>
        </is>
      </c>
      <c r="P212" s="3" t="n">
        <v>113</v>
      </c>
      <c r="Q212"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MK-NW-F-124 maturityParts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MK-NW-F-131 pricedLikeBond
69. MK-NW-F-125 isPastMaturity
70. MK-ST-F-065 isoLocalDate
71. MK-NW-F-126 yearlyInterestNow
72. MK-NW-F-011 assetClassOf
73. MK-NW-F-009 maturityClass
74. MK-CF-F-216 typed
75. MK-NW-F-070 accruedInterestCaveat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MK-NW-F-119 estimatedAccrued
99. MK-NW-F-120 classEvidenceOf
100. MK-NW-F-067 plural
101. MK-CF-F-100 taxableIncomeFor
102. MK-CF-F-074 tipsAnnual
103. MK-ST-F-085 rentFigure
104. MK-CF-F-165 salaryMonths
105. MK-CF-F-003 categoryMonthly
106. MK-NW-F-008 incomeBearingClassOf
107. MK-CF-F-099 deductionFor
108. MK-CF-F-081 salaryActiveMonths
109. MK-ST-F-010 nameEvidence
110. MK-CF-F-187 seniorDeductionFor
111. MK-XS-F-147 call
112. MK-XS-F-064 currentIdToken
113. MK-XS-F-112 relayUrl</t>
        </is>
      </c>
      <c r="R212"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12" s="3" t="inlineStr">
        <is>
          <t>MK-MN-M-006</t>
        </is>
      </c>
      <c r="T212" s="3" t="inlineStr">
        <is>
          <t>—</t>
        </is>
      </c>
      <c r="U212" s="3" t="inlineStr">
        <is>
          <t>ACTIVE</t>
        </is>
      </c>
      <c r="V212" s="3" t="inlineStr">
        <is>
          <t>2026-09-28</t>
        </is>
      </c>
      <c r="W212" s="3" t="n"/>
      <c r="X212" s="3" t="n"/>
      <c r="Y212" s="3" t="inlineStr">
        <is>
          <t>NOTHING OPEN</t>
        </is>
      </c>
    </row>
    <row r="213" ht="60" customHeight="1">
      <c r="A213" s="3" t="inlineStr">
        <is>
          <t>MK-CF-O-007</t>
        </is>
      </c>
      <c r="B213" s="3" t="inlineStr">
        <is>
          <t>theTaxOrganizer</t>
        </is>
      </c>
      <c r="C213" s="3" t="inlineStr">
        <is>
          <t>MoneyKeel/functions/cashflow/tax-organizer.ts</t>
        </is>
      </c>
      <c r="D213" s="3" t="n">
        <v>46</v>
      </c>
      <c r="E213" s="3" t="inlineStr">
        <is>
          <t>2 · DISPLAYED</t>
        </is>
      </c>
      <c r="F213" s="3" t="inlineStr">
        <is>
          <t>What will my taxes look like: each taxable line, the deduction and the tax?</t>
        </is>
      </c>
      <c r="G213" s="11" t="inlineStr">
        <is>
          <t>year = input.year (or the date ).get full year( when missing)
actual passive = round(income from accounts(input.accounts ?? [], input.transactions ?? []).annual)</t>
        </is>
      </c>
      <c r="H213" s="3" t="inlineStr">
        <is>
          <t>Year is input.year (or the date ).get full year( — when missing). Actual passive is income from accounts(input.accounts ?? [], input.transactions ?? [], to a whole number.annual).</t>
        </is>
      </c>
      <c r="I213" s="3" t="inlineStr">
        <is>
          <t>PARTLY READ — some of the code is still showing through; needs a hand pass</t>
        </is>
      </c>
      <c r="J213" s="3" t="inlineStr">
        <is>
          <t>Nothing is handed to it</t>
        </is>
      </c>
      <c r="K213" s="3" t="inlineStr">
        <is>
          <t>NOT DECLARED — the code does not say what it gives back</t>
        </is>
      </c>
      <c r="L213" s="3" t="inlineStr">
        <is>
          <t>NOT FOUND — a screen calls it, but the words printed beside its answer could not be traced automatically. Needs reading.</t>
        </is>
      </c>
      <c r="M213" s="3" t="inlineStr">
        <is>
          <t>1. Uses today's date from the device clock, so the answer changes by itself overnight.
2. Rounds the answer to a whole number.</t>
        </is>
      </c>
      <c r="N213" s="3" t="inlineStr">
        <is>
          <t>Yes</t>
        </is>
      </c>
      <c r="O213" s="3" t="inlineStr">
        <is>
          <t>1. MK-CF-F-184 incomeFromAccounts
2. MK-PL-F-031 taxOrganizer</t>
        </is>
      </c>
      <c r="P213" s="3" t="n">
        <v>76</v>
      </c>
      <c r="Q213"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MK-NW-F-120 classEvidenceOf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MK-NW-F-008 incomeBearingClassOf
39. MK-NW-F-009 maturityClass
40. MK-ST-F-048 currencySymbol
41. MK-CF-F-173 earnerWages
42. MK-CF-F-180 enteredLandsAnnual
43. MK-CF-F-206 householdK401ByMonth
44. MK-CF-F-086 stateRateOf
45. MK-CF-F-101 taxOwedFor
46. MK-CF-F-084 taxableAnnual
47. MK-CF-F-151 actualSpending
48. MK-CF-F-150 debtPaymentsCountedAsExpenses
49. MK-CF-F-153 radar
50. MK-CF-F-149 recurringDebtPayments
51. MK-ST-F-085 rentFigure
52. MK-CF-F-216 typed
53. MK-CF-F-176 sumMonthsOverEarners
54. MK-CF-F-177 wageGrossByMonth
55. MK-CF-F-175 sumOverEarners
56. MK-ST-F-010 nameEvidence
57. MK-NW-F-124 maturityParts
58. MK-ST-F-047 activeCurrency
59. MK-CF-F-172 hasWage
60. MK-CF-F-100 taxableIncomeFor
61. MK-CF-F-071 extraIncome
62. MK-CF-F-148 inMonth
63. MK-CF-F-191 ym
64. MK-CF-F-022 paymentShape
65. MK-CF-F-152 isRadarItem
66. MK-CF-F-023 requiredPayment
67. MK-CF-F-130 enteredMonthlyRaw
68. MK-CF-F-166 hasMonthlySalaryTable
69. MK-ST-F-036 reconcile
70. MK-CF-F-167 salaryCalendarYear
71. MK-XS-F-147 call
72. MK-CF-F-021 defaultPaymentType
73. MK-CF-F-165 salaryMonths
74. MK-ST-F-027 accountId
75. MK-XS-F-064 currentIdToken
76. MK-XS-F-112 relayUrl</t>
        </is>
      </c>
      <c r="R213" s="3" t="inlineStr">
        <is>
          <t>1. MK-CF-F-182 asPercent → MK-CF-F-184 incomeFromAccounts → MK-CF-O-007 theTaxOrganizer
2. MK-XS-F-122 n → MK-CF-F-155 cash → MK-NW-F-120 classEvidenceOf → MK-NW-F-011 assetClassOf → MK-CF-F-184 incomeFromAccounts → MK-CF-O-007 theTaxOrganizer
3. MK-CF-F-155 cash → MK-NW-F-008 incomeBearingClassOf → MK-NW-F-120 classEvidenceOf → MK-NW-F-011 assetClassOf → MK-CF-F-184 incomeFromAccounts → MK-CF-O-007 theTaxOrganizer
4. MK-ST-F-010 nameEvidence → MK-NW-F-008 incomeBearingClassOf → MK-NW-F-120 classEvidenceOf → MK-NW-F-011 assetClassOf → MK-CF-F-184 incomeFromAccounts → MK-CF-O-007 theTaxOrganizer
5. assetClassOf (already above — a loop) → MK-NW-F-009 maturityClass → MK-NW-F-120 classEvidenceOf → MK-NW-F-011 assetClassOf → MK-CF-F-184 incomeFromAccounts → MK-CF-O-007 theTaxOrganizer
6. MK-NW-F-124 maturityParts → MK-NW-F-009 maturityClass → MK-NW-F-120 classEvidenceOf → MK-NW-F-011 assetClassOf → MK-CF-F-184 incomeFromAccounts → MK-CF-O-007 theTaxOrganizer
7. MK-CF-F-216 typed → MK-NW-F-009 maturityClass → MK-NW-F-120 classEvidenceOf → MK-NW-F-011 assetClassOf → MK-CF-F-184 incomeFromAccounts → MK-CF-O-007 theTaxOrganizer
8. MK-ST-F-047 activeCurrency → MK-ST-F-048 currencySymbol → MK-ST-F-049 formatMoney → MK-ST-F-053 money → MK-CF-F-184 incomeFromAccounts → MK-CF-O-007 theTaxOrganizer
9. … and 5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MK-CF-O-008</t>
        </is>
      </c>
      <c r="B214" s="3" t="inlineStr">
        <is>
          <t>whatsComing</t>
        </is>
      </c>
      <c r="C214" s="3" t="inlineStr">
        <is>
          <t>MoneyKeel/functions/cashflow/whats-coming.ts</t>
        </is>
      </c>
      <c r="D214" s="3" t="n">
        <v>58</v>
      </c>
      <c r="E214" s="3" t="inlineStr">
        <is>
          <t>2 · DISPLAYED</t>
        </is>
      </c>
      <c r="F214" s="3" t="inlineStr">
        <is>
          <t>Which bills and paychecks are coming over the next twelve months, and which look out of the ordinary?</t>
        </is>
      </c>
      <c r="G214" s="11" t="inlineStr">
        <is>
          <t>bills = bills
next = the first of bills   if count of bills
nothing   otherwise</t>
        </is>
      </c>
      <c r="H214" s="3" t="inlineStr">
        <is>
          <t>bills = bills; next = the first of bills — when how many bills there are; no answer — otherwise.</t>
        </is>
      </c>
      <c r="I214" s="3" t="inlineStr">
        <is>
          <t>READ FROM THE CODE — rendered from the expressions the function runs</t>
        </is>
      </c>
      <c r="J214" s="3" t="inlineStr">
        <is>
          <t>Nothing is handed to it</t>
        </is>
      </c>
      <c r="K214" s="3" t="inlineStr">
        <is>
          <t>NOT DECLARED — the code does not say what it gives back</t>
        </is>
      </c>
      <c r="L214" s="3" t="inlineStr">
        <is>
          <t>1. "Bill calendar" — on the Bill calendar screen
2. "IF YOU CAN" — on the Bill calendar screen, under "IF YOU CAN"</t>
        </is>
      </c>
      <c r="M214" s="3" t="inlineStr">
        <is>
          <t>1. If start balance is missing it uses 0.
2. Uses today's date from the device clock, so the answer changes by itself overnight.</t>
        </is>
      </c>
      <c r="N214" s="3" t="inlineStr">
        <is>
          <t>Yes</t>
        </is>
      </c>
      <c r="O214" s="3" t="inlineStr">
        <is>
          <t>MK-CF-F-019 upcomingBills</t>
        </is>
      </c>
      <c r="P214" s="3" t="n">
        <v>117</v>
      </c>
      <c r="Q214"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MK-CF-F-180 enteredLandsAnnual
30. MK-CF-F-085 filingStatusOf
31. MK-CF-F-206 householdK401ByMonth
32. MK-CF-F-089 over65CountOf
33. MK-CF-F-086 stateRateOf
34. MK-CF-F-101 taxOwedFor
35. MK-CF-F-176 sumMonthsOverEarners
36. MK-CF-F-177 wageGrossByMonth
37. MK-CF-F-151 actualSpending
38. MK-CF-F-150 debtPaymentsCountedAsExpenses
39. MK-CF-F-153 radar
40. MK-CF-F-149 recurringDebtPayments
41. MK-ST-F-085 rentFigure
42. MK-CF-F-216 typed
43. MK-CF-F-120 pctBaseMonthly
44. MK-XS-F-027 takeHomeMonthly
45. MK-ST-F-039 on
46. MK-CF-F-062 equityRowValue
47. MK-CF-F-063 rowVestYear
48. MK-CF-F-081 salaryActiveMonths
49. MK-CF-F-172 hasWage
50. MK-CF-F-100 taxableIncomeFor
51. MK-CF-F-130 enteredMonthlyRaw
52. MK-CF-F-166 hasMonthlySalaryTable
53. MK-ST-F-036 reconcile
54. MK-CF-F-167 salaryCalendarYear
55. MK-CF-F-148 inMonth
56. MK-CF-F-191 ym
57. MK-ST-F-056 has
58. MK-CF-F-022 paymentShape
59. MK-CF-F-152 isRadarItem
60. MK-CF-F-023 requiredPayment
61. MK-CF-F-092 incomeMonthlyGrid
62. MK-CF-F-011 savingsByMonth
63. MK-CF-F-099 deductionFor
64. MK-CF-F-165 salaryMonths
65. MK-CF-F-021 defaultPaymentType
66. MK-CF-F-065 equityVestWeights
67. MK-CF-F-087 monthlyTaxRates
68. MK-CF-F-073 otherIncomeMonth
69. MK-CF-F-077 scholarshipByCalendarMonth
70. MK-CF-F-088 taxableByCalendarMonth
71. MK-PL-F-012 waterfall
72. MK-CF-F-008 spendByMonth
73. MK-CF-F-187 seniorDeductionFor
74. MK-CF-F-203 MONTH
75. MK-CF-O-010 theMonth
76. MK-CF-F-155 cash
77. MK-CF-O-003 thisMonth
78. MK-CF-F-005 actualMonthFlow
79. MK-CF-F-156 plannedMonthFlow
80. MK-NW-F-078 ONE
81. MK-CF-F-157 debtPaymentsByDebt
82. MK-CF-F-192 inflowLabel
83. MK-NW-F-077 ALL
84. MK-NW-F-059 currentYield
85. MK-XS-F-180 declareFigures
86. MK-ST-F-049 formatMoney
87. MK-ST-F-053 money
88. MK-NW-O-001 theBonds
89. MK-CF-F-193 inflowSourceWord
90. MK-NW-F-112 yearlyInterest
91. MK-ST-F-048 currencySymbol
92. MK-ST-F-027 accountId
93. MK-NW-F-057 annualCoupon
94. MK-NW-F-056 bondInfo
95. MK-NW-F-064 bondRateSensitivity
96. MK-NW-F-061 bondSummary
97. MK-NW-F-055 isBond
98. MK-NW-F-124 maturityParts
99. MK-NW-F-072 rowOf
100. MK-ST-F-047 activeCurrency
101. MK-NW-F-060 approxYTM
102. MK-NW-F-069 priceAtYield
103. MK-NW-F-131 pricedLikeBond
104. MK-NW-F-125 isPastMaturity
105. MK-NW-F-126 yearlyInterestNow
106. MK-NW-F-011 assetClassOf
107. MK-NW-F-009 maturityClass
108. MK-NW-F-070 accruedInterestCaveat
109. MK-NW-F-058 yearsToMaturity
110. MK-NW-F-119 estimatedAccrued
111. MK-NW-F-120 classEvidenceOf
112. MK-NW-F-067 plural
113. MK-NW-F-008 incomeBearingClassOf
114. MK-ST-F-010 nameEvidence
115. MK-XS-F-147 call
116. MK-XS-F-064 currentIdToken
117. MK-XS-F-112 relayUrl</t>
        </is>
      </c>
      <c r="R214"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MK-CF-F-173 earnerWages → MK-CF-F-180 enteredLandsAnnual → MK-CF-F-181 rateInForce → MK-CF-F-090 effectiveRate → MK-CF-F-019 upcomingBills → MK-CF-O-008 whatsComing
8. MK-ST-F-052 toNum → MK-CF-F-180 enteredLandsAnnual → MK-CF-F-181 rateInForce → MK-CF-F-090 effectiveRate → MK-CF-F-019 upcomingBills → MK-CF-O-008 whatsComing
9. … and 4 more paths</t>
        </is>
      </c>
      <c r="S214" s="3" t="inlineStr">
        <is>
          <t>MK-CF-M-012 · MK-CF-M-016 · MK-CF-M-028 · MK-CF-M-060 · MK-CF-M-061 · MK-CF-M-062 · MK-CF-M-063 · MK-MN-M-030</t>
        </is>
      </c>
      <c r="T214" s="3" t="inlineStr">
        <is>
          <t>—</t>
        </is>
      </c>
      <c r="U214" s="3" t="inlineStr">
        <is>
          <t>ACTIVE</t>
        </is>
      </c>
      <c r="V214" s="3" t="inlineStr">
        <is>
          <t>2026-09-28</t>
        </is>
      </c>
      <c r="W214" s="3" t="n"/>
      <c r="X214" s="3" t="n"/>
      <c r="Y214" s="3" t="inlineStr">
        <is>
          <t>NOTHING OPEN</t>
        </is>
      </c>
    </row>
    <row r="215" ht="60" customHeight="1">
      <c r="A215" s="3" t="inlineStr">
        <is>
          <t>MK-CF-O-010</t>
        </is>
      </c>
      <c r="B215" s="3" t="inlineStr">
        <is>
          <t>theMonth</t>
        </is>
      </c>
      <c r="C215" s="3" t="inlineStr">
        <is>
          <t>MoneyKeel/functions/cashflow/the-month.ts</t>
        </is>
      </c>
      <c r="D215" s="3" t="n">
        <v>86</v>
      </c>
      <c r="E215" s="3" t="inlineStr">
        <is>
          <t>2 · DISPLAYED</t>
        </is>
      </c>
      <c r="F215" s="3" t="inlineStr">
        <is>
          <t>How is this month going: the plan, what has actually happened, the detail behind the expenses, and what is free after anything already promised to a goal?</t>
        </is>
      </c>
      <c r="G215" s="11" t="inlineStr">
        <is>
          <t>flow = this month(input)
committed = cash((input.commitments ?? []).reduce((t, c) =&gt; t + (monthly amount or 0), 0))</t>
        </is>
      </c>
      <c r="H215" s="3" t="inlineStr">
        <is>
          <t>Flow is this month(input). Committed is cash((input.commitments ?? []).reduce((t, c) =&gt; t plus (monthly amount or 0), 0)).</t>
        </is>
      </c>
      <c r="I215" s="3" t="inlineStr">
        <is>
          <t>PARTLY READ — some of the code is still showing through; needs a hand pass</t>
        </is>
      </c>
      <c r="J215" s="3" t="inlineStr">
        <is>
          <t>input: MonthInput &amp; ExpensesInput</t>
        </is>
      </c>
      <c r="K215" s="3" t="inlineStr">
        <is>
          <t>TheMonth</t>
        </is>
      </c>
      <c r="L215" s="3" t="inlineStr">
        <is>
          <t>1. "ACTUAL EXPENSES" — on the Cash flow screen, under "ACTUAL EXPENSES"
2. "Cash flow" — on the Cash flow screen
3. "DEBT PAYMENTS COUNTED AS EXPENSES" — on the Cash flow screen, under "DEBT PAYMENTS COUNTED AS EXPENSES"
4. "ENTERED BY HAND" — on the Cash flow screen, under "ENTERED BY HAND"
5. "IMPORTED FROM YOUR CARD" — on the Cash flow screen, under "IMPORTED FROM YOUR CARD"
6. "MONTHLY RECURRING EXPENSES" — on the Cash flow screen, under "MONTHLY RECURRING EXPENSES"</t>
        </is>
      </c>
      <c r="M215" s="3" t="inlineStr">
        <is>
          <t>· If monthly amount is missing it counts as zero, so nothing recorded and a real zero look the same.</t>
        </is>
      </c>
      <c r="N215" s="3" t="inlineStr">
        <is>
          <t>Yes</t>
        </is>
      </c>
      <c r="O215" s="3" t="inlineStr">
        <is>
          <t>1. MK-CF-F-203 MONTH
2. MK-CF-F-155 cash
3. MK-CF-O-002 expenses
4. MK-CF-O-003 thisMonth</t>
        </is>
      </c>
      <c r="P215" s="3" t="n">
        <v>110</v>
      </c>
      <c r="Q215"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MK-NW-F-124 maturityParts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MK-NW-F-131 pricedLikeBond
66. MK-NW-F-125 isPastMaturity
67. MK-ST-F-065 isoLocalDate
68. MK-NW-F-126 yearlyInterestNow
69. MK-NW-F-011 assetClassOf
70. MK-NW-F-009 maturityClass
71. MK-CF-F-216 typed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MK-NW-F-120 classEvidenceOf
97. MK-NW-F-067 plural
98. MK-CF-F-100 taxableIncomeFor
99. MK-CF-F-074 tipsAnnual
100. MK-ST-F-085 rentFigure
101. MK-CF-F-165 salaryMonths
102. MK-CF-F-003 categoryMonthly
103. MK-NW-F-008 incomeBearingClassOf
104. MK-CF-F-099 deductionFor
105. MK-CF-F-081 salaryActiveMonths
106. MK-ST-F-010 nameEvidence
107. MK-CF-F-187 seniorDeductionFor
108. MK-XS-F-147 call
109. MK-XS-F-064 currentIdToken
110. MK-XS-F-112 relayUrl</t>
        </is>
      </c>
      <c r="R215"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15" s="3" t="inlineStr">
        <is>
          <t>MK-CF-M-001 · MK-CF-M-002 · MK-CF-M-003 · MK-CF-M-013 · MK-CF-M-014 · MK-CF-M-015 · MK-CF-M-020 · MK-CF-M-021 · MK-CF-M-056</t>
        </is>
      </c>
      <c r="T215" s="3" t="inlineStr">
        <is>
          <t>—</t>
        </is>
      </c>
      <c r="U215" s="3" t="inlineStr">
        <is>
          <t>ACTIVE</t>
        </is>
      </c>
      <c r="V215" s="3" t="inlineStr">
        <is>
          <t>2026-10-01</t>
        </is>
      </c>
      <c r="W215" s="3" t="n"/>
      <c r="X215" s="3" t="n"/>
      <c r="Y215" s="3" t="inlineStr">
        <is>
          <t>NOTHING OPEN</t>
        </is>
      </c>
    </row>
    <row r="216" ht="60" customHeight="1">
      <c r="A216" s="3" t="inlineStr">
        <is>
          <t>MK-CF-O-011</t>
        </is>
      </c>
      <c r="B216" s="3" t="inlineStr">
        <is>
          <t>PAY</t>
        </is>
      </c>
      <c r="C216" s="3" t="inlineStr">
        <is>
          <t>MoneyKeel/functions/cashflow/base-pay.ts</t>
        </is>
      </c>
      <c r="D216" s="3" t="n">
        <v>672</v>
      </c>
      <c r="E216" s="3" t="inlineStr">
        <is>
          <t>1 · ACTION</t>
        </is>
      </c>
      <c r="F216" s="3" t="inlineStr">
        <is>
          <t>Example only: runs basePay on the worked example household with a tax rate of their own.</t>
        </is>
      </c>
      <c r="G216" s="11" t="inlineStr">
        <is>
          <t>NOT READ YET — the body is not a shape this can render faithfully, so nothing is claimed rather than something being guessed. It needs reading by hand.</t>
        </is>
      </c>
      <c r="H216" s="3" t="inlineStr">
        <is>
          <t>NOT READ YET — the body is not a shape this can render faithfully, so nothing is claimed rather than something being guessed. It needs reading by hand.</t>
        </is>
      </c>
      <c r="I216" s="3" t="inlineStr">
        <is>
          <t>NOT READ — nothing is claimed rather than something guessed</t>
        </is>
      </c>
      <c r="J216" s="3" t="inlineStr">
        <is>
          <t>Nothing is handed to it</t>
        </is>
      </c>
      <c r="K216" s="3" t="inlineStr">
        <is>
          <t>EXAMPLE_EARNERS as any, filingStatus: 'married', over65: 0,</t>
        </is>
      </c>
      <c r="L216" s="3" t="inlineStr">
        <is>
          <t>—</t>
        </is>
      </c>
      <c r="M216" s="3" t="inlineStr">
        <is>
          <t>None found in this function — anything it assumes comes from the functions it depends on.</t>
        </is>
      </c>
      <c r="N216" s="3" t="inlineStr">
        <is>
          <t>No</t>
        </is>
      </c>
      <c r="O216" s="3" t="inlineStr">
        <is>
          <t>MK-CF-O-001 basePay</t>
        </is>
      </c>
      <c r="P216" s="3" t="n">
        <v>128</v>
      </c>
      <c r="Q216"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MK-NW-F-067 plural
26. MK-CF-F-173 earnerWages
27. MK-CF-F-180 enteredLandsAnnual
28. MK-CF-F-085 filingStatusOf
29. MK-CF-F-206 householdK401ByMonth
30. MK-CF-F-089 over65CountOf
31. MK-CF-F-082 salaryAnnual
32. MK-CF-F-086 stateRateOf
33. MK-CF-F-101 taxOwedFor
34. MK-CF-F-084 taxableAnnual
35. MK-CF-F-216 typed
36. MK-CF-F-142 monthsOf
37. MK-CF-F-141 perMonth
38. MK-ST-F-056 has
39. MK-ST-F-039 on
40. MK-CF-O-010 theMonth
41. MK-CF-F-099 deductionFor
42. MK-ST-F-048 currencySymbol
43. MK-CF-F-172 hasWage
44. MK-CF-F-176 sumMonthsOverEarners
45. MK-CF-F-177 wageGrossByMonth
46. MK-CF-F-060 salaryGrossByMonth
47. MK-CF-F-072 currentRetirementIncomeMonthly
48. MK-CF-F-071 extraIncome
49. MK-CF-F-068 rentalNetAnnual
50. MK-CF-F-066 rsuAnnual
51. MK-CF-F-074 tipsAnnual
52. MK-CF-F-140 periodsAYear
53. MK-CF-O-002 expenses
54. MK-CF-O-003 thisMonth
55. MK-CF-F-187 seniorDeductionFor
56. MK-ST-F-047 activeCurrency
57. MK-CF-F-130 enteredMonthlyRaw
58. MK-CF-F-166 hasMonthlySalaryTable
59. MK-ST-F-036 reconcile
60. MK-CF-F-167 salaryCalendarYear
61. MK-CF-F-075 retirementIncomeMonthly
62. MK-CF-F-070 benefitAnnual
63. MK-CF-F-067 rentalList
64. MK-CF-F-062 equityRowValue
65. MK-CF-F-063 rowVestYear
66. MK-CF-F-081 salaryActiveMonths
67. MK-CF-F-151 actualSpending
68. MK-CF-F-150 debtPaymentsCountedAsExpenses
69. MK-CF-F-153 radar
70. MK-CF-F-149 recurringDebtPayments
71. MK-CF-F-005 actualMonthFlow
72. MK-CF-F-156 plannedMonthFlow
73. MK-CF-F-165 salaryMonths
74. MK-CF-F-069 benefitActiveMonths
75. MK-ST-F-085 rentFigure
76. MK-CF-F-148 inMonth
77. MK-CF-F-191 ym
78. MK-CF-F-022 paymentShape
79. MK-CF-F-152 isRadarItem
80. MK-CF-F-023 requiredPayment
81. MK-NW-F-078 ONE
82. MK-CF-F-157 debtPaymentsByDebt
83. MK-CF-F-192 inflowLabel
84. MK-XS-F-027 takeHomeMonthly
85. MK-CF-F-021 defaultPaymentType
86. MK-NW-F-077 ALL
87. MK-NW-F-059 currentYield
88. MK-NW-O-001 theBonds
89. MK-CF-F-193 inflowSourceWord
90. MK-CF-F-092 incomeMonthlyGrid
91. MK-CF-F-011 savingsByMonth
92. MK-NW-F-112 yearlyInterest
93. MK-ST-F-027 accountId
94. MK-NW-F-057 annualCoupon
95. MK-NW-F-056 bondInfo
96. MK-NW-F-064 bondRateSensitivity
97. MK-NW-F-061 bondSummary
98. MK-NW-F-055 isBond
99. MK-NW-F-124 maturityParts
100. MK-NW-F-072 rowOf
101. MK-CF-F-065 equityVestWeights
102. MK-CF-F-087 monthlyTaxRates
103. MK-CF-F-073 otherIncomeMonth
104. MK-CF-F-077 scholarshipByCalendarMonth
105. MK-CF-F-088 taxableByCalendarMonth
106. MK-PL-F-012 waterfall
107. MK-CF-F-008 spendByMonth
108. MK-NW-F-060 approxYTM
109. MK-NW-F-069 priceAtYield
110. MK-NW-F-131 pricedLikeBond
111. MK-NW-F-125 isPastMaturity
112. MK-ST-F-065 isoLocalDate
113. MK-NW-F-126 yearlyInterestNow
114. MK-NW-F-011 assetClassOf
115. MK-NW-F-009 maturityClass
116. MK-NW-F-070 accruedInterestCaveat
117. MK-NW-F-058 yearsToMaturity
118. MK-CF-F-090 effectiveRate
119. MK-CF-F-120 pctBaseMonthly
120. MK-CF-F-004 spendBuckets
121. MK-NW-F-119 estimatedAccrued
122. MK-NW-F-120 classEvidenceOf
123. MK-CF-F-003 categoryMonthly
124. MK-NW-F-008 incomeBearingClassOf
125. MK-ST-F-010 nameEvidence
126. MK-XS-F-147 call
127. MK-XS-F-064 currentIdToken
128. MK-XS-F-112 relayUrl</t>
        </is>
      </c>
      <c r="R216"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MK-CF-F-216 typed → MK-CF-F-143 annualisedGross → MK-CF-F-171 earnerPay → MK-CF-O-001 basePay → MK-CF-O-011 PAY
5. MK-CF-F-128 grossByMonth → MK-CF-F-143 annualisedGross → MK-CF-F-145 deductionsFromPay → MK-CF-F-171 earnerPay → MK-CF-O-001 basePay → MK-CF-O-011 PAY
6. MK-CF-F-216 typed → MK-CF-F-143 annualisedGross → MK-CF-F-145 deductionsFromPay → MK-CF-F-171 earnerPay → MK-CF-O-001 basePay → MK-CF-O-011 PAY
7. MK-CF-F-143 annualisedGross → MK-CF-F-144 takeHomeAsEntered → MK-CF-F-145 deductionsFromPay → MK-CF-F-171 earnerPay → MK-CF-O-001 basePay → MK-CF-O-011 PAY
8. MK-CF-F-142 monthsOf → MK-CF-F-144 takeHomeAsEntered → MK-CF-F-145 deductionsFromPay → MK-CF-F-171 earnerPay → MK-CF-O-001 basePay → MK-CF-O-011 PAY
9. … and 4 more paths</t>
        </is>
      </c>
      <c r="S216" s="3" t="inlineStr">
        <is>
          <t>—</t>
        </is>
      </c>
      <c r="T216" s="3" t="inlineStr">
        <is>
          <t>—</t>
        </is>
      </c>
      <c r="U216" s="3" t="inlineStr">
        <is>
          <t>ACTIVE</t>
        </is>
      </c>
      <c r="V216" s="3" t="inlineStr">
        <is>
          <t>2026-09-28</t>
        </is>
      </c>
      <c r="W216" s="3" t="n"/>
      <c r="X216" s="3" t="n"/>
      <c r="Y216" s="3" t="inlineStr">
        <is>
          <t>NOTHING OPEN</t>
        </is>
      </c>
    </row>
    <row r="217" ht="60" customHeight="1">
      <c r="A217" s="3" t="inlineStr">
        <is>
          <t>MK-CF-O-012</t>
        </is>
      </c>
      <c r="B217" s="3" t="inlineStr">
        <is>
          <t>PAY_ESTIMATED</t>
        </is>
      </c>
      <c r="C217" s="3" t="inlineStr">
        <is>
          <t>MoneyKeel/functions/cashflow/base-pay.ts</t>
        </is>
      </c>
      <c r="D217" s="3" t="n">
        <v>695</v>
      </c>
      <c r="E217" s="3" t="inlineStr">
        <is>
          <t>1 · ACTION</t>
        </is>
      </c>
      <c r="F217" s="3" t="inlineStr">
        <is>
          <t>Example only: runs basePay on the worked example household with the tax rate calculated.</t>
        </is>
      </c>
      <c r="G217" s="11" t="inlineStr">
        <is>
          <t>NOT READ YET — the body is not a shape this can render faithfully, so nothing is claimed rather than something being guessed. It needs reading by hand.</t>
        </is>
      </c>
      <c r="H217" s="3" t="inlineStr">
        <is>
          <t>NOT READ YET — the body is not a shape this can render faithfully, so nothing is claimed rather than something being guessed. It needs reading by hand.</t>
        </is>
      </c>
      <c r="I217" s="3" t="inlineStr">
        <is>
          <t>NOT READ — nothing is claimed rather than something guessed</t>
        </is>
      </c>
      <c r="J217" s="3" t="inlineStr">
        <is>
          <t>Nothing is handed to it</t>
        </is>
      </c>
      <c r="K217" s="3" t="inlineStr">
        <is>
          <t>EXAMPLE_EARNERS as any, filingStatus: 'married', over65: 0, profile:</t>
        </is>
      </c>
      <c r="L217" s="3" t="inlineStr">
        <is>
          <t>—</t>
        </is>
      </c>
      <c r="M217" s="3" t="inlineStr">
        <is>
          <t>None found in this function — anything it assumes comes from the functions it depends on.</t>
        </is>
      </c>
      <c r="N217" s="3" t="inlineStr">
        <is>
          <t>No</t>
        </is>
      </c>
      <c r="O217" s="3" t="inlineStr">
        <is>
          <t>MK-CF-O-001 basePay</t>
        </is>
      </c>
      <c r="P217" s="3" t="n">
        <v>128</v>
      </c>
      <c r="Q217"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MK-NW-F-067 plural
26. MK-CF-F-173 earnerWages
27. MK-CF-F-180 enteredLandsAnnual
28. MK-CF-F-085 filingStatusOf
29. MK-CF-F-206 householdK401ByMonth
30. MK-CF-F-089 over65CountOf
31. MK-CF-F-082 salaryAnnual
32. MK-CF-F-086 stateRateOf
33. MK-CF-F-101 taxOwedFor
34. MK-CF-F-084 taxableAnnual
35. MK-CF-F-216 typed
36. MK-CF-F-142 monthsOf
37. MK-CF-F-141 perMonth
38. MK-ST-F-056 has
39. MK-ST-F-039 on
40. MK-CF-O-010 theMonth
41. MK-CF-F-099 deductionFor
42. MK-ST-F-048 currencySymbol
43. MK-CF-F-172 hasWage
44. MK-CF-F-176 sumMonthsOverEarners
45. MK-CF-F-177 wageGrossByMonth
46. MK-CF-F-060 salaryGrossByMonth
47. MK-CF-F-072 currentRetirementIncomeMonthly
48. MK-CF-F-071 extraIncome
49. MK-CF-F-068 rentalNetAnnual
50. MK-CF-F-066 rsuAnnual
51. MK-CF-F-074 tipsAnnual
52. MK-CF-F-140 periodsAYear
53. MK-CF-O-002 expenses
54. MK-CF-O-003 thisMonth
55. MK-CF-F-187 seniorDeductionFor
56. MK-ST-F-047 activeCurrency
57. MK-CF-F-130 enteredMonthlyRaw
58. MK-CF-F-166 hasMonthlySalaryTable
59. MK-ST-F-036 reconcile
60. MK-CF-F-167 salaryCalendarYear
61. MK-CF-F-075 retirementIncomeMonthly
62. MK-CF-F-070 benefitAnnual
63. MK-CF-F-067 rentalList
64. MK-CF-F-062 equityRowValue
65. MK-CF-F-063 rowVestYear
66. MK-CF-F-081 salaryActiveMonths
67. MK-CF-F-151 actualSpending
68. MK-CF-F-150 debtPaymentsCountedAsExpenses
69. MK-CF-F-153 radar
70. MK-CF-F-149 recurringDebtPayments
71. MK-CF-F-005 actualMonthFlow
72. MK-CF-F-156 plannedMonthFlow
73. MK-CF-F-165 salaryMonths
74. MK-CF-F-069 benefitActiveMonths
75. MK-ST-F-085 rentFigure
76. MK-CF-F-148 inMonth
77. MK-CF-F-191 ym
78. MK-CF-F-022 paymentShape
79. MK-CF-F-152 isRadarItem
80. MK-CF-F-023 requiredPayment
81. MK-NW-F-078 ONE
82. MK-CF-F-157 debtPaymentsByDebt
83. MK-CF-F-192 inflowLabel
84. MK-XS-F-027 takeHomeMonthly
85. MK-CF-F-021 defaultPaymentType
86. MK-NW-F-077 ALL
87. MK-NW-F-059 currentYield
88. MK-NW-O-001 theBonds
89. MK-CF-F-193 inflowSourceWord
90. MK-CF-F-092 incomeMonthlyGrid
91. MK-CF-F-011 savingsByMonth
92. MK-NW-F-112 yearlyInterest
93. MK-ST-F-027 accountId
94. MK-NW-F-057 annualCoupon
95. MK-NW-F-056 bondInfo
96. MK-NW-F-064 bondRateSensitivity
97. MK-NW-F-061 bondSummary
98. MK-NW-F-055 isBond
99. MK-NW-F-124 maturityParts
100. MK-NW-F-072 rowOf
101. MK-CF-F-065 equityVestWeights
102. MK-CF-F-087 monthlyTaxRates
103. MK-CF-F-073 otherIncomeMonth
104. MK-CF-F-077 scholarshipByCalendarMonth
105. MK-CF-F-088 taxableByCalendarMonth
106. MK-PL-F-012 waterfall
107. MK-CF-F-008 spendByMonth
108. MK-NW-F-060 approxYTM
109. MK-NW-F-069 priceAtYield
110. MK-NW-F-131 pricedLikeBond
111. MK-NW-F-125 isPastMaturity
112. MK-ST-F-065 isoLocalDate
113. MK-NW-F-126 yearlyInterestNow
114. MK-NW-F-011 assetClassOf
115. MK-NW-F-009 maturityClass
116. MK-NW-F-070 accruedInterestCaveat
117. MK-NW-F-058 yearsToMaturity
118. MK-CF-F-090 effectiveRate
119. MK-CF-F-120 pctBaseMonthly
120. MK-CF-F-004 spendBuckets
121. MK-NW-F-119 estimatedAccrued
122. MK-NW-F-120 classEvidenceOf
123. MK-CF-F-003 categoryMonthly
124. MK-NW-F-008 incomeBearingClassOf
125. MK-ST-F-010 nameEvidence
126. MK-XS-F-147 call
127. MK-XS-F-064 currentIdToken
128. MK-XS-F-112 relayUrl</t>
        </is>
      </c>
      <c r="R217"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MK-CF-F-216 typed → MK-CF-F-143 annualisedGross → MK-CF-F-171 earnerPay → MK-CF-O-001 basePay → MK-CF-O-012 PAY_ESTIMATED
5. MK-CF-F-128 grossByMonth → MK-CF-F-143 annualisedGross → MK-CF-F-145 deductionsFromPay → MK-CF-F-171 earnerPay → MK-CF-O-001 basePay → MK-CF-O-012 PAY_ESTIMATED
6. MK-CF-F-216 typed → MK-CF-F-143 annualisedGross → MK-CF-F-145 deductionsFromPay → MK-CF-F-171 earnerPay → MK-CF-O-001 basePay → MK-CF-O-012 PAY_ESTIMATED
7. MK-CF-F-143 annualisedGross → MK-CF-F-144 takeHomeAsEntered → MK-CF-F-145 deductionsFromPay → MK-CF-F-171 earnerPay → MK-CF-O-001 basePay → MK-CF-O-012 PAY_ESTIMATED
8. MK-CF-F-142 monthsOf → MK-CF-F-144 takeHomeAsEntered → MK-CF-F-145 deductionsFromPay → MK-CF-F-171 earnerPay → MK-CF-O-001 basePay → MK-CF-O-012 PAY_ESTIMATED
9. … and 4 more paths</t>
        </is>
      </c>
      <c r="S217" s="3" t="inlineStr">
        <is>
          <t>—</t>
        </is>
      </c>
      <c r="T217" s="3" t="inlineStr">
        <is>
          <t>—</t>
        </is>
      </c>
      <c r="U217" s="3" t="inlineStr">
        <is>
          <t>ACTIVE</t>
        </is>
      </c>
      <c r="V217" s="3" t="inlineStr">
        <is>
          <t>2026-09-28</t>
        </is>
      </c>
      <c r="W217" s="3" t="n"/>
      <c r="X217" s="3" t="n"/>
      <c r="Y217" s="3" t="inlineStr">
        <is>
          <t>NOTHING OPEN</t>
        </is>
      </c>
    </row>
    <row r="218" ht="60" customHeight="1">
      <c r="A218" s="3" t="inlineStr">
        <is>
          <t>MK-CF-O-013</t>
        </is>
      </c>
      <c r="B218" s="3" t="inlineStr">
        <is>
          <t>PAY_LANDS_TYPED</t>
        </is>
      </c>
      <c r="C218" s="3" t="inlineStr">
        <is>
          <t>MoneyKeel/functions/cashflow/base-pay.ts</t>
        </is>
      </c>
      <c r="D218" s="3" t="n">
        <v>715</v>
      </c>
      <c r="E218" s="3" t="inlineStr">
        <is>
          <t>1 · ACTION</t>
        </is>
      </c>
      <c r="F218" s="3" t="inlineStr">
        <is>
          <t>Example only: runs basePay on the worked example household with the take-home entered.</t>
        </is>
      </c>
      <c r="G218" s="11" t="inlineStr">
        <is>
          <t>NOT READ YET — the body is not a shape this can render faithfully, so nothing is claimed rather than something being guessed. It needs reading by hand.</t>
        </is>
      </c>
      <c r="H218" s="3" t="inlineStr">
        <is>
          <t>NOT READ YET — the body is not a shape this can render faithfully, so nothing is claimed rather than something being guessed. It needs reading by hand.</t>
        </is>
      </c>
      <c r="I218" s="3" t="inlineStr">
        <is>
          <t>NOT READ — nothing is claimed rather than something guessed</t>
        </is>
      </c>
      <c r="J218" s="3" t="inlineStr">
        <is>
          <t>Nothing is handed to it</t>
        </is>
      </c>
      <c r="K218" s="3" t="inlineStr">
        <is>
          <t>EXAMPLE_EARNERS_WITH_LANDS as any, filingStatus: 'married', over65: 0, profile:</t>
        </is>
      </c>
      <c r="L218" s="3" t="inlineStr">
        <is>
          <t>—</t>
        </is>
      </c>
      <c r="M218" s="3" t="inlineStr">
        <is>
          <t>None found in this function — anything it assumes comes from the functions it depends on.</t>
        </is>
      </c>
      <c r="N218" s="3" t="inlineStr">
        <is>
          <t>No</t>
        </is>
      </c>
      <c r="O218" s="3" t="inlineStr">
        <is>
          <t>1. MK-CF-O-011 PAY
2. MK-CF-O-012 PAY_ESTIMATED
3. MK-CF-O-001 basePay
4. MK-XS-F-180 declareFigures
5. MK-ST-F-039 on</t>
        </is>
      </c>
      <c r="P218" s="3" t="n">
        <v>130</v>
      </c>
      <c r="Q218"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MK-NW-F-067 plural
29. MK-CF-F-173 earnerWages
30. MK-CF-F-180 enteredLandsAnnual
31. MK-CF-F-085 filingStatusOf
32. MK-CF-F-206 householdK401ByMonth
33. MK-CF-F-089 over65CountOf
34. MK-CF-F-082 salaryAnnual
35. MK-CF-F-086 stateRateOf
36. MK-CF-F-101 taxOwedFor
37. MK-CF-F-084 taxableAnnual
38. MK-CF-F-216 typed
39. MK-CF-F-142 monthsOf
40. MK-CF-F-141 perMonth
41. MK-ST-F-056 has
42. MK-CF-O-010 theMonth
43. MK-CF-F-099 deductionFor
44. MK-ST-F-048 currencySymbol
45. MK-CF-F-172 hasWage
46. MK-CF-F-176 sumMonthsOverEarners
47. MK-CF-F-177 wageGrossByMonth
48. MK-CF-F-060 salaryGrossByMonth
49. MK-CF-F-072 currentRetirementIncomeMonthly
50. MK-CF-F-071 extraIncome
51. MK-CF-F-068 rentalNetAnnual
52. MK-CF-F-066 rsuAnnual
53. MK-CF-F-074 tipsAnnual
54. MK-CF-F-140 periodsAYear
55. MK-CF-O-002 expenses
56. MK-CF-O-003 thisMonth
57. MK-CF-F-187 seniorDeductionFor
58. MK-ST-F-047 activeCurrency
59. MK-CF-F-130 enteredMonthlyRaw
60. MK-CF-F-166 hasMonthlySalaryTable
61. MK-ST-F-036 reconcile
62. MK-CF-F-167 salaryCalendarYear
63. MK-CF-F-075 retirementIncomeMonthly
64. MK-CF-F-070 benefitAnnual
65. MK-CF-F-067 rentalList
66. MK-CF-F-062 equityRowValue
67. MK-CF-F-063 rowVestYear
68. MK-CF-F-081 salaryActiveMonths
69. MK-CF-F-151 actualSpending
70. MK-CF-F-150 debtPaymentsCountedAsExpenses
71. MK-CF-F-153 radar
72. MK-CF-F-149 recurringDebtPayments
73. MK-CF-F-005 actualMonthFlow
74. MK-CF-F-156 plannedMonthFlow
75. MK-CF-F-165 salaryMonths
76. MK-CF-F-069 benefitActiveMonths
77. MK-ST-F-085 rentFigure
78. MK-CF-F-148 inMonth
79. MK-CF-F-191 ym
80. MK-CF-F-022 paymentShape
81. MK-CF-F-152 isRadarItem
82. MK-CF-F-023 requiredPayment
83. MK-NW-F-078 ONE
84. MK-CF-F-157 debtPaymentsByDebt
85. MK-CF-F-192 inflowLabel
86. MK-XS-F-027 takeHomeMonthly
87. MK-CF-F-021 defaultPaymentType
88. MK-NW-F-077 ALL
89. MK-NW-F-059 currentYield
90. MK-NW-O-001 theBonds
91. MK-CF-F-193 inflowSourceWord
92. MK-CF-F-092 incomeMonthlyGrid
93. MK-CF-F-011 savingsByMonth
94. MK-NW-F-112 yearlyInterest
95. MK-ST-F-027 accountId
96. MK-NW-F-057 annualCoupon
97. MK-NW-F-056 bondInfo
98. MK-NW-F-064 bondRateSensitivity
99. MK-NW-F-061 bondSummary
100. MK-NW-F-055 isBond
101. MK-NW-F-124 maturityParts
102. MK-NW-F-072 rowOf
103. MK-CF-F-065 equityVestWeights
104. MK-CF-F-087 monthlyTaxRates
105. MK-CF-F-073 otherIncomeMonth
106. MK-CF-F-077 scholarshipByCalendarMonth
107. MK-CF-F-088 taxableByCalendarMonth
108. MK-PL-F-012 waterfall
109. MK-CF-F-008 spendByMonth
110. MK-NW-F-060 approxYTM
111. MK-NW-F-069 priceAtYield
112. MK-NW-F-131 pricedLikeBond
113. MK-NW-F-125 isPastMaturity
114. MK-ST-F-065 isoLocalDate
115. MK-NW-F-126 yearlyInterestNow
116. MK-NW-F-011 assetClassOf
117. MK-NW-F-009 maturityClass
118. MK-NW-F-070 accruedInterestCaveat
119. MK-NW-F-058 yearsToMaturity
120. MK-CF-F-090 effectiveRate
121. MK-CF-F-120 pctBaseMonthly
122. MK-CF-F-004 spendBuckets
123. MK-NW-F-119 estimatedAccrued
124. MK-NW-F-120 classEvidenceOf
125. MK-CF-F-003 categoryMonthly
126. MK-NW-F-008 incomeBearingClassOf
127. MK-ST-F-010 nameEvidence
128. MK-XS-F-147 call
129. MK-XS-F-064 currentIdToken
130. MK-XS-F-112 relayUrl</t>
        </is>
      </c>
      <c r="R218" s="3" t="inlineStr">
        <is>
          <t>1. MK-ST-F-034 firstDate → MK-ST-F-035 covers → MK-CF-O-001 basePay → MK-CF-O-011 PAY → MK-CF-O-013 PAY_LANDS_TYPED
2. MK-CF-F-128 grossByMonth → MK-CF-F-143 annualisedGross → MK-CF-F-171 earnerPay → MK-CF-O-001 basePay → MK-CF-O-011 PAY → MK-CF-O-013 PAY_LANDS_TYPED
3. MK-CF-F-216 typed → MK-CF-F-143 annualisedGross → MK-CF-F-171 earnerPay → MK-CF-O-001 basePay → MK-CF-O-011 PAY → MK-CF-O-013 PAY_LANDS_TYPED
4. MK-CF-F-143 annualisedGross → MK-CF-F-145 deductionsFromPay → MK-CF-F-171 earnerPay → MK-CF-O-001 basePay → MK-CF-O-011 PAY → MK-CF-O-013 PAY_LANDS_TYPED
5. MK-CF-F-144 takeHomeAsEntered → MK-CF-F-145 deductionsFromPay → MK-CF-F-171 earnerPay → MK-CF-O-001 basePay → MK-CF-O-011 PAY → MK-CF-O-013 PAY_LANDS_TYPED
6. MK-ST-F-052 toNum → MK-CF-F-145 deductionsFromPay → MK-CF-F-171 earnerPay → MK-CF-O-001 basePay → MK-CF-O-011 PAY → MK-CF-O-013 PAY_LANDS_TYPED
7. MK-CF-F-142 monthsOf → MK-CF-F-128 grossByMonth → MK-CF-F-171 earnerPay → MK-CF-O-001 basePay → MK-CF-O-011 PAY → MK-CF-O-013 PAY_LANDS_TYPED
8. MK-CF-F-141 perMonth → MK-CF-F-128 grossByMonth → MK-CF-F-171 earnerPay → MK-CF-O-001 basePay → MK-CF-O-011 PAY → MK-CF-O-013 PAY_LANDS_TYPED
9. … and 5 more paths</t>
        </is>
      </c>
      <c r="S218" s="3" t="inlineStr">
        <is>
          <t>—</t>
        </is>
      </c>
      <c r="T218" s="3" t="inlineStr">
        <is>
          <t>—</t>
        </is>
      </c>
      <c r="U218" s="3" t="inlineStr">
        <is>
          <t>ACTIVE</t>
        </is>
      </c>
      <c r="V218" s="3" t="inlineStr">
        <is>
          <t>2026-09-28</t>
        </is>
      </c>
      <c r="W218" s="3" t="n"/>
      <c r="X218" s="3" t="n"/>
      <c r="Y218" s="3" t="inlineStr">
        <is>
          <t>NOTHING OPEN</t>
        </is>
      </c>
    </row>
    <row r="219" ht="60" customHeight="1">
      <c r="A219" s="3" t="inlineStr">
        <is>
          <t>MK-CF-O-014</t>
        </is>
      </c>
      <c r="B219" s="3" t="inlineStr">
        <is>
          <t>M</t>
        </is>
      </c>
      <c r="C219" s="3" t="inlineStr">
        <is>
          <t>MoneyKeel/functions/cashflow/this-month.ts</t>
        </is>
      </c>
      <c r="D219" s="3" t="n">
        <v>484</v>
      </c>
      <c r="E219" s="3" t="inlineStr">
        <is>
          <t>1 · ACTION</t>
        </is>
      </c>
      <c r="F219" s="3" t="inlineStr">
        <is>
          <t>Example only: runs thisMonth on the worked example and calculates nothing of its own.</t>
        </is>
      </c>
      <c r="G219" s="11" t="inlineStr">
        <is>
          <t>this month(EXAMPLE)</t>
        </is>
      </c>
      <c r="H219" s="3" t="inlineStr">
        <is>
          <t>this month(EXAMPLE)</t>
        </is>
      </c>
      <c r="I219" s="3" t="inlineStr">
        <is>
          <t>READ FROM THE CODE — rendered from the expressions the function runs</t>
        </is>
      </c>
      <c r="J219" s="3" t="inlineStr">
        <is>
          <t>Nothing is handed to it</t>
        </is>
      </c>
      <c r="K219" s="3" t="inlineStr">
        <is>
          <t>NOT DECLARED — the code does not say what it gives back</t>
        </is>
      </c>
      <c r="L219" s="3" t="inlineStr">
        <is>
          <t>—</t>
        </is>
      </c>
      <c r="M219" s="3" t="inlineStr">
        <is>
          <t>None found in this function — anything it assumes comes from the functions it depends on.</t>
        </is>
      </c>
      <c r="N219" s="3" t="inlineStr">
        <is>
          <t>No</t>
        </is>
      </c>
      <c r="O219" s="3" t="inlineStr">
        <is>
          <t>MK-CF-O-003 thisMonth</t>
        </is>
      </c>
      <c r="P219" s="3" t="n">
        <v>111</v>
      </c>
      <c r="Q219"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MK-NW-F-112 yearlyInterest
28. MK-ST-F-048 currencySymbol
29. MK-ST-F-039 on
30. MK-ST-F-027 accountId
31. MK-NW-F-057 annualCoupon
32. MK-NW-F-056 bondInfo
33. MK-NW-F-064 bondRateSensitivity
34. MK-NW-F-061 bondSummary
35. MK-NW-F-055 isBond
36. MK-NW-F-124 maturityParts
37. MK-NW-F-072 rowOf
38. MK-CF-O-010 theMonth
39. MK-CF-F-021 defaultPaymentType
40. MK-CF-F-069 benefitActiveMonths
41. MK-CF-F-072 currentRetirementIncomeMonthly
42. MK-CF-F-173 earnerWages
43. MK-CF-F-065 equityVestWeights
44. MK-CF-F-071 extraIncome
45. MK-ST-F-056 has
46. MK-CF-F-206 householdK401ByMonth
47. MK-CF-F-087 monthlyTaxRates
48. MK-CF-F-073 otherIncomeMonth
49. MK-CF-F-181 rateInForce
50. MK-CF-F-068 rentalNetAnnual
51. MK-CF-F-066 rsuAnnual
52. MK-CF-F-060 salaryGrossByMonth
53. MK-CF-F-077 scholarshipByCalendarMonth
54. MK-CF-F-088 taxableByCalendarMonth
55. MK-CF-F-177 wageGrossByMonth
56. MK-PL-F-012 waterfall
57. MK-CF-F-008 spendByMonth
58. MK-ST-F-047 activeCurrency
59. MK-NW-F-060 approxYTM
60. MK-NW-F-069 priceAtYield
61. MK-NW-F-131 pricedLikeBond
62. MK-NW-F-125 isPastMaturity
63. MK-ST-F-065 isoLocalDate
64. MK-NW-F-126 yearlyInterestNow
65. MK-NW-F-011 assetClassOf
66. MK-NW-F-009 maturityClass
67. MK-CF-F-216 typed
68. MK-NW-F-070 accruedInterestCaveat
69. MK-NW-F-058 yearsToMaturity
70. MK-CF-O-002 expenses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MK-NW-F-119 estimatedAccrued
93. MK-NW-F-120 classEvidenceOf
94. MK-NW-F-067 plural
95. MK-CF-F-151 actualSpending
96. MK-CF-F-150 debtPaymentsCountedAsExpenses
97. MK-CF-F-153 radar
98. MK-CF-F-149 recurringDebtPayments
99. MK-CF-F-100 taxableIncomeFor
100. MK-CF-F-074 tipsAnnual
101. MK-ST-F-085 rentFigure
102. MK-CF-F-165 salaryMonths
103. MK-CF-F-003 categoryMonthly
104. MK-NW-F-008 incomeBearingClassOf
105. MK-CF-F-099 deductionFor
106. MK-CF-F-081 salaryActiveMonths
107. MK-ST-F-010 nameEvidence
108. MK-CF-F-187 seniorDeductionFor
109. MK-XS-F-147 call
110. MK-XS-F-064 currentIdToken
111. MK-XS-F-112 relayUrl</t>
        </is>
      </c>
      <c r="R219" s="3" t="inlineStr">
        <is>
          <t>1. MK-NW-O-001 theBonds → MK-NW-F-077 ALL → MK-NW-F-078 ONE → MK-CF-F-005 actualMonthFlow → MK-CF-O-003 thisMonth → MK-CF-O-014 M
2. MK-NW-F-112 yearlyInterest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19" s="3" t="inlineStr">
        <is>
          <t>—</t>
        </is>
      </c>
      <c r="T219" s="3" t="inlineStr">
        <is>
          <t>—</t>
        </is>
      </c>
      <c r="U219" s="3" t="inlineStr">
        <is>
          <t>ACTIVE</t>
        </is>
      </c>
      <c r="V219" s="3" t="inlineStr">
        <is>
          <t>2026-09-28</t>
        </is>
      </c>
      <c r="W219" s="3" t="n"/>
      <c r="X219" s="3" t="n"/>
      <c r="Y219" s="3" t="inlineStr">
        <is>
          <t>NOTHING OPEN</t>
        </is>
      </c>
    </row>
    <row r="220" ht="60" customHeight="1">
      <c r="A220" s="3" t="inlineStr">
        <is>
          <t>MK-CF-O-015</t>
        </is>
      </c>
      <c r="B220" s="3" t="inlineStr">
        <is>
          <t>workedLineAmount</t>
        </is>
      </c>
      <c r="C220" s="3" t="inlineStr">
        <is>
          <t>MoneyKeel/functions/cashflow/this-month.ts</t>
        </is>
      </c>
      <c r="D220" s="3" t="n">
        <v>504</v>
      </c>
      <c r="E220" s="3" t="inlineStr">
        <is>
          <t>1 · ACTION</t>
        </is>
      </c>
      <c r="F220" s="3" t="inlineStr">
        <is>
          <t>Example only: reads one row's amount from the worked example of the month.</t>
        </is>
      </c>
      <c r="G220" s="11" t="inlineStr">
        <is>
          <t>NOT READ YET — the body is not a shape this can render faithfully, so nothing is claimed rather than something being guessed. It needs reading by hand.</t>
        </is>
      </c>
      <c r="H220" s="3" t="inlineStr">
        <is>
          <t>NOT READ YET — the body is not a shape this can render faithfully, so nothing is claimed rather than something being guessed. It needs reading by hand.</t>
        </is>
      </c>
      <c r="I220" s="3" t="inlineStr">
        <is>
          <t>NOT READ — nothing is claimed rather than something guessed</t>
        </is>
      </c>
      <c r="J220" s="3" t="inlineStr">
        <is>
          <t>1. block: 'planned' | 'actual'
2. startsWith: string</t>
        </is>
      </c>
      <c r="K220" s="3" t="inlineStr">
        <is>
          <t>NOT DECLARED — the code does not say what it gives back</t>
        </is>
      </c>
      <c r="L220" s="3" t="inlineStr">
        <is>
          <t>—</t>
        </is>
      </c>
      <c r="M220" s="3" t="inlineStr">
        <is>
          <t>None found in this function — anything it assumes comes from the functions it depends on.</t>
        </is>
      </c>
      <c r="N220" s="3" t="inlineStr">
        <is>
          <t>No</t>
        </is>
      </c>
      <c r="O220" s="3" t="inlineStr">
        <is>
          <t>1. MK-CF-O-014 M
2. MK-XS-F-180 declareFigures</t>
        </is>
      </c>
      <c r="P220" s="3" t="n">
        <v>112</v>
      </c>
      <c r="Q220"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MK-NW-F-112 yearlyInterest
29. MK-ST-F-048 currencySymbol
30. MK-ST-F-039 on
31. MK-ST-F-027 accountId
32. MK-NW-F-057 annualCoupon
33. MK-NW-F-056 bondInfo
34. MK-NW-F-064 bondRateSensitivity
35. MK-NW-F-061 bondSummary
36. MK-NW-F-055 isBond
37. MK-NW-F-124 maturityParts
38. MK-NW-F-072 rowOf
39. MK-CF-O-010 theMonth
40. MK-CF-F-021 defaultPaymentType
41. MK-CF-F-069 benefitActiveMonths
42. MK-CF-F-072 currentRetirementIncomeMonthly
43. MK-CF-F-173 earnerWages
44. MK-CF-F-065 equityVestWeights
45. MK-CF-F-071 extraIncome
46. MK-ST-F-056 has
47. MK-CF-F-206 householdK401ByMonth
48. MK-CF-F-087 monthlyTaxRates
49. MK-CF-F-073 otherIncomeMonth
50. MK-CF-F-181 rateInForce
51. MK-CF-F-068 rentalNetAnnual
52. MK-CF-F-066 rsuAnnual
53. MK-CF-F-060 salaryGrossByMonth
54. MK-CF-F-077 scholarshipByCalendarMonth
55. MK-CF-F-088 taxableByCalendarMonth
56. MK-CF-F-177 wageGrossByMonth
57. MK-PL-F-012 waterfall
58. MK-CF-F-008 spendByMonth
59. MK-ST-F-047 activeCurrency
60. MK-NW-F-060 approxYTM
61. MK-NW-F-069 priceAtYield
62. MK-NW-F-131 pricedLikeBond
63. MK-NW-F-125 isPastMaturity
64. MK-ST-F-065 isoLocalDate
65. MK-NW-F-126 yearlyInterestNow
66. MK-NW-F-011 assetClassOf
67. MK-NW-F-009 maturityClass
68. MK-CF-F-216 typed
69. MK-NW-F-070 accruedInterestCaveat
70. MK-NW-F-058 yearsToMaturity
71. MK-CF-O-002 expenses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MK-NW-F-119 estimatedAccrued
94. MK-NW-F-120 classEvidenceOf
95. MK-NW-F-067 plural
96. MK-CF-F-151 actualSpending
97. MK-CF-F-150 debtPaymentsCountedAsExpenses
98. MK-CF-F-153 radar
99. MK-CF-F-149 recurringDebtPayments
100. MK-CF-F-100 taxableIncomeFor
101. MK-CF-F-074 tipsAnnual
102. MK-ST-F-085 rentFigure
103. MK-CF-F-165 salaryMonths
104. MK-CF-F-003 categoryMonthly
105. MK-NW-F-008 incomeBearingClassOf
106. MK-CF-F-099 deductionFor
107. MK-CF-F-081 salaryActiveMonths
108. MK-ST-F-010 nameEvidence
109. MK-CF-F-187 seniorDeductionFor
110. MK-XS-F-147 call
111. MK-XS-F-064 currentIdToken
112. MK-XS-F-112 relayUrl</t>
        </is>
      </c>
      <c r="R220"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20" s="3" t="inlineStr">
        <is>
          <t>—</t>
        </is>
      </c>
      <c r="T220" s="3" t="inlineStr">
        <is>
          <t>—</t>
        </is>
      </c>
      <c r="U220" s="3" t="inlineStr">
        <is>
          <t>ACTIVE</t>
        </is>
      </c>
      <c r="V220" s="3" t="inlineStr">
        <is>
          <t>2026-09-28</t>
        </is>
      </c>
      <c r="W220" s="3" t="n"/>
      <c r="X220" s="3" t="n"/>
      <c r="Y220" s="3" t="inlineStr">
        <is>
          <t>NOTHING OPEN</t>
        </is>
      </c>
    </row>
    <row r="221" ht="60" customHeight="1">
      <c r="A221" s="3" t="inlineStr">
        <is>
          <t>MK-CF-O-016</t>
        </is>
      </c>
      <c r="B221" s="3" t="inlineStr">
        <is>
          <t>incomeSources</t>
        </is>
      </c>
      <c r="C221" s="3" t="inlineStr">
        <is>
          <t>MoneyKeel/functions/cashflow/income-summary.ts</t>
        </is>
      </c>
      <c r="D221" s="3" t="n">
        <v>482</v>
      </c>
      <c r="E221" s="3" t="inlineStr">
        <is>
          <t>3 · DEPENDENT</t>
        </is>
      </c>
      <c r="F221" s="3" t="inlineStr">
        <is>
          <t>Which sources of income has this household entered, and what does each one bring in?</t>
        </is>
      </c>
      <c r="G221"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21"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21" s="3" t="inlineStr">
        <is>
          <t>PARTLY READ — some of the code is still showing through; needs a hand pass</t>
        </is>
      </c>
      <c r="J221" s="3" t="inlineStr">
        <is>
          <t>op: Record&lt;string, any&gt; | null</t>
        </is>
      </c>
      <c r="K221" s="3" t="inlineStr">
        <is>
          <t>IncomeSource[]</t>
        </is>
      </c>
      <c r="L221" s="3" t="inlineStr">
        <is>
          <t>—</t>
        </is>
      </c>
      <c r="M221" s="3" t="inlineStr">
        <is>
          <t>None found in this function — anything it assumes comes from the functions it depends on.</t>
        </is>
      </c>
      <c r="N221" s="3" t="inlineStr">
        <is>
          <t>Yes</t>
        </is>
      </c>
      <c r="O221" s="3" t="inlineStr">
        <is>
          <t>1. MK-CF-F-207 SOURCE
2. MK-CF-F-072 currentRetirementIncomeMonthly
3. MK-CF-F-173 earnerWages
4. MK-CF-F-068 rentalNetAnnual
5. MK-CF-F-075 retirementIncomeMonthly
6. MK-CF-F-066 rsuAnnual
7. MK-ST-F-052 toNum</t>
        </is>
      </c>
      <c r="P221" s="3" t="n">
        <v>27</v>
      </c>
      <c r="Q221" s="3" t="inlineStr">
        <is>
          <t>1. MK-CF-F-207 SOURCE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MK-ST-F-085 rentFigure
21. MK-CF-F-216 typed
22. MK-CF-F-148 inMonth
23. MK-CF-F-191 ym
24. MK-CF-F-022 paymentShape
25. MK-CF-F-152 isRadarItem
26. MK-CF-F-023 requiredPayment
27. MK-CF-F-021 defaultPaymentType</t>
        </is>
      </c>
      <c r="R221" s="3" t="inlineStr">
        <is>
          <t>1. incomeSources (already above — a loop) → MK-CF-F-207 SOURCE → MK-CF-O-016 incomeSources
2. MK-XS-F-122 n → MK-ST-F-052 toNum → MK-CF-F-075 retirementIncomeMonthly → MK-CF-F-072 currentRetirementIncomeMonthly → MK-CF-O-016 incomeSources
3. MK-ST-F-056 has → MK-CF-F-172 hasWage → MK-CF-F-173 earnerWages → MK-CF-O-016 incomeSources
4. MK-CF-F-191 ym → MK-CF-F-148 inMonth → MK-CF-F-151 actualSpending → MK-CF-O-002 expenses → MK-CF-F-068 rentalNetAnnual → MK-CF-O-016 incomeSources
5. MK-XS-F-122 n → MK-ST-F-052 toNum → MK-CF-F-151 actualSpending → MK-CF-O-002 expenses → MK-CF-F-068 rentalNetAnnual → MK-CF-O-016 incomeSources
6. MK-CF-F-191 ym → MK-CF-F-151 actualSpending → MK-CF-O-002 expenses → MK-CF-F-068 rentalNetAnnual → MK-CF-O-016 incomeSources
7. MK-ST-F-056 has → MK-CF-F-150 debtPaymentsCountedAsExpenses → MK-CF-O-002 expenses → MK-CF-F-068 rentalNetAnnual → MK-CF-O-016 incomeSources
8. MK-CF-F-191 ym → MK-CF-F-148 inMonth → MK-CF-F-150 debtPaymentsCountedAsExpenses → MK-CF-O-002 expenses → MK-CF-F-068 rentalNetAnnual → MK-CF-O-016 incomeSources
9. … and 5 more paths</t>
        </is>
      </c>
      <c r="S221" s="3" t="inlineStr">
        <is>
          <t>—</t>
        </is>
      </c>
      <c r="T221" s="3" t="inlineStr">
        <is>
          <t>—</t>
        </is>
      </c>
      <c r="U221" s="3" t="inlineStr">
        <is>
          <t>ACTIVE</t>
        </is>
      </c>
      <c r="V221" s="3" t="inlineStr">
        <is>
          <t>2026-10-02</t>
        </is>
      </c>
      <c r="W221" s="3" t="n"/>
      <c r="X221" s="3" t="n"/>
      <c r="Y221" s="3" t="inlineStr">
        <is>
          <t>NOTHING OPEN</t>
        </is>
      </c>
    </row>
    <row r="222" ht="60" customHeight="1">
      <c r="A222" s="3" t="inlineStr">
        <is>
          <t>MK-CF-O-017</t>
        </is>
      </c>
      <c r="B222" s="3" t="inlineStr">
        <is>
          <t>futurePaycheck</t>
        </is>
      </c>
      <c r="C222" s="3" t="inlineStr">
        <is>
          <t>MoneyKeel/functions/cashflow/future-paycheck.ts</t>
        </is>
      </c>
      <c r="D222" s="3" t="n">
        <v>67</v>
      </c>
      <c r="E222" s="3" t="inlineStr">
        <is>
          <t>2 · DISPLAYED</t>
        </is>
      </c>
      <c r="F222" s="3" t="inlineStr">
        <is>
          <t>About what would a month bring in at retirement: the guaranteed income plus a level draw from savings?</t>
        </is>
      </c>
      <c r="G222" s="11" t="inlineStr">
        <is>
          <t>age = age from profile(op)
retire age = A.retire age (or op.target retirement age read as a number (or 67 when missing or zero) when missing)
guaranteed = Σ over guaranteed outside streams(op) of (monthly)
nothing   when age = nothing (or age ≥ retire age when missing or zero)
inputs = will it last inputs({ op, accounts: input.accounts ?? [], assumptions: A, big costs: input.big costs, inflation rate: input.inflation rate, employment status: input.employment status } as any)
nothing   when inputs is missing (or inputs.start balance ≤ 0 when missing or zero)
projected egg = simulate(inputs).projected at retirement
nothing   when projected egg is missing (or projected egg ≤ 0 when missing or zero)
the answer:
retire age = retire age
monthly = round(guaranteed + proj year.draw from savings monthly)
guaranteed = round(guaranteed)
draw = round(proj year.draw from savings monthly)</t>
        </is>
      </c>
      <c r="H222" s="3" t="inlineStr">
        <is>
          <t>Age is age from profile(op). Retire age is A.retire age (or op.target retirement age read as a number (or 67 — when missing or zero) — when missing). Guaranteed: the monthly added up across guaranteed outside streams(op). When age is missing (or age is at least retire age — when missing or zero), it answers no answer. Inputs is will it last inputs({ op, accounts: input.accounts ?? [], assumptions: A, big costs: input.big costs, inflation rate: input.inflation rate, employment status: input.employment status } as any). When inputs is missing (or inputs.start balance is at most 0 — when missing or zero), it answers no answer. Projected egg is simulate(inputs).projected at retirement. When projected egg is missing (or projected egg is at most 0 — when missing or zero), it answers no answer. The answer is retire age = retire age; monthly = guaranteed plus proj year.draw from savings monthly, to a whole number; guaranteed = guaranteed, to a whole number; draw = proj year.draw from savings monthly, to a whole number.</t>
        </is>
      </c>
      <c r="I222" s="3" t="inlineStr">
        <is>
          <t>PARTLY READ — some of the code is still showing through; needs a hand pass</t>
        </is>
      </c>
      <c r="J222" s="3" t="inlineStr">
        <is>
          <t>Nothing is handed to it</t>
        </is>
      </c>
      <c r="K222" s="3" t="inlineStr">
        <is>
          <t>NOT DECLARED — the code does not say what it gives back</t>
        </is>
      </c>
      <c r="L222" s="3" t="inlineStr">
        <is>
          <t>1. "Draw from savings" — on the Cash flow screen, under "YOUR FUTURE PAYCHECK"
2. "PROJECTION — an estimate, not a promise" — on the Cash flow screen, under "YOUR FUTURE PAYCHECK"
3. "Social Security
4. pension" — on the Cash flow screen, under "YOUR FUTURE PAYCHECK"</t>
        </is>
      </c>
      <c r="M222" s="3" t="inlineStr">
        <is>
          <t>· Rounds the answer to a whole number.</t>
        </is>
      </c>
      <c r="N222" s="3" t="inlineStr">
        <is>
          <t>Yes</t>
        </is>
      </c>
      <c r="O222" s="3" t="inlineStr">
        <is>
          <t>1. MK-CF-F-107 buildPaycheckYear
2. MK-XS-F-180 declareFigures
3. MK-CF-F-076 guaranteedOutsideStreams
4. MK-ST-F-039 on
5. MK-PL-F-050 simulate
6. MK-PL-F-001 taxBucketSplit
7. MK-PL-F-067 willItLastInputs
8. MK-PL-F-004 withdrawalOrder</t>
        </is>
      </c>
      <c r="P222" s="3" t="n">
        <v>174</v>
      </c>
      <c r="Q222" s="3" t="inlineStr">
        <is>
          <t>1. MK-CF-F-107 buildPaycheckYear
2. MK-XS-F-180 declareFigures
3. MK-CF-F-076 guaranteedOutsideStreams
4. MK-ST-F-039 on
5. MK-PL-F-050 simulate
6. MK-PL-F-001 taxBucketSplit
7. MK-PL-F-067 willItLastInputs
8. MK-PL-F-004 withdrawalOrder
9. MK-XS-F-004 buildDatedGrid
10. MK-CF-F-105 guaranteedRows
11. MK-CF-F-132 map
12. MK-NW-F-033 retirementEarmarkedValue
13. MK-CF-F-106 solveSafeDraw
14. MK-ST-F-052 toNum
15. MK-CF-O-002 expenses
16. MK-PL-F-074 median
17. MK-PL-F-072 mulberry32
18. MK-XS-F-122 n
19. MK-PL-F-073 normal
20. MK-PL-F-075 pctOfSorted
21. MK-ST-F-025 rmdStartAgeFromAge
22. MK-NW-F-026 accountDisplayNames
23. MK-NW-F-032 earmarkedAmount
24. MK-NW-F-031 primaryCarIdOf
25. MK-NW-F-110 primaryHomeIdOf
26. MK-PL-F-086 splitBucketOf
27. MK-PL-F-087 taxTypeNotStated
28. MK-CF-F-197 ageAttainedInYear
29. MK-XS-F-179 ageToday
30. MK-NW-F-037 blendedReturn
31. MK-NW-F-035 blendedVolatility
32. MK-CF-F-102 effectiveRateOnGrossFor
33. MK-CF-F-085 filingStatusOf
34. MK-PL-F-083 inflationRateInForce
35. MK-NW-F-041 monthlyContributionsFromOnboarding
36. MK-PL-F-079 numOrZero
37. MK-CF-F-089 over65CountOf
38. MK-NW-F-004 portfolioActualReturn
39. MK-PL-F-049 retirementSpendMonthly
40. MK-PL-F-060 ssBenefitAt
41. MK-CF-F-086 stateRateOf
42. MK-CF-F-083 totalGrossAnnual
43. MK-PL-F-065 volOf
44. MK-PL-F-007 rmdAtAge
45. MK-PL-F-005 rmdStartAgeFor
46. MK-CF-F-069 benefitActiveMonths
47. MK-CF-F-072 currentRetirementIncomeMonthly
48. MK-CF-F-018 equityByMonth
49. MK-ST-F-056 has
50. MK-CF-F-204 line
51. MK-ST-F-053 money
52. MK-CF-F-087 monthlyTaxRates
53. MK-CF-F-073 otherIncomeMonth
54. MK-CF-F-022 paymentShape
55. MK-CF-F-068 rentalNetAnnual
56. MK-CF-F-023 requiredPayment
57. MK-CF-F-060 salaryGrossByMonth
58. MK-CF-F-008 spendByMonth
59. MK-CF-F-151 actualSpending
60. MK-CF-F-150 debtPaymentsCountedAsExpenses
61. MK-CF-F-153 radar
62. MK-CF-F-149 recurringDebtPayments
63. MK-ST-F-024 rmdStartAge
64. MK-NW-F-025 accountDisplayName
65. MK-NW-F-030 earmarkDefault
66. MK-NW-F-134 carValueNotEnteredNotes
67. MK-NW-F-133 valueEntered
68. MK-NW-F-117 propertyUseMap
69. MK-NW-F-007 assetKind
70. MK-NW-F-012 taxTreatmentOf
71. MK-XS-F-017 currentAge
72. MK-NW-F-034 benchmarkReturn
73. MK-CF-F-155 cash
74. MK-CF-F-101 taxOwedFor
75. MK-CF-F-053 annual401kLimit
76. MK-CF-F-078 employerMatchMonthly
77. MK-PL-F-047 colFactor
78. MK-PL-F-058 ssClaimFactorFor
79. MK-CF-F-071 extraIncome
80. MK-CF-F-066 rsuAnnual
81. MK-CF-F-082 salaryAnnual
82. MK-CF-F-074 tipsAnnual
83. MK-PL-F-077 clamp
84. MK-PL-F-078 rmdDivisorAtAge
85. MK-CF-F-075 retirementIncomeMonthly
86. MK-CF-F-062 equityRowValue
87. MK-CF-F-121 zero12
88. MK-CF-F-203 MONTH
89. MK-ST-F-049 formatMoney
90. MK-CF-F-090 effectiveRate
91. MK-CF-F-021 defaultPaymentType
92. MK-CF-F-067 rentalList
93. MK-CF-F-176 sumMonthsOverEarners
94. MK-CF-F-177 wageGrossByMonth
95. MK-CF-F-120 pctBaseMonthly
96. MK-CF-F-004 spendBuckets
97. MK-CF-F-148 inMonth
98. MK-CF-F-191 ym
99. MK-CF-F-152 isRadarItem
100. MK-NW-F-024 accountLastFour
101. MK-NW-F-023 wrapperWord
102. MK-NW-F-011 assetClassOf
103. MK-NW-F-116 rentedIdsOf
104. MK-CF-F-100 taxableIncomeFor
105. MK-CF-F-175 sumOverEarners
106. MK-CF-F-178 wageMatchMonthly
107. MK-PL-F-057 fullRetirementAge
108. MK-CF-F-070 benefitAnnual
109. MK-CF-F-063 rowVestYear
110. MK-CF-F-081 salaryActiveMonths
111. MK-CF-O-010 theMonth
112. MK-ST-F-048 currencySymbol
113. MK-CF-F-181 rateInForce
114. MK-ST-F-085 rentFigure
115. MK-CF-F-216 typed
116. MK-CF-F-173 earnerWages
117. MK-CF-F-130 enteredMonthlyRaw
118. MK-CF-F-166 hasMonthlySalaryTable
119. MK-ST-F-036 reconcile
120. MK-CF-F-167 salaryCalendarYear
121. MK-CF-F-092 incomeMonthlyGrid
122. MK-CF-F-003 categoryMonthly
123. MK-NW-F-120 classEvidenceOf
124. MK-NW-F-115 liveRent
125. MK-CF-F-099 deductionFor
126. MK-CF-O-003 thisMonth
127. MK-ST-F-047 activeCurrency
128. MK-CF-F-180 enteredLandsAnnual
129. MK-CF-F-206 householdK401ByMonth
130. MK-CF-F-084 taxableAnnual
131. MK-CF-F-172 hasWage
132. MK-CF-F-165 salaryMonths
133. MK-CF-F-065 equityVestWeights
134. MK-CF-F-077 scholarshipByCalendarMonth
135. MK-CF-F-088 taxableByCalendarMonth
136. MK-PL-F-012 waterfall
137. MK-XS-F-027 takeHomeMonthly
138. MK-NW-F-008 incomeBearingClassOf
139. MK-NW-F-009 maturityClass
140. MK-NW-F-114 rentAmount
141. MK-CF-F-187 seniorDeductionFor
142. MK-CF-F-005 actualMonthFlow
143. MK-CF-F-156 plannedMonthFlow
144. MK-CF-F-011 savingsByMonth
145. MK-ST-F-010 nameEvidence
146. MK-NW-F-124 maturityParts
147. MK-NW-F-078 ONE
148. MK-CF-F-157 debtPaymentsByDebt
149. MK-CF-F-192 inflowLabel
150. MK-XS-F-147 call
151. MK-NW-F-077 ALL
152. MK-NW-F-059 currentYield
153. MK-NW-O-001 theBonds
154. MK-CF-F-193 inflowSourceWord
155. MK-ST-F-027 accountId
156. MK-XS-F-064 currentIdToken
157. MK-XS-F-112 relayUrl
158. MK-NW-F-112 yearlyInterest
159. MK-NW-F-057 annualCoupon
160. MK-NW-F-056 bondInfo
161. MK-NW-F-064 bondRateSensitivity
162. MK-NW-F-061 bondSummary
163. MK-NW-F-055 isBond
164. MK-NW-F-072 rowOf
165. MK-NW-F-060 approxYTM
166. MK-NW-F-069 priceAtYield
167. MK-NW-F-131 pricedLikeBond
168. MK-NW-F-125 isPastMaturity
169. MK-ST-F-065 isoLocalDate
170. MK-NW-F-126 yearlyInterestNow
171. MK-NW-F-070 accruedInterestCaveat
172. MK-NW-F-058 yearsToMaturity
173. MK-NW-F-119 estimatedAccrued
174. MK-NW-F-067 plural</t>
        </is>
      </c>
      <c r="R222" s="3" t="inlineStr">
        <is>
          <t>1. MK-CF-F-069 benefitActiveMonths → MK-XS-F-004 buildDatedGrid → MK-CF-F-107 buildPaycheckYear → MK-CF-O-017 futurePaycheck
2. MK-ST-F-052 toNum → MK-CF-F-075 retirementIncomeMonthly → MK-CF-F-072 currentRetirementIncomeMonthly → MK-XS-F-004 buildDatedGrid → MK-CF-F-107 buildPaycheckYear → MK-CF-O-017 futurePaycheck
3. MK-ST-F-052 toNum → MK-CF-F-062 equityRowValue → MK-CF-F-018 equityByMonth → MK-XS-F-004 buildDatedGrid → MK-CF-F-107 buildPaycheckYear → MK-CF-O-017 futurePaycheck
4. MK-CF-F-062 equityRowValue → MK-CF-F-066 rsuAnnual → MK-CF-F-018 equityByMonth → MK-XS-F-004 buildDatedGrid → MK-CF-F-107 buildPaycheckYear → MK-CF-O-017 futurePaycheck
5. MK-CF-F-132 map → MK-CF-F-066 rsuAnnual → MK-CF-F-018 equityByMonth → MK-XS-F-004 buildDatedGrid → MK-CF-F-107 buildPaycheckYear → MK-CF-O-017 futurePaycheck
6. MK-CF-F-063 rowVestYear → MK-CF-F-066 rsuAnnual → MK-CF-F-018 equityByMonth → MK-XS-F-004 buildDatedGrid → MK-CF-F-107 buildPaycheckYear → MK-CF-O-017 futurePaycheck
7. MK-ST-F-052 toNum → MK-CF-F-066 rsuAnnual → MK-CF-F-018 equityByMonth → MK-XS-F-004 buildDatedGrid → MK-CF-F-107 buildPaycheckYear → MK-CF-O-017 futurePaycheck
8. MK-CF-F-121 zero12 → MK-CF-F-018 equityByMonth → MK-XS-F-004 buildDatedGrid → MK-CF-F-107 buildPaycheckYear → MK-CF-O-017 futurePaycheck
9. … and 5 more paths</t>
        </is>
      </c>
      <c r="S222" s="3" t="inlineStr">
        <is>
          <t>MK-CF-M-055 · MK-CF-M-070</t>
        </is>
      </c>
      <c r="T222" s="3" t="inlineStr">
        <is>
          <t>—</t>
        </is>
      </c>
      <c r="U222" s="3" t="inlineStr">
        <is>
          <t>DECOMMISSIONED 2026-10-03 — it was here and is not any more. Kept so the number is never reused and earlier work can still be traced.</t>
        </is>
      </c>
      <c r="V222" s="3" t="inlineStr">
        <is>
          <t>2026-10-03</t>
        </is>
      </c>
      <c r="W222" s="3" t="n"/>
      <c r="X222" s="3" t="n"/>
      <c r="Y222" s="3" t="inlineStr">
        <is>
          <t>NOTHING OPEN</t>
        </is>
      </c>
    </row>
    <row r="223" ht="60" customHeight="1">
      <c r="A223" s="3" t="inlineStr">
        <is>
          <t>MK-CF-O-018</t>
        </is>
      </c>
      <c r="B223" s="3" t="inlineStr">
        <is>
          <t>theDebts</t>
        </is>
      </c>
      <c r="C223" s="3" t="inlineStr">
        <is>
          <t>MoneyKeel/functions/cashflow/the-debts.ts</t>
        </is>
      </c>
      <c r="D223" s="3" t="n">
        <v>65</v>
      </c>
      <c r="E223" s="3" t="inlineStr">
        <is>
          <t>2 · DISPLAYED</t>
        </is>
      </c>
      <c r="F223" s="3" t="inlineStr">
        <is>
          <t>What do I owe, what does it ask of me each month, when would I be clear of it, and how much have I paid down this year?</t>
        </is>
      </c>
      <c r="G223" s="11" t="inlineStr">
        <is>
          <t>active = input.debts (or none when missing) where (remaining balance or 0) &gt; 0
total now = Σ over active of (remaining balance (or 0 when missing or zero))
began = input.start of year debt (or 0 when missing)
paid down = began − total now</t>
        </is>
      </c>
      <c r="H223" s="3" t="inlineStr">
        <is>
          <t>Active is input.debts (or none — when missing) where (remaining balance or 0) &gt; 0. Total now: the remaining balance (or 0 — when missing or zero) added up across active. Began is input.start of year debt (or 0 — when missing). Paid down is began minus total now.</t>
        </is>
      </c>
      <c r="I223" s="3" t="inlineStr">
        <is>
          <t>PARTLY READ — some of the code is still showing through; needs a hand pass</t>
        </is>
      </c>
      <c r="J223" s="3" t="inlineStr">
        <is>
          <t>Nothing is handed to it</t>
        </is>
      </c>
      <c r="K223" s="3" t="inlineStr">
        <is>
          <t>NOT DECLARED — the code does not say what it gives back</t>
        </is>
      </c>
      <c r="L223" s="3" t="inlineStr">
        <is>
          <t>"PROGRESS" — on the budget screen, under "PROGRESS"</t>
        </is>
      </c>
      <c r="M223" s="3" t="inlineStr">
        <is>
          <t>1. If start of year debt is missing it uses 0.
2. If extra monthly is missing it uses 0.
3. If remaining balance is missing it counts as zero, so nothing recorded and a real zero look the same.
4. If interest rate apr is missing it counts as zero, so nothing recorded and a real zero look the same.
5. Uses today's date from the device clock, so the answer changes by itself overnight.</t>
        </is>
      </c>
      <c r="N223" s="3" t="inlineStr">
        <is>
          <t>Yes</t>
        </is>
      </c>
      <c r="O223" s="3" t="inlineStr">
        <is>
          <t>1. MK-CF-F-025 minimumDebtService
2. MK-CF-F-034 payoffPlan
3. MK-CF-F-024 totalDebtMonthly</t>
        </is>
      </c>
      <c r="P223" s="3" t="n">
        <v>136</v>
      </c>
      <c r="Q223" s="3" t="inlineStr">
        <is>
          <t>1. MK-CF-F-025 minimumDebtService
2. MK-CF-F-034 payoffPlan
3. MK-CF-F-024 totalDebtMonthly
4. MK-CF-F-022 paymentShape
5. MK-CF-F-132 map
6. MK-CF-F-201 INCOME
7. MK-CF-F-023 requiredPayment
8. MK-CF-F-021 defaultPaymentType
9. MK-CF-F-207 SOURCE
10. MK-CF-O-004 incomeSummary
11. MK-CF-O-016 incomeSources
12. MK-CF-F-203 MONTH
13. MK-CF-O-001 basePay
14. MK-CF-F-069 benefitActiveMonths
15. MK-CF-F-072 currentRetirementIncomeMonthly
16. MK-CF-F-173 earnerWages
17. MK-CF-F-179 entryFromWage
18. MK-CF-F-071 extraIncome
19. MK-CF-F-085 filingStatusOf
20. MK-CF-F-092 incomeMonthlyGrid
21. MK-CF-F-192 inflowLabel
22. MK-CF-F-103 marginalBracketFor
23. MK-CF-F-089 over65CountOf
24. MK-CF-F-181 rateInForce
25. MK-CF-F-068 rentalNetAnnual
26. MK-CF-F-082 salaryAnnual
27. MK-CF-F-060 salaryGrossByMonth
28. MK-CF-F-084 taxableAnnual
29. MK-ST-F-052 toNum
30. MK-CF-F-075 retirementIncomeMonthly
31. MK-CF-F-066 rsuAnnual
32. MK-CF-O-010 theMonth
33. MK-ST-F-035 covers
34. MK-CF-F-171 earnerPay
35. MK-CF-F-204 line
36. MK-ST-F-053 money
37. MK-HM-F-006 money0
38. MK-XS-F-122 n
39. MK-CF-F-198 payrollTaxWithheld
40. MK-CF-F-172 hasWage
41. MK-CF-F-165 salaryMonths
42. MK-CF-F-070 benefitAnnual
43. MK-ST-F-039 on
44. MK-CF-F-065 equityVestWeights
45. MK-ST-F-056 has
46. MK-CF-F-206 householdK401ByMonth
47. MK-CF-F-087 monthlyTaxRates
48. MK-CF-F-073 otherIncomeMonth
49. MK-CF-F-077 scholarshipByCalendarMonth
50. MK-CF-F-088 taxableByCalendarMonth
51. MK-CF-F-177 wageGrossByMonth
52. MK-PL-F-012 waterfall
53. MK-CF-F-193 inflowSourceWord
54. MK-CF-F-100 taxableIncomeFor
55. MK-CF-F-180 enteredLandsAnnual
56. MK-CF-F-086 stateRateOf
57. MK-CF-F-101 taxOwedFor
58. MK-CF-O-002 expenses
59. MK-CF-F-067 rentalList
60. MK-CF-F-176 sumMonthsOverEarners
61. MK-CF-F-074 tipsAnnual
62. MK-CF-F-062 equityRowValue
63. MK-CF-F-063 rowVestYear
64. MK-CF-F-155 cash
65. MK-CF-O-003 thisMonth
66. MK-ST-F-034 firstDate
67. MK-CF-F-143 annualisedGross
68. MK-CF-F-145 deductionsFromPay
69. MK-CF-F-128 grossByMonth
70. MK-CF-F-146 payFiguresAgree
71. MK-CF-F-144 takeHomeAsEntered
72. MK-XS-F-180 declareFigures
73. MK-ST-F-049 formatMoney
74. MK-HM-F-005 pctTxt
75. MK-NW-F-067 plural
76. MK-CF-F-090 effectiveRate
77. MK-CF-F-130 enteredMonthlyRaw
78. MK-CF-F-166 hasMonthlySalaryTable
79. MK-ST-F-036 reconcile
80. MK-CF-F-167 salaryCalendarYear
81. MK-CF-F-099 deductionFor
82. MK-CF-F-151 actualSpending
83. MK-CF-F-150 debtPaymentsCountedAsExpenses
84. MK-CF-F-153 radar
85. MK-CF-F-149 recurringDebtPayments
86. MK-ST-F-085 rentFigure
87. MK-CF-F-216 typed
88. MK-CF-F-081 salaryActiveMonths
89. MK-CF-F-005 actualMonthFlow
90. MK-CF-F-156 plannedMonthFlow
91. MK-CF-F-142 monthsOf
92. MK-CF-F-141 perMonth
93. MK-ST-F-048 currencySymbol
94. MK-CF-F-187 seniorDeductionFor
95. MK-CF-F-148 inMonth
96. MK-CF-F-191 ym
97. MK-CF-F-152 isRadarItem
98. MK-NW-F-078 ONE
99. MK-CF-F-157 debtPaymentsByDebt
100. MK-XS-F-027 takeHomeMonthly
101. MK-CF-F-140 periodsAYear
102. MK-ST-F-047 activeCurrency
103. MK-NW-F-077 ALL
104. MK-NW-F-059 currentYield
105. MK-NW-O-001 theBonds
106. MK-CF-F-011 savingsByMonth
107. MK-NW-F-112 yearlyInterest
108. MK-ST-F-027 accountId
109. MK-NW-F-057 annualCoupon
110. MK-NW-F-056 bondInfo
111. MK-NW-F-064 bondRateSensitivity
112. MK-NW-F-061 bondSummary
113. MK-NW-F-055 isBond
114. MK-NW-F-124 maturityParts
115. MK-NW-F-072 rowOf
116. MK-CF-F-008 spendByMonth
117. MK-NW-F-060 approxYTM
118. MK-NW-F-069 priceAtYield
119. MK-NW-F-131 pricedLikeBond
120. MK-NW-F-125 isPastMaturity
121. MK-ST-F-065 isoLocalDate
122. MK-NW-F-126 yearlyInterestNow
123. MK-NW-F-011 assetClassOf
124. MK-NW-F-009 maturityClass
125. MK-NW-F-070 accruedInterestCaveat
126. MK-NW-F-058 yearsToMaturity
127. MK-CF-F-120 pctBaseMonthly
128. MK-CF-F-004 spendBuckets
129. MK-NW-F-119 estimatedAccrued
130. MK-NW-F-120 classEvidenceOf
131. MK-CF-F-003 categoryMonthly
132. MK-NW-F-008 incomeBearingClassOf
133. MK-ST-F-010 nameEvidence
134. MK-XS-F-147 call
135. MK-XS-F-064 currentIdToken
136. MK-XS-F-112 relayUrl</t>
        </is>
      </c>
      <c r="R223" s="3" t="inlineStr">
        <is>
          <t>1. MK-CF-F-021 defaultPaymentType → MK-CF-F-022 paymentShape → MK-CF-F-025 minimumDebtService → MK-CF-O-018 theDebts
2. MK-CF-F-132 map → MK-CF-F-034 payoffPlan → MK-CF-O-018 theDebts
3. MK-CF-F-021 defaultPaymentType → MK-CF-F-022 paymentShape → MK-CF-F-034 payoffPlan → MK-CF-O-018 theDebts
4. SOURCE (already above — a loop) → MK-CF-O-016 incomeSources → MK-CF-F-207 SOURCE → MK-CF-F-201 INCOME → MK-CF-F-024 totalDebtMonthly → MK-CF-O-018 theDebts
5. MK-CF-F-072 currentRetirementIncomeMonthly → MK-CF-O-016 incomeSources → MK-CF-F-207 SOURCE → MK-CF-F-201 INCOME → MK-CF-F-024 totalDebtMonthly → MK-CF-O-018 theDebts
6. MK-CF-F-173 earnerWages → MK-CF-O-016 incomeSources → MK-CF-F-207 SOURCE → MK-CF-F-201 INCOME → MK-CF-F-024 totalDebtMonthly → MK-CF-O-018 theDebts
7. MK-CF-F-068 rentalNetAnnual → MK-CF-O-016 incomeSources → MK-CF-F-207 SOURCE → MK-CF-F-201 INCOME → MK-CF-F-024 totalDebtMonthly → MK-CF-O-018 theDebts
8. MK-CF-F-075 retirementIncomeMonthly → MK-CF-O-016 incomeSources → MK-CF-F-207 SOURCE → MK-CF-F-201 INCOME → MK-CF-F-024 totalDebtMonthly → MK-CF-O-018 theDebts
9. … and 4 more paths</t>
        </is>
      </c>
      <c r="S223" s="3" t="inlineStr">
        <is>
          <t>MK-CF-M-057 · MK-CF-M-058 · MK-CF-M-059 · MK-CF-M-071 · MK-CF-M-072 · MK-CF-M-073 · MK-CF-M-074 · MK-CF-M-075</t>
        </is>
      </c>
      <c r="T223" s="3" t="inlineStr">
        <is>
          <t>—</t>
        </is>
      </c>
      <c r="U223" s="3" t="inlineStr">
        <is>
          <t>ACTIVE</t>
        </is>
      </c>
      <c r="V223" s="3" t="inlineStr">
        <is>
          <t>2026-10-03</t>
        </is>
      </c>
      <c r="W223" s="3" t="n"/>
      <c r="X223" s="3" t="n"/>
      <c r="Y223" s="3" t="inlineStr">
        <is>
          <t>NOTHING OPEN</t>
        </is>
      </c>
    </row>
    <row r="224" ht="60" customHeight="1">
      <c r="A224" s="3" t="inlineStr">
        <is>
          <t>MK-CF-O-019</t>
        </is>
      </c>
      <c r="B224" s="3" t="inlineStr">
        <is>
          <t>theIncomeManager</t>
        </is>
      </c>
      <c r="C224" s="3" t="inlineStr">
        <is>
          <t>MoneyKeel/functions/cashflow/income-summary.ts</t>
        </is>
      </c>
      <c r="D224" s="3" t="n">
        <v>775</v>
      </c>
      <c r="E224" s="3" t="inlineStr">
        <is>
          <t>2 · DISPLAYED</t>
        </is>
      </c>
      <c r="F224" s="3" t="inlineStr">
        <is>
          <t>Which of the ten sources of income has this household entered, what does each one's line say, and which are still one tap away?</t>
        </is>
      </c>
      <c r="G224" s="11" t="inlineStr">
        <is>
          <t>a = op (or none when missing)
wages = earner wages(op as any) where to num(base salary) &gt; 0 (or salary by month and object.keys(salary by month).length &gt; 0 when missing or zero)
who = for each of pay.earners: name.join(' and ')
rentals = rental list(op as any)
count = ['No', 'One', 'Two', 'Three', 'Four', 'Five']
inv = inv annual read as a number (0 when it is not one)
self per = 'year'   if se freq = 'annual'
'month'   otherwise
benefit months = count of benefit active months(op as any)
other per = 'year'   if other freq = 'annual'
'one − time'   if other freq = 'onetime'
'month'   otherwise   otherwise
mo = ['January', 'February', 'March', 'April', 'May', 'June', 'July', 'August', 'September', 'October', 'November', 'December']
lumps = to num(bonus annual) + rsu annual(op as any)
… the first steps only — the rest of the body needs reading by hand.</t>
        </is>
      </c>
      <c r="H224" s="3" t="inlineStr">
        <is>
          <t>A is op (or none — when missing). Wages is earner wages(op as any) where to num(base salary) &gt; 0 (or salary by month and object.keys(salary by month).length &gt; 0 — when missing or zero). Who is for each of pay.earners: name.join(' and '). Rentals is rental list(op as any). Count is ['No', 'One', 'Two', 'Three', 'Four', 'Five']. Inv is inv annual read as a number (0 — when it is one is missing). Self per is 'year' — when se freq = 'annual'; 'month' — otherwise. Benefit months: how many benefit active months(op as any) there are. Other per is 'year' — when other freq = 'annual'; 'one minus time' — when other freq = 'onetime'; 'month' — otherwise — otherwise. Mo is ['January', 'February', 'March', 'April', 'May', 'June', 'July', 'August', 'September', 'October', 'November', 'December']. Lumps is to num(bonus annual) plus rsu annual(op as any). Only the first steps are shown; the rest of the body needs reading by hand.</t>
        </is>
      </c>
      <c r="I224" s="3" t="inlineStr">
        <is>
          <t>PARTLY READ — some of the code is still showing through; needs a hand pass</t>
        </is>
      </c>
      <c r="J224" s="3" t="inlineStr">
        <is>
          <t>op: Record&lt;string, any&gt; | null</t>
        </is>
      </c>
      <c r="K224" s="3" t="inlineStr">
        <is>
          <t>IncomeManager</t>
        </is>
      </c>
      <c r="L224" s="3" t="inlineStr">
        <is>
          <t>1. "Anything else?" — on the Income manager screen
2. "Bonus and stock" — on the Income manager screen
3. "Stock that vests, a year" — on the Income manager screen
4. "You entered about" — on the Income manager screen</t>
        </is>
      </c>
      <c r="M224" s="3" t="inlineStr">
        <is>
          <t>None found in this function — anything it assumes comes from the functions it depends on.</t>
        </is>
      </c>
      <c r="N224" s="3" t="inlineStr">
        <is>
          <t>Yes</t>
        </is>
      </c>
      <c r="O224" s="3" t="inlineStr">
        <is>
          <t>1. MK-CF-O-001 basePay
2. MK-CF-F-069 benefitActiveMonths
3. MK-CF-F-173 earnerWages
4. MK-CF-F-179 entryFromWage
5. MK-CF-F-085 filingStatusOf
6. MK-CF-F-132 map
7. MK-CF-F-089 over65CountOf
8. MK-NW-F-067 plural
9. MK-CF-F-067 rentalList
10. MK-CF-F-068 rentalNetAnnual
11. MK-CF-F-075 retirementIncomeMonthly
12. MK-CF-F-066 rsuAnnual
13. MK-ST-F-052 toNum</t>
        </is>
      </c>
      <c r="P224" s="3" t="n">
        <v>129</v>
      </c>
      <c r="Q224" s="3" t="inlineStr">
        <is>
          <t>1. MK-CF-O-001 basePay
2. MK-CF-F-069 benefitActiveMonths
3. MK-CF-F-173 earnerWages
4. MK-CF-F-179 entryFromWage
5. MK-CF-F-085 filingStatusOf
6. MK-CF-F-132 map
7. MK-CF-F-089 over65CountOf
8. MK-NW-F-067 plural
9. MK-CF-F-067 rentalList
10. MK-CF-F-068 rentalNetAnnual
11. MK-CF-F-075 retirementIncomeMonthly
12. MK-CF-F-066 rsuAnnual
13. MK-ST-F-052 toNum
14. MK-ST-F-035 covers
15. MK-CF-F-171 earnerPay
16. MK-CF-F-204 line
17. MK-CF-F-103 marginalBracketFor
18. MK-ST-F-053 money
19. MK-HM-F-006 money0
20. MK-XS-F-122 n
21. MK-CF-F-198 payrollTaxWithheld
22. MK-CF-F-181 rateInForce
23. MK-CF-F-172 hasWage
24. MK-CF-F-165 salaryMonths
25. MK-CF-O-002 expenses
26. MK-ST-F-085 rentFigure
27. MK-CF-F-216 typed
28. MK-CF-F-062 equityRowValue
29. MK-CF-F-063 rowVestYear
30. MK-ST-F-034 firstDate
31. MK-CF-F-143 annualisedGross
32. MK-CF-F-145 deductionsFromPay
33. MK-CF-F-128 grossByMonth
34. MK-CF-F-146 payFiguresAgree
35. MK-CF-F-144 takeHomeAsEntered
36. MK-CF-F-203 MONTH
37. MK-XS-F-180 declareFigures
38. MK-CF-F-100 taxableIncomeFor
39. MK-ST-F-049 formatMoney
40. MK-CF-F-155 cash
41. MK-HM-F-005 pctTxt
42. MK-CF-F-180 enteredLandsAnnual
43. MK-CF-F-206 householdK401ByMonth
44. MK-CF-F-082 salaryAnnual
45. MK-CF-F-086 stateRateOf
46. MK-CF-F-101 taxOwedFor
47. MK-CF-F-084 taxableAnnual
48. MK-ST-F-056 has
49. MK-CF-F-151 actualSpending
50. MK-CF-F-150 debtPaymentsCountedAsExpenses
51. MK-CF-F-153 radar
52. MK-CF-F-149 recurringDebtPayments
53. MK-CF-F-142 monthsOf
54. MK-CF-F-141 perMonth
55. MK-ST-F-039 on
56. MK-CF-O-010 theMonth
57. MK-CF-F-099 deductionFor
58. MK-ST-F-048 currencySymbol
59. MK-CF-F-176 sumMonthsOverEarners
60. MK-CF-F-177 wageGrossByMonth
61. MK-CF-F-060 salaryGrossByMonth
62. MK-CF-F-072 currentRetirementIncomeMonthly
63. MK-CF-F-071 extraIncome
64. MK-CF-F-074 tipsAnnual
65. MK-CF-F-148 inMonth
66. MK-CF-F-191 ym
67. MK-CF-F-022 paymentShape
68. MK-CF-F-152 isRadarItem
69. MK-CF-F-023 requiredPayment
70. MK-CF-F-140 periodsAYear
71. MK-CF-O-003 thisMonth
72. MK-CF-F-187 seniorDeductionFor
73. MK-ST-F-047 activeCurrency
74. MK-CF-F-130 enteredMonthlyRaw
75. MK-CF-F-166 hasMonthlySalaryTable
76. MK-ST-F-036 reconcile
77. MK-CF-F-167 salaryCalendarYear
78. MK-CF-F-070 benefitAnnual
79. MK-CF-F-081 salaryActiveMonths
80. MK-CF-F-021 defaultPaymentType
81. MK-CF-F-005 actualMonthFlow
82. MK-CF-F-156 plannedMonthFlow
83. MK-NW-F-078 ONE
84. MK-CF-F-157 debtPaymentsByDebt
85. MK-CF-F-192 inflowLabel
86. MK-XS-F-027 takeHomeMonthly
87. MK-NW-F-077 ALL
88. MK-NW-F-059 currentYield
89. MK-NW-O-001 theBonds
90. MK-CF-F-193 inflowSourceWord
91. MK-CF-F-092 incomeMonthlyGrid
92. MK-CF-F-011 savingsByMonth
93. MK-NW-F-112 yearlyInterest
94. MK-ST-F-027 accountId
95. MK-NW-F-057 annualCoupon
96. MK-NW-F-056 bondInfo
97. MK-NW-F-064 bondRateSensitivity
98. MK-NW-F-061 bondSummary
99. MK-NW-F-055 isBond
100. MK-NW-F-124 maturityParts
101. MK-NW-F-072 rowOf
102. MK-CF-F-065 equityVestWeights
103. MK-CF-F-087 monthlyTaxRates
104. MK-CF-F-073 otherIncomeMonth
105. MK-CF-F-077 scholarshipByCalendarMonth
106. MK-CF-F-088 taxableByCalendarMonth
107. MK-PL-F-012 waterfall
108. MK-CF-F-008 spendByMonth
109. MK-NW-F-060 approxYTM
110. MK-NW-F-069 priceAtYield
111. MK-NW-F-131 pricedLikeBond
112. MK-NW-F-125 isPastMaturity
113. MK-ST-F-065 isoLocalDate
114. MK-NW-F-126 yearlyInterestNow
115. MK-NW-F-011 assetClassOf
116. MK-NW-F-009 maturityClass
117. MK-NW-F-070 accruedInterestCaveat
118. MK-NW-F-058 yearsToMaturity
119. MK-CF-F-090 effectiveRate
120. MK-CF-F-120 pctBaseMonthly
121. MK-CF-F-004 spendBuckets
122. MK-NW-F-119 estimatedAccrued
123. MK-NW-F-120 classEvidenceOf
124. MK-CF-F-003 categoryMonthly
125. MK-NW-F-008 incomeBearingClassOf
126. MK-ST-F-010 nameEvidence
127. MK-XS-F-147 call
128. MK-XS-F-064 currentIdToken
129. MK-XS-F-112 relayUrl</t>
        </is>
      </c>
      <c r="R224" s="3" t="inlineStr">
        <is>
          <t>1. MK-ST-F-034 firstDate → MK-ST-F-035 covers → MK-CF-O-001 basePay → MK-CF-O-019 theIncomeManager
2. MK-CF-F-142 monthsOf → MK-CF-F-128 grossByMonth → MK-CF-F-143 annualisedGross → MK-CF-F-171 earnerPay → MK-CF-O-001 basePay → MK-CF-O-019 theIncomeManager
3. MK-CF-F-141 perMonth → MK-CF-F-128 grossByMonth → MK-CF-F-143 annualisedGross → MK-CF-F-171 earnerPay → MK-CF-O-001 basePay → MK-CF-O-019 theIncomeManager
4. MK-CF-F-216 typed → MK-CF-F-143 annualisedGross → MK-CF-F-171 earnerPay → MK-CF-O-001 basePay → MK-CF-O-019 theIncomeManager
5. MK-CF-F-128 grossByMonth → MK-CF-F-143 annualisedGross → MK-CF-F-145 deductionsFromPay → MK-CF-F-171 earnerPay → MK-CF-O-001 basePay → MK-CF-O-019 theIncomeManager
6. MK-CF-F-216 typed → MK-CF-F-143 annualisedGross → MK-CF-F-145 deductionsFromPay → MK-CF-F-171 earnerPay → MK-CF-O-001 basePay → MK-CF-O-019 theIncomeManager
7. MK-CF-F-143 annualisedGross → MK-CF-F-144 takeHomeAsEntered → MK-CF-F-145 deductionsFromPay → MK-CF-F-171 earnerPay → MK-CF-O-001 basePay → MK-CF-O-019 theIncomeManager
8. MK-CF-F-142 monthsOf → MK-CF-F-144 takeHomeAsEntered → MK-CF-F-145 deductionsFromPay → MK-CF-F-171 earnerPay → MK-CF-O-001 basePay → MK-CF-O-019 theIncomeManager
9. … and 5 more paths</t>
        </is>
      </c>
      <c r="S224" s="3" t="inlineStr">
        <is>
          <t>—</t>
        </is>
      </c>
      <c r="T224" s="3" t="inlineStr">
        <is>
          <t>—</t>
        </is>
      </c>
      <c r="U224" s="3" t="inlineStr">
        <is>
          <t>ACTIVE</t>
        </is>
      </c>
      <c r="V224" s="3" t="inlineStr">
        <is>
          <t>2026-10-04</t>
        </is>
      </c>
      <c r="W224" s="3" t="n"/>
      <c r="X224" s="3" t="n"/>
      <c r="Y224" s="3" t="inlineStr">
        <is>
          <t>NOTHING OPEN</t>
        </is>
      </c>
    </row>
    <row r="225" ht="60" customHeight="1">
      <c r="A225" s="3" t="inlineStr">
        <is>
          <t>MK-CF-O-020</t>
        </is>
      </c>
      <c r="B225" s="3" t="inlineStr">
        <is>
          <t>theBudgetCounted</t>
        </is>
      </c>
      <c r="C225" s="3" t="inlineStr">
        <is>
          <t>MoneyKeel/functions/cashflow/budget-counted.ts</t>
        </is>
      </c>
      <c r="D225" s="3" t="n">
        <v>77</v>
      </c>
      <c r="E225" s="3" t="inlineStr">
        <is>
          <t>2 · DISPLAYED</t>
        </is>
      </c>
      <c r="F225" s="3" t="inlineStr">
        <is>
          <t>Which of my planned expenses are counted, now that my debts are taken from Debts?</t>
        </is>
      </c>
      <c r="G225" s="11" t="inlineStr">
        <is>
          <t>profile = input.profile (or none when missing)
cats = profile.spend cats   if array.is array(profile.spend cats)
[]   otherwise
budgeted = cats.reduce((t: number, c: any) =&gt; (id = 'rent' ? t + (number(amount) or 0) : t), 0)
uses = property uses(input.accounts ?? [], array.is array(profile.rentals) ? profile.rentals : [])
home = the first of [...uses].find(([, use]) =&gt; use = 'home')?.
on home = mortgages by property(input.accounts ?? [], input.debts ?? []).by property.find((p) =&gt; property id = home)   if home
undefined   otherwise
home mortgage = string(on home.mortgage ?? 'your mortgage')   if on home.mortgage id
nothing   otherwise
typed total = string(profile.monthly expenses ?? '').replace( ÷ [^0 − 9.-] ÷ g, '') read as a number (or 0 when missing or zero)
profile = profile
rent line in debts = nothing
sentence = ''
home mortgage = home mortgage   when home mortgage is missing (or not (budgeted &gt; 0) when missing or zero)</t>
        </is>
      </c>
      <c r="H225" s="3" t="inlineStr">
        <is>
          <t>Profile is input.profile (or none — when missing). Cats is profile.spend cats — when array.is array(profile.spend cats); [] — otherwise. Budgeted is cats.reduce((t: number, c: any) =&gt; (id = 'rent' ? t plus (number(amount) or 0) : t), 0). Uses is property uses(input.accounts ?? [], array.is array(profile.rentals) ? profile.rentals : []). Home: the first of [...uses].find(([, use]) =&gt; use = 'home')?.. On home is mortgages by property(input.accounts ?? [], input.debts ?? []).by property.find((p) =&gt; property id = home) — when home; undefined — otherwise. Home mortgage is string(on home.mortgage ?? 'your mortgage') — when on home.mortgage id; no answer — otherwise. Typed total is string(profile.monthly expenses ?? '').replace( divided by [^0 minus 9.-] divided by g, '') read as a number (or 0 — when missing or zero). When home mortgage is missing (or not (budgeted &gt; 0) — when missing or zero), it answers profile = profile; rent line in debts is missing; sentence = ''; home mortgage = home mortgage.</t>
        </is>
      </c>
      <c r="I225" s="3" t="inlineStr">
        <is>
          <t>PARTLY READ — some of the code is still showing through; needs a hand pass</t>
        </is>
      </c>
      <c r="J225" s="3" t="inlineStr">
        <is>
          <t>input: { profile: any; accounts: AssetAccount[]; debts: Debt[] }</t>
        </is>
      </c>
      <c r="K225" s="3" t="inlineStr">
        <is>
          <t>BudgetCounted</t>
        </is>
      </c>
      <c r="L225" s="3" t="inlineStr">
        <is>
          <t>1. "Set your budget" — on the Cash flow screen, under "PLANNED EXPENSES"
2. "Set your budget" — on the Cash flow screen, under "PLANNED
3. $"
4. "Surplus after your budget" — on the Cash flow screen, under "PLANNED
5. $"
6. "Your budget" — on the Cash flow screen</t>
        </is>
      </c>
      <c r="M225" s="3" t="inlineStr">
        <is>
          <t>None found in this function — anything it assumes comes from the functions it depends on.</t>
        </is>
      </c>
      <c r="N225" s="3" t="inlineStr">
        <is>
          <t>Yes</t>
        </is>
      </c>
      <c r="O225" s="3" t="inlineStr">
        <is>
          <t>1. MK-CF-F-132 map
2. MK-NW-F-106 mortgagesByProperty
3. MK-NW-F-107 propertyUses</t>
        </is>
      </c>
      <c r="P225" s="3" t="n">
        <v>34</v>
      </c>
      <c r="Q225" s="3" t="inlineStr">
        <is>
          <t>1. MK-CF-F-132 map
2. MK-NW-F-106 mortgagesByProperty
3. MK-NW-F-107 propertyUses
4. MK-NW-F-011 assetClassOf
5. MK-ST-F-056 has
6. MK-CF-F-023 requiredPayment
7. MK-NW-F-117 propertyUseMap
8. MK-NW-F-120 classEvidenceOf
9. MK-CF-F-022 paymentShape
10. MK-NW-F-116 rentedIdsOf
11. MK-CF-F-155 cash
12. MK-NW-F-008 incomeBearingClassOf
13. MK-NW-F-009 maturityClass
14. MK-CF-F-021 defaultPaymentType
15. MK-NW-F-115 liveRent
16. MK-XS-F-122 n
17. MK-ST-F-010 nameEvidence
18. MK-NW-F-124 maturityParts
19. MK-CF-F-216 typed
20. MK-CF-O-002 expenses
21. MK-NW-F-114 rentAmount
22. MK-XS-F-147 call
23. MK-CF-F-151 actualSpending
24. MK-CF-F-150 debtPaymentsCountedAsExpenses
25. MK-CF-F-153 radar
26. MK-CF-F-149 recurringDebtPayments
27. MK-ST-F-085 rentFigure
28. MK-ST-F-027 accountId
29. MK-XS-F-064 currentIdToken
30. MK-XS-F-112 relayUrl
31. MK-CF-F-148 inMonth
32. MK-ST-F-052 toNum
33. MK-CF-F-191 ym
34. MK-CF-F-152 isRadarItem</t>
        </is>
      </c>
      <c r="R225" s="3" t="inlineStr">
        <is>
          <t>1. MK-CF-F-132 map → MK-CF-O-020 theBudgetCounted
2. MK-XS-F-122 n → MK-CF-F-155 cash → MK-NW-F-120 classEvidenceOf → MK-NW-F-011 assetClassOf → MK-NW-F-106 mortgagesByProperty → MK-CF-O-020 theBudgetCounted
3. MK-CF-F-155 cash → MK-NW-F-008 incomeBearingClassOf → MK-NW-F-120 classEvidenceOf → MK-NW-F-011 assetClassOf → MK-NW-F-106 mortgagesByProperty → MK-CF-O-020 theBudgetCounted
4. MK-ST-F-010 nameEvidence → MK-NW-F-008 incomeBearingClassOf → MK-NW-F-120 classEvidenceOf → MK-NW-F-011 assetClassOf → MK-NW-F-106 mortgagesByProperty → MK-CF-O-020 theBudgetCounted
5. assetClassOf (already above — a loop) → MK-NW-F-009 maturityClass → MK-NW-F-120 classEvidenceOf → MK-NW-F-011 assetClassOf → MK-NW-F-106 mortgagesByProperty → MK-CF-O-020 theBudgetCounted
6. MK-NW-F-124 maturityParts → MK-NW-F-009 maturityClass → MK-NW-F-120 classEvidenceOf → MK-NW-F-011 assetClassOf → MK-NW-F-106 mortgagesByProperty → MK-CF-O-020 theBudgetCounted
7. MK-CF-F-216 typed → MK-NW-F-009 maturityClass → MK-NW-F-120 classEvidenceOf → MK-NW-F-011 assetClassOf → MK-NW-F-106 mortgagesByProperty → MK-CF-O-020 theBudgetCounted
8. MK-ST-F-056 has → MK-NW-F-106 mortgagesByProperty → MK-CF-O-020 theBudgetCounted
9. … and 4 more paths</t>
        </is>
      </c>
      <c r="S225" s="3" t="inlineStr">
        <is>
          <t>—</t>
        </is>
      </c>
      <c r="T225" s="3" t="inlineStr">
        <is>
          <t>—</t>
        </is>
      </c>
      <c r="U225" s="3" t="inlineStr">
        <is>
          <t>ACTIVE</t>
        </is>
      </c>
      <c r="V225" s="3" t="inlineStr">
        <is>
          <t>2026-10-09</t>
        </is>
      </c>
      <c r="W225" s="3" t="n"/>
      <c r="X225" s="3" t="n"/>
      <c r="Y225" s="3" t="inlineStr">
        <is>
          <t>NOTHING OPEN</t>
        </is>
      </c>
    </row>
    <row r="226" ht="45" customHeight="1">
      <c r="A226" s="3" t="inlineStr">
        <is>
          <t>MK-HM-F-001</t>
        </is>
      </c>
      <c r="B226" s="3" t="inlineStr">
        <is>
          <t>buildInsights</t>
        </is>
      </c>
      <c r="C226" s="3" t="inlineStr">
        <is>
          <t>src/domain/insights/index.ts</t>
        </is>
      </c>
      <c r="D226" s="3" t="n">
        <v>177</v>
      </c>
      <c r="E226" s="3" t="inlineStr">
        <is>
          <t>2 · DISPLAYED</t>
        </is>
      </c>
      <c r="F226" s="3" t="inlineStr">
        <is>
          <t>Ranked insights (highest priority first).</t>
        </is>
      </c>
      <c r="G226" s="11" t="inlineStr">
        <is>
          <t>the first limit of out   if limit ≠ nothing
out   otherwise</t>
        </is>
      </c>
      <c r="H226" s="3" t="inlineStr">
        <is>
          <t>the first limit of out — when limit is not no answer; out — otherwise.</t>
        </is>
      </c>
      <c r="I226" s="3" t="inlineStr">
        <is>
          <t>READ FROM THE CODE — rendered from the expressions the function runs</t>
        </is>
      </c>
      <c r="J226" s="3" t="inlineStr">
        <is>
          <t>1. input: InsightInput
2. limit?: number</t>
        </is>
      </c>
      <c r="K226" s="3" t="inlineStr">
        <is>
          <t>Insight[]</t>
        </is>
      </c>
      <c r="L226" s="3" t="inlineStr">
        <is>
          <t>NOT FOUND — a screen calls it, but the words printed beside its answer could not be traced automatically. Needs reading.</t>
        </is>
      </c>
      <c r="M226" s="3" t="inlineStr">
        <is>
          <t>None found in this function — anything it assumes comes from the functions it depends on.</t>
        </is>
      </c>
      <c r="N226" s="3" t="inlineStr">
        <is>
          <t>Yes</t>
        </is>
      </c>
      <c r="O226" s="3" t="inlineStr">
        <is>
          <t>MK-CF-F-132 map</t>
        </is>
      </c>
      <c r="P226" s="3" t="n">
        <v>1</v>
      </c>
      <c r="Q226" s="3" t="inlineStr">
        <is>
          <t>MK-CF-F-132 map</t>
        </is>
      </c>
      <c r="R226" s="3" t="inlineStr">
        <is>
          <t>MK-CF-F-132 map → MK-HM-F-001 buildInsights</t>
        </is>
      </c>
      <c r="S226" s="3" t="inlineStr">
        <is>
          <t>—</t>
        </is>
      </c>
      <c r="T226" s="3" t="inlineStr">
        <is>
          <t>—</t>
        </is>
      </c>
      <c r="U226" s="3" t="inlineStr">
        <is>
          <t>ACTIVE</t>
        </is>
      </c>
      <c r="V226" s="3" t="inlineStr">
        <is>
          <t>2026-08-27</t>
        </is>
      </c>
      <c r="W226" s="3" t="n"/>
      <c r="X226" s="3" t="n"/>
      <c r="Y226" s="3" t="inlineStr">
        <is>
          <t>NOTHING OPEN</t>
        </is>
      </c>
    </row>
    <row r="227" ht="45" customHeight="1">
      <c r="A227" s="3" t="inlineStr">
        <is>
          <t>MK-HM-F-002</t>
        </is>
      </c>
      <c r="B227" s="3" t="inlineStr">
        <is>
          <t>milestoneLabel</t>
        </is>
      </c>
      <c r="C227" s="3" t="inlineStr">
        <is>
          <t>src/domain/milestones.ts</t>
        </is>
      </c>
      <c r="D227" s="3" t="n">
        <v>34</v>
      </c>
      <c r="E227" s="3" t="inlineStr">
        <is>
          <t>2 · DISPLAYED</t>
        </is>
      </c>
      <c r="F227" s="3" t="inlineStr">
        <is>
          <t>'$500k' / '$1M' — the label the celebration line uses.</t>
        </is>
      </c>
      <c r="G227" s="11" t="inlineStr">
        <is>
          <t>m = threshold ÷ 1000000
the answer = `$${number.is integer(m) ? m : to fixed(1)}M`</t>
        </is>
      </c>
      <c r="H227" s="3" t="inlineStr">
        <is>
          <t>M is threshold divided by 1000000. The answer is `$${number.is integer(m) ? m : to fixed(1)}M`.</t>
        </is>
      </c>
      <c r="I227" s="3" t="inlineStr">
        <is>
          <t>PARTLY READ — some of the code is still showing through; needs a hand pass</t>
        </is>
      </c>
      <c r="J227" s="3" t="inlineStr">
        <is>
          <t>threshold: number</t>
        </is>
      </c>
      <c r="K227" s="3" t="inlineStr">
        <is>
          <t>string</t>
        </is>
      </c>
      <c r="L227" s="3" t="inlineStr">
        <is>
          <t>NOT FOUND — a screen calls it, but the words printed beside its answer could not be traced automatically. Needs reading.</t>
        </is>
      </c>
      <c r="M227" s="3" t="inlineStr">
        <is>
          <t>1. Rounds the answer to a whole number.
2. Shows 1 decimal place.</t>
        </is>
      </c>
      <c r="N227" s="3" t="inlineStr">
        <is>
          <t>Yes</t>
        </is>
      </c>
      <c r="O227" s="3" t="inlineStr">
        <is>
          <t>—</t>
        </is>
      </c>
      <c r="P227" s="3" t="n">
        <v>0</v>
      </c>
      <c r="Q227" s="3" t="inlineStr">
        <is>
          <t>None — no dependent function stands behind it</t>
        </is>
      </c>
      <c r="R227" s="3" t="inlineStr">
        <is>
          <t>No dependent function — it reads its inputs and answers</t>
        </is>
      </c>
      <c r="S227" s="3" t="inlineStr">
        <is>
          <t>—</t>
        </is>
      </c>
      <c r="T227" s="3" t="inlineStr">
        <is>
          <t>—</t>
        </is>
      </c>
      <c r="U227" s="3" t="inlineStr">
        <is>
          <t>ACTIVE</t>
        </is>
      </c>
      <c r="V227" s="3" t="inlineStr">
        <is>
          <t>2026-08-27</t>
        </is>
      </c>
      <c r="W227" s="3" t="n"/>
      <c r="X227" s="3" t="n"/>
      <c r="Y227" s="3" t="inlineStr">
        <is>
          <t>NOTHING OPEN</t>
        </is>
      </c>
    </row>
    <row r="228" ht="45" customHeight="1">
      <c r="A228" s="3" t="inlineStr">
        <is>
          <t>MK-HM-F-003</t>
        </is>
      </c>
      <c r="B228" s="3" t="inlineStr">
        <is>
          <t>milestoneFloor</t>
        </is>
      </c>
      <c r="C228" s="3" t="inlineStr">
        <is>
          <t>src/domain/milestones.ts</t>
        </is>
      </c>
      <c r="D228" s="3" t="n">
        <v>65</v>
      </c>
      <c r="E228" s="3" t="inlineStr">
        <is>
          <t>2 · DISPLAYED</t>
        </is>
      </c>
      <c r="F228" s="3" t="inlineStr">
        <is>
          <t>The highest ladder rung at or below `netWorth` (0 when below the first rung).</t>
        </is>
      </c>
      <c r="G228" s="11" t="inlineStr">
        <is>
          <t>floor = 0
the answer = floor</t>
        </is>
      </c>
      <c r="H228" s="3" t="inlineStr">
        <is>
          <t>Floor is 0. The answer is floor.</t>
        </is>
      </c>
      <c r="I228" s="3" t="inlineStr">
        <is>
          <t>READ FROM THE CODE — rendered from the expressions the function runs</t>
        </is>
      </c>
      <c r="J228" s="3" t="inlineStr">
        <is>
          <t>netWorth: number</t>
        </is>
      </c>
      <c r="K228" s="3" t="inlineStr">
        <is>
          <t>number</t>
        </is>
      </c>
      <c r="L228" s="3" t="inlineStr">
        <is>
          <t>NOT FOUND — a screen calls it, but the words printed beside its answer could not be traced automatically. Needs reading.</t>
        </is>
      </c>
      <c r="M228" s="3" t="inlineStr">
        <is>
          <t>· Uses a built-in floor of 0.</t>
        </is>
      </c>
      <c r="N228" s="3" t="inlineStr">
        <is>
          <t>Yes</t>
        </is>
      </c>
      <c r="O228" s="3" t="inlineStr">
        <is>
          <t>—</t>
        </is>
      </c>
      <c r="P228" s="3" t="n">
        <v>0</v>
      </c>
      <c r="Q228" s="3" t="inlineStr">
        <is>
          <t>None — no dependent function stands behind it</t>
        </is>
      </c>
      <c r="R228" s="3" t="inlineStr">
        <is>
          <t>No dependent function — it reads its inputs and answers</t>
        </is>
      </c>
      <c r="S228" s="3" t="inlineStr">
        <is>
          <t>—</t>
        </is>
      </c>
      <c r="T228" s="3" t="inlineStr">
        <is>
          <t>—</t>
        </is>
      </c>
      <c r="U228" s="3" t="inlineStr">
        <is>
          <t>ACTIVE</t>
        </is>
      </c>
      <c r="V228" s="3" t="inlineStr">
        <is>
          <t>2026-08-27</t>
        </is>
      </c>
      <c r="W228" s="3" t="n"/>
      <c r="X228" s="3" t="n"/>
      <c r="Y228" s="3" t="inlineStr">
        <is>
          <t>NOTHING OPEN</t>
        </is>
      </c>
    </row>
    <row r="229" ht="60" customHeight="1">
      <c r="A229" s="3" t="inlineStr">
        <is>
          <t>MK-HM-F-004</t>
        </is>
      </c>
      <c r="B229" s="3" t="inlineStr">
        <is>
          <t>milestoneCrossed</t>
        </is>
      </c>
      <c r="C229" s="3" t="inlineStr">
        <is>
          <t>src/domain/milestones.ts</t>
        </is>
      </c>
      <c r="D229" s="3" t="n">
        <v>95</v>
      </c>
      <c r="E229" s="3" t="inlineStr">
        <is>
          <t>2 · DISPLAYED</t>
        </is>
      </c>
      <c r="F229" s="3" t="inlineStr">
        <is>
          <t>The one decision rule.</t>
        </is>
      </c>
      <c r="G229" s="11" t="inlineStr">
        <is>
          <t>nothing   when high seen = nothing
floor = milestone floor(net worth)
the answer:
floor   if floor &gt; high seen
nothing   otherwise</t>
        </is>
      </c>
      <c r="H229" s="3" t="inlineStr">
        <is>
          <t>When high seen is missing, it answers no answer. Floor is milestone floor(net worth). The answer is floor — when floor &gt; high seen; no answer — otherwise.</t>
        </is>
      </c>
      <c r="I229" s="3" t="inlineStr">
        <is>
          <t>READ FROM THE CODE — rendered from the expressions the function runs</t>
        </is>
      </c>
      <c r="J229" s="3" t="inlineStr">
        <is>
          <t>1. netWorth: number
2. highSeen: number | null</t>
        </is>
      </c>
      <c r="K229" s="3" t="inlineStr">
        <is>
          <t>number | null</t>
        </is>
      </c>
      <c r="L229" s="3" t="inlineStr">
        <is>
          <t>NOT FOUND — a screen calls it, but the words printed beside its answer could not be traced automatically. Needs reading.</t>
        </is>
      </c>
      <c r="M229" s="3" t="inlineStr">
        <is>
          <t>None found in this function — anything it assumes comes from the functions it depends on.</t>
        </is>
      </c>
      <c r="N229" s="3" t="inlineStr">
        <is>
          <t>Yes</t>
        </is>
      </c>
      <c r="O229" s="3" t="inlineStr">
        <is>
          <t>MK-HM-F-003 milestoneFloor</t>
        </is>
      </c>
      <c r="P229" s="3" t="n">
        <v>1</v>
      </c>
      <c r="Q229" s="3" t="inlineStr">
        <is>
          <t>MK-HM-F-003 milestoneFloor</t>
        </is>
      </c>
      <c r="R229" s="3" t="inlineStr">
        <is>
          <t>MK-HM-F-003 milestoneFloor → MK-HM-F-004 milestoneCrossed</t>
        </is>
      </c>
      <c r="S229" s="3" t="inlineStr">
        <is>
          <t>MK-HM-M-002</t>
        </is>
      </c>
      <c r="T229" s="3" t="inlineStr">
        <is>
          <t>—</t>
        </is>
      </c>
      <c r="U229" s="3" t="inlineStr">
        <is>
          <t>ACTIVE</t>
        </is>
      </c>
      <c r="V229" s="3" t="inlineStr">
        <is>
          <t>2026-08-27</t>
        </is>
      </c>
      <c r="W229" s="3" t="n"/>
      <c r="X229" s="3" t="n"/>
      <c r="Y229" s="3" t="inlineStr">
        <is>
          <t>NOTHING OPEN</t>
        </is>
      </c>
    </row>
    <row r="230" ht="60" customHeight="1">
      <c r="A230" s="3" t="inlineStr">
        <is>
          <t>MK-HM-F-005</t>
        </is>
      </c>
      <c r="B230" s="3" t="inlineStr">
        <is>
          <t>pctTxt</t>
        </is>
      </c>
      <c r="C230" s="3" t="inlineStr">
        <is>
          <t>src/domain/insights/index.ts</t>
        </is>
      </c>
      <c r="D230" s="3" t="n">
        <v>73</v>
      </c>
      <c r="E230" s="3" t="inlineStr">
        <is>
          <t>1 · ACTION</t>
        </is>
      </c>
      <c r="F230" s="3" t="inlineStr">
        <is>
          <t>NOT DETERMINED — the code carries no note saying what this is for, and it has no row in the old inventory. Needs reading.</t>
        </is>
      </c>
      <c r="G230" s="11" t="inlineStr">
        <is>
          <t>the answer = round(d × 100) followed by '%'</t>
        </is>
      </c>
      <c r="H230" s="3" t="inlineStr">
        <is>
          <t>A share written as a whole percent — 0.234 becomes 23%. Display only.</t>
        </is>
      </c>
      <c r="I230" s="3" t="inlineStr">
        <is>
          <t>READ BY HAND 2026-08-26 — checked line by line against the code</t>
        </is>
      </c>
      <c r="J230" s="3" t="inlineStr">
        <is>
          <t>d: number</t>
        </is>
      </c>
      <c r="K230" s="3" t="inlineStr">
        <is>
          <t>NOT DECLARED — the code does not say what it gives back</t>
        </is>
      </c>
      <c r="L230" s="3" t="inlineStr">
        <is>
          <t>—</t>
        </is>
      </c>
      <c r="M230" s="3" t="inlineStr">
        <is>
          <t>· Rounds the answer to a whole number.</t>
        </is>
      </c>
      <c r="N230" s="3" t="inlineStr">
        <is>
          <t>Yes</t>
        </is>
      </c>
      <c r="O230" s="3" t="inlineStr">
        <is>
          <t>—</t>
        </is>
      </c>
      <c r="P230" s="3" t="n">
        <v>0</v>
      </c>
      <c r="Q230" s="3" t="inlineStr">
        <is>
          <t>None — no dependent function stands behind it</t>
        </is>
      </c>
      <c r="R230" s="3" t="inlineStr">
        <is>
          <t>No dependent function — it reads its inputs and answers</t>
        </is>
      </c>
      <c r="S230" s="3" t="inlineStr">
        <is>
          <t>—</t>
        </is>
      </c>
      <c r="T230" s="3" t="inlineStr">
        <is>
          <t>—</t>
        </is>
      </c>
      <c r="U230" s="3" t="inlineStr">
        <is>
          <t>ACTIVE</t>
        </is>
      </c>
      <c r="V230" s="3" t="inlineStr">
        <is>
          <t>2026-09-12</t>
        </is>
      </c>
      <c r="W230" s="3" t="n"/>
      <c r="X230" s="3" t="n"/>
      <c r="Y230" s="3" t="inlineStr">
        <is>
          <t>NOTHING OPEN</t>
        </is>
      </c>
    </row>
    <row r="231" ht="60" customHeight="1">
      <c r="A231" s="3" t="inlineStr">
        <is>
          <t>MK-HM-F-006</t>
        </is>
      </c>
      <c r="B231" s="3" t="inlineStr">
        <is>
          <t>money0</t>
        </is>
      </c>
      <c r="C231" s="3" t="inlineStr">
        <is>
          <t>src/domain/insights/index.ts</t>
        </is>
      </c>
      <c r="D231" s="3" t="n">
        <v>107</v>
      </c>
      <c r="E231" s="3" t="inlineStr">
        <is>
          <t>3 · DEPENDENT</t>
        </is>
      </c>
      <c r="F231" s="3" t="inlineStr">
        <is>
          <t>NOT DETERMINED — the code carries no note saying what this is for, and it has no row in the old inventory. Needs reading.</t>
        </is>
      </c>
      <c r="G231" s="11" t="inlineStr">
        <is>
          <t>the answer = '$' + round(n) with thousands separators</t>
        </is>
      </c>
      <c r="H231" s="3" t="inlineStr">
        <is>
          <t>A dollar amount to the whole dollar with thousands separators, for the insight sentences. Display only.</t>
        </is>
      </c>
      <c r="I231" s="3" t="inlineStr">
        <is>
          <t>READ BY HAND 2026-08-26 — checked line by line against the code</t>
        </is>
      </c>
      <c r="J231" s="3" t="inlineStr">
        <is>
          <t>n: number</t>
        </is>
      </c>
      <c r="K231" s="3" t="inlineStr">
        <is>
          <t>NOT DECLARED — the code does not say what it gives back</t>
        </is>
      </c>
      <c r="L231" s="3" t="inlineStr">
        <is>
          <t>—</t>
        </is>
      </c>
      <c r="M231" s="3" t="inlineStr">
        <is>
          <t>1. Rounds the answer to a whole number.
2. Shows 1 decimal place.</t>
        </is>
      </c>
      <c r="N231" s="3" t="inlineStr">
        <is>
          <t>Yes</t>
        </is>
      </c>
      <c r="O231" s="3" t="inlineStr">
        <is>
          <t>1. MK-CF-F-155 cash
2. MK-XS-F-122 n
3. MK-HM-F-005 pctTxt
4. MK-NW-F-067 plural</t>
        </is>
      </c>
      <c r="P231" s="3" t="n">
        <v>4</v>
      </c>
      <c r="Q231" s="3" t="inlineStr">
        <is>
          <t>1. MK-CF-F-155 cash
2. MK-XS-F-122 n
3. MK-HM-F-005 pctTxt
4. MK-NW-F-067 plural</t>
        </is>
      </c>
      <c r="R231" s="3" t="inlineStr">
        <is>
          <t>1. MK-XS-F-122 n → MK-CF-F-155 cash → MK-HM-F-006 money0
2. MK-XS-F-122 n → MK-HM-F-006 money0
3. MK-HM-F-005 pctTxt → MK-HM-F-006 money0
4. MK-XS-F-122 n → MK-NW-F-067 plural → MK-HM-F-006 money0</t>
        </is>
      </c>
      <c r="S231" s="3" t="inlineStr">
        <is>
          <t>—</t>
        </is>
      </c>
      <c r="T231" s="3" t="inlineStr">
        <is>
          <t>—</t>
        </is>
      </c>
      <c r="U231" s="3" t="inlineStr">
        <is>
          <t>ACTIVE</t>
        </is>
      </c>
      <c r="V231" s="3" t="inlineStr">
        <is>
          <t>2026-09-12</t>
        </is>
      </c>
      <c r="W231" s="3" t="n"/>
      <c r="X231" s="3" t="n"/>
      <c r="Y231" s="3" t="inlineStr">
        <is>
          <t>NOTHING OPEN</t>
        </is>
      </c>
    </row>
    <row r="232" ht="60" customHeight="1">
      <c r="A232" s="3" t="inlineStr">
        <is>
          <t>MK-NW-F-001</t>
        </is>
      </c>
      <c r="B232" s="3" t="inlineStr">
        <is>
          <t>isAlternative</t>
        </is>
      </c>
      <c r="C232" s="3" t="inlineStr">
        <is>
          <t>src/domain/alternatives/index.ts</t>
        </is>
      </c>
      <c r="D232" s="3" t="n">
        <v>34</v>
      </c>
      <c r="E232" s="3" t="inlineStr">
        <is>
          <t>2 · DISPLAYED</t>
        </is>
      </c>
      <c r="F232" s="3" t="inlineStr">
        <is>
          <t>Is this account an "other investment" — an alternative held at a manual value (not a bond, not cash/property)?</t>
        </is>
      </c>
      <c r="G232" s="11" t="inlineStr">
        <is>
          <t>asset class of(a) = 'alternatives'</t>
        </is>
      </c>
      <c r="H232" s="3" t="inlineStr">
        <is>
          <t>asset class of(a) = 'alternatives'.</t>
        </is>
      </c>
      <c r="I232" s="3" t="inlineStr">
        <is>
          <t>READ FROM THE CODE — rendered from the expressions the function runs</t>
        </is>
      </c>
      <c r="J232" s="3" t="inlineStr">
        <is>
          <t>a: AssetAccount</t>
        </is>
      </c>
      <c r="K232" s="3" t="inlineStr">
        <is>
          <t>boolean</t>
        </is>
      </c>
      <c r="L232" s="3" t="inlineStr">
        <is>
          <t>NOT FOUND — a screen calls it, but the words printed beside its answer could not be traced automatically. Needs reading.</t>
        </is>
      </c>
      <c r="M232" s="3" t="inlineStr">
        <is>
          <t>None found in this function — anything it assumes comes from the functions it depends on.</t>
        </is>
      </c>
      <c r="N232" s="3" t="inlineStr">
        <is>
          <t>Yes</t>
        </is>
      </c>
      <c r="O232" s="3" t="inlineStr">
        <is>
          <t>MK-NW-F-011 assetClassOf</t>
        </is>
      </c>
      <c r="P232" s="3" t="n">
        <v>15</v>
      </c>
      <c r="Q232" s="3" t="inlineStr">
        <is>
          <t>1. MK-NW-F-011 assetClassOf
2. MK-NW-F-120 classEvidenceOf
3. MK-CF-F-155 cash
4. MK-NW-F-008 incomeBearingClassOf
5. MK-NW-F-009 maturityClass
6. MK-XS-F-122 n
7. MK-ST-F-010 nameEvidence
8. MK-NW-F-124 maturityParts
9. MK-CF-F-216 typed
10. MK-XS-F-147 call
11. MK-ST-F-056 has
12. MK-CF-F-132 map
13. MK-ST-F-027 accountId
14. MK-XS-F-064 currentIdToken
15. MK-XS-F-112 relayUrl</t>
        </is>
      </c>
      <c r="R232" s="3" t="inlineStr">
        <is>
          <t>1. MK-XS-F-122 n → MK-CF-F-155 cash → MK-NW-F-120 classEvidenceOf → MK-NW-F-011 assetClassOf → MK-NW-F-001 isAlternative
2. MK-XS-F-122 n → MK-CF-F-155 cash → MK-NW-F-008 incomeBearingClassOf → MK-NW-F-120 classEvidenceOf → MK-NW-F-011 assetClassOf → MK-NW-F-001 isAlternative
3. MK-XS-F-147 call → MK-ST-F-010 nameEvidence → MK-NW-F-008 incomeBearingClassOf → MK-NW-F-120 classEvidenceOf → MK-NW-F-011 assetClassOf → MK-NW-F-001 isAlternative
4. MK-ST-F-056 has → MK-ST-F-010 nameEvidence → MK-NW-F-008 incomeBearingClassOf → MK-NW-F-120 classEvidenceOf → MK-NW-F-011 assetClassOf → MK-NW-F-001 isAlternative
5. MK-CF-F-132 map → MK-ST-F-010 nameEvidence → MK-NW-F-008 incomeBearingClassOf → MK-NW-F-120 classEvidenceOf → MK-NW-F-011 assetClassOf → MK-NW-F-001 isAlternative
6. assetClassOf (already above — a loop) → MK-NW-F-009 maturityClass → MK-NW-F-120 classEvidenceOf → MK-NW-F-011 assetClassOf → MK-NW-F-001 isAlternative
7. maturityClass (already above — a loop) → MK-NW-F-124 maturityParts → MK-NW-F-009 maturityClass → MK-NW-F-120 classEvidenceOf → MK-NW-F-011 assetClassOf → MK-NW-F-001 isAlternative
8. MK-CF-F-216 typed → MK-NW-F-124 maturityParts → MK-NW-F-009 maturityClass → MK-NW-F-120 classEvidenceOf → MK-NW-F-011 assetClassOf → MK-NW-F-001 isAlternative
9. … and 1 more paths</t>
        </is>
      </c>
      <c r="S232" s="3" t="inlineStr">
        <is>
          <t>—</t>
        </is>
      </c>
      <c r="T232" s="3" t="inlineStr">
        <is>
          <t>IS_ALTERNATIVE</t>
        </is>
      </c>
      <c r="U232" s="3" t="inlineStr">
        <is>
          <t>ACTIVE</t>
        </is>
      </c>
      <c r="V232" s="3" t="inlineStr">
        <is>
          <t>2026-10-04</t>
        </is>
      </c>
      <c r="W232" s="3" t="n"/>
      <c r="X232" s="3" t="n"/>
      <c r="Y232" s="3" t="inlineStr">
        <is>
          <t>NOTHING OPEN</t>
        </is>
      </c>
    </row>
    <row r="233" ht="60" customHeight="1">
      <c r="A233" s="3" t="inlineStr">
        <is>
          <t>MK-NW-F-002</t>
        </is>
      </c>
      <c r="B233" s="3" t="inlineStr">
        <is>
          <t>alternativesSummary</t>
        </is>
      </c>
      <c r="C233" s="3" t="inlineStr">
        <is>
          <t>src/domain/alternatives/index.ts</t>
        </is>
      </c>
      <c r="D233" s="3" t="n">
        <v>82</v>
      </c>
      <c r="E233" s="3" t="inlineStr">
        <is>
          <t>3 · DEPENDENT</t>
        </is>
      </c>
      <c r="F233" s="3" t="inlineStr">
        <is>
          <t>Adds up the alternative investments: how many there are, what they are worth together, their blended yearly growth rate and the growth in dollars that rate gives over a year.</t>
        </is>
      </c>
      <c r="G233" s="11" t="inlineStr">
        <is>
          <t>parts = for each of accounts (or none when missing): each = each
parts = alt parts of(each) where parts.length &gt; 0
flat = parts.flat map((x) =&gt; parts)
total = Σ over flat of (value)
classified = flat where not classified is missing
classified total = Σ over classified of (value)
weighted = Σ over classified total &gt; 0 ? classified of (value × benchmark return(kind, overrides))÷ classified total : nothing</t>
        </is>
      </c>
      <c r="H233" s="3" t="inlineStr">
        <is>
          <t>Parts is for each of accounts (or none — when missing): each = each; parts = alt parts of(each) where parts.length &gt; 0. Flat is parts.flat map((x) =&gt; parts). Total: the value added up across flat. Classified is flat where classified is missing is missing. Classified total: the value added up across classified. Weighted: the value times benchmark return(kind, overrides added up across classified total &gt; 0 ? classified)÷ classified total : no answer.</t>
        </is>
      </c>
      <c r="I233" s="3" t="inlineStr">
        <is>
          <t>PARTLY READ — some of the code is still showing through; needs a hand pass</t>
        </is>
      </c>
      <c r="J233" s="3" t="inlineStr">
        <is>
          <t>1. accounts: AssetAccount[]
2. overrides?: Record&lt;string, number&gt;</t>
        </is>
      </c>
      <c r="K233" s="3" t="inlineStr">
        <is>
          <t>AltSummary</t>
        </is>
      </c>
      <c r="L233" s="3" t="inlineStr">
        <is>
          <t>—</t>
        </is>
      </c>
      <c r="M233" s="3" t="inlineStr">
        <is>
          <t>None found in this function — anything it assumes comes from the functions it depends on.</t>
        </is>
      </c>
      <c r="N233" s="3" t="inlineStr">
        <is>
          <t>Yes</t>
        </is>
      </c>
      <c r="O233" s="3" t="inlineStr">
        <is>
          <t>1. MK-CF-F-200 LINE
2. MK-NW-F-113 altPartsOf
3. MK-NW-F-034 benchmarkReturn
4. MK-CF-F-204 line
5. MK-CF-F-132 map</t>
        </is>
      </c>
      <c r="P233" s="3" t="n">
        <v>126</v>
      </c>
      <c r="Q233" s="3" t="inlineStr">
        <is>
          <t>1. MK-CF-F-200 LINE
2. MK-NW-F-113 altPartsOf
3. MK-NW-F-034 benchmarkReturn
4. MK-CF-F-204 line
5. MK-CF-F-132 map
6. MK-XS-F-180 declareFigures
7. MK-CF-O-006 theCreditLine
8. MK-NW-F-027 accountClassBreakdown
9. MK-NW-F-109 holdingClassOf
10. MK-NW-F-001 isAlternative
11. MK-NW-F-007 assetKind
12. MK-CF-F-203 MONTH
13. MK-CF-F-031 creditUtilization
14. MK-NW-F-011 assetClassOf
15. MK-CF-F-155 cash
16. MK-ST-F-056 has
17. MK-NW-F-067 plural
18. MK-NW-F-123 holdingNameEvidence
19. MK-NW-F-121 holdingTagClass
20. MK-NW-F-054 reclassifyAccounts
21. MK-CF-O-010 theMonth
22. MK-NW-F-120 classEvidenceOf
23. MK-XS-F-122 n
24. MK-NW-F-008 incomeBearingClassOf
25. MK-NW-F-053 correctClassOf
26. MK-NW-F-122 holdingTagFor
27. MK-CF-O-002 expenses
28. MK-CF-O-003 thisMonth
29. MK-NW-F-009 maturityClass
30. MK-ST-F-010 nameEvidence
31. MK-CF-F-151 actualSpending
32. MK-CF-F-150 debtPaymentsCountedAsExpenses
33. MK-CF-F-153 radar
34. MK-CF-F-149 recurringDebtPayments
35. MK-CF-F-005 actualMonthFlow
36. MK-CF-F-156 plannedMonthFlow
37. MK-NW-F-124 maturityParts
38. MK-CF-F-216 typed
39. MK-XS-F-147 call
40. MK-CF-F-148 inMonth
41. MK-ST-F-052 toNum
42. MK-CF-F-191 ym
43. MK-CF-F-022 paymentShape
44. MK-CF-F-152 isRadarItem
45. MK-CF-F-023 requiredPayment
46. MK-NW-F-078 ONE
47. MK-CF-F-157 debtPaymentsByDebt
48. MK-CF-F-192 inflowLabel
49. MK-XS-F-027 takeHomeMonthly
50. MK-ST-F-027 accountId
51. MK-XS-F-064 currentIdToken
52. MK-XS-F-112 relayUrl
53. MK-CF-F-021 defaultPaymentType
54. MK-NW-F-077 ALL
55. MK-NW-F-059 currentYield
56. MK-ST-F-049 formatMoney
57. MK-ST-F-053 money
58. MK-NW-O-001 theBonds
59. MK-CF-F-193 inflowSourceWord
60. MK-CF-F-092 incomeMonthlyGrid
61. MK-CF-F-011 savingsByMonth
62. MK-NW-F-112 yearlyInterest
63. MK-ST-F-048 currencySymbol
64. MK-ST-F-039 on
65. MK-NW-F-057 annualCoupon
66. MK-NW-F-056 bondInfo
67. MK-NW-F-064 bondRateSensitivity
68. MK-NW-F-061 bondSummary
69. MK-NW-F-055 isBond
70. MK-NW-F-072 rowOf
71. MK-CF-F-069 benefitActiveMonths
72. MK-CF-F-072 currentRetirementIncomeMonthly
73. MK-CF-F-173 earnerWages
74. MK-CF-F-065 equityVestWeights
75. MK-CF-F-071 extraIncome
76. MK-CF-F-206 householdK401ByMonth
77. MK-CF-F-087 monthlyTaxRates
78. MK-CF-F-073 otherIncomeMonth
79. MK-CF-F-181 rateInForce
80. MK-CF-F-068 rentalNetAnnual
81. MK-CF-F-066 rsuAnnual
82. MK-CF-F-060 salaryGrossByMonth
83. MK-CF-F-077 scholarshipByCalendarMonth
84. MK-CF-F-088 taxableByCalendarMonth
85. MK-CF-F-177 wageGrossByMonth
86. MK-PL-F-012 waterfall
87. MK-CF-F-008 spendByMonth
88. MK-ST-F-047 activeCurrency
89. MK-NW-F-060 approxYTM
90. MK-NW-F-069 priceAtYield
91. MK-NW-F-131 pricedLikeBond
92. MK-NW-F-125 isPastMaturity
93. MK-ST-F-065 isoLocalDate
94. MK-NW-F-126 yearlyInterestNow
95. MK-NW-F-070 accruedInterestCaveat
96. MK-NW-F-058 yearsToMaturity
97. MK-CF-F-075 retirementIncomeMonthly
98. MK-CF-F-172 hasWage
99. MK-CF-F-062 equityRowValue
100. MK-CF-F-070 benefitAnnual
101. MK-CF-F-176 sumMonthsOverEarners
102. MK-CF-F-090 effectiveRate
103. MK-CF-F-180 enteredLandsAnnual
104. MK-CF-F-085 filingStatusOf
105. MK-CF-F-089 over65CountOf
106. MK-CF-F-082 salaryAnnual
107. MK-CF-F-086 stateRateOf
108. MK-CF-F-101 taxOwedFor
109. MK-CF-F-084 taxableAnnual
110. MK-CF-F-067 rentalList
111. MK-CF-F-063 rowVestYear
112. MK-CF-F-130 enteredMonthlyRaw
113. MK-CF-F-166 hasMonthlySalaryTable
114. MK-ST-F-036 reconcile
115. MK-CF-F-167 salaryCalendarYear
116. MK-CF-F-120 pctBaseMonthly
117. MK-CF-F-004 spendBuckets
118. MK-NW-F-119 estimatedAccrued
119. MK-CF-F-100 taxableIncomeFor
120. MK-CF-F-074 tipsAnnual
121. MK-ST-F-085 rentFigure
122. MK-CF-F-165 salaryMonths
123. MK-CF-F-003 categoryMonthly
124. MK-CF-F-099 deductionFor
125. MK-CF-F-081 salaryActiveMonths
126. MK-CF-F-187 seniorDeductionFor</t>
        </is>
      </c>
      <c r="R233" s="3" t="inlineStr">
        <is>
          <t>1. MK-XS-F-180 declareFigures → MK-CF-F-200 LINE → MK-NW-F-002 alternativesSummary
2. MK-CF-F-031 creditUtilization → MK-CF-O-006 theCreditLine → MK-CF-F-200 LINE → MK-NW-F-002 alternativesSummary
3. MK-CF-O-010 theMonth → MK-CF-F-203 MONTH → MK-CF-F-204 line → MK-CF-O-006 theCreditLine → MK-CF-F-200 LINE → MK-NW-F-002 alternativesSummary
4. MK-XS-F-180 declareFigures → MK-CF-F-204 line → MK-CF-O-006 theCreditLine → MK-CF-F-200 LINE → MK-NW-F-002 alternativesSummary
5. MK-CF-F-155 cash → MK-NW-F-120 classEvidenceOf → MK-NW-F-011 assetClassOf → MK-NW-F-027 accountClassBreakdown → MK-NW-F-113 altPartsOf → MK-NW-F-002 alternativesSummary
6. MK-NW-F-008 incomeBearingClassOf → MK-NW-F-120 classEvidenceOf → MK-NW-F-011 assetClassOf → MK-NW-F-027 accountClassBreakdown → MK-NW-F-113 altPartsOf → MK-NW-F-002 alternativesSummary
7. MK-NW-F-009 maturityClass → MK-NW-F-120 classEvidenceOf → MK-NW-F-011 assetClassOf → MK-NW-F-027 accountClassBreakdown → MK-NW-F-113 altPartsOf → MK-NW-F-002 alternativesSummary
8. MK-XS-F-122 n → MK-CF-F-155 cash → MK-NW-F-027 accountClassBreakdown → MK-NW-F-113 altPartsOf → MK-NW-F-002 alternativesSummary
9. … and 5 more paths</t>
        </is>
      </c>
      <c r="S233" s="3" t="inlineStr">
        <is>
          <t>—</t>
        </is>
      </c>
      <c r="T233" s="3" t="inlineStr">
        <is>
          <t>—</t>
        </is>
      </c>
      <c r="U233" s="3" t="inlineStr">
        <is>
          <t>ACTIVE</t>
        </is>
      </c>
      <c r="V233" s="3" t="inlineStr">
        <is>
          <t>2026-10-10</t>
        </is>
      </c>
      <c r="W233" s="3" t="n"/>
      <c r="X233" s="3" t="n"/>
      <c r="Y233" s="3" t="inlineStr">
        <is>
          <t>NOTHING OPEN</t>
        </is>
      </c>
    </row>
    <row r="234" ht="60" customHeight="1">
      <c r="A234" s="3" t="inlineStr">
        <is>
          <t>MK-NW-F-003</t>
        </is>
      </c>
      <c r="B234" s="3" t="inlineStr">
        <is>
          <t>valueFreshness</t>
        </is>
      </c>
      <c r="C234" s="3" t="inlineStr">
        <is>
          <t>src/domain/assets/index.ts</t>
        </is>
      </c>
      <c r="D234" s="3" t="n">
        <v>158</v>
      </c>
      <c r="E234" s="3" t="inlineStr">
        <is>
          <t>2 · DISPLAYED</t>
        </is>
      </c>
      <c r="F234" s="3" t="inlineStr">
        <is>
          <t>How many whole months old is a value typed by hand, and is that old enough to ask about it?</t>
        </is>
      </c>
      <c r="G234" s="11" t="inlineStr">
        <is>
          <t>nothing   when derive balance
nothing   when value as of is missing
m = value as of.match( ÷ ^(\d{4}) − (\d{2})(?:-(\d{2}))? ÷ )
nothing   when m is missing
crossed = (now.get full year() - +m[1]) × 12 + (now.get month() + 1 - +m[2])
set on = +m[3]   if m[3]
1   otherwise
last day this month = the date now.get full year(), now.get month() + 1, 0).get date(
reached = now.get date() ≥ set on (or now.get date() = last day this month when missing or zero)
months old = max(0, crossed − (reached ? 0 : 1))
the answer:
as of = value as of   if m[3]
`${m[1]}-${m[2]}-01`   otherwise
months old = months old
stale = months old ≥ 6</t>
        </is>
      </c>
      <c r="H234" s="3" t="inlineStr">
        <is>
          <t>When derive balance, it answers no answer. When value as of is missing, it answers no answer. M is value as of.match( divided by ^(\d{4}) minus (\d{2})(?:-(\d{2}))? divided by ). When m is missing, it answers no answer. Crossed is (now.get full year() - +m[1]) times 12 plus (now.get month() plus 1 - +m[2]). Set on is +m[3] — when m[3]; 1 — otherwise. Last day this month: the date now.get full year(), now.get month() plus 1, 0).get date(. Reached is now.get date() is at least set on (or now.get date() = last day this month — when missing or zero). Months old is crossed minus (reached ? 0 : 1, never below zero). The answer is as of = value as of — when m[3]; `${m[1]}-${m[2]}-01` — otherwise; months old = months old; stale = months old is at least 6.</t>
        </is>
      </c>
      <c r="I234" s="3" t="inlineStr">
        <is>
          <t>PARTLY READ — some of the code is still showing through; needs a hand pass</t>
        </is>
      </c>
      <c r="J234" s="3" t="inlineStr">
        <is>
          <t>1. a: AssetAccount
2. now: Date = new Date()</t>
        </is>
      </c>
      <c r="K234" s="3" t="inlineStr">
        <is>
          <t>NOT DECLARED — the code does not say what it gives back</t>
        </is>
      </c>
      <c r="L234" s="3" t="inlineStr">
        <is>
          <t>NOT FOUND — a screen calls it, but the words printed beside its answer could not be traced automatically. Needs reading.</t>
        </is>
      </c>
      <c r="M234" s="3" t="inlineStr">
        <is>
          <t>1. Turns a monthly figure into a year by multiplying by twelve.
2. Uses today's date from the device clock, so the answer changes by itself overnight.</t>
        </is>
      </c>
      <c r="N234" s="3" t="inlineStr">
        <is>
          <t>Yes</t>
        </is>
      </c>
      <c r="O234" s="3" t="inlineStr">
        <is>
          <t>MK-NW-F-037 blendedReturn</t>
        </is>
      </c>
      <c r="P234" s="3" t="n">
        <v>47</v>
      </c>
      <c r="Q234" s="3" t="inlineStr">
        <is>
          <t>1. MK-NW-F-037 blendedReturn
2. MK-NW-F-034 benchmarkReturn
3. MK-NW-F-032 earmarkedAmount
4. MK-NW-F-031 primaryCarIdOf
5. MK-NW-F-110 primaryHomeIdOf
6. MK-NW-F-007 assetKind
7. MK-NW-F-030 earmarkDefault
8. MK-NW-F-134 carValueNotEnteredNotes
9. MK-NW-F-133 valueEntered
10. MK-NW-F-117 propertyUseMap
11. MK-NW-F-011 assetClassOf
12. MK-CF-F-155 cash
13. MK-CF-F-132 map
14. MK-ST-F-053 money
15. MK-NW-F-033 retirementEarmarkedValue
16. MK-ST-F-056 has
17. MK-NW-F-116 rentedIdsOf
18. MK-NW-F-120 classEvidenceOf
19. MK-XS-F-122 n
20. MK-ST-F-049 formatMoney
21. MK-NW-F-115 liveRent
22. MK-NW-F-008 incomeBearingClassOf
23. MK-NW-F-009 maturityClass
24. MK-ST-F-048 currencySymbol
25. MK-ST-F-039 on
26. MK-CF-O-002 expenses
27. MK-NW-F-114 rentAmount
28. MK-ST-F-010 nameEvidence
29. MK-NW-F-124 maturityParts
30. MK-CF-F-216 typed
31. MK-ST-F-047 activeCurrency
32. MK-CF-F-151 actualSpending
33. MK-CF-F-150 debtPaymentsCountedAsExpenses
34. MK-CF-F-153 radar
35. MK-CF-F-149 recurringDebtPayments
36. MK-ST-F-085 rentFigure
37. MK-XS-F-147 call
38. MK-CF-F-148 inMonth
39. MK-ST-F-052 toNum
40. MK-CF-F-191 ym
41. MK-CF-F-022 paymentShape
42. MK-CF-F-152 isRadarItem
43. MK-CF-F-023 requiredPayment
44. MK-ST-F-027 accountId
45. MK-XS-F-064 currentIdToken
46. MK-XS-F-112 relayUrl
47. MK-CF-F-021 defaultPaymentType</t>
        </is>
      </c>
      <c r="R234" s="3" t="inlineStr">
        <is>
          <t>1. MK-NW-F-120 classEvidenceOf → MK-NW-F-011 assetClassOf → MK-NW-F-007 assetKind → MK-NW-F-034 benchmarkReturn → MK-NW-F-037 blendedReturn → MK-NW-F-003 valueFreshness
2. MK-XS-F-122 n → MK-CF-F-155 cash → MK-NW-F-007 assetKind → MK-NW-F-034 benchmarkReturn → MK-NW-F-037 blendedReturn → MK-NW-F-003 valueFreshness
3. MK-NW-F-120 classEvidenceOf → MK-NW-F-011 assetClassOf → MK-NW-F-030 earmarkDefault → MK-NW-F-032 earmarkedAmount → MK-NW-F-037 blendedReturn → MK-NW-F-003 valueFreshness
4. MK-CF-F-132 map → MK-NW-F-134 carValueNotEnteredNotes → MK-NW-F-031 primaryCarIdOf → MK-NW-F-037 blendedReturn → MK-NW-F-003 valueFreshness
5. MK-ST-F-049 formatMoney → MK-ST-F-053 money → MK-NW-F-134 carValueNotEnteredNotes → MK-NW-F-031 primaryCarIdOf → MK-NW-F-037 blendedReturn → MK-NW-F-003 valueFreshness
6. MK-XS-F-122 n → MK-ST-F-053 money → MK-NW-F-134 carValueNotEnteredNotes → MK-NW-F-031 primaryCarIdOf → MK-NW-F-037 blendedReturn → MK-NW-F-003 valueFreshness
7. primaryCarIdOf (already above — a loop) → MK-NW-F-134 carValueNotEnteredNotes → MK-NW-F-031 primaryCarIdOf → MK-NW-F-037 blendedReturn → MK-NW-F-003 valueFreshness
8. MK-NW-F-032 earmarkedAmount → MK-NW-F-033 retirementEarmarkedValue → MK-NW-F-134 carValueNotEnteredNotes → MK-NW-F-031 primaryCarIdOf → MK-NW-F-037 blendedReturn → MK-NW-F-003 valueFreshness
9. … and 4 more paths</t>
        </is>
      </c>
      <c r="S234" s="3" t="inlineStr">
        <is>
          <t>—</t>
        </is>
      </c>
      <c r="T234" s="3" t="inlineStr">
        <is>
          <t>HAND_VALUE_AGE</t>
        </is>
      </c>
      <c r="U234" s="3" t="inlineStr">
        <is>
          <t>ACTIVE</t>
        </is>
      </c>
      <c r="V234" s="3" t="inlineStr">
        <is>
          <t>2026-10-07</t>
        </is>
      </c>
      <c r="W234" s="3" t="n"/>
      <c r="X234" s="3" t="n"/>
      <c r="Y234" s="3" t="inlineStr">
        <is>
          <t>NOTHING OPEN</t>
        </is>
      </c>
    </row>
    <row r="235" ht="60" customHeight="1">
      <c r="A235" s="3" t="inlineStr">
        <is>
          <t>MK-NW-F-004</t>
        </is>
      </c>
      <c r="B235" s="3" t="inlineStr">
        <is>
          <t>portfolioActualReturn</t>
        </is>
      </c>
      <c r="C235" s="3" t="inlineStr">
        <is>
          <t>src/domain/assets/index.ts</t>
        </is>
      </c>
      <c r="D235" s="3" t="n">
        <v>205</v>
      </c>
      <c r="E235" s="3" t="inlineStr">
        <is>
          <t>2 · DISPLAYED</t>
        </is>
      </c>
      <c r="F235" s="3" t="inlineStr">
        <is>
          <t>What the money set aside for retirement returned over the last twelve months, from the returns the person reported.</t>
        </is>
      </c>
      <c r="G235" s="11" t="inlineStr">
        <is>
          <t>items = accounts (or none when missing) where tax bucket ! = 'PROPERTY' and actual ttm ≠ nothing and earmarked amount(each) &gt; 0 and (actual ttm as number) &gt; -1
now = Σ over items of (earmarked amount(each))
start = Σ over items of (earmarked amount(each) ÷ (1 + (actual ttm as number)))
nothing   when now ≤ 0 (or start ≤ 0 when missing or zero)
the answer = now ÷ start − 1</t>
        </is>
      </c>
      <c r="H235" s="3" t="inlineStr">
        <is>
          <t>Items is accounts (or none — when missing) where tax bucket ! = 'PROPERTY' and actual ttm is not no answer and earmarked amount(each) &gt; 0 and (actual ttm as number) &gt; -1. Now: the earmarked amount(each) added up across items. Start: the earmarked amount(each) divided by (1 plus (actual ttm as number)) added up across items. When now is at most 0 (or start is at most 0 — when missing or zero), it answers no answer. The answer is now divided by start minus 1.</t>
        </is>
      </c>
      <c r="I235" s="3" t="inlineStr">
        <is>
          <t>READ FROM THE CODE — rendered from the expressions the function runs</t>
        </is>
      </c>
      <c r="J235" s="3" t="inlineStr">
        <is>
          <t>accounts: AssetAccount[]</t>
        </is>
      </c>
      <c r="K235" s="3" t="inlineStr">
        <is>
          <t>number | null</t>
        </is>
      </c>
      <c r="L235" s="3" t="inlineStr">
        <is>
          <t>"Expected return" — on the Retirement cockpit screen, under "scRetired ?"</t>
        </is>
      </c>
      <c r="M235" s="3" t="inlineStr">
        <is>
          <t>None found in this function — anything it assumes comes from the functions it depends on.</t>
        </is>
      </c>
      <c r="N235" s="3" t="inlineStr">
        <is>
          <t>Yes</t>
        </is>
      </c>
      <c r="O235" s="3" t="inlineStr">
        <is>
          <t>1. MK-CF-F-155 cash
2. MK-NW-F-032 earmarkedAmount</t>
        </is>
      </c>
      <c r="P235" s="3" t="n">
        <v>17</v>
      </c>
      <c r="Q235" s="3" t="inlineStr">
        <is>
          <t>1. MK-CF-F-155 cash
2. MK-NW-F-032 earmarkedAmount
3. MK-XS-F-122 n
4. MK-NW-F-030 earmarkDefault
5. MK-NW-F-011 assetClassOf
6. MK-NW-F-120 classEvidenceOf
7. MK-NW-F-008 incomeBearingClassOf
8. MK-NW-F-009 maturityClass
9. MK-ST-F-010 nameEvidence
10. MK-NW-F-124 maturityParts
11. MK-CF-F-216 typed
12. MK-XS-F-147 call
13. MK-ST-F-056 has
14. MK-CF-F-132 map
15. MK-ST-F-027 accountId
16. MK-XS-F-064 currentIdToken
17. MK-XS-F-112 relayUrl</t>
        </is>
      </c>
      <c r="R235" s="3" t="inlineStr">
        <is>
          <t>1. MK-XS-F-122 n → MK-CF-F-155 cash → MK-NW-F-004 portfolioActualReturn
2. MK-CF-F-155 cash → MK-NW-F-120 classEvidenceOf → MK-NW-F-011 assetClassOf → MK-NW-F-030 earmarkDefault → MK-NW-F-032 earmarkedAmount → MK-NW-F-004 portfolioActualReturn
3. MK-NW-F-008 incomeBearingClassOf → MK-NW-F-120 classEvidenceOf → MK-NW-F-011 assetClassOf → MK-NW-F-030 earmarkDefault → MK-NW-F-032 earmarkedAmount → MK-NW-F-004 portfolioActualReturn
4. MK-NW-F-009 maturityClass → MK-NW-F-120 classEvidenceOf → MK-NW-F-011 assetClassOf → MK-NW-F-030 earmarkDefault → MK-NW-F-032 earmarkedAmount → MK-NW-F-004 portfolioActualReturn</t>
        </is>
      </c>
      <c r="S235" s="3" t="inlineStr">
        <is>
          <t>—</t>
        </is>
      </c>
      <c r="T235" s="3" t="inlineStr">
        <is>
          <t>REPORTED_RETURN</t>
        </is>
      </c>
      <c r="U235" s="3" t="inlineStr">
        <is>
          <t>ACTIVE</t>
        </is>
      </c>
      <c r="V235" s="3" t="inlineStr">
        <is>
          <t>2026-10-07</t>
        </is>
      </c>
      <c r="W235" s="3" t="n"/>
      <c r="X235" s="3" t="n"/>
      <c r="Y235" s="3" t="inlineStr">
        <is>
          <t>NOTHING OPEN</t>
        </is>
      </c>
    </row>
    <row r="236" ht="60" customHeight="1">
      <c r="A236" s="3" t="inlineStr">
        <is>
          <t>MK-NW-F-005</t>
        </is>
      </c>
      <c r="B236" s="3" t="inlineStr">
        <is>
          <t>accountAllowsTicker</t>
        </is>
      </c>
      <c r="C236" s="3" t="inlineStr">
        <is>
          <t>src/domain/assets/index.ts</t>
        </is>
      </c>
      <c r="D236" s="3" t="n">
        <v>249</v>
      </c>
      <c r="E236" s="3" t="inlineStr">
        <is>
          <t>2 · DISPLAYED</t>
        </is>
      </c>
      <c r="F236" s="3" t="inlineStr">
        <is>
          <t>Can a share or fund bought by its ticker be recorded in this account?</t>
        </is>
      </c>
      <c r="G236" s="11" t="inlineStr">
        <is>
          <t>false   when tax bucket = 'PROPERTY' (or tax bucket = 'CASH' when missing or zero)
false   when kind = 'college_529'
false   when kind = 'checking' (or kind = 'savings' when missing or zero)
true   when (positions.length ?? 0) &gt; 0
cls = asset class of(a)
false   when cls = 'bonds' (or cls = 'alternatives' when missing or zero)
the answer = true</t>
        </is>
      </c>
      <c r="H236" s="3" t="inlineStr">
        <is>
          <t>When tax bucket = 'PROPERTY' (or tax bucket = 'CASH' — when missing or zero), it answers false. When kind = 'college_529', it answers false. When kind = 'checking' (or kind = 'savings' — when missing or zero), it answers false. When (positions.length ?? 0) &gt; 0, it answers true. Cls is asset class of(a). When cls = 'bonds' (or cls = 'alternatives' — when missing or zero), it answers false. The answer is true.</t>
        </is>
      </c>
      <c r="I236" s="3" t="inlineStr">
        <is>
          <t>PARTLY READ — some of the code is still showing through; needs a hand pass</t>
        </is>
      </c>
      <c r="J236" s="3" t="inlineStr">
        <is>
          <t>a: AssetAccount</t>
        </is>
      </c>
      <c r="K236" s="3" t="inlineStr">
        <is>
          <t>boolean</t>
        </is>
      </c>
      <c r="L236" s="3" t="inlineStr">
        <is>
          <t>NOT FOUND — a screen calls it, but the words printed beside its answer could not be traced automatically. Needs reading.</t>
        </is>
      </c>
      <c r="M236" s="3" t="inlineStr">
        <is>
          <t>· If length is missing it uses 0.</t>
        </is>
      </c>
      <c r="N236" s="3" t="inlineStr">
        <is>
          <t>Yes</t>
        </is>
      </c>
      <c r="O236" s="3" t="inlineStr">
        <is>
          <t>1. MK-NW-F-011 assetClassOf
2. MK-CF-F-155 cash</t>
        </is>
      </c>
      <c r="P236" s="3" t="n">
        <v>15</v>
      </c>
      <c r="Q236" s="3" t="inlineStr">
        <is>
          <t>1. MK-NW-F-011 assetClassOf
2. MK-CF-F-155 cash
3. MK-NW-F-120 classEvidenceOf
4. MK-XS-F-122 n
5. MK-NW-F-008 incomeBearingClassOf
6. MK-NW-F-009 maturityClass
7. MK-ST-F-010 nameEvidence
8. MK-NW-F-124 maturityParts
9. MK-CF-F-216 typed
10. MK-XS-F-147 call
11. MK-ST-F-056 has
12. MK-CF-F-132 map
13. MK-ST-F-027 accountId
14. MK-XS-F-064 currentIdToken
15. MK-XS-F-112 relayUrl</t>
        </is>
      </c>
      <c r="R236" s="3" t="inlineStr">
        <is>
          <t>1. MK-XS-F-122 n → MK-CF-F-155 cash → MK-NW-F-120 classEvidenceOf → MK-NW-F-011 assetClassOf → MK-NW-F-005 accountAllowsTicker
2. MK-XS-F-122 n → MK-CF-F-155 cash → MK-NW-F-008 incomeBearingClassOf → MK-NW-F-120 classEvidenceOf → MK-NW-F-011 assetClassOf → MK-NW-F-005 accountAllowsTicker
3. MK-XS-F-147 call → MK-ST-F-010 nameEvidence → MK-NW-F-008 incomeBearingClassOf → MK-NW-F-120 classEvidenceOf → MK-NW-F-011 assetClassOf → MK-NW-F-005 accountAllowsTicker
4. MK-ST-F-056 has → MK-ST-F-010 nameEvidence → MK-NW-F-008 incomeBearingClassOf → MK-NW-F-120 classEvidenceOf → MK-NW-F-011 assetClassOf → MK-NW-F-005 accountAllowsTicker
5. MK-CF-F-132 map → MK-ST-F-010 nameEvidence → MK-NW-F-008 incomeBearingClassOf → MK-NW-F-120 classEvidenceOf → MK-NW-F-011 assetClassOf → MK-NW-F-005 accountAllowsTicker
6. assetClassOf (already above — a loop) → MK-NW-F-009 maturityClass → MK-NW-F-120 classEvidenceOf → MK-NW-F-011 assetClassOf → MK-NW-F-005 accountAllowsTicker
7. maturityClass (already above — a loop) → MK-NW-F-124 maturityParts → MK-NW-F-009 maturityClass → MK-NW-F-120 classEvidenceOf → MK-NW-F-011 assetClassOf → MK-NW-F-005 accountAllowsTicker
8. MK-CF-F-216 typed → MK-NW-F-124 maturityParts → MK-NW-F-009 maturityClass → MK-NW-F-120 classEvidenceOf → MK-NW-F-011 assetClassOf → MK-NW-F-005 accountAllowsTicker
9. … and 2 more paths</t>
        </is>
      </c>
      <c r="S236" s="3" t="inlineStr">
        <is>
          <t>—</t>
        </is>
      </c>
      <c r="T236" s="3" t="inlineStr">
        <is>
          <t>CAN_HOLD_TICKERS</t>
        </is>
      </c>
      <c r="U236" s="3" t="inlineStr">
        <is>
          <t>ACTIVE</t>
        </is>
      </c>
      <c r="V236" s="3" t="inlineStr">
        <is>
          <t>2026-10-05</t>
        </is>
      </c>
      <c r="W236" s="3" t="n"/>
      <c r="X236" s="3" t="n"/>
      <c r="Y236" s="3" t="inlineStr">
        <is>
          <t>NOTHING OPEN</t>
        </is>
      </c>
    </row>
    <row r="237" ht="60" customHeight="1">
      <c r="A237" s="3" t="inlineStr">
        <is>
          <t>MK-NW-F-007</t>
        </is>
      </c>
      <c r="B237" s="3" t="inlineStr">
        <is>
          <t>assetKind</t>
        </is>
      </c>
      <c r="C237" s="3" t="inlineStr">
        <is>
          <t>src/domain/assets/index.ts</t>
        </is>
      </c>
      <c r="D237" s="3" t="n">
        <v>333</v>
      </c>
      <c r="E237" s="3" t="inlineStr">
        <is>
          <t>2 · DISPLAYED</t>
        </is>
      </c>
      <c r="F237" s="3" t="inlineStr">
        <is>
          <t>What do we know about this kind of account?</t>
        </is>
      </c>
      <c r="G237" s="11" t="inlineStr">
        <is>
          <t>id = id); }</t>
        </is>
      </c>
      <c r="H237" s="3" t="inlineStr">
        <is>
          <t>id = id); }</t>
        </is>
      </c>
      <c r="I237" s="3" t="inlineStr">
        <is>
          <t>READ FROM THE CODE — rendered from the expressions the function runs</t>
        </is>
      </c>
      <c r="J237" s="3" t="inlineStr">
        <is>
          <t>id?: string</t>
        </is>
      </c>
      <c r="K237" s="3" t="inlineStr">
        <is>
          <t>NOT DECLARED — the code does not say what it gives back</t>
        </is>
      </c>
      <c r="L237" s="3" t="inlineStr">
        <is>
          <t>1. "ACCOUNTS / INVESTING" — on a card used on more than one screen (MoneySheets)
2. "Type" — on the Other investments screen
3. "Type" — on the account portfolio screen, under "IF INTEREST RATES MOVE"</t>
        </is>
      </c>
      <c r="M237" s="3" t="inlineStr">
        <is>
          <t>None found in this function — anything it assumes comes from the functions it depends on.</t>
        </is>
      </c>
      <c r="N237" s="3" t="inlineStr">
        <is>
          <t>Yes</t>
        </is>
      </c>
      <c r="O237" s="3" t="inlineStr">
        <is>
          <t>1. MK-NW-F-011 assetClassOf
2. MK-CF-F-155 cash</t>
        </is>
      </c>
      <c r="P237" s="3" t="n">
        <v>15</v>
      </c>
      <c r="Q237" s="3" t="inlineStr">
        <is>
          <t>1. MK-NW-F-011 assetClassOf
2. MK-CF-F-155 cash
3. MK-NW-F-120 classEvidenceOf
4. MK-XS-F-122 n
5. MK-NW-F-008 incomeBearingClassOf
6. MK-NW-F-009 maturityClass
7. MK-ST-F-010 nameEvidence
8. MK-NW-F-124 maturityParts
9. MK-CF-F-216 typed
10. MK-XS-F-147 call
11. MK-ST-F-056 has
12. MK-CF-F-132 map
13. MK-ST-F-027 accountId
14. MK-XS-F-064 currentIdToken
15. MK-XS-F-112 relayUrl</t>
        </is>
      </c>
      <c r="R237" s="3" t="inlineStr">
        <is>
          <t>1. MK-XS-F-122 n → MK-CF-F-155 cash → MK-NW-F-120 classEvidenceOf → MK-NW-F-011 assetClassOf → MK-NW-F-007 assetKind
2. MK-XS-F-122 n → MK-CF-F-155 cash → MK-NW-F-008 incomeBearingClassOf → MK-NW-F-120 classEvidenceOf → MK-NW-F-011 assetClassOf → MK-NW-F-007 assetKind
3. MK-XS-F-147 call → MK-ST-F-010 nameEvidence → MK-NW-F-008 incomeBearingClassOf → MK-NW-F-120 classEvidenceOf → MK-NW-F-011 assetClassOf → MK-NW-F-007 assetKind
4. MK-ST-F-056 has → MK-ST-F-010 nameEvidence → MK-NW-F-008 incomeBearingClassOf → MK-NW-F-120 classEvidenceOf → MK-NW-F-011 assetClassOf → MK-NW-F-007 assetKind
5. MK-CF-F-132 map → MK-ST-F-010 nameEvidence → MK-NW-F-008 incomeBearingClassOf → MK-NW-F-120 classEvidenceOf → MK-NW-F-011 assetClassOf → MK-NW-F-007 assetKind
6. assetClassOf (already above — a loop) → MK-NW-F-009 maturityClass → MK-NW-F-120 classEvidenceOf → MK-NW-F-011 assetClassOf → MK-NW-F-007 assetKind
7. maturityClass (already above — a loop) → MK-NW-F-124 maturityParts → MK-NW-F-009 maturityClass → MK-NW-F-120 classEvidenceOf → MK-NW-F-011 assetClassOf → MK-NW-F-007 assetKind
8. MK-CF-F-216 typed → MK-NW-F-124 maturityParts → MK-NW-F-009 maturityClass → MK-NW-F-120 classEvidenceOf → MK-NW-F-011 assetClassOf → MK-NW-F-007 assetKind
9. … and 2 more paths</t>
        </is>
      </c>
      <c r="S237" s="3" t="inlineStr">
        <is>
          <t>—</t>
        </is>
      </c>
      <c r="T237" s="3" t="inlineStr">
        <is>
          <t>ACCOUNT_TYPE_FACTS</t>
        </is>
      </c>
      <c r="U237" s="3" t="inlineStr">
        <is>
          <t>ACTIVE</t>
        </is>
      </c>
      <c r="V237" s="3" t="inlineStr">
        <is>
          <t>2026-08-27</t>
        </is>
      </c>
      <c r="W237" s="3" t="n"/>
      <c r="X237" s="3" t="n"/>
      <c r="Y237" s="3" t="inlineStr">
        <is>
          <t>NOTHING OPEN</t>
        </is>
      </c>
    </row>
    <row r="238" ht="60" customHeight="1">
      <c r="A238" s="3" t="inlineStr">
        <is>
          <t>MK-NW-F-008</t>
        </is>
      </c>
      <c r="B238" s="3" t="inlineStr">
        <is>
          <t>incomeBearingClassOf</t>
        </is>
      </c>
      <c r="C238" s="3" t="inlineStr">
        <is>
          <t>src/domain/assets/index.ts</t>
        </is>
      </c>
      <c r="D238" s="3" t="n">
        <v>387</v>
      </c>
      <c r="E238" s="3" t="inlineStr">
        <is>
          <t>3 · DEPENDENT</t>
        </is>
      </c>
      <c r="F238" s="3" t="inlineStr">
        <is>
          <t>FOUNDER RULE 2026-08-04 (supersedes the money-market=cash rule and the 12-month CD split): CASH means cash only — a sweep/settlement balance.</t>
        </is>
      </c>
      <c r="G238" s="11" t="inlineStr">
        <is>
          <t>name evidence(label)</t>
        </is>
      </c>
      <c r="H238" s="3" t="inlineStr">
        <is>
          <t>name evidence(label).</t>
        </is>
      </c>
      <c r="I238" s="3" t="inlineStr">
        <is>
          <t>READ FROM THE CODE — rendered from the expressions the function runs</t>
        </is>
      </c>
      <c r="J238" s="3" t="inlineStr">
        <is>
          <t>label?: string</t>
        </is>
      </c>
      <c r="K238" s="3" t="inlineStr">
        <is>
          <t>AssetClass | null</t>
        </is>
      </c>
      <c r="L238" s="3" t="inlineStr">
        <is>
          <t>—</t>
        </is>
      </c>
      <c r="M238" s="3" t="inlineStr">
        <is>
          <t>None found in this function — anything it assumes comes from the functions it depends on.</t>
        </is>
      </c>
      <c r="N238" s="3" t="inlineStr">
        <is>
          <t>Yes</t>
        </is>
      </c>
      <c r="O238" s="3" t="inlineStr">
        <is>
          <t>1. MK-CF-F-155 cash
2. MK-ST-F-010 nameEvidence</t>
        </is>
      </c>
      <c r="P238" s="3" t="n">
        <v>9</v>
      </c>
      <c r="Q238" s="3" t="inlineStr">
        <is>
          <t>1. MK-CF-F-155 cash
2. MK-ST-F-010 nameEvidence
3. MK-XS-F-122 n
4. MK-XS-F-147 call
5. MK-ST-F-056 has
6. MK-CF-F-132 map
7. MK-ST-F-027 accountId
8. MK-XS-F-064 currentIdToken
9. MK-XS-F-112 relayUrl</t>
        </is>
      </c>
      <c r="R238"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38" s="3" t="inlineStr">
        <is>
          <t>—</t>
        </is>
      </c>
      <c r="T238" s="3" t="inlineStr">
        <is>
          <t>CLASS_FROM_NAME_TEXT</t>
        </is>
      </c>
      <c r="U238" s="3" t="inlineStr">
        <is>
          <t>ACTIVE</t>
        </is>
      </c>
      <c r="V238" s="3" t="inlineStr">
        <is>
          <t>2026-08-27</t>
        </is>
      </c>
      <c r="W238" s="3" t="n"/>
      <c r="X238" s="3" t="n"/>
      <c r="Y238" s="3" t="inlineStr">
        <is>
          <t>NOTHING OPEN</t>
        </is>
      </c>
    </row>
    <row r="239" ht="60" customHeight="1">
      <c r="A239" s="3" t="inlineStr">
        <is>
          <t>MK-NW-F-009</t>
        </is>
      </c>
      <c r="B239" s="3" t="inlineStr">
        <is>
          <t>maturityClass</t>
        </is>
      </c>
      <c r="C239" s="3" t="inlineStr">
        <is>
          <t>src/domain/assets/index.ts</t>
        </is>
      </c>
      <c r="D239" s="3" t="n">
        <v>422</v>
      </c>
      <c r="E239" s="3" t="inlineStr">
        <is>
          <t>2 · DISPLAYED</t>
        </is>
      </c>
      <c r="F239" s="3" t="inlineStr">
        <is>
          <t>FOUNDER RULE 2026-08-04 (supersedes build-34 #8's 12-month split): ANY maturity-dated instrument is a BOND — it pays interest, so it must sit in the measured bucket regardless of how soon it matures.</t>
        </is>
      </c>
      <c r="G239" s="11" t="inlineStr">
        <is>
          <t>'bonds'   if maturity parts(maturity date)
'cash'   otherwise</t>
        </is>
      </c>
      <c r="H239" s="3" t="inlineStr">
        <is>
          <t>'bonds' — when maturity parts(maturity date); 'cash' — otherwise.</t>
        </is>
      </c>
      <c r="I239" s="3" t="inlineStr">
        <is>
          <t>READ FROM THE CODE — rendered from the expressions the function runs</t>
        </is>
      </c>
      <c r="J239" s="3" t="inlineStr">
        <is>
          <t>maturityDate?: string | null</t>
        </is>
      </c>
      <c r="K239" s="3" t="inlineStr">
        <is>
          <t>'cash' | 'bonds'</t>
        </is>
      </c>
      <c r="L239" s="3" t="inlineStr">
        <is>
          <t>NOT FOUND — a screen calls it, but the words printed beside its answer could not be traced automatically. Needs reading.</t>
        </is>
      </c>
      <c r="M239" s="3" t="inlineStr">
        <is>
          <t>None found in this function — anything it assumes comes from the functions it depends on.</t>
        </is>
      </c>
      <c r="N239" s="3" t="inlineStr">
        <is>
          <t>Yes</t>
        </is>
      </c>
      <c r="O239" s="3" t="inlineStr">
        <is>
          <t>1. MK-NW-F-011 assetClassOf
2. MK-NW-F-124 maturityParts
3. MK-CF-F-216 typed</t>
        </is>
      </c>
      <c r="P239" s="3" t="n">
        <v>14</v>
      </c>
      <c r="Q239" s="3" t="inlineStr">
        <is>
          <t>1. MK-NW-F-011 assetClassOf
2. MK-NW-F-124 maturityParts
3. MK-CF-F-216 typed
4. MK-NW-F-120 classEvidenceOf
5. MK-CF-F-155 cash
6. MK-NW-F-008 incomeBearingClassOf
7. MK-XS-F-122 n
8. MK-ST-F-010 nameEvidence
9. MK-XS-F-147 call
10. MK-ST-F-056 has
11. MK-CF-F-132 map
12. MK-ST-F-027 accountId
13. MK-XS-F-064 currentIdToken
14. MK-XS-F-112 relayUrl</t>
        </is>
      </c>
      <c r="R239" s="3" t="inlineStr">
        <is>
          <t>1. MK-XS-F-122 n → MK-CF-F-155 cash → MK-NW-F-120 classEvidenceOf → MK-NW-F-011 assetClassOf → MK-NW-F-009 maturityClass
2. MK-XS-F-122 n → MK-CF-F-155 cash → MK-NW-F-008 incomeBearingClassOf → MK-NW-F-120 classEvidenceOf → MK-NW-F-011 assetClassOf → MK-NW-F-009 maturityClass
3. MK-XS-F-147 call → MK-ST-F-010 nameEvidence → MK-NW-F-008 incomeBearingClassOf → MK-NW-F-120 classEvidenceOf → MK-NW-F-011 assetClassOf → MK-NW-F-009 maturityClass
4. MK-ST-F-056 has → MK-ST-F-010 nameEvidence → MK-NW-F-008 incomeBearingClassOf → MK-NW-F-120 classEvidenceOf → MK-NW-F-011 assetClassOf → MK-NW-F-009 maturityClass
5. MK-CF-F-132 map → MK-ST-F-010 nameEvidence → MK-NW-F-008 incomeBearingClassOf → MK-NW-F-120 classEvidenceOf → MK-NW-F-011 assetClassOf → MK-NW-F-009 maturityClass
6. maturityClass (already above — a loop) → MK-NW-F-120 classEvidenceOf → MK-NW-F-011 assetClassOf → MK-NW-F-009 maturityClass
7. maturityClass (already above — a loop) → MK-NW-F-124 maturityParts → MK-NW-F-009 maturityClass
8. MK-CF-F-216 typed → MK-NW-F-124 maturityParts → MK-NW-F-009 maturityClass
9. … and 1 more paths</t>
        </is>
      </c>
      <c r="S239" s="3" t="inlineStr">
        <is>
          <t>—</t>
        </is>
      </c>
      <c r="T239" s="3" t="inlineStr">
        <is>
          <t>MATURITY_MEANS_BOND</t>
        </is>
      </c>
      <c r="U239" s="3" t="inlineStr">
        <is>
          <t>ACTIVE</t>
        </is>
      </c>
      <c r="V239" s="3" t="inlineStr">
        <is>
          <t>2026-10-13</t>
        </is>
      </c>
      <c r="W239" s="3" t="n"/>
      <c r="X239" s="3" t="n"/>
      <c r="Y239" s="3" t="inlineStr">
        <is>
          <t>NOTHING OPEN</t>
        </is>
      </c>
    </row>
    <row r="240" ht="60" customHeight="1">
      <c r="A240" s="3" t="inlineStr">
        <is>
          <t>MK-NW-F-010</t>
        </is>
      </c>
      <c r="B240" s="3" t="inlineStr">
        <is>
          <t>wrapperAccount</t>
        </is>
      </c>
      <c r="C240" s="3" t="inlineStr">
        <is>
          <t>src/domain/assets/index.ts</t>
        </is>
      </c>
      <c r="D240" s="3" t="n">
        <v>460</v>
      </c>
      <c r="E240" s="3" t="inlineStr">
        <is>
          <t>2 · DISPLAYED</t>
        </is>
      </c>
      <c r="F240" s="3" t="inlineStr">
        <is>
          <t>The person picked how this account is taxed — what does that make it?</t>
        </is>
      </c>
      <c r="G240" s="11" t="inlineStr">
        <is>
          <t>401k → kind '401k', bucket PRE_TAX
trad_ira → 'trad_ira', PRE_TAX
roth → 'roth_ira', ROTH
roth_401k → '401k', ROTH
hsa → 'hsa', PRE_TAX
anything else → 'brokerage', TAXABLE</t>
        </is>
      </c>
      <c r="H240" s="3" t="inlineStr">
        <is>
          <t>The account kind and tax bucket for the wrapper a person picked when adding an account — a 401(k), traditional IRA and HSA are pre-tax, a Roth IRA and a Roth 401(k) are tax-free, anything else (or nothing) is a taxable brokerage. No arithmetic.</t>
        </is>
      </c>
      <c r="I240" s="3" t="inlineStr">
        <is>
          <t>READ BY HAND 2026-08-26 — checked line by line against the code</t>
        </is>
      </c>
      <c r="J240" s="3" t="inlineStr">
        <is>
          <t>w?: AddWrapper | null</t>
        </is>
      </c>
      <c r="K240" s="3" t="inlineStr">
        <is>
          <t>NOT DECLARED — the code does not say what it gives back</t>
        </is>
      </c>
      <c r="L240" s="3" t="inlineStr">
        <is>
          <t>NOT FOUND — a screen calls it, but the words printed beside its answer could not be traced automatically. Needs reading.</t>
        </is>
      </c>
      <c r="M240" s="3" t="inlineStr">
        <is>
          <t>None found in this function — anything it assumes comes from the functions it depends on.</t>
        </is>
      </c>
      <c r="N240" s="3" t="inlineStr">
        <is>
          <t>Yes</t>
        </is>
      </c>
      <c r="O240" s="3" t="inlineStr">
        <is>
          <t>MK-NW-F-053 correctClassOf</t>
        </is>
      </c>
      <c r="P240" s="3" t="n">
        <v>16</v>
      </c>
      <c r="Q240" s="3" t="inlineStr">
        <is>
          <t>1. MK-NW-F-053 correctClassOf
2. MK-NW-F-120 classEvidenceOf
3. MK-CF-F-155 cash
4. MK-NW-F-008 incomeBearingClassOf
5. MK-NW-F-009 maturityClass
6. MK-XS-F-122 n
7. MK-ST-F-010 nameEvidence
8. MK-NW-F-011 assetClassOf
9. MK-NW-F-124 maturityParts
10. MK-CF-F-216 typed
11. MK-XS-F-147 call
12. MK-ST-F-056 has
13. MK-CF-F-132 map
14. MK-ST-F-027 accountId
15. MK-XS-F-064 currentIdToken
16. MK-XS-F-112 relayUrl</t>
        </is>
      </c>
      <c r="R240" s="3" t="inlineStr">
        <is>
          <t>1. MK-XS-F-122 n → MK-CF-F-155 cash → MK-NW-F-120 classEvidenceOf → MK-NW-F-053 correctClassOf → MK-NW-F-010 wrapperAccount
2. MK-XS-F-122 n → MK-CF-F-155 cash → MK-NW-F-008 incomeBearingClassOf → MK-NW-F-120 classEvidenceOf → MK-NW-F-053 correctClassOf → MK-NW-F-010 wrapperAccount
3. MK-XS-F-147 call → MK-ST-F-010 nameEvidence → MK-NW-F-008 incomeBearingClassOf → MK-NW-F-120 classEvidenceOf → MK-NW-F-053 correctClassOf → MK-NW-F-010 wrapperAccount
4. MK-ST-F-056 has → MK-ST-F-010 nameEvidence → MK-NW-F-008 incomeBearingClassOf → MK-NW-F-120 classEvidenceOf → MK-NW-F-053 correctClassOf → MK-NW-F-010 wrapperAccount
5. MK-CF-F-132 map → MK-ST-F-010 nameEvidence → MK-NW-F-008 incomeBearingClassOf → MK-NW-F-120 classEvidenceOf → MK-NW-F-053 correctClassOf → MK-NW-F-010 wrapperAccount
6. classEvidenceOf (already above — a loop) → MK-NW-F-011 assetClassOf → MK-NW-F-009 maturityClass → MK-NW-F-120 classEvidenceOf → MK-NW-F-053 correctClassOf → MK-NW-F-010 wrapperAccount
7. maturityClass (already above — a loop) → MK-NW-F-124 maturityParts → MK-NW-F-009 maturityClass → MK-NW-F-120 classEvidenceOf → MK-NW-F-053 correctClassOf → MK-NW-F-010 wrapperAccount
8. MK-CF-F-216 typed → MK-NW-F-124 maturityParts → MK-NW-F-009 maturityClass → MK-NW-F-120 classEvidenceOf → MK-NW-F-053 correctClassOf → MK-NW-F-010 wrapperAccount
9. … and 1 more paths</t>
        </is>
      </c>
      <c r="S240" s="3" t="inlineStr">
        <is>
          <t>—</t>
        </is>
      </c>
      <c r="T240" s="3" t="inlineStr">
        <is>
          <t>TAX_TYPE_TO_ACCOUNT</t>
        </is>
      </c>
      <c r="U240" s="3" t="inlineStr">
        <is>
          <t>ACTIVE</t>
        </is>
      </c>
      <c r="V240" s="3" t="inlineStr">
        <is>
          <t>2026-10-05</t>
        </is>
      </c>
      <c r="W240" s="3" t="n"/>
      <c r="X240" s="3" t="n"/>
      <c r="Y240" s="3" t="inlineStr">
        <is>
          <t>NOTHING OPEN</t>
        </is>
      </c>
    </row>
    <row r="241" ht="60" customHeight="1">
      <c r="A241" s="3" t="inlineStr">
        <is>
          <t>MK-NW-F-011</t>
        </is>
      </c>
      <c r="B241" s="3" t="inlineStr">
        <is>
          <t>assetClassOf</t>
        </is>
      </c>
      <c r="C241" s="3" t="inlineStr">
        <is>
          <t>src/domain/assets/index.ts</t>
        </is>
      </c>
      <c r="D241" s="3" t="n">
        <v>577</v>
      </c>
      <c r="E241" s="3" t="inlineStr">
        <is>
          <t>2 · DISPLAYED</t>
        </is>
      </c>
      <c r="F241" s="3" t="inlineStr">
        <is>
          <t>What an account is: cash, bonds and CDs, stocks and funds, an alternative, real estate, personal property, or not yet known.</t>
        </is>
      </c>
      <c r="G241" s="11" t="inlineStr">
        <is>
          <t>asset class   when asset class
evidence = class evidence of(a)
evidence   when evidence
by kind = KIND_TO_CLASS[kind]   if kind
undefined   otherwise
by kind   when by kind
'stocks_etf'   when count of positions and positions
'cash'   when tax bucket = 'CASH'
'real_estate'   if kind is missing (or re use when missing or zero)
'personal_property'   otherwise   when tax bucket = 'PROPERTY'
the answer = 'mixed'</t>
        </is>
      </c>
      <c r="H241" s="3" t="inlineStr">
        <is>
          <t>When asset class, it answers asset class. Evidence is class evidence of(a). When evidence, it answers evidence. By kind is KIND_TO_CLASS[kind] — when kind; undefined — otherwise. When by kind, it answers by kind. When how many positions and positions there are, it answers 'stocks_etf'. When tax bucket = 'CASH', it answers 'cash'. When tax bucket = 'PROPERTY', it answers 'real_estate' — when kind is missing (or re use when missing or zero); 'personal_property' — otherwise. The answer is 'mixed'.</t>
        </is>
      </c>
      <c r="I241" s="3" t="inlineStr">
        <is>
          <t>PARTLY READ — some of the code is still showing through; needs a hand pass</t>
        </is>
      </c>
      <c r="J241" s="3" t="inlineStr">
        <is>
          <t>a: AssetAccount</t>
        </is>
      </c>
      <c r="K241" s="3" t="inlineStr">
        <is>
          <t>AssetClass</t>
        </is>
      </c>
      <c r="L241" s="3" t="inlineStr">
        <is>
          <t>1. "Bonds &amp; alternatives — recorded on their own pages" — on the Performance screen
2. "Nothing entered yet." — on the Net worth screen, under "DEBTS"</t>
        </is>
      </c>
      <c r="M241" s="3" t="inlineStr">
        <is>
          <t>None found in this function — anything it assumes comes from the functions it depends on.</t>
        </is>
      </c>
      <c r="N241" s="3" t="inlineStr">
        <is>
          <t>Yes</t>
        </is>
      </c>
      <c r="O241" s="3" t="inlineStr">
        <is>
          <t>MK-NW-F-120 classEvidenceOf</t>
        </is>
      </c>
      <c r="P241" s="3" t="n">
        <v>14</v>
      </c>
      <c r="Q241" s="3" t="inlineStr">
        <is>
          <t>1. MK-NW-F-120 classEvidenceOf
2. MK-CF-F-155 cash
3. MK-NW-F-008 incomeBearingClassOf
4. MK-NW-F-009 maturityClass
5. MK-XS-F-122 n
6. MK-ST-F-010 nameEvidence
7. MK-NW-F-124 maturityParts
8. MK-CF-F-216 typed
9. MK-XS-F-147 call
10. MK-ST-F-056 has
11. MK-CF-F-132 map
12. MK-ST-F-027 accountId
13. MK-XS-F-064 currentIdToken
14. MK-XS-F-112 relayUrl</t>
        </is>
      </c>
      <c r="R241" s="3" t="inlineStr">
        <is>
          <t>1. MK-XS-F-122 n → MK-CF-F-155 cash → MK-NW-F-120 classEvidenceOf → MK-NW-F-011 assetClassOf
2. MK-XS-F-122 n → MK-CF-F-155 cash → MK-NW-F-008 incomeBearingClassOf → MK-NW-F-120 classEvidenceOf → MK-NW-F-011 assetClassOf
3. MK-ST-F-027 accountId → MK-XS-F-147 call → MK-ST-F-010 nameEvidence → MK-NW-F-008 incomeBearingClassOf → MK-NW-F-120 classEvidenceOf → MK-NW-F-011 assetClassOf
4. MK-XS-F-064 currentIdToken → MK-XS-F-147 call → MK-ST-F-010 nameEvidence → MK-NW-F-008 incomeBearingClassOf → MK-NW-F-120 classEvidenceOf → MK-NW-F-011 assetClassOf
5. MK-XS-F-112 relayUrl → MK-XS-F-147 call → MK-ST-F-010 nameEvidence → MK-NW-F-008 incomeBearingClassOf → MK-NW-F-120 classEvidenceOf → MK-NW-F-011 assetClassOf
6. MK-ST-F-056 has → MK-ST-F-010 nameEvidence → MK-NW-F-008 incomeBearingClassOf → MK-NW-F-120 classEvidenceOf → MK-NW-F-011 assetClassOf
7. MK-CF-F-132 map → MK-ST-F-010 nameEvidence → MK-NW-F-008 incomeBearingClassOf → MK-NW-F-120 classEvidenceOf → MK-NW-F-011 assetClassOf
8. assetClassOf (already above — a loop) → MK-NW-F-009 maturityClass → MK-NW-F-120 classEvidenceOf → MK-NW-F-011 assetClassOf
9. … and 3 more paths</t>
        </is>
      </c>
      <c r="S241" s="3" t="inlineStr">
        <is>
          <t>—</t>
        </is>
      </c>
      <c r="T241" s="3" t="inlineStr">
        <is>
          <t>ASSET_CLASS_OF_ACCOUNT</t>
        </is>
      </c>
      <c r="U241" s="3" t="inlineStr">
        <is>
          <t>ACTIVE</t>
        </is>
      </c>
      <c r="V241" s="3" t="inlineStr">
        <is>
          <t>2026-10-09</t>
        </is>
      </c>
      <c r="W241" s="3" t="n"/>
      <c r="X241" s="3" t="n"/>
      <c r="Y241" s="3" t="inlineStr">
        <is>
          <t>NOTHING OPEN</t>
        </is>
      </c>
    </row>
    <row r="242" ht="60" customHeight="1">
      <c r="A242" s="3" t="inlineStr">
        <is>
          <t>MK-NW-F-012</t>
        </is>
      </c>
      <c r="B242" s="3" t="inlineStr">
        <is>
          <t>taxTreatmentOf</t>
        </is>
      </c>
      <c r="C242" s="3" t="inlineStr">
        <is>
          <t>src/domain/assets/index.ts</t>
        </is>
      </c>
      <c r="D242" s="3" t="n">
        <v>637</v>
      </c>
      <c r="E242" s="3" t="inlineStr">
        <is>
          <t>3 · DEPENDENT</t>
        </is>
      </c>
      <c r="F242" s="3" t="inlineStr">
        <is>
          <t>How an account's money is taxed: as it is earned, when it comes out, or not at all.</t>
        </is>
      </c>
      <c r="G242" s="11" t="inlineStr">
        <is>
          <t>'tax_free'   when kind = 'college_529'
'tax_deferred'   when kind = 'hsa'
tax treatment   when tax treatment
kind bucket = asset kind(kind).bucket
bucket = tax bucket   if TAX_BUCKETS.includes(tax bucket)
kind bucket   if kind bucket ! = 'TAXABLE'
undefined   otherwise   otherwise
'not_stated'   when bucket is missing
'tax_deferred'   when bucket = 'PRE_TAX'
'tax_free'   when bucket = 'ROTH'
the answer = 'taxable'</t>
        </is>
      </c>
      <c r="H242" s="3" t="inlineStr">
        <is>
          <t>When kind = 'college_529', it answers 'tax_free'. When kind = 'hsa', it answers 'tax_deferred'. When tax treatment, it answers tax treatment. Kind bucket is asset kind(kind).bucket. Bucket is tax bucket — when TAX_BUCKETS.includes(tax bucket); kind bucket — when kind bucket ! = 'TAXABLE'; undefined — otherwise — otherwise. When bucket is missing, it answers 'not_stated'. When bucket = 'PRE_TAX', it answers 'tax_deferred'. When bucket = 'ROTH', it answers 'tax_free'. The answer is 'taxable'.</t>
        </is>
      </c>
      <c r="I242" s="3" t="inlineStr">
        <is>
          <t>PARTLY READ — some of the code is still showing through; needs a hand pass</t>
        </is>
      </c>
      <c r="J242" s="3" t="inlineStr">
        <is>
          <t>a: AssetAccount</t>
        </is>
      </c>
      <c r="K242" s="3" t="inlineStr">
        <is>
          <t>TaxTreatmentAnswer</t>
        </is>
      </c>
      <c r="L242" s="3" t="inlineStr">
        <is>
          <t>—</t>
        </is>
      </c>
      <c r="M242" s="3" t="inlineStr">
        <is>
          <t>None found in this function — anything it assumes comes from the functions it depends on.</t>
        </is>
      </c>
      <c r="N242" s="3" t="inlineStr">
        <is>
          <t>Yes</t>
        </is>
      </c>
      <c r="O242" s="3" t="inlineStr">
        <is>
          <t>MK-NW-F-007 assetKind</t>
        </is>
      </c>
      <c r="P242" s="3" t="n">
        <v>16</v>
      </c>
      <c r="Q242" s="3" t="inlineStr">
        <is>
          <t>1. MK-NW-F-007 assetKind
2. MK-NW-F-011 assetClassOf
3. MK-CF-F-155 cash
4. MK-NW-F-120 classEvidenceOf
5. MK-XS-F-122 n
6. MK-NW-F-008 incomeBearingClassOf
7. MK-NW-F-009 maturityClass
8. MK-ST-F-010 nameEvidence
9. MK-NW-F-124 maturityParts
10. MK-CF-F-216 typed
11. MK-XS-F-147 call
12. MK-ST-F-056 has
13. MK-CF-F-132 map
14. MK-ST-F-027 accountId
15. MK-XS-F-064 currentIdToken
16. MK-XS-F-112 relayUrl</t>
        </is>
      </c>
      <c r="R242" s="3" t="inlineStr">
        <is>
          <t>1. MK-XS-F-122 n → MK-CF-F-155 cash → MK-NW-F-120 classEvidenceOf → MK-NW-F-011 assetClassOf → MK-NW-F-007 assetKind → MK-NW-F-012 taxTreatmentOf
2. MK-CF-F-155 cash → MK-NW-F-008 incomeBearingClassOf → MK-NW-F-120 classEvidenceOf → MK-NW-F-011 assetClassOf → MK-NW-F-007 assetKind → MK-NW-F-012 taxTreatmentOf
3. MK-ST-F-010 nameEvidence → MK-NW-F-008 incomeBearingClassOf → MK-NW-F-120 classEvidenceOf → MK-NW-F-011 assetClassOf → MK-NW-F-007 assetKind → MK-NW-F-012 taxTreatmentOf
4. assetClassOf (already above — a loop) → MK-NW-F-009 maturityClass → MK-NW-F-120 classEvidenceOf → MK-NW-F-011 assetClassOf → MK-NW-F-007 assetKind → MK-NW-F-012 taxTreatmentOf
5. MK-NW-F-124 maturityParts → MK-NW-F-009 maturityClass → MK-NW-F-120 classEvidenceOf → MK-NW-F-011 assetClassOf → MK-NW-F-007 assetKind → MK-NW-F-012 taxTreatmentOf
6. MK-CF-F-216 typed → MK-NW-F-009 maturityClass → MK-NW-F-120 classEvidenceOf → MK-NW-F-011 assetClassOf → MK-NW-F-007 assetKind → MK-NW-F-012 taxTreatmentOf
7. MK-XS-F-122 n → MK-CF-F-155 cash → MK-NW-F-007 assetKind → MK-NW-F-012 taxTreatmentOf</t>
        </is>
      </c>
      <c r="S242" s="3" t="inlineStr">
        <is>
          <t>—</t>
        </is>
      </c>
      <c r="T242" s="3" t="inlineStr">
        <is>
          <t>TAX_TREATMENT</t>
        </is>
      </c>
      <c r="U242" s="3" t="inlineStr">
        <is>
          <t>ACTIVE</t>
        </is>
      </c>
      <c r="V242" s="3" t="inlineStr">
        <is>
          <t>2026-10-10</t>
        </is>
      </c>
      <c r="W242" s="3" t="n"/>
      <c r="X242" s="3" t="n"/>
      <c r="Y242" s="3" t="inlineStr">
        <is>
          <t>NOTHING OPEN</t>
        </is>
      </c>
    </row>
    <row r="243" ht="60" customHeight="1">
      <c r="A243" s="3" t="inlineStr">
        <is>
          <t>MK-NW-F-014</t>
        </is>
      </c>
      <c r="B243" s="3" t="inlineStr">
        <is>
          <t>isRealAsset</t>
        </is>
      </c>
      <c r="C243" s="3" t="inlineStr">
        <is>
          <t>src/domain/assets/index.ts</t>
        </is>
      </c>
      <c r="D243" s="3" t="n">
        <v>932</v>
      </c>
      <c r="E243" s="3" t="inlineStr">
        <is>
          <t>3 · DEPENDENT</t>
        </is>
      </c>
      <c r="F243" s="3" t="inlineStr">
        <is>
          <t>Whether an account is a physical asset, meaning real estate or personal property.</t>
        </is>
      </c>
      <c r="G243" s="11" t="inlineStr">
        <is>
          <t>c = asset class of(a)
the answer = c = 'real_estate' (or c = 'personal_property' when missing or zero)</t>
        </is>
      </c>
      <c r="H243" s="3" t="inlineStr">
        <is>
          <t>C is asset class of(a). The answer is c = 'real_estate' (or c = 'personal_property' — when missing or zero).</t>
        </is>
      </c>
      <c r="I243" s="3" t="inlineStr">
        <is>
          <t>READ FROM THE CODE — rendered from the expressions the function runs</t>
        </is>
      </c>
      <c r="J243" s="3" t="inlineStr">
        <is>
          <t>a: AssetAccount</t>
        </is>
      </c>
      <c r="K243" s="3" t="inlineStr">
        <is>
          <t>boolean</t>
        </is>
      </c>
      <c r="L243" s="3" t="inlineStr">
        <is>
          <t>—</t>
        </is>
      </c>
      <c r="M243" s="3" t="inlineStr">
        <is>
          <t>None found in this function — anything it assumes comes from the functions it depends on.</t>
        </is>
      </c>
      <c r="N243" s="3" t="inlineStr">
        <is>
          <t>Yes</t>
        </is>
      </c>
      <c r="O243" s="3" t="inlineStr">
        <is>
          <t>MK-NW-F-011 assetClassOf</t>
        </is>
      </c>
      <c r="P243" s="3" t="n">
        <v>15</v>
      </c>
      <c r="Q243" s="3" t="inlineStr">
        <is>
          <t>1. MK-NW-F-011 assetClassOf
2. MK-NW-F-120 classEvidenceOf
3. MK-CF-F-155 cash
4. MK-NW-F-008 incomeBearingClassOf
5. MK-NW-F-009 maturityClass
6. MK-XS-F-122 n
7. MK-ST-F-010 nameEvidence
8. MK-NW-F-124 maturityParts
9. MK-CF-F-216 typed
10. MK-XS-F-147 call
11. MK-ST-F-056 has
12. MK-CF-F-132 map
13. MK-ST-F-027 accountId
14. MK-XS-F-064 currentIdToken
15. MK-XS-F-112 relayUrl</t>
        </is>
      </c>
      <c r="R243" s="3" t="inlineStr">
        <is>
          <t>1. MK-XS-F-122 n → MK-CF-F-155 cash → MK-NW-F-120 classEvidenceOf → MK-NW-F-011 assetClassOf → MK-NW-F-014 isRealAsset
2. MK-XS-F-122 n → MK-CF-F-155 cash → MK-NW-F-008 incomeBearingClassOf → MK-NW-F-120 classEvidenceOf → MK-NW-F-011 assetClassOf → MK-NW-F-014 isRealAsset
3. MK-XS-F-147 call → MK-ST-F-010 nameEvidence → MK-NW-F-008 incomeBearingClassOf → MK-NW-F-120 classEvidenceOf → MK-NW-F-011 assetClassOf → MK-NW-F-014 isRealAsset
4. MK-ST-F-056 has → MK-ST-F-010 nameEvidence → MK-NW-F-008 incomeBearingClassOf → MK-NW-F-120 classEvidenceOf → MK-NW-F-011 assetClassOf → MK-NW-F-014 isRealAsset
5. MK-CF-F-132 map → MK-ST-F-010 nameEvidence → MK-NW-F-008 incomeBearingClassOf → MK-NW-F-120 classEvidenceOf → MK-NW-F-011 assetClassOf → MK-NW-F-014 isRealAsset
6. assetClassOf (already above — a loop) → MK-NW-F-009 maturityClass → MK-NW-F-120 classEvidenceOf → MK-NW-F-011 assetClassOf → MK-NW-F-014 isRealAsset
7. maturityClass (already above — a loop) → MK-NW-F-124 maturityParts → MK-NW-F-009 maturityClass → MK-NW-F-120 classEvidenceOf → MK-NW-F-011 assetClassOf → MK-NW-F-014 isRealAsset
8. MK-CF-F-216 typed → MK-NW-F-124 maturityParts → MK-NW-F-009 maturityClass → MK-NW-F-120 classEvidenceOf → MK-NW-F-011 assetClassOf → MK-NW-F-014 isRealAsset
9. … and 1 more paths</t>
        </is>
      </c>
      <c r="S243" s="3" t="inlineStr">
        <is>
          <t>—</t>
        </is>
      </c>
      <c r="T243" s="3" t="inlineStr">
        <is>
          <t>IS_PHYSICAL_ASSET</t>
        </is>
      </c>
      <c r="U243" s="3" t="inlineStr">
        <is>
          <t>ACTIVE</t>
        </is>
      </c>
      <c r="V243" s="3" t="inlineStr">
        <is>
          <t>2026-08-27</t>
        </is>
      </c>
      <c r="W243" s="3" t="n"/>
      <c r="X243" s="3" t="n"/>
      <c r="Y243" s="3" t="inlineStr">
        <is>
          <t>NOTHING OPEN</t>
        </is>
      </c>
    </row>
    <row r="244" ht="60" customHeight="1">
      <c r="A244" s="3" t="inlineStr">
        <is>
          <t>MK-NW-F-016</t>
        </is>
      </c>
      <c r="B244" s="3" t="inlineStr">
        <is>
          <t>cashTotal</t>
        </is>
      </c>
      <c r="C244" s="3" t="inlineStr">
        <is>
          <t>src/domain/assets/index.ts</t>
        </is>
      </c>
      <c r="D244" s="3" t="n">
        <v>1019</v>
      </c>
      <c r="E244" s="3" t="inlineStr">
        <is>
          <t>2 · DISPLAYED</t>
        </is>
      </c>
      <c r="F244" s="3" t="inlineStr">
        <is>
          <t>All the cash a person has: every bank account, plus the uninvested cash sitting inside investment accounts.</t>
        </is>
      </c>
      <c r="G244" s="11" t="inlineStr">
        <is>
          <t>b = account class breakdown(a)
the answer = t + (b ? cash : asset class of(a) = 'cash' ? (balance or 0) : 0)</t>
        </is>
      </c>
      <c r="H244" s="3" t="inlineStr">
        <is>
          <t>B is account class breakdown(a). The answer is t plus (b ? cash : asset class of(a) = 'cash' ? (balance or 0) : 0).</t>
        </is>
      </c>
      <c r="I244" s="3" t="inlineStr">
        <is>
          <t>READ FROM THE CODE — rendered from the expressions the function runs</t>
        </is>
      </c>
      <c r="J244" s="3" t="inlineStr">
        <is>
          <t>accounts: AssetAccount[]</t>
        </is>
      </c>
      <c r="K244" s="3" t="inlineStr">
        <is>
          <t>number</t>
        </is>
      </c>
      <c r="L244" s="3" t="inlineStr">
        <is>
          <t>"Cash on hand now" — on the Bill calendar screen</t>
        </is>
      </c>
      <c r="M244" s="3" t="inlineStr">
        <is>
          <t>· If balance is missing it counts as zero, so nothing recorded and a real zero look the same.</t>
        </is>
      </c>
      <c r="N244" s="3" t="inlineStr">
        <is>
          <t>Yes</t>
        </is>
      </c>
      <c r="O244" s="3" t="inlineStr">
        <is>
          <t>1. MK-NW-F-027 accountClassBreakdown
2. MK-NW-F-029 assetAllocation
3. MK-NW-F-011 assetClassOf</t>
        </is>
      </c>
      <c r="P244" s="3" t="n">
        <v>24</v>
      </c>
      <c r="Q244" s="3" t="inlineStr">
        <is>
          <t>1. MK-NW-F-027 accountClassBreakdown
2. MK-NW-F-029 assetAllocation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MK-NW-F-124 maturityParts
20. MK-CF-F-216 typed
21. MK-XS-F-147 call
22. MK-ST-F-027 accountId
23. MK-XS-F-064 currentIdToken
24. MK-XS-F-112 relayUrl</t>
        </is>
      </c>
      <c r="R244" s="3" t="inlineStr">
        <is>
          <t>1. MK-XS-F-122 n → MK-CF-F-155 cash → MK-NW-F-120 classEvidenceOf → MK-NW-F-011 assetClassOf → MK-NW-F-027 accountClassBreakdown → MK-NW-F-016 cashTotal
2. MK-CF-F-155 cash → MK-NW-F-008 incomeBearingClassOf → MK-NW-F-120 classEvidenceOf → MK-NW-F-011 assetClassOf → MK-NW-F-027 accountClassBreakdown → MK-NW-F-016 cashTotal
3. MK-ST-F-010 nameEvidence → MK-NW-F-008 incomeBearingClassOf → MK-NW-F-120 classEvidenceOf → MK-NW-F-011 assetClassOf → MK-NW-F-027 accountClassBreakdown → MK-NW-F-016 cashTotal
4. assetClassOf (already above — a loop) → MK-NW-F-009 maturityClass → MK-NW-F-120 classEvidenceOf → MK-NW-F-011 assetClassOf → MK-NW-F-027 accountClassBreakdown → MK-NW-F-016 cashTotal
5. MK-NW-F-124 maturityParts → MK-NW-F-009 maturityClass → MK-NW-F-120 classEvidenceOf → MK-NW-F-011 assetClassOf → MK-NW-F-027 accountClassBreakdown → MK-NW-F-016 cashTotal
6. MK-CF-F-216 typed → MK-NW-F-009 maturityClass → MK-NW-F-120 classEvidenceOf → MK-NW-F-011 assetClassOf → MK-NW-F-027 accountClassBreakdown → MK-NW-F-016 cashTotal
7. MK-XS-F-122 n → MK-CF-F-155 cash → MK-NW-F-027 accountClassBreakdown → MK-NW-F-016 cashTotal
8. MK-ST-F-056 has → MK-NW-F-027 accountClassBreakdown → MK-NW-F-016 cashTotal
9. … and 5 more paths</t>
        </is>
      </c>
      <c r="S244" s="3" t="inlineStr">
        <is>
          <t>MK-NW-M-014</t>
        </is>
      </c>
      <c r="T244" s="3" t="inlineStr">
        <is>
          <t>TOTAL_CASH</t>
        </is>
      </c>
      <c r="U244" s="3" t="inlineStr">
        <is>
          <t>ACTIVE</t>
        </is>
      </c>
      <c r="V244" s="3" t="inlineStr">
        <is>
          <t>2026-08-27</t>
        </is>
      </c>
      <c r="W244" s="3" t="n"/>
      <c r="X244" s="3" t="n"/>
      <c r="Y244" s="3" t="inlineStr">
        <is>
          <t>NOTHING OPEN</t>
        </is>
      </c>
    </row>
    <row r="245" ht="60" customHeight="1">
      <c r="A245" s="3" t="inlineStr">
        <is>
          <t>MK-NW-F-021</t>
        </is>
      </c>
      <c r="B245" s="3" t="inlineStr">
        <is>
          <t>investmentsTotal</t>
        </is>
      </c>
      <c r="C245" s="3" t="inlineStr">
        <is>
          <t>src/domain/assets/index.ts</t>
        </is>
      </c>
      <c r="D245" s="3" t="n">
        <v>1052</v>
      </c>
      <c r="E245" s="3" t="inlineStr">
        <is>
          <t>3 · DEPENDENT</t>
        </is>
      </c>
      <c r="F245" s="3" t="inlineStr">
        <is>
          <t>The total value of everything invested: stocks and funds, bonds and CDs, alternatives and what is not yet classed, in whatever kind of account they sit, with cash and property left out.</t>
        </is>
      </c>
      <c r="G245" s="11" t="inlineStr">
        <is>
          <t>by = asset allocation(accounts)
the answer = by.stocks etf + by.bonds + by.alternatives + by.mixed</t>
        </is>
      </c>
      <c r="H245" s="3" t="inlineStr">
        <is>
          <t>By is asset allocation(accounts). The answer is by.stocks etf plus by.bonds plus by.alternatives plus by.mixed.</t>
        </is>
      </c>
      <c r="I245" s="3" t="inlineStr">
        <is>
          <t>READ FROM THE CODE — rendered from the expressions the function runs</t>
        </is>
      </c>
      <c r="J245" s="3" t="inlineStr">
        <is>
          <t>accounts: AssetAccount[]</t>
        </is>
      </c>
      <c r="K245" s="3" t="inlineStr">
        <is>
          <t>number</t>
        </is>
      </c>
      <c r="L245" s="3" t="inlineStr">
        <is>
          <t>—</t>
        </is>
      </c>
      <c r="M245" s="3" t="inlineStr">
        <is>
          <t>None found in this function — anything it assumes comes from the functions it depends on.</t>
        </is>
      </c>
      <c r="N245" s="3" t="inlineStr">
        <is>
          <t>Yes</t>
        </is>
      </c>
      <c r="O245" s="3" t="inlineStr">
        <is>
          <t>1. MK-NW-F-029 assetAllocation
2. MK-CF-F-155 cash</t>
        </is>
      </c>
      <c r="P245" s="3" t="n">
        <v>24</v>
      </c>
      <c r="Q245" s="3" t="inlineStr">
        <is>
          <t>1. MK-NW-F-029 assetAllocation
2. MK-CF-F-155 cash
3. MK-NW-F-027 accountClassBreakdown
4. MK-NW-F-011 assetClassOf
5. MK-XS-F-122 n
6. MK-ST-F-056 has
7. MK-NW-F-109 holdingClassOf
8. MK-CF-F-132 map
9. MK-NW-F-067 plural
10. MK-NW-F-120 classEvidenceOf
11. MK-NW-F-123 holdingNameEvidence
12. MK-NW-F-121 holdingTagClass
13. MK-NW-F-054 reclassifyAccounts
14. MK-NW-F-008 incomeBearingClassOf
15. MK-NW-F-009 maturityClass
16. MK-NW-F-053 correctClassOf
17. MK-NW-F-122 holdingTagFor
18. MK-ST-F-010 nameEvidence
19. MK-NW-F-124 maturityParts
20. MK-CF-F-216 typed
21. MK-XS-F-147 call
22. MK-ST-F-027 accountId
23. MK-XS-F-064 currentIdToken
24. MK-XS-F-112 relayUrl</t>
        </is>
      </c>
      <c r="R245" s="3" t="inlineStr">
        <is>
          <t>1. MK-CF-F-155 cash → MK-NW-F-120 classEvidenceOf → MK-NW-F-011 assetClassOf → MK-NW-F-027 accountClassBreakdown → MK-NW-F-029 assetAllocation → MK-NW-F-021 investmentsTotal
2. MK-NW-F-008 incomeBearingClassOf → MK-NW-F-120 classEvidenceOf → MK-NW-F-011 assetClassOf → MK-NW-F-027 accountClassBreakdown → MK-NW-F-029 assetAllocation → MK-NW-F-021 investmentsTotal
3. MK-NW-F-009 maturityClass → MK-NW-F-120 classEvidenceOf → MK-NW-F-011 assetClassOf → MK-NW-F-027 accountClassBreakdown → MK-NW-F-029 assetAllocation → MK-NW-F-021 investmentsTotal
4. MK-XS-F-122 n → MK-CF-F-155 cash → MK-NW-F-027 accountClassBreakdown → MK-NW-F-029 assetAllocation → MK-NW-F-021 investmentsTotal
5. MK-ST-F-056 has → MK-NW-F-027 accountClassBreakdown → MK-NW-F-029 assetAllocation → MK-NW-F-021 investmentsTotal
6. MK-CF-F-155 cash → MK-NW-F-123 holdingNameEvidence → MK-NW-F-109 holdingClassOf → MK-NW-F-027 accountClassBreakdown → MK-NW-F-029 assetAllocation → MK-NW-F-021 investmentsTotal
7. MK-NW-F-008 incomeBearingClassOf → MK-NW-F-123 holdingNameEvidence → MK-NW-F-109 holdingClassOf → MK-NW-F-027 accountClassBreakdown → MK-NW-F-029 assetAllocation → MK-NW-F-021 investmentsTotal
8. MK-NW-F-121 holdingTagClass → MK-NW-F-109 holdingClassOf → MK-NW-F-027 accountClassBreakdown → MK-NW-F-029 assetAllocation → MK-NW-F-021 investmentsTotal
9. … and 5 more paths</t>
        </is>
      </c>
      <c r="S245" s="3" t="inlineStr">
        <is>
          <t>—</t>
        </is>
      </c>
      <c r="T245" s="3" t="inlineStr">
        <is>
          <t>TOTAL_INVESTMENTS</t>
        </is>
      </c>
      <c r="U245" s="3" t="inlineStr">
        <is>
          <t>ACTIVE</t>
        </is>
      </c>
      <c r="V245" s="3" t="inlineStr">
        <is>
          <t>2026-10-05</t>
        </is>
      </c>
      <c r="W245" s="3" t="n"/>
      <c r="X245" s="3" t="n"/>
      <c r="Y245" s="6" t="inlineStr">
        <is>
          <t>TESTED, NOT VERIFIED (C3)</t>
        </is>
      </c>
    </row>
    <row r="246" ht="60" customHeight="1">
      <c r="A246" s="3" t="inlineStr">
        <is>
          <t>MK-NW-F-022</t>
        </is>
      </c>
      <c r="B246" s="3" t="inlineStr">
        <is>
          <t>investableAssets</t>
        </is>
      </c>
      <c r="C246" s="3" t="inlineStr">
        <is>
          <t>src/domain/assets/index.ts</t>
        </is>
      </c>
      <c r="D246" s="3" t="n">
        <v>1079</v>
      </c>
      <c r="E246" s="3" t="inlineStr">
        <is>
          <t>2 · DISPLAYED</t>
        </is>
      </c>
      <c r="F246" s="3" t="inlineStr">
        <is>
          <t>Everything owned except real estate and personal property: cash, investments and retirement balances.</t>
        </is>
      </c>
      <c r="G246" s="11" t="inlineStr">
        <is>
          <t>sum where(accounts, (a) =&gt; !is real asset(a)).total</t>
        </is>
      </c>
      <c r="H246" s="3" t="inlineStr">
        <is>
          <t>sum where(accounts, (a) =&gt; !is real asset(a)).total.</t>
        </is>
      </c>
      <c r="I246" s="3" t="inlineStr">
        <is>
          <t>PARTLY READ — some of the code is still showing through; needs a hand pass</t>
        </is>
      </c>
      <c r="J246" s="3" t="inlineStr">
        <is>
          <t>accounts: AssetAccount[]</t>
        </is>
      </c>
      <c r="K246" s="3" t="inlineStr">
        <is>
          <t>number</t>
        </is>
      </c>
      <c r="L246" s="3" t="inlineStr">
        <is>
          <t>NOT FOUND — a screen calls it, but the words printed beside its answer could not be traced automatically. Needs reading.</t>
        </is>
      </c>
      <c r="M246" s="3" t="inlineStr">
        <is>
          <t>None found in this function — anything it assumes comes from the functions it depends on.</t>
        </is>
      </c>
      <c r="N246" s="3" t="inlineStr">
        <is>
          <t>Yes</t>
        </is>
      </c>
      <c r="O246" s="3" t="inlineStr">
        <is>
          <t>1. MK-NW-F-014 isRealAsset
2. MK-NW-F-066 sumWhere
3. MK-NW-F-023 wrapperWord</t>
        </is>
      </c>
      <c r="P246" s="3" t="n">
        <v>18</v>
      </c>
      <c r="Q246" s="3" t="inlineStr">
        <is>
          <t>1. MK-NW-F-014 isRealAsset
2. MK-NW-F-066 sumWhere
3. MK-NW-F-023 wrapperWord
4. MK-NW-F-011 assetClassOf
5. MK-NW-F-120 classEvidenceOf
6. MK-CF-F-155 cash
7. MK-NW-F-008 incomeBearingClassOf
8. MK-NW-F-009 maturityClass
9. MK-XS-F-122 n
10. MK-ST-F-010 nameEvidence
11. MK-NW-F-124 maturityParts
12. MK-CF-F-216 typed
13. MK-XS-F-147 call
14. MK-ST-F-056 has
15. MK-CF-F-132 map
16. MK-ST-F-027 accountId
17. MK-XS-F-064 currentIdToken
18. MK-XS-F-112 relayUrl</t>
        </is>
      </c>
      <c r="R246" s="3" t="inlineStr">
        <is>
          <t>1. MK-XS-F-122 n → MK-CF-F-155 cash → MK-NW-F-120 classEvidenceOf → MK-NW-F-011 assetClassOf → MK-NW-F-014 isRealAsset → MK-NW-F-022 investableAssets
2. MK-CF-F-155 cash → MK-NW-F-008 incomeBearingClassOf → MK-NW-F-120 classEvidenceOf → MK-NW-F-011 assetClassOf → MK-NW-F-014 isRealAsset → MK-NW-F-022 investableAssets
3. MK-ST-F-010 nameEvidence → MK-NW-F-008 incomeBearingClassOf → MK-NW-F-120 classEvidenceOf → MK-NW-F-011 assetClassOf → MK-NW-F-014 isRealAsset → MK-NW-F-022 investableAssets
4. assetClassOf (already above — a loop) → MK-NW-F-009 maturityClass → MK-NW-F-120 classEvidenceOf → MK-NW-F-011 assetClassOf → MK-NW-F-014 isRealAsset → MK-NW-F-022 investableAssets
5. MK-NW-F-124 maturityParts → MK-NW-F-009 maturityClass → MK-NW-F-120 classEvidenceOf → MK-NW-F-011 assetClassOf → MK-NW-F-014 isRealAsset → MK-NW-F-022 investableAssets
6. MK-CF-F-216 typed → MK-NW-F-009 maturityClass → MK-NW-F-120 classEvidenceOf → MK-NW-F-011 assetClassOf → MK-NW-F-014 isRealAsset → MK-NW-F-022 investableAssets
7. MK-NW-F-066 sumWhere → MK-NW-F-022 investableAssets
8. MK-NW-F-023 wrapperWord → MK-NW-F-022 investableAssets</t>
        </is>
      </c>
      <c r="S246" s="3" t="inlineStr">
        <is>
          <t>—</t>
        </is>
      </c>
      <c r="T246" s="3" t="inlineStr">
        <is>
          <t>TOTAL_INVESTABLE</t>
        </is>
      </c>
      <c r="U246" s="3" t="inlineStr">
        <is>
          <t>ACTIVE</t>
        </is>
      </c>
      <c r="V246" s="3" t="inlineStr">
        <is>
          <t>2026-10-08</t>
        </is>
      </c>
      <c r="W246" s="3" t="n"/>
      <c r="X246" s="3" t="n"/>
      <c r="Y246" s="3" t="inlineStr">
        <is>
          <t>NOTHING OPEN</t>
        </is>
      </c>
    </row>
    <row r="247" ht="60" customHeight="1">
      <c r="A247" s="3" t="inlineStr">
        <is>
          <t>MK-NW-F-023</t>
        </is>
      </c>
      <c r="B247" s="3" t="inlineStr">
        <is>
          <t>wrapperWord</t>
        </is>
      </c>
      <c r="C247" s="3" t="inlineStr">
        <is>
          <t>src/domain/assets/index.ts</t>
        </is>
      </c>
      <c r="D247" s="3" t="n">
        <v>1129</v>
      </c>
      <c r="E247" s="3" t="inlineStr">
        <is>
          <t>1 · ACTION</t>
        </is>
      </c>
      <c r="F247" s="3" t="inlineStr">
        <is>
          <t>The plain word for the kind of account something sits in, such as 401(k) or IRA, or nothing when that kind has no such word.</t>
        </is>
      </c>
      <c r="G247" s="11" t="inlineStr">
        <is>
          <t>NOT READ YET — the body is not a shape this can render faithfully, so nothing is claimed rather than something being guessed. It needs reading by hand.</t>
        </is>
      </c>
      <c r="H247" s="3" t="inlineStr">
        <is>
          <t>NOT READ YET — the body is not a shape this can render faithfully, so nothing is claimed rather than something being guessed. It needs reading by hand.</t>
        </is>
      </c>
      <c r="I247" s="3" t="inlineStr">
        <is>
          <t>NOT READ — nothing is claimed rather than something guessed</t>
        </is>
      </c>
      <c r="J247" s="3" t="inlineStr">
        <is>
          <t>1. kind?: string
2. a?: { wrapper_confirmed?: boolean }</t>
        </is>
      </c>
      <c r="K247" s="3" t="inlineStr">
        <is>
          <t>string</t>
        </is>
      </c>
      <c r="L247" s="3" t="inlineStr">
        <is>
          <t>—</t>
        </is>
      </c>
      <c r="M247" s="3" t="inlineStr">
        <is>
          <t>None found in this function — anything it assumes comes from the functions it depends on.</t>
        </is>
      </c>
      <c r="N247" s="3" t="inlineStr">
        <is>
          <t>Yes</t>
        </is>
      </c>
      <c r="O247" s="3" t="inlineStr">
        <is>
          <t>—</t>
        </is>
      </c>
      <c r="P247" s="3" t="n">
        <v>0</v>
      </c>
      <c r="Q247" s="3" t="inlineStr">
        <is>
          <t>None — no dependent function stands behind it</t>
        </is>
      </c>
      <c r="R247" s="3" t="inlineStr">
        <is>
          <t>No dependent function — it reads its inputs and answers</t>
        </is>
      </c>
      <c r="S247" s="3" t="inlineStr">
        <is>
          <t>—</t>
        </is>
      </c>
      <c r="T247" s="3" t="inlineStr">
        <is>
          <t>—</t>
        </is>
      </c>
      <c r="U247" s="3" t="inlineStr">
        <is>
          <t>ACTIVE</t>
        </is>
      </c>
      <c r="V247" s="3" t="inlineStr">
        <is>
          <t>2026-10-08</t>
        </is>
      </c>
      <c r="W247" s="3" t="n"/>
      <c r="X247" s="3" t="n"/>
      <c r="Y247" s="3" t="inlineStr">
        <is>
          <t>NOTHING OPEN</t>
        </is>
      </c>
    </row>
    <row r="248" ht="60" customHeight="1">
      <c r="A248" s="3" t="inlineStr">
        <is>
          <t>MK-NW-F-024</t>
        </is>
      </c>
      <c r="B248" s="3" t="inlineStr">
        <is>
          <t>accountLastFour</t>
        </is>
      </c>
      <c r="C248" s="3" t="inlineStr">
        <is>
          <t>src/domain/assets/index.ts</t>
        </is>
      </c>
      <c r="D248" s="3" t="n">
        <v>1164</v>
      </c>
      <c r="E248" s="3" t="inlineStr">
        <is>
          <t>3 · DEPENDENT</t>
        </is>
      </c>
      <c r="F248" s="3" t="inlineStr">
        <is>
          <t>The last four digits of an account, or null when we genuinely don't have them.</t>
        </is>
      </c>
      <c r="G248" s="11" t="inlineStr">
        <is>
          <t>digits = string(raw ?? '').replace( ÷ \D ÷ g, '')
digits.slice(-4)   when digits.length ≥ 4
[LOOP — the answer is found inside a loop the extractor cannot render; the steps above are the ones before it. Read by hand.]</t>
        </is>
      </c>
      <c r="H248" s="3" t="inlineStr">
        <is>
          <t>Digits is string(raw ?? '').replace( divided by \D divided by g, ''). When digits.length is at least 4, it answers digits.slice(-4). The answer is no answer. The answer is found inside a loop that cannot be rendered here; read the code by hand.</t>
        </is>
      </c>
      <c r="I248" s="3" t="inlineStr">
        <is>
          <t>PARTLY READ — the body has a loop the extractor cannot render; the steps shown are the ones before it. Needs a hand pass (G23).</t>
        </is>
      </c>
      <c r="J248" s="3" t="inlineStr">
        <is>
          <t>a: { mask?: string; account_number?: string }</t>
        </is>
      </c>
      <c r="K248" s="3" t="inlineStr">
        <is>
          <t>string | null</t>
        </is>
      </c>
      <c r="L248" s="3" t="inlineStr">
        <is>
          <t>—</t>
        </is>
      </c>
      <c r="M248" s="3" t="inlineStr">
        <is>
          <t>None found in this function — anything it assumes comes from the functions it depends on.</t>
        </is>
      </c>
      <c r="N248" s="3" t="inlineStr">
        <is>
          <t>Yes</t>
        </is>
      </c>
      <c r="O248" s="3" t="inlineStr">
        <is>
          <t>—</t>
        </is>
      </c>
      <c r="P248" s="3" t="n">
        <v>0</v>
      </c>
      <c r="Q248" s="3" t="inlineStr">
        <is>
          <t>None — no dependent function stands behind it</t>
        </is>
      </c>
      <c r="R248" s="3" t="inlineStr">
        <is>
          <t>No dependent function — it reads its inputs and answers</t>
        </is>
      </c>
      <c r="S248" s="3" t="inlineStr">
        <is>
          <t>—</t>
        </is>
      </c>
      <c r="T248" s="3" t="inlineStr">
        <is>
          <t>—</t>
        </is>
      </c>
      <c r="U248" s="3" t="inlineStr">
        <is>
          <t>ACTIVE</t>
        </is>
      </c>
      <c r="V248" s="3" t="inlineStr">
        <is>
          <t>2026-09-08</t>
        </is>
      </c>
      <c r="W248" s="3" t="n"/>
      <c r="X248" s="3" t="n"/>
      <c r="Y248" s="3" t="inlineStr">
        <is>
          <t>NOTHING OPEN</t>
        </is>
      </c>
    </row>
    <row r="249" ht="60" customHeight="1">
      <c r="A249" s="3" t="inlineStr">
        <is>
          <t>MK-NW-F-025</t>
        </is>
      </c>
      <c r="B249" s="3" t="inlineStr">
        <is>
          <t>accountDisplayName</t>
        </is>
      </c>
      <c r="C249" s="3" t="inlineStr">
        <is>
          <t>src/domain/assets/index.ts</t>
        </is>
      </c>
      <c r="D249" s="3" t="n">
        <v>1220</v>
      </c>
      <c r="E249" s="3" t="inlineStr">
        <is>
          <t>3 · DEPENDENT</t>
        </is>
      </c>
      <c r="F249" s="3" t="inlineStr">
        <is>
          <t>The one name an account is shown by, built from its institution, the kind of account and its last four digits where they are known.</t>
        </is>
      </c>
      <c r="G249" s="11" t="inlineStr">
        <is>
          <t>inst raw = (institution ?? '').trim()
last4 = account last four(a)
kind word = wrapper word((a as any).kind, a as any)
treatment = tax treatment of(a as asset account)
tax advantaged = treatment = 'tax_deferred' (or treatment = 'tax_free' when missing or zero)
tax word = 'Roth'   if treatment = 'tax_free'
'401(k) ÷ IRA'   otherwise
`${inst raw} ${wrapper} -${last4}`   if last4
`${inst raw} ${wrapper}`   otherwise   when tax advantaged and wrapper
`${inst raw} -${last4}`   when last4
`${inst raw} ${wrapper}`   when wrapper
label = (label ?? '').trim()
pos = ((a as any).positions ?? []) as any[]
… the first steps only — the rest of the body needs reading by hand.</t>
        </is>
      </c>
      <c r="H249" s="3" t="inlineStr">
        <is>
          <t>Inst raw is (institution ?? '').trim(). Last4 is account last four(a). Kind word is wrapper word((a as any).kind, a as any). Treatment is tax treatment of(a as asset account). Tax advantaged is treatment = 'tax_deferred' (or treatment = 'tax_free' — when missing or zero). Tax word is 'Roth' — when treatment = 'tax_free'; '401(k) divided by IRA' — otherwise. When tax advantaged and wrapper, it answers `${inst raw} ${wrapper} -${last4}` — when last4; `${inst raw} ${wrapper}` — otherwise. When last4, it answers `${inst raw} -${last4}`. When wrapper, it answers `${inst raw} ${wrapper}`. Label is (label ?? '').trim(). Pos is ((a as any).positions ?? []) as any[]. Only the first steps are shown; the rest of the body needs reading by hand.</t>
        </is>
      </c>
      <c r="I249" s="3" t="inlineStr">
        <is>
          <t>PARTLY READ — some of the code is still showing through; needs a hand pass</t>
        </is>
      </c>
      <c r="J249" s="3" t="inlineStr">
        <is>
          <t>a: Pick&lt;AssetAccount, 'label' | 'institution' | 'mask'&gt; &amp; { positions?: unknown[]; kind?: string; tax_bucket?: TaxBucket; tax_treatment?: TaxTreatment }</t>
        </is>
      </c>
      <c r="K249" s="3" t="inlineStr">
        <is>
          <t>string</t>
        </is>
      </c>
      <c r="L249" s="3" t="inlineStr">
        <is>
          <t>—</t>
        </is>
      </c>
      <c r="M249" s="3" t="inlineStr">
        <is>
          <t>None found in this function — anything it assumes comes from the functions it depends on.</t>
        </is>
      </c>
      <c r="N249" s="3" t="inlineStr">
        <is>
          <t>Yes</t>
        </is>
      </c>
      <c r="O249" s="3" t="inlineStr">
        <is>
          <t>1. MK-NW-F-026 accountDisplayNames
2. MK-NW-F-024 accountLastFour
3. MK-ST-F-039 on
4. MK-NW-F-012 taxTreatmentOf
5. MK-NW-F-023 wrapperWord</t>
        </is>
      </c>
      <c r="P249" s="3" t="n">
        <v>21</v>
      </c>
      <c r="Q249" s="3" t="inlineStr">
        <is>
          <t>1. MK-NW-F-026 accountDisplayNames
2. MK-NW-F-024 accountLastFour
3. MK-ST-F-039 on
4. MK-NW-F-012 taxTreatmentOf
5. MK-NW-F-023 wrapperWord
6. MK-ST-F-056 has
7. MK-CF-F-132 map
8. MK-XS-F-122 n
9. MK-NW-F-007 assetKind
10. MK-NW-F-011 assetClassOf
11. MK-CF-F-155 cash
12. MK-NW-F-120 classEvidenceOf
13. MK-NW-F-008 incomeBearingClassOf
14. MK-NW-F-009 maturityClass
15. MK-ST-F-010 nameEvidence
16. MK-NW-F-124 maturityParts
17. MK-CF-F-216 typed
18. MK-XS-F-147 call
19. MK-ST-F-027 accountId
20. MK-XS-F-064 currentIdToken
21. MK-XS-F-112 relayUrl</t>
        </is>
      </c>
      <c r="R249" s="3" t="inlineStr">
        <is>
          <t>1. accountDisplayName (already above — a loop) → MK-NW-F-026 accountDisplayNames → MK-NW-F-025 accountDisplayName
2. MK-ST-F-056 has → MK-NW-F-026 accountDisplayNames → MK-NW-F-025 accountDisplayName
3. MK-CF-F-132 map → MK-NW-F-026 accountDisplayNames → MK-NW-F-025 accountDisplayName
4. MK-XS-F-122 n → MK-NW-F-026 accountDisplayNames → MK-NW-F-025 accountDisplayName
5. MK-NW-F-024 accountLastFour → MK-NW-F-025 accountDisplayName
6. MK-ST-F-039 on → MK-NW-F-025 accountDisplayName
7. MK-CF-F-155 cash → MK-NW-F-120 classEvidenceOf → MK-NW-F-011 assetClassOf → MK-NW-F-007 assetKind → MK-NW-F-012 taxTreatmentOf → MK-NW-F-025 accountDisplayName
8. MK-NW-F-008 incomeBearingClassOf → MK-NW-F-120 classEvidenceOf → MK-NW-F-011 assetClassOf → MK-NW-F-007 assetKind → MK-NW-F-012 taxTreatmentOf → MK-NW-F-025 accountDisplayName
9. … and 3 more paths</t>
        </is>
      </c>
      <c r="S249" s="3" t="inlineStr">
        <is>
          <t>—</t>
        </is>
      </c>
      <c r="T249" s="3" t="inlineStr">
        <is>
          <t>—</t>
        </is>
      </c>
      <c r="U249" s="3" t="inlineStr">
        <is>
          <t>ACTIVE</t>
        </is>
      </c>
      <c r="V249" s="3" t="inlineStr">
        <is>
          <t>2026-10-10</t>
        </is>
      </c>
      <c r="W249" s="3" t="n"/>
      <c r="X249" s="3" t="n"/>
      <c r="Y249" s="3" t="inlineStr">
        <is>
          <t>NOTHING OPEN</t>
        </is>
      </c>
    </row>
    <row r="250" ht="60" customHeight="1">
      <c r="A250" s="3" t="inlineStr">
        <is>
          <t>MK-NW-F-026</t>
        </is>
      </c>
      <c r="B250" s="3" t="inlineStr">
        <is>
          <t>accountDisplayNames</t>
        </is>
      </c>
      <c r="C250" s="3" t="inlineStr">
        <is>
          <t>src/domain/assets/index.ts</t>
        </is>
      </c>
      <c r="D250" s="3" t="n">
        <v>1321</v>
      </c>
      <c r="E250" s="3" t="inlineStr">
        <is>
          <t>2 · DISPLAYED</t>
        </is>
      </c>
      <c r="F250" s="3" t="inlineStr">
        <is>
          <t>The name each account in a list is shown by, with no two alike.</t>
        </is>
      </c>
      <c r="G250" s="11" t="inlineStr">
        <is>
          <t>base = a lookup of for each of accounts: [asset id, account display name(each)]
counts = new map&lt;string, number&gt;()
seen = new map&lt;string, number&gt;()
out = new map&lt;string, string&gt;()
taken = a list with no repeats of [...base.values()] where counts.get(each) = 1
by id = (x: { asset id: unknown }, y: { asset id: unknown }) =&gt; (string(asset id) &lt; string(asset id) ? -1 : string(asset id) &gt; string(asset id) ? 1 : 0)
n = base.get(asset id)!
i = (seen.get(n) ?? 0) + 1
the answer = out</t>
        </is>
      </c>
      <c r="H250" s="3" t="inlineStr">
        <is>
          <t>Base is a lookup of for each of accounts: [asset id, account display name(each)]. Counts is new map&lt;string, number&gt;(). Seen is new map&lt;string, number&gt;(). Out is new map&lt;string, string&gt;(). Taken is a list with no repeats of [...base.values()] where counts.get(each) = 1. By id is (x: { asset id: unknown }, y: { asset id: unknown }) =&gt; (string(asset id) &lt; string(asset id) ? -1 : string(asset id) &gt; string(asset id) ? 1 : 0). N is base.get(asset id)!. I is (seen.get(n) ?? 0) plus 1. The answer is out.</t>
        </is>
      </c>
      <c r="I250" s="3" t="inlineStr">
        <is>
          <t>PARTLY READ — some of the code is still showing through; needs a hand pass</t>
        </is>
      </c>
      <c r="J250" s="3" t="inlineStr">
        <is>
          <t>accounts: (Pick&lt;AssetAccount, 'asset_id' | 'label' | 'institution' | 'mask'&gt; &amp; { positions?: unknown[] })[]</t>
        </is>
      </c>
      <c r="K250" s="3" t="inlineStr">
        <is>
          <t>Map&lt;string, string&gt;</t>
        </is>
      </c>
      <c r="L250" s="3" t="inlineStr">
        <is>
          <t>1. "Bonds &amp; alternatives — recorded on their own pages" — on the Performance screen
2. "Nest egg today" — on the Retirement cockpit screen, under "scRetired ?"
3. "WHAT COUNTS TOWARD RETIREMENT" — on a card used on more than one screen (PlanInputs), under "WHAT COUNTS TOWARD RETIREMENT"</t>
        </is>
      </c>
      <c r="M250" s="3" t="inlineStr">
        <is>
          <t>None found in this function — anything it assumes comes from the functions it depends on.</t>
        </is>
      </c>
      <c r="N250" s="3" t="inlineStr">
        <is>
          <t>Yes</t>
        </is>
      </c>
      <c r="O250" s="3" t="inlineStr">
        <is>
          <t>1. MK-NW-F-025 accountDisplayName
2. MK-ST-F-056 has
3. MK-CF-F-132 map
4. MK-XS-F-122 n</t>
        </is>
      </c>
      <c r="P250" s="3" t="n">
        <v>21</v>
      </c>
      <c r="Q250" s="3" t="inlineStr">
        <is>
          <t>1. MK-NW-F-025 accountDisplayName
2. MK-ST-F-056 has
3. MK-CF-F-132 map
4. MK-XS-F-122 n
5. MK-NW-F-024 accountLastFour
6. MK-ST-F-039 on
7. MK-NW-F-012 taxTreatmentOf
8. MK-NW-F-023 wrapperWord
9. MK-NW-F-007 assetKind
10. MK-NW-F-011 assetClassOf
11. MK-CF-F-155 cash
12. MK-NW-F-120 classEvidenceOf
13. MK-NW-F-008 incomeBearingClassOf
14. MK-NW-F-009 maturityClass
15. MK-ST-F-010 nameEvidence
16. MK-NW-F-124 maturityParts
17. MK-CF-F-216 typed
18. MK-XS-F-147 call
19. MK-ST-F-027 accountId
20. MK-XS-F-064 currentIdToken
21. MK-XS-F-112 relayUrl</t>
        </is>
      </c>
      <c r="R250" s="3" t="inlineStr">
        <is>
          <t>1. accountDisplayNames (already above — a loop) → MK-NW-F-025 accountDisplayName → MK-NW-F-026 accountDisplayNames
2. MK-NW-F-024 accountLastFour → MK-NW-F-025 accountDisplayName → MK-NW-F-026 accountDisplayNames
3. MK-ST-F-039 on → MK-NW-F-025 accountDisplayName → MK-NW-F-026 accountDisplayNames
4. MK-NW-F-120 classEvidenceOf → MK-NW-F-011 assetClassOf → MK-NW-F-007 assetKind → MK-NW-F-012 taxTreatmentOf → MK-NW-F-025 accountDisplayName → MK-NW-F-026 accountDisplayNames
5. MK-XS-F-122 n → MK-CF-F-155 cash → MK-NW-F-007 assetKind → MK-NW-F-012 taxTreatmentOf → MK-NW-F-025 accountDisplayName → MK-NW-F-026 accountDisplayNames
6. MK-NW-F-023 wrapperWord → MK-NW-F-025 accountDisplayName → MK-NW-F-026 accountDisplayNames
7. MK-ST-F-056 has → MK-NW-F-026 accountDisplayNames
8. MK-CF-F-132 map → MK-NW-F-026 accountDisplayNames
9. … and 1 more paths</t>
        </is>
      </c>
      <c r="S250" s="3" t="inlineStr">
        <is>
          <t>—</t>
        </is>
      </c>
      <c r="T250" s="3" t="inlineStr">
        <is>
          <t>ACCOUNT_NAMES</t>
        </is>
      </c>
      <c r="U250" s="3" t="inlineStr">
        <is>
          <t>ACTIVE</t>
        </is>
      </c>
      <c r="V250" s="3" t="inlineStr">
        <is>
          <t>2026-10-05</t>
        </is>
      </c>
      <c r="W250" s="3" t="n"/>
      <c r="X250" s="3" t="n"/>
      <c r="Y250" s="3" t="inlineStr">
        <is>
          <t>NOTHING OPEN</t>
        </is>
      </c>
    </row>
    <row r="251" ht="60" customHeight="1">
      <c r="A251" s="3" t="inlineStr">
        <is>
          <t>MK-NW-F-027</t>
        </is>
      </c>
      <c r="B251" s="3" t="inlineStr">
        <is>
          <t>accountClassBreakdown</t>
        </is>
      </c>
      <c r="C251" s="3" t="inlineStr">
        <is>
          <t>src/domain/assets/index.ts</t>
        </is>
      </c>
      <c r="D251" s="3" t="n">
        <v>1586</v>
      </c>
      <c r="E251" s="3" t="inlineStr">
        <is>
          <t>2 · DISPLAYED</t>
        </is>
      </c>
      <c r="F251" s="3" t="inlineStr">
        <is>
          <t>How much of one account sits in each class, with the parts adding up exactly to the account's balance.</t>
        </is>
      </c>
      <c r="G251" s="11" t="inlineStr">
        <is>
          <t>out = cash = 0
bonds = 0
stocks etf = 0
alternatives = 0
real estate = 0
personal property = 0
mixed = 0
keeps its own cash = tax bucket ! = 'CASH' and tax bucket ! = 'PROPERTY' and (derive balance = true or cash balance ≠ nothing)
uninvested = cash balance (or 0 when missing)
held = (derive balance = true ? (positions ?? []) : []) as any[]
sh = (lots ?? []).reduce((t: number, l: any) =&gt; t + (shares or 0), 0)
paid = (lots ?? []).reduce((t: number, l: any) =&gt; t + (shares or 0) × (cost per share or 0), 0)
the answer:
cls = holding class of(p)
w = sh × last price   if last price ≠ nothing
value now   if value now ≠ nothing
paid   otherwise   otherwise
classes = a list with no repeats of for each of weights: cls
splits by holding = classes.size &gt; 1 (or classes.size = 1 and !classes.has(asset class of(a)) when missing or zero)
nothing   when !(keeps its own cash and uninvested &gt; 0) and !splits by holding
invested = (balance or 0) − out.cash
… the first steps only — the rest of the body needs reading by hand.</t>
        </is>
      </c>
      <c r="H251" s="3" t="inlineStr">
        <is>
          <t>Out is cash = 0; bonds = 0; stocks etf = 0; alternatives = 0; real estate = 0; personal property = 0; mixed = 0. Keeps its own cash is tax bucket ! = 'CASH' and tax bucket ! = 'PROPERTY' and (derive balance = true or cash balance is not no answer). Uninvested is cash balance (or 0 — when missing). Held is (derive balance = true ? (positions ?? []) : []) as any[]. Sh is (lots ?? []).reduce((t: number, l: any) =&gt; t plus (shares or 0), 0). Paid is (lots ?? []).reduce((t: number, l: any) =&gt; t plus (shares or 0) times (cost per share or 0), 0). The answer is cls = holding class of(p); w = sh times last price — when last price is not no answer; value now — when value now is not no answer; paid — otherwise — otherwise. Classes is a list with no repeats of for each of weights: cls. Splits by holding is classes.size &gt; 1 (or classes.size = 1 and !classes.has(asset class of(a)) — when missing or zero). When !(keeps its own cash and uninvested &gt; 0) and !splits by holding, it answers no answer. Invested is (balance or 0) minus out.cash. Only the first steps are shown; the rest of the body needs reading by hand.</t>
        </is>
      </c>
      <c r="I251" s="3" t="inlineStr">
        <is>
          <t>PARTLY READ — some of the code is still showing through; needs a hand pass</t>
        </is>
      </c>
      <c r="J251" s="3" t="inlineStr">
        <is>
          <t>a: AssetAccount</t>
        </is>
      </c>
      <c r="K251" s="3" t="inlineStr">
        <is>
          <t>Record&lt;AssetClass, number&gt; | null</t>
        </is>
      </c>
      <c r="L251" s="3" t="inlineStr">
        <is>
          <t>NOT FOUND — a screen calls it, but the words printed beside its answer could not be traced automatically. Needs reading.</t>
        </is>
      </c>
      <c r="M251" s="3" t="inlineStr">
        <is>
          <t>1. If cash balance is missing it uses 0.
2. If shares is missing it counts as zero, so nothing recorded and a real zero look the same.
3. If cost per share is missing it counts as zero, so nothing recorded and a real zero look the same.
4. If balance is missing it counts as zero, so nothing recorded and a real zero look the same.
5. If value is missing it counts as zero, so nothing recorded and a real zero look the same.</t>
        </is>
      </c>
      <c r="N251" s="3" t="inlineStr">
        <is>
          <t>Yes</t>
        </is>
      </c>
      <c r="O251" s="3" t="inlineStr">
        <is>
          <t>1. MK-NW-F-011 assetClassOf
2. MK-CF-F-155 cash
3. MK-ST-F-056 has
4. MK-NW-F-109 holdingClassOf
5. MK-CF-F-132 map
6. MK-NW-F-067 plural</t>
        </is>
      </c>
      <c r="P251" s="3" t="n">
        <v>22</v>
      </c>
      <c r="Q251" s="3" t="inlineStr">
        <is>
          <t>1. MK-NW-F-011 assetClassOf
2. MK-CF-F-155 cash
3. MK-ST-F-056 has
4. MK-NW-F-109 holdingClassOf
5. MK-CF-F-132 map
6. MK-NW-F-067 plural
7. MK-NW-F-120 classEvidenceOf
8. MK-XS-F-122 n
9. MK-NW-F-123 holdingNameEvidence
10. MK-NW-F-121 holdingTagClass
11. MK-NW-F-054 reclassifyAccounts
12. MK-NW-F-008 incomeBearingClassOf
13. MK-NW-F-009 maturityClass
14. MK-NW-F-053 correctClassOf
15. MK-NW-F-122 holdingTagFor
16. MK-ST-F-010 nameEvidence
17. MK-NW-F-124 maturityParts
18. MK-CF-F-216 typed
19. MK-XS-F-147 call
20. MK-ST-F-027 accountId
21. MK-XS-F-064 currentIdToken
22. MK-XS-F-112 relayUrl</t>
        </is>
      </c>
      <c r="R251" s="3" t="inlineStr">
        <is>
          <t>1. MK-XS-F-122 n → MK-CF-F-155 cash → MK-NW-F-120 classEvidenceOf → MK-NW-F-011 assetClassOf → MK-NW-F-027 accountClassBreakdown
2. MK-XS-F-122 n → MK-CF-F-155 cash → MK-NW-F-008 incomeBearingClassOf → MK-NW-F-120 classEvidenceOf → MK-NW-F-011 assetClassOf → MK-NW-F-027 accountClassBreakdown
3. MK-XS-F-147 call → MK-ST-F-010 nameEvidence → MK-NW-F-008 incomeBearingClassOf → MK-NW-F-120 classEvidenceOf → MK-NW-F-011 assetClassOf → MK-NW-F-027 accountClassBreakdown
4. MK-ST-F-056 has → MK-ST-F-010 nameEvidence → MK-NW-F-008 incomeBearingClassOf → MK-NW-F-120 classEvidenceOf → MK-NW-F-011 assetClassOf → MK-NW-F-027 accountClassBreakdown
5. MK-CF-F-132 map → MK-ST-F-010 nameEvidence → MK-NW-F-008 incomeBearingClassOf → MK-NW-F-120 classEvidenceOf → MK-NW-F-011 assetClassOf → MK-NW-F-027 accountClassBreakdown
6. assetClassOf (already above — a loop) → MK-NW-F-009 maturityClass → MK-NW-F-120 classEvidenceOf → MK-NW-F-011 assetClassOf → MK-NW-F-027 accountClassBreakdown
7. maturityClass (already above — a loop) → MK-NW-F-124 maturityParts → MK-NW-F-009 maturityClass → MK-NW-F-120 classEvidenceOf → MK-NW-F-011 assetClassOf → MK-NW-F-027 accountClassBreakdown
8. MK-CF-F-216 typed → MK-NW-F-124 maturityParts → MK-NW-F-009 maturityClass → MK-NW-F-120 classEvidenceOf → MK-NW-F-011 assetClassOf → MK-NW-F-027 accountClassBreakdown
9. … and 5 more paths</t>
        </is>
      </c>
      <c r="S251" s="3" t="inlineStr">
        <is>
          <t>—</t>
        </is>
      </c>
      <c r="T251" s="3" t="inlineStr">
        <is>
          <t>ACCOUNT_SPLIT</t>
        </is>
      </c>
      <c r="U251" s="3" t="inlineStr">
        <is>
          <t>ACTIVE</t>
        </is>
      </c>
      <c r="V251" s="3" t="inlineStr">
        <is>
          <t>2026-10-07</t>
        </is>
      </c>
      <c r="W251" s="3" t="n"/>
      <c r="X251" s="3" t="n"/>
      <c r="Y251" s="3" t="inlineStr">
        <is>
          <t>NOTHING OPEN</t>
        </is>
      </c>
    </row>
    <row r="252" ht="60" customHeight="1">
      <c r="A252" s="3" t="inlineStr">
        <is>
          <t>MK-NW-F-028</t>
        </is>
      </c>
      <c r="B252" s="3" t="inlineStr">
        <is>
          <t>classPortionLabel</t>
        </is>
      </c>
      <c r="C252" s="3" t="inlineStr">
        <is>
          <t>src/domain/assets/index.ts</t>
        </is>
      </c>
      <c r="D252" s="3" t="n">
        <v>1726</v>
      </c>
      <c r="E252" s="3" t="inlineStr">
        <is>
          <t>2 · DISPLAYED</t>
        </is>
      </c>
      <c r="F252" s="3" t="inlineStr">
        <is>
          <t>The words under an account's name saying what it holds of one class — "3 CDs &amp; 1 Treasury in this account".</t>
        </is>
      </c>
      <c r="G252" s="11" t="inlineStr">
        <is>
          <t>pos = (positions ?? []) as any[]
in class = pos where holding class of(each) = cls
name of = (p: any) =&gt; `${ticker ?? ''} ${name ?? label ?? ''}`
joined = the first -1).join(', ')} &amp; ${parts[parts.length − 1]}` of (parts: string[]) =&gt; (parts.length ≤ 2 ? parts.join(' &amp; ') : `${parts
opts = count of ((a as any).option holdings ?? []) as any[]
cds = in class where CD_RE.test(name of(each))count of 
treas = in class where !CD_RE.test(name of(each)) and TREASURY_RE.test(name of(each))count of 
rest = in class.length − cds − treas
the answer:
`${joined(parts)} in this account`   if count of parts
'bonds &amp; cds in this account'   otherwise
parts = [opts ? plural(opts, 'option') : '', in class.length ? plural(in class.length, 'holding') : ''] where boolean</t>
        </is>
      </c>
      <c r="H252" s="3" t="inlineStr">
        <is>
          <t>Pos is (positions ?? []) as any[]. In class is pos where holding class of(each) = cls. Name of is (p: any) =&gt; `${ticker ?? ''} ${name ?? label ?? ''}`. Joined: the first -1).join(', ')} &amp; ${parts[parts.length minus 1]}` of (parts: string[]) =&gt; (parts.length is at most 2 ? parts.join(' &amp; ') : `${parts. Opts: how many ((a as any).option holdings ?? []) as any[] there are. Cds is in class where CD_RE.test(name of(each))count of. Treas is in class where !CD_RE.test(name of(each)) and TREASURY_RE.test(name of(each))count of. Rest is in class.length minus cds minus treas. The answer is `${joined(parts)} in this account` — when how many parts there are; 'bonds &amp; cds in this account' — otherwise. Parts is [opts ? plural(opts, 'option') : '', in class.length ? plural(in class.length, 'holding') : ''] where boolean.</t>
        </is>
      </c>
      <c r="I252" s="3" t="inlineStr">
        <is>
          <t>PARTLY READ — some of the code is still showing through; needs a hand pass</t>
        </is>
      </c>
      <c r="J252" s="3" t="inlineStr">
        <is>
          <t>1. a: AssetAccount
2. cls: AssetClass</t>
        </is>
      </c>
      <c r="K252" s="3" t="inlineStr">
        <is>
          <t>string</t>
        </is>
      </c>
      <c r="L252" s="3" t="inlineStr">
        <is>
          <t>"Matures (optional)" — on the Net worth screen</t>
        </is>
      </c>
      <c r="M252" s="3" t="inlineStr">
        <is>
          <t>None found in this function — anything it assumes comes from the functions it depends on.</t>
        </is>
      </c>
      <c r="N252" s="3" t="inlineStr">
        <is>
          <t>Yes</t>
        </is>
      </c>
      <c r="O252" s="3" t="inlineStr">
        <is>
          <t>1. MK-NW-F-109 holdingClassOf
2. MK-CF-F-204 line
3. MK-XS-F-120 nameOf
4. MK-NW-F-067 plural</t>
        </is>
      </c>
      <c r="P252" s="3" t="n">
        <v>119</v>
      </c>
      <c r="Q252" s="3" t="inlineStr">
        <is>
          <t>1. MK-NW-F-109 holdingClassOf
2. MK-CF-F-204 line
3. MK-XS-F-120 nameOf
4. MK-NW-F-067 plural
5. MK-NW-F-123 holdingNameEvidence
6. MK-NW-F-121 holdingTagClass
7. MK-NW-F-054 reclassifyAccounts
8. MK-CF-F-203 MONTH
9. MK-XS-F-180 declareFigures
10. MK-XS-F-122 n
11. MK-CF-F-155 cash
12. MK-NW-F-008 incomeBearingClassOf
13. MK-NW-F-053 correctClassOf
14. MK-NW-F-122 holdingTagFor
15. MK-CF-F-132 map
16. MK-CF-O-010 theMonth
17. MK-ST-F-010 nameEvidence
18. MK-NW-F-120 classEvidenceOf
19. MK-CF-O-002 expenses
20. MK-CF-O-003 thisMonth
21. MK-XS-F-147 call
22. MK-ST-F-056 has
23. MK-NW-F-009 maturityClass
24. MK-CF-F-151 actualSpending
25. MK-CF-F-150 debtPaymentsCountedAsExpenses
26. MK-CF-F-153 radar
27. MK-CF-F-149 recurringDebtPayments
28. MK-CF-F-005 actualMonthFlow
29. MK-CF-F-156 plannedMonthFlow
30. MK-ST-F-027 accountId
31. MK-XS-F-064 currentIdToken
32. MK-XS-F-112 relayUrl
33. MK-NW-F-011 assetClassOf
34. MK-NW-F-124 maturityParts
35. MK-CF-F-216 typed
36. MK-CF-F-148 inMonth
37. MK-ST-F-052 toNum
38. MK-CF-F-191 ym
39. MK-CF-F-022 paymentShape
40. MK-CF-F-152 isRadarItem
41. MK-CF-F-023 requiredPayment
42. MK-NW-F-078 ONE
43. MK-CF-F-157 debtPaymentsByDebt
44. MK-CF-F-192 inflowLabel
45. MK-XS-F-027 takeHomeMonthly
46. MK-CF-F-021 defaultPaymentType
47. MK-NW-F-077 ALL
48. MK-NW-F-059 currentYield
49. MK-ST-F-049 formatMoney
50. MK-ST-F-053 money
51. MK-NW-O-001 theBonds
52. MK-CF-F-193 inflowSourceWord
53. MK-CF-F-092 incomeMonthlyGrid
54. MK-CF-F-011 savingsByMonth
55. MK-NW-F-112 yearlyInterest
56. MK-ST-F-048 currencySymbol
57. MK-ST-F-039 on
58. MK-NW-F-057 annualCoupon
59. MK-NW-F-056 bondInfo
60. MK-NW-F-064 bondRateSensitivity
61. MK-NW-F-061 bondSummary
62. MK-NW-F-055 isBond
63. MK-NW-F-072 rowOf
64. MK-CF-F-069 benefitActiveMonths
65. MK-CF-F-072 currentRetirementIncomeMonthly
66. MK-CF-F-173 earnerWages
67. MK-CF-F-065 equityVestWeights
68. MK-CF-F-071 extraIncome
69. MK-CF-F-206 householdK401ByMonth
70. MK-CF-F-087 monthlyTaxRates
71. MK-CF-F-073 otherIncomeMonth
72. MK-CF-F-181 rateInForce
73. MK-CF-F-068 rentalNetAnnual
74. MK-CF-F-066 rsuAnnual
75. MK-CF-F-060 salaryGrossByMonth
76. MK-CF-F-077 scholarshipByCalendarMonth
77. MK-CF-F-088 taxableByCalendarMonth
78. MK-CF-F-177 wageGrossByMonth
79. MK-PL-F-012 waterfall
80. MK-CF-F-008 spendByMonth
81. MK-ST-F-047 activeCurrency
82. MK-NW-F-060 approxYTM
83. MK-NW-F-069 priceAtYield
84. MK-NW-F-131 pricedLikeBond
85. MK-NW-F-125 isPastMaturity
86. MK-ST-F-065 isoLocalDate
87. MK-NW-F-126 yearlyInterestNow
88. MK-NW-F-070 accruedInterestCaveat
89. MK-NW-F-058 yearsToMaturity
90. MK-CF-F-075 retirementIncomeMonthly
91. MK-CF-F-172 hasWage
92. MK-CF-F-062 equityRowValue
93. MK-CF-F-070 benefitAnnual
94. MK-CF-F-176 sumMonthsOverEarners
95. MK-CF-F-090 effectiveRate
96. MK-CF-F-180 enteredLandsAnnual
97. MK-CF-F-085 filingStatusOf
98. MK-CF-F-089 over65CountOf
99. MK-CF-F-082 salaryAnnual
100. MK-CF-F-086 stateRateOf
101. MK-CF-F-101 taxOwedFor
102. MK-CF-F-084 taxableAnnual
103. MK-CF-F-067 rentalList
104. MK-CF-F-063 rowVestYear
105. MK-CF-F-130 enteredMonthlyRaw
106. MK-CF-F-166 hasMonthlySalaryTable
107. MK-ST-F-036 reconcile
108. MK-CF-F-167 salaryCalendarYear
109. MK-CF-F-120 pctBaseMonthly
110. MK-CF-F-004 spendBuckets
111. MK-NW-F-119 estimatedAccrued
112. MK-CF-F-100 taxableIncomeFor
113. MK-CF-F-074 tipsAnnual
114. MK-ST-F-085 rentFigure
115. MK-CF-F-165 salaryMonths
116. MK-CF-F-003 categoryMonthly
117. MK-CF-F-099 deductionFor
118. MK-CF-F-081 salaryActiveMonths
119. MK-CF-F-187 seniorDeductionFor</t>
        </is>
      </c>
      <c r="R252" s="3" t="inlineStr">
        <is>
          <t>1. MK-XS-F-122 n → MK-CF-F-155 cash → MK-NW-F-123 holdingNameEvidence → MK-NW-F-109 holdingClassOf → MK-NW-F-028 classPortionLabel
2. MK-XS-F-122 n → MK-CF-F-155 cash → MK-NW-F-008 incomeBearingClassOf → MK-NW-F-123 holdingNameEvidence → MK-NW-F-109 holdingClassOf → MK-NW-F-028 classPortionLabel
3. MK-XS-F-147 call → MK-ST-F-010 nameEvidence → MK-NW-F-008 incomeBearingClassOf → MK-NW-F-123 holdingNameEvidence → MK-NW-F-109 holdingClassOf → MK-NW-F-028 classPortionLabel
4. MK-ST-F-056 has → MK-ST-F-010 nameEvidence → MK-NW-F-008 incomeBearingClassOf → MK-NW-F-123 holdingNameEvidence → MK-NW-F-109 holdingClassOf → MK-NW-F-028 classPortionLabel
5. MK-CF-F-132 map → MK-ST-F-010 nameEvidence → MK-NW-F-008 incomeBearingClassOf → MK-NW-F-123 holdingNameEvidence → MK-NW-F-109 holdingClassOf → MK-NW-F-028 classPortionLabel
6. MK-NW-F-121 holdingTagClass → MK-NW-F-109 holdingClassOf → MK-NW-F-028 classPortionLabel
7. MK-CF-F-155 cash → MK-NW-F-120 classEvidenceOf → MK-NW-F-053 correctClassOf → MK-NW-F-054 reclassifyAccounts → MK-NW-F-109 holdingClassOf → MK-NW-F-028 classPortionLabel
8. MK-NW-F-008 incomeBearingClassOf → MK-NW-F-120 classEvidenceOf → MK-NW-F-053 correctClassOf → MK-NW-F-054 reclassifyAccounts → MK-NW-F-109 holdingClassOf → MK-NW-F-028 classPortionLabel
9. … and 5 more paths</t>
        </is>
      </c>
      <c r="S252" s="3" t="inlineStr">
        <is>
          <t>—</t>
        </is>
      </c>
      <c r="T252" s="3" t="inlineStr">
        <is>
          <t>SLICE_WORDING</t>
        </is>
      </c>
      <c r="U252" s="3" t="inlineStr">
        <is>
          <t>ACTIVE</t>
        </is>
      </c>
      <c r="V252" s="3" t="inlineStr">
        <is>
          <t>2026-10-05</t>
        </is>
      </c>
      <c r="W252" s="3" t="n"/>
      <c r="X252" s="3" t="n"/>
      <c r="Y252" s="3" t="inlineStr">
        <is>
          <t>NOTHING OPEN</t>
        </is>
      </c>
    </row>
    <row r="253" ht="60" customHeight="1">
      <c r="A253" s="3" t="inlineStr">
        <is>
          <t>MK-NW-F-029</t>
        </is>
      </c>
      <c r="B253" s="3" t="inlineStr">
        <is>
          <t>assetAllocation</t>
        </is>
      </c>
      <c r="C253" s="3" t="inlineStr">
        <is>
          <t>src/domain/assets/index.ts</t>
        </is>
      </c>
      <c r="D253" s="3" t="n">
        <v>1802</v>
      </c>
      <c r="E253" s="3" t="inlineStr">
        <is>
          <t>2 · DISPLAYED</t>
        </is>
      </c>
      <c r="F253" s="3" t="inlineStr">
        <is>
          <t>How much money sits in each of the seven classes?</t>
        </is>
      </c>
      <c r="G253" s="11" t="inlineStr">
        <is>
          <t>out = cash = 0
bonds = 0
stocks etf = 0
alternatives = 0
real estate = 0
personal property = 0
mixed = 0
b = account class breakdown(a)
the answer = out</t>
        </is>
      </c>
      <c r="H253" s="3" t="inlineStr">
        <is>
          <t>Out is cash = 0; bonds = 0; stocks etf = 0; alternatives = 0; real estate = 0; personal property = 0; mixed = 0. B is account class breakdown(a). The answer is out.</t>
        </is>
      </c>
      <c r="I253" s="3" t="inlineStr">
        <is>
          <t>READ FROM THE CODE — rendered from the expressions the function runs</t>
        </is>
      </c>
      <c r="J253" s="3" t="inlineStr">
        <is>
          <t>accounts: AssetAccount[]</t>
        </is>
      </c>
      <c r="K253" s="3" t="inlineStr">
        <is>
          <t>Record&lt;AssetClass, number&gt;</t>
        </is>
      </c>
      <c r="L253" s="3" t="inlineStr">
        <is>
          <t>NOT FOUND — a screen calls it, but the words printed beside its answer could not be traced automatically. Needs reading.</t>
        </is>
      </c>
      <c r="M253" s="3" t="inlineStr">
        <is>
          <t>· If balance is missing it counts as zero, so nothing recorded and a real zero look the same.</t>
        </is>
      </c>
      <c r="N253" s="3" t="inlineStr">
        <is>
          <t>Yes</t>
        </is>
      </c>
      <c r="O253" s="3" t="inlineStr">
        <is>
          <t>1. MK-NW-F-027 accountClassBreakdown
2. MK-NW-F-011 assetClassOf</t>
        </is>
      </c>
      <c r="P253" s="3" t="n">
        <v>23</v>
      </c>
      <c r="Q253" s="3" t="inlineStr">
        <is>
          <t>1. MK-NW-F-027 accountClassBreakdown
2. MK-NW-F-011 assetClassOf
3. MK-CF-F-155 cash
4. MK-ST-F-056 has
5. MK-NW-F-109 holdingClassOf
6. MK-CF-F-132 map
7. MK-NW-F-067 plural
8. MK-NW-F-120 classEvidenceOf
9. MK-XS-F-122 n
10. MK-NW-F-123 holdingNameEvidence
11. MK-NW-F-121 holdingTagClass
12. MK-NW-F-054 reclassifyAccounts
13. MK-NW-F-008 incomeBearingClassOf
14. MK-NW-F-009 maturityClass
15. MK-NW-F-053 correctClassOf
16. MK-NW-F-122 holdingTagFor
17. MK-ST-F-010 nameEvidence
18. MK-NW-F-124 maturityParts
19. MK-CF-F-216 typed
20. MK-XS-F-147 call
21. MK-ST-F-027 accountId
22. MK-XS-F-064 currentIdToken
23. MK-XS-F-112 relayUrl</t>
        </is>
      </c>
      <c r="R253" s="3" t="inlineStr">
        <is>
          <t>1. MK-XS-F-122 n → MK-CF-F-155 cash → MK-NW-F-120 classEvidenceOf → MK-NW-F-011 assetClassOf → MK-NW-F-027 accountClassBreakdown → MK-NW-F-029 assetAllocation
2. MK-CF-F-155 cash → MK-NW-F-008 incomeBearingClassOf → MK-NW-F-120 classEvidenceOf → MK-NW-F-011 assetClassOf → MK-NW-F-027 accountClassBreakdown → MK-NW-F-029 assetAllocation
3. MK-ST-F-010 nameEvidence → MK-NW-F-008 incomeBearingClassOf → MK-NW-F-120 classEvidenceOf → MK-NW-F-011 assetClassOf → MK-NW-F-027 accountClassBreakdown → MK-NW-F-029 assetAllocation
4. assetClassOf (already above — a loop) → MK-NW-F-009 maturityClass → MK-NW-F-120 classEvidenceOf → MK-NW-F-011 assetClassOf → MK-NW-F-027 accountClassBreakdown → MK-NW-F-029 assetAllocation
5. MK-NW-F-124 maturityParts → MK-NW-F-009 maturityClass → MK-NW-F-120 classEvidenceOf → MK-NW-F-011 assetClassOf → MK-NW-F-027 accountClassBreakdown → MK-NW-F-029 assetAllocation
6. MK-CF-F-216 typed → MK-NW-F-009 maturityClass → MK-NW-F-120 classEvidenceOf → MK-NW-F-011 assetClassOf → MK-NW-F-027 accountClassBreakdown → MK-NW-F-029 assetAllocation
7. MK-XS-F-122 n → MK-CF-F-155 cash → MK-NW-F-027 accountClassBreakdown → MK-NW-F-029 assetAllocation
8. MK-ST-F-056 has → MK-NW-F-027 accountClassBreakdown → MK-NW-F-029 assetAllocation
9. … and 5 more paths</t>
        </is>
      </c>
      <c r="S253" s="3" t="inlineStr">
        <is>
          <t>—</t>
        </is>
      </c>
      <c r="T253" s="3" t="inlineStr">
        <is>
          <t>ALLOCATION_BY_CLASS</t>
        </is>
      </c>
      <c r="U253" s="3" t="inlineStr">
        <is>
          <t>ACTIVE</t>
        </is>
      </c>
      <c r="V253" s="3" t="inlineStr">
        <is>
          <t>2026-08-27</t>
        </is>
      </c>
      <c r="W253" s="3" t="n"/>
      <c r="X253" s="3" t="n"/>
      <c r="Y253" s="3" t="inlineStr">
        <is>
          <t>NOTHING OPEN</t>
        </is>
      </c>
    </row>
    <row r="254" ht="60" customHeight="1">
      <c r="A254" s="3" t="inlineStr">
        <is>
          <t>MK-NW-F-030</t>
        </is>
      </c>
      <c r="B254" s="3" t="inlineStr">
        <is>
          <t>earmarkDefault</t>
        </is>
      </c>
      <c r="C254" s="3" t="inlineStr">
        <is>
          <t>src/domain/assets/index.ts</t>
        </is>
      </c>
      <c r="D254" s="3" t="n">
        <v>1863</v>
      </c>
      <c r="E254" s="3" t="inlineStr">
        <is>
          <t>2 · DISPLAYED</t>
        </is>
      </c>
      <c r="F254" s="3" t="inlineStr">
        <is>
          <t>Default % of an account that's earmarked for retirement (rest funds other goals).</t>
        </is>
      </c>
      <c r="G254" s="11" t="inlineStr">
        <is>
          <t>0   when kind = 'college_529'
0   if string(asset id) = primary home id
100   otherwise   when primary home id ! = undefined
0   if re use = 'primary'
100   otherwise   when re use
0
0   when asset id = primary car id</t>
        </is>
      </c>
      <c r="H254" s="3" t="inlineStr">
        <is>
          <t>When kind = 'college_529', it answers 0. When primary home id ! = undefined, it answers 0 — when string(asset id) = primary home id; 100 — otherwise. When re use, it answers 0 — when re use = 'primary'; 100 — otherwise. 0. When asset id = primary car id, it answers 0.</t>
        </is>
      </c>
      <c r="I254" s="3" t="inlineStr">
        <is>
          <t>PARTLY READ — some of the code is still showing through; needs a hand pass</t>
        </is>
      </c>
      <c r="J254" s="3" t="inlineStr">
        <is>
          <t>1. a: AssetAccount
2. primaryCarId?: string
3. primaryHomeId?: string | null</t>
        </is>
      </c>
      <c r="K254" s="3" t="inlineStr">
        <is>
          <t>number</t>
        </is>
      </c>
      <c r="L254"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4" s="3" t="inlineStr">
        <is>
          <t>None found in this function — anything it assumes comes from the functions it depends on.</t>
        </is>
      </c>
      <c r="N254" s="3" t="inlineStr">
        <is>
          <t>Yes</t>
        </is>
      </c>
      <c r="O254" s="3" t="inlineStr">
        <is>
          <t>MK-NW-F-011 assetClassOf</t>
        </is>
      </c>
      <c r="P254" s="3" t="n">
        <v>15</v>
      </c>
      <c r="Q254" s="3" t="inlineStr">
        <is>
          <t>1. MK-NW-F-011 assetClassOf
2. MK-NW-F-120 classEvidenceOf
3. MK-CF-F-155 cash
4. MK-NW-F-008 incomeBearingClassOf
5. MK-NW-F-009 maturityClass
6. MK-XS-F-122 n
7. MK-ST-F-010 nameEvidence
8. MK-NW-F-124 maturityParts
9. MK-CF-F-216 typed
10. MK-XS-F-147 call
11. MK-ST-F-056 has
12. MK-CF-F-132 map
13. MK-ST-F-027 accountId
14. MK-XS-F-064 currentIdToken
15. MK-XS-F-112 relayUrl</t>
        </is>
      </c>
      <c r="R254" s="3" t="inlineStr">
        <is>
          <t>1. MK-XS-F-122 n → MK-CF-F-155 cash → MK-NW-F-120 classEvidenceOf → MK-NW-F-011 assetClassOf → MK-NW-F-030 earmarkDefault
2. MK-XS-F-122 n → MK-CF-F-155 cash → MK-NW-F-008 incomeBearingClassOf → MK-NW-F-120 classEvidenceOf → MK-NW-F-011 assetClassOf → MK-NW-F-030 earmarkDefault
3. MK-XS-F-147 call → MK-ST-F-010 nameEvidence → MK-NW-F-008 incomeBearingClassOf → MK-NW-F-120 classEvidenceOf → MK-NW-F-011 assetClassOf → MK-NW-F-030 earmarkDefault
4. MK-ST-F-056 has → MK-ST-F-010 nameEvidence → MK-NW-F-008 incomeBearingClassOf → MK-NW-F-120 classEvidenceOf → MK-NW-F-011 assetClassOf → MK-NW-F-030 earmarkDefault
5. MK-CF-F-132 map → MK-ST-F-010 nameEvidence → MK-NW-F-008 incomeBearingClassOf → MK-NW-F-120 classEvidenceOf → MK-NW-F-011 assetClassOf → MK-NW-F-030 earmarkDefault
6. assetClassOf (already above — a loop) → MK-NW-F-009 maturityClass → MK-NW-F-120 classEvidenceOf → MK-NW-F-011 assetClassOf → MK-NW-F-030 earmarkDefault
7. maturityClass (already above — a loop) → MK-NW-F-124 maturityParts → MK-NW-F-009 maturityClass → MK-NW-F-120 classEvidenceOf → MK-NW-F-011 assetClassOf → MK-NW-F-030 earmarkDefault
8. MK-CF-F-216 typed → MK-NW-F-124 maturityParts → MK-NW-F-009 maturityClass → MK-NW-F-120 classEvidenceOf → MK-NW-F-011 assetClassOf → MK-NW-F-030 earmarkDefault
9. … and 1 more paths</t>
        </is>
      </c>
      <c r="S254" s="3" t="inlineStr">
        <is>
          <t>—</t>
        </is>
      </c>
      <c r="T254" s="3" t="inlineStr">
        <is>
          <t>RETIREMENT_SHARE_DEFAULT</t>
        </is>
      </c>
      <c r="U254" s="3" t="inlineStr">
        <is>
          <t>ACTIVE</t>
        </is>
      </c>
      <c r="V254" s="3" t="inlineStr">
        <is>
          <t>2026-10-07</t>
        </is>
      </c>
      <c r="W254" s="3" t="n"/>
      <c r="X254" s="3" t="n"/>
      <c r="Y254" s="3" t="inlineStr">
        <is>
          <t>NOTHING OPEN</t>
        </is>
      </c>
    </row>
    <row r="255" ht="60" customHeight="1">
      <c r="A255" s="3" t="inlineStr">
        <is>
          <t>MK-NW-F-031</t>
        </is>
      </c>
      <c r="B255" s="3" t="inlineStr">
        <is>
          <t>primaryCarIdOf</t>
        </is>
      </c>
      <c r="C255" s="3" t="inlineStr">
        <is>
          <t>src/domain/assets/index.ts</t>
        </is>
      </c>
      <c r="D255" s="3" t="n">
        <v>1918</v>
      </c>
      <c r="E255" s="3" t="inlineStr">
        <is>
          <t>2 · DISPLAYED</t>
        </is>
      </c>
      <c r="F255" s="3" t="inlineStr">
        <is>
          <t>The vehicle treated as "the car you drive" — the most valuable one, so a second car stays a real asset.</t>
        </is>
      </c>
      <c r="G255" s="11" t="inlineStr">
        <is>
          <t>cars = accounts (or none when missing) where kind = 'vehicle'
undefined   when count of cars is missing
valued = cars where value entered(each)
pick = valued   if count of valued
cars   otherwise
the answer = [...pick].sort((x, y) =&gt; (balance or 0) − (balance or 0) or (string(asset id) &lt; string(asset id) ? -1 : string(asset id) &gt; string(asset id) ? 1 : 0))[0].asset id</t>
        </is>
      </c>
      <c r="H255" s="3" t="inlineStr">
        <is>
          <t>Cars is accounts (or none — when missing) where kind = 'vehicle'. When how many cars is missing there are, it answers undefined. Valued is cars where value entered(each). Pick is valued — when how many valued there are; cars — otherwise. The answer is [...pick].sort((x, y) =&gt; (balance or 0) minus (balance or 0) or (string(asset id) &lt; string(asset id) ? -1 : string(asset id) &gt; string(asset id) ? 1 : 0))[0].asset id.</t>
        </is>
      </c>
      <c r="I255" s="3" t="inlineStr">
        <is>
          <t>PARTLY READ — some of the code is still showing through; needs a hand pass</t>
        </is>
      </c>
      <c r="J255" s="3" t="inlineStr">
        <is>
          <t>accounts: AssetAccount[]</t>
        </is>
      </c>
      <c r="K255" s="3" t="inlineStr">
        <is>
          <t>string | undefined</t>
        </is>
      </c>
      <c r="L255" s="3" t="inlineStr">
        <is>
          <t>"What counts toward retirement?" — on the Retirement cockpit screen</t>
        </is>
      </c>
      <c r="M255" s="3" t="inlineStr">
        <is>
          <t>· If balance is missing it counts as zero, so nothing recorded and a real zero look the same.</t>
        </is>
      </c>
      <c r="N255" s="3" t="inlineStr">
        <is>
          <t>Yes</t>
        </is>
      </c>
      <c r="O255" s="3" t="inlineStr">
        <is>
          <t>1. MK-NW-F-134 carValueNotEnteredNotes
2. MK-NW-F-133 valueEntered</t>
        </is>
      </c>
      <c r="P255" s="3" t="n">
        <v>43</v>
      </c>
      <c r="Q255" s="3" t="inlineStr">
        <is>
          <t>1. MK-NW-F-134 carValueNotEnteredNotes
2. MK-NW-F-133 valueEntered
3. MK-CF-F-132 map
4. MK-ST-F-053 money
5. MK-NW-F-033 retirementEarmarkedValue
6. MK-ST-F-049 formatMoney
7. MK-XS-F-122 n
8. MK-NW-F-032 earmarkedAmount
9. MK-NW-F-110 primaryHomeIdOf
10. MK-ST-F-048 currencySymbol
11. MK-ST-F-039 on
12. MK-NW-F-030 earmarkDefault
13. MK-NW-F-117 propertyUseMap
14. MK-ST-F-047 activeCurrency
15. MK-NW-F-011 assetClassOf
16. MK-ST-F-056 has
17. MK-NW-F-116 rentedIdsOf
18. MK-NW-F-120 classEvidenceOf
19. MK-NW-F-115 liveRent
20. MK-CF-F-155 cash
21. MK-NW-F-008 incomeBearingClassOf
22. MK-NW-F-009 maturityClass
23. MK-CF-O-002 expenses
24. MK-NW-F-114 rentAmount
25. MK-ST-F-010 nameEvidence
26. MK-NW-F-124 maturityParts
27. MK-CF-F-216 typed
28. MK-CF-F-151 actualSpending
29. MK-CF-F-150 debtPaymentsCountedAsExpenses
30. MK-CF-F-153 radar
31. MK-CF-F-149 recurringDebtPayments
32. MK-ST-F-085 rentFigure
33. MK-XS-F-147 call
34. MK-CF-F-148 inMonth
35. MK-ST-F-052 toNum
36. MK-CF-F-191 ym
37. MK-CF-F-022 paymentShape
38. MK-CF-F-152 isRadarItem
39. MK-CF-F-023 requiredPayment
40. MK-ST-F-027 accountId
41. MK-XS-F-064 currentIdToken
42. MK-XS-F-112 relayUrl
43. MK-CF-F-021 defaultPaymentType</t>
        </is>
      </c>
      <c r="R255" s="3" t="inlineStr">
        <is>
          <t>1. MK-CF-F-132 map → MK-NW-F-134 carValueNotEnteredNotes → MK-NW-F-031 primaryCarIdOf
2. MK-ST-F-047 activeCurrency → MK-ST-F-048 currencySymbol → MK-ST-F-049 formatMoney → MK-ST-F-053 money → MK-NW-F-134 carValueNotEnteredNotes → MK-NW-F-031 primaryCarIdOf
3. MK-XS-F-122 n → MK-ST-F-049 formatMoney → MK-ST-F-053 money → MK-NW-F-134 carValueNotEnteredNotes → MK-NW-F-031 primaryCarIdOf
4. MK-ST-F-039 on → MK-ST-F-049 formatMoney → MK-ST-F-053 money → MK-NW-F-134 carValueNotEnteredNotes → MK-NW-F-031 primaryCarIdOf
5. MK-XS-F-122 n → MK-ST-F-053 money → MK-NW-F-134 carValueNotEnteredNotes → MK-NW-F-031 primaryCarIdOf
6. primaryCarIdOf (already above — a loop) → MK-NW-F-134 carValueNotEnteredNotes → MK-NW-F-031 primaryCarIdOf
7. MK-NW-F-011 assetClassOf → MK-NW-F-030 earmarkDefault → MK-NW-F-032 earmarkedAmount → MK-NW-F-033 retirementEarmarkedValue → MK-NW-F-134 carValueNotEnteredNotes → MK-NW-F-031 primaryCarIdOf
8. primaryCarIdOf (already above — a loop) → MK-NW-F-033 retirementEarmarkedValue → MK-NW-F-134 carValueNotEnteredNotes → MK-NW-F-031 primaryCarIdOf
9. … and 5 more paths</t>
        </is>
      </c>
      <c r="S255" s="3" t="inlineStr">
        <is>
          <t>—</t>
        </is>
      </c>
      <c r="T255" s="3" t="inlineStr">
        <is>
          <t>PRIMARY_CAR</t>
        </is>
      </c>
      <c r="U255" s="3" t="inlineStr">
        <is>
          <t>ACTIVE</t>
        </is>
      </c>
      <c r="V255" s="3" t="inlineStr">
        <is>
          <t>2026-10-10</t>
        </is>
      </c>
      <c r="W255" s="3" t="n"/>
      <c r="X255" s="3" t="n"/>
      <c r="Y255" s="3" t="inlineStr">
        <is>
          <t>NOTHING OPEN</t>
        </is>
      </c>
    </row>
    <row r="256" ht="60" customHeight="1">
      <c r="A256" s="3" t="inlineStr">
        <is>
          <t>MK-NW-F-032</t>
        </is>
      </c>
      <c r="B256" s="3" t="inlineStr">
        <is>
          <t>earmarkedAmount</t>
        </is>
      </c>
      <c r="C256" s="3" t="inlineStr">
        <is>
          <t>src/domain/assets/index.ts</t>
        </is>
      </c>
      <c r="D256" s="3" t="n">
        <v>2092</v>
      </c>
      <c r="E256" s="3" t="inlineStr">
        <is>
          <t>2 · DISPLAYED</t>
        </is>
      </c>
      <c r="F256" s="3" t="inlineStr">
        <is>
          <t>The retirement-earmarked $ for one account (uses the saved % or the smart default).</t>
        </is>
      </c>
      <c r="G256" s="11" t="inlineStr">
        <is>
          <t>pct = earmark default(a, primary car id, primary home id)   if retirement pct = nothing
retirement pct   otherwise
the answer = (balance or 0) × max(0, min(100, pct)) ÷ 100</t>
        </is>
      </c>
      <c r="H256" s="3" t="inlineStr">
        <is>
          <t>Pct is earmark default(a, primary car id, primary home id) — when retirement pct is missing; retirement pct — otherwise. The answer is (balance or 0) times the smaller of 100 and pct, never below zero divided by 100.</t>
        </is>
      </c>
      <c r="I256" s="3" t="inlineStr">
        <is>
          <t>READ FROM THE CODE — rendered from the expressions the function runs</t>
        </is>
      </c>
      <c r="J256" s="3" t="inlineStr">
        <is>
          <t>1. a: AssetAccount
2. primaryCarId?: string
3. primaryHomeId?: string | null</t>
        </is>
      </c>
      <c r="K256" s="3" t="inlineStr">
        <is>
          <t>number</t>
        </is>
      </c>
      <c r="L256" s="3" t="inlineStr">
        <is>
          <t>"WHAT COUNTS TOWARD RETIREMENT" — on a card used on more than one screen (PlanInputs), under "WHAT COUNTS TOWARD RETIREMENT"</t>
        </is>
      </c>
      <c r="M256" s="3" t="inlineStr">
        <is>
          <t>1. If balance is missing it counts as zero, so nothing recorded and a real zero look the same.
2. Caps percent at 100.</t>
        </is>
      </c>
      <c r="N256" s="3" t="inlineStr">
        <is>
          <t>Yes</t>
        </is>
      </c>
      <c r="O256" s="3" t="inlineStr">
        <is>
          <t>MK-NW-F-030 earmarkDefault</t>
        </is>
      </c>
      <c r="P256" s="3" t="n">
        <v>16</v>
      </c>
      <c r="Q256" s="3" t="inlineStr">
        <is>
          <t>1. MK-NW-F-030 earmarkDefault
2. MK-NW-F-011 assetClassOf
3. MK-NW-F-120 classEvidenceOf
4. MK-CF-F-155 cash
5. MK-NW-F-008 incomeBearingClassOf
6. MK-NW-F-009 maturityClass
7. MK-XS-F-122 n
8. MK-ST-F-010 nameEvidence
9. MK-NW-F-124 maturityParts
10. MK-CF-F-216 typed
11. MK-XS-F-147 call
12. MK-ST-F-056 has
13. MK-CF-F-132 map
14. MK-ST-F-027 accountId
15. MK-XS-F-064 currentIdToken
16. MK-XS-F-112 relayUrl</t>
        </is>
      </c>
      <c r="R256" s="3" t="inlineStr">
        <is>
          <t>1. MK-XS-F-122 n → MK-CF-F-155 cash → MK-NW-F-120 classEvidenceOf → MK-NW-F-011 assetClassOf → MK-NW-F-030 earmarkDefault → MK-NW-F-032 earmarkedAmount
2. MK-CF-F-155 cash → MK-NW-F-008 incomeBearingClassOf → MK-NW-F-120 classEvidenceOf → MK-NW-F-011 assetClassOf → MK-NW-F-030 earmarkDefault → MK-NW-F-032 earmarkedAmount
3. MK-ST-F-010 nameEvidence → MK-NW-F-008 incomeBearingClassOf → MK-NW-F-120 classEvidenceOf → MK-NW-F-011 assetClassOf → MK-NW-F-030 earmarkDefault → MK-NW-F-032 earmarkedAmount
4. assetClassOf (already above — a loop) → MK-NW-F-009 maturityClass → MK-NW-F-120 classEvidenceOf → MK-NW-F-011 assetClassOf → MK-NW-F-030 earmarkDefault → MK-NW-F-032 earmarkedAmount
5. MK-NW-F-124 maturityParts → MK-NW-F-009 maturityClass → MK-NW-F-120 classEvidenceOf → MK-NW-F-011 assetClassOf → MK-NW-F-030 earmarkDefault → MK-NW-F-032 earmarkedAmount
6. MK-CF-F-216 typed → MK-NW-F-009 maturityClass → MK-NW-F-120 classEvidenceOf → MK-NW-F-011 assetClassOf → MK-NW-F-030 earmarkDefault → MK-NW-F-032 earmarkedAmount</t>
        </is>
      </c>
      <c r="S256" s="3" t="inlineStr">
        <is>
          <t>—</t>
        </is>
      </c>
      <c r="T256" s="3" t="inlineStr">
        <is>
          <t>RETIREMENT_SHARE_AMOUNT</t>
        </is>
      </c>
      <c r="U256" s="3" t="inlineStr">
        <is>
          <t>ACTIVE</t>
        </is>
      </c>
      <c r="V256" s="3" t="inlineStr">
        <is>
          <t>2026-10-07</t>
        </is>
      </c>
      <c r="W256" s="3" t="n"/>
      <c r="X256" s="3" t="n"/>
      <c r="Y256" s="3" t="inlineStr">
        <is>
          <t>NOTHING OPEN</t>
        </is>
      </c>
    </row>
    <row r="257" ht="60" customHeight="1">
      <c r="A257" s="3" t="inlineStr">
        <is>
          <t>MK-NW-F-033</t>
        </is>
      </c>
      <c r="B257" s="3" t="inlineStr">
        <is>
          <t>retirementEarmarkedValue</t>
        </is>
      </c>
      <c r="C257" s="3" t="inlineStr">
        <is>
          <t>src/domain/assets/index.ts</t>
        </is>
      </c>
      <c r="D257" s="3" t="n">
        <v>2127</v>
      </c>
      <c r="E257" s="3" t="inlineStr">
        <is>
          <t>2 · DISPLAYED</t>
        </is>
      </c>
      <c r="F257" s="3" t="inlineStr">
        <is>
          <t>Total nest egg = sum of each account's retirement-earmarked portion.</t>
        </is>
      </c>
      <c r="G257" s="11" t="inlineStr">
        <is>
          <t>car = primary car id of(accounts), home = primary home id of(accounts, rentals)
the answer = Σ over accounts (or none when missing) of (earmarked amount(each, car, home))</t>
        </is>
      </c>
      <c r="H257" s="3" t="inlineStr">
        <is>
          <t>Car is primary car id of(accounts), home = primary home id of(accounts, rentals). The answer: the earmarked amount(each, car, home) added up across accounts (or none — when missing).</t>
        </is>
      </c>
      <c r="I257" s="3" t="inlineStr">
        <is>
          <t>READ FROM THE CODE — rendered from the expressions the function runs</t>
        </is>
      </c>
      <c r="J257" s="3" t="inlineStr">
        <is>
          <t>1. accounts: AssetAccount[]
2. rentals?: RentEntry[] | null</t>
        </is>
      </c>
      <c r="K257" s="3" t="inlineStr">
        <is>
          <t>number</t>
        </is>
      </c>
      <c r="L257"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57" s="3" t="inlineStr">
        <is>
          <t>None found in this function — anything it assumes comes from the functions it depends on.</t>
        </is>
      </c>
      <c r="N257" s="3" t="inlineStr">
        <is>
          <t>Yes</t>
        </is>
      </c>
      <c r="O257" s="3" t="inlineStr">
        <is>
          <t>1. MK-NW-F-032 earmarkedAmount
2. MK-NW-F-031 primaryCarIdOf
3. MK-NW-F-110 primaryHomeIdOf</t>
        </is>
      </c>
      <c r="P257" s="3" t="n">
        <v>43</v>
      </c>
      <c r="Q257" s="3" t="inlineStr">
        <is>
          <t>1. MK-NW-F-032 earmarkedAmount
2. MK-NW-F-031 primaryCarIdOf
3. MK-NW-F-110 primaryHomeIdOf
4. MK-NW-F-030 earmarkDefault
5. MK-NW-F-134 carValueNotEnteredNotes
6. MK-NW-F-133 valueEntered
7. MK-NW-F-117 propertyUseMap
8. MK-NW-F-011 assetClassOf
9. MK-CF-F-132 map
10. MK-ST-F-053 money
11. MK-ST-F-056 has
12. MK-NW-F-116 rentedIdsOf
13. MK-NW-F-120 classEvidenceOf
14. MK-ST-F-049 formatMoney
15. MK-XS-F-122 n
16. MK-NW-F-115 liveRent
17. MK-CF-F-155 cash
18. MK-NW-F-008 incomeBearingClassOf
19. MK-NW-F-009 maturityClass
20. MK-ST-F-048 currencySymbol
21. MK-ST-F-039 on
22. MK-CF-O-002 expenses
23. MK-NW-F-114 rentAmount
24. MK-ST-F-010 nameEvidence
25. MK-NW-F-124 maturityParts
26. MK-CF-F-216 typed
27. MK-ST-F-047 activeCurrency
28. MK-CF-F-151 actualSpending
29. MK-CF-F-150 debtPaymentsCountedAsExpenses
30. MK-CF-F-153 radar
31. MK-CF-F-149 recurringDebtPayments
32. MK-ST-F-085 rentFigure
33. MK-XS-F-147 call
34. MK-CF-F-148 inMonth
35. MK-ST-F-052 toNum
36. MK-CF-F-191 ym
37. MK-CF-F-022 paymentShape
38. MK-CF-F-152 isRadarItem
39. MK-CF-F-023 requiredPayment
40. MK-ST-F-027 accountId
41. MK-XS-F-064 currentIdToken
42. MK-XS-F-112 relayUrl
43. MK-CF-F-021 defaultPaymentType</t>
        </is>
      </c>
      <c r="R257" s="3" t="inlineStr">
        <is>
          <t>1. MK-CF-F-155 cash → MK-NW-F-120 classEvidenceOf → MK-NW-F-011 assetClassOf → MK-NW-F-030 earmarkDefault → MK-NW-F-032 earmarkedAmount → MK-NW-F-033 retirementEarmarkedValue
2. MK-NW-F-008 incomeBearingClassOf → MK-NW-F-120 classEvidenceOf → MK-NW-F-011 assetClassOf → MK-NW-F-030 earmarkDefault → MK-NW-F-032 earmarkedAmount → MK-NW-F-033 retirementEarmarkedValue
3. MK-NW-F-009 maturityClass → MK-NW-F-120 classEvidenceOf → MK-NW-F-011 assetClassOf → MK-NW-F-030 earmarkDefault → MK-NW-F-032 earmarkedAmount → MK-NW-F-033 retirementEarmarkedValue
4. MK-CF-F-132 map → MK-NW-F-134 carValueNotEnteredNotes → MK-NW-F-031 primaryCarIdOf → MK-NW-F-033 retirementEarmarkedValue
5. MK-ST-F-048 currencySymbol → MK-ST-F-049 formatMoney → MK-ST-F-053 money → MK-NW-F-134 carValueNotEnteredNotes → MK-NW-F-031 primaryCarIdOf → MK-NW-F-033 retirementEarmarkedValue
6. MK-XS-F-122 n → MK-ST-F-049 formatMoney → MK-ST-F-053 money → MK-NW-F-134 carValueNotEnteredNotes → MK-NW-F-031 primaryCarIdOf → MK-NW-F-033 retirementEarmarkedValue
7. MK-ST-F-039 on → MK-ST-F-049 formatMoney → MK-ST-F-053 money → MK-NW-F-134 carValueNotEnteredNotes → MK-NW-F-031 primaryCarIdOf → MK-NW-F-033 retirementEarmarkedValue
8. MK-XS-F-122 n → MK-ST-F-053 money → MK-NW-F-134 carValueNotEnteredNotes → MK-NW-F-031 primaryCarIdOf → MK-NW-F-033 retirementEarmarkedValue
9. … and 5 more paths</t>
        </is>
      </c>
      <c r="S257" s="3" t="inlineStr">
        <is>
          <t>—</t>
        </is>
      </c>
      <c r="T257" s="3" t="inlineStr">
        <is>
          <t>NEST_EGG</t>
        </is>
      </c>
      <c r="U257" s="3" t="inlineStr">
        <is>
          <t>ACTIVE</t>
        </is>
      </c>
      <c r="V257" s="3" t="inlineStr">
        <is>
          <t>2026-10-13</t>
        </is>
      </c>
      <c r="W257" s="3" t="n"/>
      <c r="X257" s="3" t="n"/>
      <c r="Y257" s="3" t="inlineStr">
        <is>
          <t>NOTHING OPEN</t>
        </is>
      </c>
    </row>
    <row r="258" ht="60" customHeight="1">
      <c r="A258" s="3" t="inlineStr">
        <is>
          <t>MK-NW-F-034</t>
        </is>
      </c>
      <c r="B258" s="3" t="inlineStr">
        <is>
          <t>benchmarkReturn</t>
        </is>
      </c>
      <c r="C258" s="3" t="inlineStr">
        <is>
          <t>src/domain/assets/index.ts</t>
        </is>
      </c>
      <c r="D258" s="3" t="n">
        <v>2166</v>
      </c>
      <c r="E258" s="3" t="inlineStr">
        <is>
          <t>2 · DISPLAYED</t>
        </is>
      </c>
      <c r="F258" s="3" t="inlineStr">
        <is>
          <t>Benchmark expected annual return for an asset kind — user override if set, else the ASSET_KINDS default.</t>
        </is>
      </c>
      <c r="G258" s="11" t="inlineStr">
        <is>
          <t>overrides[kind]   when kind and overrides and overrides[kind] ≠ nothing
asset kind(kind).ret (or 0.06 when missing)</t>
        </is>
      </c>
      <c r="H258" s="3" t="inlineStr">
        <is>
          <t>When kind and overrides and overrides[kind] is not no answer, it answers overrides[kind]. asset kind(kind).ret (or 0.06 — when missing).</t>
        </is>
      </c>
      <c r="I258" s="3" t="inlineStr">
        <is>
          <t>PARTLY READ — some of the code is still showing through; needs a hand pass</t>
        </is>
      </c>
      <c r="J258" s="3" t="inlineStr">
        <is>
          <t>1. kind: string | undefined
2. overrides?: Record&lt;string, number&gt;</t>
        </is>
      </c>
      <c r="K258" s="3" t="inlineStr">
        <is>
          <t>number</t>
        </is>
      </c>
      <c r="L258" s="3" t="inlineStr">
        <is>
          <t>1. "Type" — on the Other investments screen
2. "Typical yearly return for this type" — on the account portfolio screen, under "IF INTEREST RATES MOVE"</t>
        </is>
      </c>
      <c r="M258" s="3" t="inlineStr">
        <is>
          <t>· If return is missing it uses 6%.</t>
        </is>
      </c>
      <c r="N258" s="3" t="inlineStr">
        <is>
          <t>Yes</t>
        </is>
      </c>
      <c r="O258" s="3" t="inlineStr">
        <is>
          <t>MK-NW-F-007 assetKind</t>
        </is>
      </c>
      <c r="P258" s="3" t="n">
        <v>16</v>
      </c>
      <c r="Q258" s="3" t="inlineStr">
        <is>
          <t>1. MK-NW-F-007 assetKind
2. MK-NW-F-011 assetClassOf
3. MK-CF-F-155 cash
4. MK-NW-F-120 classEvidenceOf
5. MK-XS-F-122 n
6. MK-NW-F-008 incomeBearingClassOf
7. MK-NW-F-009 maturityClass
8. MK-ST-F-010 nameEvidence
9. MK-NW-F-124 maturityParts
10. MK-CF-F-216 typed
11. MK-XS-F-147 call
12. MK-ST-F-056 has
13. MK-CF-F-132 map
14. MK-ST-F-027 accountId
15. MK-XS-F-064 currentIdToken
16. MK-XS-F-112 relayUrl</t>
        </is>
      </c>
      <c r="R258" s="3" t="inlineStr">
        <is>
          <t>1. MK-XS-F-122 n → MK-CF-F-155 cash → MK-NW-F-120 classEvidenceOf → MK-NW-F-011 assetClassOf → MK-NW-F-007 assetKind → MK-NW-F-034 benchmarkReturn
2. MK-CF-F-155 cash → MK-NW-F-008 incomeBearingClassOf → MK-NW-F-120 classEvidenceOf → MK-NW-F-011 assetClassOf → MK-NW-F-007 assetKind → MK-NW-F-034 benchmarkReturn
3. MK-ST-F-010 nameEvidence → MK-NW-F-008 incomeBearingClassOf → MK-NW-F-120 classEvidenceOf → MK-NW-F-011 assetClassOf → MK-NW-F-007 assetKind → MK-NW-F-034 benchmarkReturn
4. assetClassOf (already above — a loop) → MK-NW-F-009 maturityClass → MK-NW-F-120 classEvidenceOf → MK-NW-F-011 assetClassOf → MK-NW-F-007 assetKind → MK-NW-F-034 benchmarkReturn
5. MK-NW-F-124 maturityParts → MK-NW-F-009 maturityClass → MK-NW-F-120 classEvidenceOf → MK-NW-F-011 assetClassOf → MK-NW-F-007 assetKind → MK-NW-F-034 benchmarkReturn
6. MK-CF-F-216 typed → MK-NW-F-009 maturityClass → MK-NW-F-120 classEvidenceOf → MK-NW-F-011 assetClassOf → MK-NW-F-007 assetKind → MK-NW-F-034 benchmarkReturn
7. MK-XS-F-122 n → MK-CF-F-155 cash → MK-NW-F-007 assetKind → MK-NW-F-034 benchmarkReturn</t>
        </is>
      </c>
      <c r="S258" s="3" t="inlineStr">
        <is>
          <t>—</t>
        </is>
      </c>
      <c r="T258" s="3" t="inlineStr">
        <is>
          <t>EXPECTED_RETURN_BY_KIND</t>
        </is>
      </c>
      <c r="U258" s="3" t="inlineStr">
        <is>
          <t>ACTIVE</t>
        </is>
      </c>
      <c r="V258" s="3" t="inlineStr">
        <is>
          <t>2026-08-27</t>
        </is>
      </c>
      <c r="W258" s="3" t="n"/>
      <c r="X258" s="3" t="n"/>
      <c r="Y258" s="3" t="inlineStr">
        <is>
          <t>NOTHING OPEN</t>
        </is>
      </c>
    </row>
    <row r="259" ht="60" customHeight="1">
      <c r="A259" s="3" t="inlineStr">
        <is>
          <t>MK-NW-F-035</t>
        </is>
      </c>
      <c r="B259" s="3" t="inlineStr">
        <is>
          <t>blendedVolatility</t>
        </is>
      </c>
      <c r="C259" s="3" t="inlineStr">
        <is>
          <t>src/domain/assets/index.ts</t>
        </is>
      </c>
      <c r="D259" s="3" t="n">
        <v>2241</v>
      </c>
      <c r="E259" s="3" t="inlineStr">
        <is>
          <t>3 · DEPENDENT</t>
        </is>
      </c>
      <c r="F259" s="3" t="inlineStr">
        <is>
          <t>The volatility of THIS portfolio — each account's own class volatility, weighted the way the money actually is (the same weighting `blendedReturn` uses, so the pair always describes one portfolio).</t>
        </is>
      </c>
      <c r="G259" s="11" t="inlineStr">
        <is>
          <t>car = primary car id of(accounts), home = primary home id of(accounts, rentals)
items = accounts (or none when missing)
total = Σ over items of (earmarked amount(each, car, home))
nothing   when total ≤ 0
v = overrides[kind]   if kind and overrides.[kind] ≠ nothing
KIND_VOLATILITY[kind]   if kind
undefined   otherwise   otherwise
the answer = t + (v ?? 0.12) × earmarked amount(a, car, home)</t>
        </is>
      </c>
      <c r="H259" s="3" t="inlineStr">
        <is>
          <t>Car is primary car id of(accounts), home = primary home id of(accounts, rentals). Items is accounts (or none — when missing). Total: the earmarked amount(each, car, home) added up across items. When total is at most 0, it answers no answer. V is overrides[kind] — when kind and overrides.[kind] is not no answer; KIND_VOLATILITY[kind] — when kind; undefined — otherwise — otherwise. The answer is t plus (v ?? 0.12) times earmarked amount(a, car, home).</t>
        </is>
      </c>
      <c r="I259" s="3" t="inlineStr">
        <is>
          <t>PARTLY READ — some of the code is still showing through; needs a hand pass</t>
        </is>
      </c>
      <c r="J259" s="3" t="inlineStr">
        <is>
          <t>1. accounts: AssetAccount[]
2. overrides?: Record&lt;string, number&gt;
3. rentals?: RentEntry[] | null</t>
        </is>
      </c>
      <c r="K259" s="3" t="inlineStr">
        <is>
          <t>number | null</t>
        </is>
      </c>
      <c r="L259" s="3" t="inlineStr">
        <is>
          <t>—</t>
        </is>
      </c>
      <c r="M259" s="3" t="inlineStr">
        <is>
          <t>· If v is missing it uses 12%.</t>
        </is>
      </c>
      <c r="N259" s="3" t="inlineStr">
        <is>
          <t>Yes</t>
        </is>
      </c>
      <c r="O259" s="3" t="inlineStr">
        <is>
          <t>1. MK-CF-F-155 cash
2. MK-NW-F-032 earmarkedAmount
3. MK-NW-F-031 primaryCarIdOf
4. MK-NW-F-110 primaryHomeIdOf</t>
        </is>
      </c>
      <c r="P259" s="3" t="n">
        <v>44</v>
      </c>
      <c r="Q259" s="3" t="inlineStr">
        <is>
          <t>1. MK-CF-F-155 cash
2. MK-NW-F-032 earmarkedAmount
3. MK-NW-F-031 primaryCarIdOf
4. MK-NW-F-110 primaryHomeIdOf
5. MK-XS-F-122 n
6. MK-NW-F-030 earmarkDefault
7. MK-NW-F-134 carValueNotEnteredNotes
8. MK-NW-F-133 valueEntered
9. MK-NW-F-117 propertyUseMap
10. MK-NW-F-011 assetClassOf
11. MK-CF-F-132 map
12. MK-ST-F-053 money
13. MK-NW-F-033 retirementEarmarkedValue
14. MK-ST-F-056 has
15. MK-NW-F-116 rentedIdsOf
16. MK-NW-F-120 classEvidenceOf
17. MK-ST-F-049 formatMoney
18. MK-NW-F-115 liveRent
19. MK-NW-F-008 incomeBearingClassOf
20. MK-NW-F-009 maturityClass
21. MK-ST-F-048 currencySymbol
22. MK-ST-F-039 on
23. MK-CF-O-002 expenses
24. MK-NW-F-114 rentAmount
25. MK-ST-F-010 nameEvidence
26. MK-NW-F-124 maturityParts
27. MK-CF-F-216 typed
28. MK-ST-F-047 activeCurrency
29. MK-CF-F-151 actualSpending
30. MK-CF-F-150 debtPaymentsCountedAsExpenses
31. MK-CF-F-153 radar
32. MK-CF-F-149 recurringDebtPayments
33. MK-ST-F-085 rentFigure
34. MK-XS-F-147 call
35. MK-CF-F-148 inMonth
36. MK-ST-F-052 toNum
37. MK-CF-F-191 ym
38. MK-CF-F-022 paymentShape
39. MK-CF-F-152 isRadarItem
40. MK-CF-F-023 requiredPayment
41. MK-ST-F-027 accountId
42. MK-XS-F-064 currentIdToken
43. MK-XS-F-112 relayUrl
44. MK-CF-F-021 defaultPaymentType</t>
        </is>
      </c>
      <c r="R259" s="3" t="inlineStr">
        <is>
          <t>1. MK-XS-F-122 n → MK-CF-F-155 cash → MK-NW-F-035 blendedVolatility
2. MK-CF-F-155 cash → MK-NW-F-120 classEvidenceOf → MK-NW-F-011 assetClassOf → MK-NW-F-030 earmarkDefault → MK-NW-F-032 earmarkedAmount → MK-NW-F-035 blendedVolatility
3. MK-NW-F-008 incomeBearingClassOf → MK-NW-F-120 classEvidenceOf → MK-NW-F-011 assetClassOf → MK-NW-F-030 earmarkDefault → MK-NW-F-032 earmarkedAmount → MK-NW-F-035 blendedVolatility
4. MK-NW-F-009 maturityClass → MK-NW-F-120 classEvidenceOf → MK-NW-F-011 assetClassOf → MK-NW-F-030 earmarkDefault → MK-NW-F-032 earmarkedAmount → MK-NW-F-035 blendedVolatility
5. MK-CF-F-132 map → MK-NW-F-134 carValueNotEnteredNotes → MK-NW-F-031 primaryCarIdOf → MK-NW-F-035 blendedVolatility
6. MK-ST-F-048 currencySymbol → MK-ST-F-049 formatMoney → MK-ST-F-053 money → MK-NW-F-134 carValueNotEnteredNotes → MK-NW-F-031 primaryCarIdOf → MK-NW-F-035 blendedVolatility
7. MK-XS-F-122 n → MK-ST-F-049 formatMoney → MK-ST-F-053 money → MK-NW-F-134 carValueNotEnteredNotes → MK-NW-F-031 primaryCarIdOf → MK-NW-F-035 blendedVolatility
8. MK-ST-F-039 on → MK-ST-F-049 formatMoney → MK-ST-F-053 money → MK-NW-F-134 carValueNotEnteredNotes → MK-NW-F-031 primaryCarIdOf → MK-NW-F-035 blendedVolatility
9. … and 5 more paths</t>
        </is>
      </c>
      <c r="S259" s="3" t="inlineStr">
        <is>
          <t>—</t>
        </is>
      </c>
      <c r="T259" s="3" t="inlineStr">
        <is>
          <t>EXPECTED_SWING_BLENDED</t>
        </is>
      </c>
      <c r="U259" s="3" t="inlineStr">
        <is>
          <t>ACTIVE</t>
        </is>
      </c>
      <c r="V259" s="3" t="inlineStr">
        <is>
          <t>2026-10-13</t>
        </is>
      </c>
      <c r="W259" s="3" t="n"/>
      <c r="X259" s="3" t="n"/>
      <c r="Y259" s="6" t="inlineStr">
        <is>
          <t>TESTED, NOT VERIFIED (G24)</t>
        </is>
      </c>
    </row>
    <row r="260" ht="60" customHeight="1">
      <c r="A260" s="3" t="inlineStr">
        <is>
          <t>MK-NW-F-036</t>
        </is>
      </c>
      <c r="B260" s="3" t="inlineStr">
        <is>
          <t>benchmarkInfo</t>
        </is>
      </c>
      <c r="C260" s="3" t="inlineStr">
        <is>
          <t>src/domain/assets/index.ts</t>
        </is>
      </c>
      <c r="D260" s="3" t="n">
        <v>2305</v>
      </c>
      <c r="E260" s="3" t="inlineStr">
        <is>
          <t>2 · DISPLAYED</t>
        </is>
      </c>
      <c r="F260" s="3" t="inlineStr">
        <is>
          <t>Benchmark return + its source/period for an asset kind.</t>
        </is>
      </c>
      <c r="G260"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edited (or !!meta.estimate when missing or zero)</t>
        </is>
      </c>
      <c r="H260"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edited (or !!meta.estimate — when missing or zero).</t>
        </is>
      </c>
      <c r="I260" s="3" t="inlineStr">
        <is>
          <t>PARTLY READ — some of the code is still showing through; needs a hand pass</t>
        </is>
      </c>
      <c r="J260" s="3" t="inlineStr">
        <is>
          <t>1. kind: string | undefined
2. overrides?: Record&lt;string, number&gt;</t>
        </is>
      </c>
      <c r="K260" s="3" t="inlineStr">
        <is>
          <t>NOT DECLARED — the code does not say what it gives back</t>
        </is>
      </c>
      <c r="L260" s="3" t="inlineStr">
        <is>
          <t>NOT FOUND — a screen calls it, but the words printed beside its answer could not be traced automatically. Needs reading.</t>
        </is>
      </c>
      <c r="M260" s="3" t="inlineStr">
        <is>
          <t>None found in this function — anything it assumes comes from the functions it depends on.</t>
        </is>
      </c>
      <c r="N260" s="3" t="inlineStr">
        <is>
          <t>Yes</t>
        </is>
      </c>
      <c r="O260" s="3" t="inlineStr">
        <is>
          <t>MK-NW-F-034 benchmarkReturn</t>
        </is>
      </c>
      <c r="P260" s="3" t="n">
        <v>17</v>
      </c>
      <c r="Q260" s="3" t="inlineStr">
        <is>
          <t>1. MK-NW-F-034 benchmarkReturn
2. MK-NW-F-007 assetKind
3. MK-NW-F-011 assetClassOf
4. MK-CF-F-155 cash
5. MK-NW-F-120 classEvidenceOf
6. MK-XS-F-122 n
7. MK-NW-F-008 incomeBearingClassOf
8. MK-NW-F-009 maturityClass
9. MK-ST-F-010 nameEvidence
10. MK-NW-F-124 maturityParts
11. MK-CF-F-216 typed
12. MK-XS-F-147 call
13. MK-ST-F-056 has
14. MK-CF-F-132 map
15. MK-ST-F-027 accountId
16. MK-XS-F-064 currentIdToken
17. MK-XS-F-112 relayUrl</t>
        </is>
      </c>
      <c r="R260" s="3" t="inlineStr">
        <is>
          <t>1. MK-CF-F-155 cash → MK-NW-F-120 classEvidenceOf → MK-NW-F-011 assetClassOf → MK-NW-F-007 assetKind → MK-NW-F-034 benchmarkReturn → MK-NW-F-036 benchmarkInfo
2. MK-NW-F-008 incomeBearingClassOf → MK-NW-F-120 classEvidenceOf → MK-NW-F-011 assetClassOf → MK-NW-F-007 assetKind → MK-NW-F-034 benchmarkReturn → MK-NW-F-036 benchmarkInfo
3. MK-NW-F-009 maturityClass → MK-NW-F-120 classEvidenceOf → MK-NW-F-011 assetClassOf → MK-NW-F-007 assetKind → MK-NW-F-034 benchmarkReturn → MK-NW-F-036 benchmarkInfo
4. MK-XS-F-122 n → MK-CF-F-155 cash → MK-NW-F-007 assetKind → MK-NW-F-034 benchmarkReturn → MK-NW-F-036 benchmarkInfo</t>
        </is>
      </c>
      <c r="S260" s="3" t="inlineStr">
        <is>
          <t>—</t>
        </is>
      </c>
      <c r="T260" s="3" t="inlineStr">
        <is>
          <t>—</t>
        </is>
      </c>
      <c r="U260" s="3" t="inlineStr">
        <is>
          <t>ACTIVE</t>
        </is>
      </c>
      <c r="V260" s="3" t="inlineStr">
        <is>
          <t>2026-10-13</t>
        </is>
      </c>
      <c r="W260" s="3" t="n"/>
      <c r="X260" s="3" t="n"/>
      <c r="Y260" s="3" t="inlineStr">
        <is>
          <t>NOTHING OPEN</t>
        </is>
      </c>
    </row>
    <row r="261" ht="60" customHeight="1">
      <c r="A261" s="3" t="inlineStr">
        <is>
          <t>MK-NW-F-037</t>
        </is>
      </c>
      <c r="B261" s="3" t="inlineStr">
        <is>
          <t>blendedReturn</t>
        </is>
      </c>
      <c r="C261" s="3" t="inlineStr">
        <is>
          <t>src/domain/assets/index.ts</t>
        </is>
      </c>
      <c r="D261" s="3" t="n">
        <v>2349</v>
      </c>
      <c r="E261" s="3" t="inlineStr">
        <is>
          <t>2 · DISPLAYED</t>
        </is>
      </c>
      <c r="F261" s="3" t="inlineStr">
        <is>
          <t>Blended expected return across the EARMARKED nest egg, weighted by each holding's share.</t>
        </is>
      </c>
      <c r="G261" s="11" t="inlineStr">
        <is>
          <t>car = primary car id of(accounts), home = primary home id of(accounts, rentals)
items = accounts (or none when missing)
total = Σ over items of (earmarked amount(each, car, home))
nothing   when total ≤ 0
weighted = Σ over items of (benchmark return(kind, overrides) × earmarked amount(each, car, home))
the answer = weighted ÷ total</t>
        </is>
      </c>
      <c r="H261" s="3" t="inlineStr">
        <is>
          <t>Car is primary car id of(accounts), home = primary home id of(accounts, rentals). Items is accounts (or none — when missing). Total: the earmarked amount(each, car, home) added up across items. When total is at most 0, it answers no answer. Weighted: the benchmark return(kind, overrides) times earmarked amount(each, car, home) added up across items. The answer is weighted divided by total.</t>
        </is>
      </c>
      <c r="I261" s="3" t="inlineStr">
        <is>
          <t>READ FROM THE CODE — rendered from the expressions the function runs</t>
        </is>
      </c>
      <c r="J261" s="3" t="inlineStr">
        <is>
          <t>1. accounts: AssetAccount[]
2. overrides?: Record&lt;string, number&gt;
3. rentals?: RentEntry[] | null</t>
        </is>
      </c>
      <c r="K261" s="3" t="inlineStr">
        <is>
          <t>number | null</t>
        </is>
      </c>
      <c r="L261" s="3" t="inlineStr">
        <is>
          <t>1. "Expected return" — on the Retirement cockpit screen, under "scRetired ?"
2. "Weighted average" — on the Retirement cockpit screen</t>
        </is>
      </c>
      <c r="M261" s="3" t="inlineStr">
        <is>
          <t>· Uses a built-in d e f a u l t r e t u r n of 7%.</t>
        </is>
      </c>
      <c r="N261" s="3" t="inlineStr">
        <is>
          <t>Yes</t>
        </is>
      </c>
      <c r="O261" s="3" t="inlineStr">
        <is>
          <t>1. MK-NW-F-034 benchmarkReturn
2. MK-NW-F-032 earmarkedAmount
3. MK-NW-F-031 primaryCarIdOf
4. MK-NW-F-110 primaryHomeIdOf</t>
        </is>
      </c>
      <c r="P261" s="3" t="n">
        <v>46</v>
      </c>
      <c r="Q261" s="3" t="inlineStr">
        <is>
          <t>1. MK-NW-F-034 benchmarkReturn
2. MK-NW-F-032 earmarkedAmount
3. MK-NW-F-031 primaryCarIdOf
4. MK-NW-F-110 primaryHomeIdOf
5. MK-NW-F-007 assetKind
6. MK-NW-F-030 earmarkDefault
7. MK-NW-F-134 carValueNotEnteredNotes
8. MK-NW-F-133 valueEntered
9. MK-NW-F-117 propertyUseMap
10. MK-NW-F-011 assetClassOf
11. MK-CF-F-155 cash
12. MK-CF-F-132 map
13. MK-ST-F-053 money
14. MK-NW-F-033 retirementEarmarkedValue
15. MK-ST-F-056 has
16. MK-NW-F-116 rentedIdsOf
17. MK-NW-F-120 classEvidenceOf
18. MK-XS-F-122 n
19. MK-ST-F-049 formatMoney
20. MK-NW-F-115 liveRent
21. MK-NW-F-008 incomeBearingClassOf
22. MK-NW-F-009 maturityClass
23. MK-ST-F-048 currencySymbol
24. MK-ST-F-039 on
25. MK-CF-O-002 expenses
26. MK-NW-F-114 rentAmount
27. MK-ST-F-010 nameEvidence
28. MK-NW-F-124 maturityParts
29. MK-CF-F-216 typed
30. MK-ST-F-047 activeCurrency
31. MK-CF-F-151 actualSpending
32. MK-CF-F-150 debtPaymentsCountedAsExpenses
33. MK-CF-F-153 radar
34. MK-CF-F-149 recurringDebtPayments
35. MK-ST-F-085 rentFigure
36. MK-XS-F-147 call
37. MK-CF-F-148 inMonth
38. MK-ST-F-052 toNum
39. MK-CF-F-191 ym
40. MK-CF-F-022 paymentShape
41. MK-CF-F-152 isRadarItem
42. MK-CF-F-023 requiredPayment
43. MK-ST-F-027 accountId
44. MK-XS-F-064 currentIdToken
45. MK-XS-F-112 relayUrl
46. MK-CF-F-021 defaultPaymentType</t>
        </is>
      </c>
      <c r="R261" s="3" t="inlineStr">
        <is>
          <t>1. MK-CF-F-155 cash → MK-NW-F-120 classEvidenceOf → MK-NW-F-011 assetClassOf → MK-NW-F-007 assetKind → MK-NW-F-034 benchmarkReturn → MK-NW-F-037 blendedReturn
2. MK-NW-F-008 incomeBearingClassOf → MK-NW-F-120 classEvidenceOf → MK-NW-F-011 assetClassOf → MK-NW-F-007 assetKind → MK-NW-F-034 benchmarkReturn → MK-NW-F-037 blendedReturn
3. MK-NW-F-009 maturityClass → MK-NW-F-120 classEvidenceOf → MK-NW-F-011 assetClassOf → MK-NW-F-007 assetKind → MK-NW-F-034 benchmarkReturn → MK-NW-F-037 blendedReturn
4. MK-XS-F-122 n → MK-CF-F-155 cash → MK-NW-F-007 assetKind → MK-NW-F-034 benchmarkReturn → MK-NW-F-037 blendedReturn
5. MK-CF-F-155 cash → MK-NW-F-120 classEvidenceOf → MK-NW-F-011 assetClassOf → MK-NW-F-030 earmarkDefault → MK-NW-F-032 earmarkedAmount → MK-NW-F-037 blendedReturn
6. MK-NW-F-008 incomeBearingClassOf → MK-NW-F-120 classEvidenceOf → MK-NW-F-011 assetClassOf → MK-NW-F-030 earmarkDefault → MK-NW-F-032 earmarkedAmount → MK-NW-F-037 blendedReturn
7. MK-NW-F-009 maturityClass → MK-NW-F-120 classEvidenceOf → MK-NW-F-011 assetClassOf → MK-NW-F-030 earmarkDefault → MK-NW-F-032 earmarkedAmount → MK-NW-F-037 blendedReturn
8. MK-CF-F-132 map → MK-NW-F-134 carValueNotEnteredNotes → MK-NW-F-031 primaryCarIdOf → MK-NW-F-037 blendedReturn
9. … and 5 more paths</t>
        </is>
      </c>
      <c r="S261" s="3" t="inlineStr">
        <is>
          <t>—</t>
        </is>
      </c>
      <c r="T261" s="3" t="inlineStr">
        <is>
          <t>EXPECTED_RETURN_BLENDED</t>
        </is>
      </c>
      <c r="U261" s="3" t="inlineStr">
        <is>
          <t>ACTIVE</t>
        </is>
      </c>
      <c r="V261" s="3" t="inlineStr">
        <is>
          <t>2026-10-13</t>
        </is>
      </c>
      <c r="W261" s="3" t="n"/>
      <c r="X261" s="3" t="n"/>
      <c r="Y261" s="6" t="inlineStr">
        <is>
          <t>TESTED, NOT VERIFIED (G24)</t>
        </is>
      </c>
    </row>
    <row r="262" ht="60" customHeight="1">
      <c r="A262" s="3" t="inlineStr">
        <is>
          <t>MK-NW-F-039</t>
        </is>
      </c>
      <c r="B262" s="3" t="inlineStr">
        <is>
          <t>buildAssetsState</t>
        </is>
      </c>
      <c r="C262" s="3" t="inlineStr">
        <is>
          <t>src/domain/assets/index.ts</t>
        </is>
      </c>
      <c r="D262" s="3" t="n">
        <v>2397</v>
      </c>
      <c r="E262" s="3" t="inlineStr">
        <is>
          <t>2 · DISPLAYED</t>
        </is>
      </c>
      <c r="F262" s="3" t="inlineStr">
        <is>
          <t>How much of everything sits in each account, and what return do they blend to?</t>
        </is>
      </c>
      <c r="G262" s="11" t="inlineStr">
        <is>
          <t>total asset value      = round(Σ over every account of (balance), 2 dp)
share of portfolio (a) = round(balance of a ÷ total × 100, 2 dp)
average target return  = round(Σ(target return × balance) ÷ total, 4 dp)</t>
        </is>
      </c>
      <c r="H262"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62" s="3" t="inlineStr">
        <is>
          <t>READ BY HAND 2026-08-26 — checked line by line against the code</t>
        </is>
      </c>
      <c r="J262" s="3" t="inlineStr">
        <is>
          <t>1. uid: UserId
2. accounts: AssetAccount[]</t>
        </is>
      </c>
      <c r="K262" s="3" t="inlineStr">
        <is>
          <t>AssetsState</t>
        </is>
      </c>
      <c r="L262" s="3" t="inlineStr">
        <is>
          <t>NOT FOUND — a screen calls it, but the words printed beside its answer could not be traced automatically. Needs reading.</t>
        </is>
      </c>
      <c r="M262" s="3" t="inlineStr">
        <is>
          <t>None found in this function — anything it assumes comes from the functions it depends on.</t>
        </is>
      </c>
      <c r="N262" s="3" t="inlineStr">
        <is>
          <t>Yes</t>
        </is>
      </c>
      <c r="O262" s="3" t="inlineStr">
        <is>
          <t>1. MK-CF-F-132 map
2. MK-XS-F-175 uid</t>
        </is>
      </c>
      <c r="P262" s="3" t="n">
        <v>206</v>
      </c>
      <c r="Q262" s="3" t="inlineStr">
        <is>
          <t>1. MK-CF-F-132 map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262"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62" s="3" t="inlineStr">
        <is>
          <t>—</t>
        </is>
      </c>
      <c r="T262" s="3" t="inlineStr">
        <is>
          <t>ACCOUNT_SHARE_OF_TOTAL</t>
        </is>
      </c>
      <c r="U262" s="3" t="inlineStr">
        <is>
          <t>ACTIVE</t>
        </is>
      </c>
      <c r="V262" s="3" t="inlineStr">
        <is>
          <t>2026-08-27</t>
        </is>
      </c>
      <c r="W262" s="3" t="n"/>
      <c r="X262" s="3" t="n"/>
      <c r="Y262" s="3" t="inlineStr">
        <is>
          <t>NOTHING OPEN</t>
        </is>
      </c>
    </row>
    <row r="263" ht="60" customHeight="1">
      <c r="A263" s="3" t="inlineStr">
        <is>
          <t>MK-NW-F-040</t>
        </is>
      </c>
      <c r="B263" s="3" t="inlineStr">
        <is>
          <t>assetsFromOnboarding</t>
        </is>
      </c>
      <c r="C263" s="3" t="inlineStr">
        <is>
          <t>src/domain/assets/index.ts</t>
        </is>
      </c>
      <c r="D263" s="3" t="n">
        <v>2454</v>
      </c>
      <c r="E263" s="3" t="inlineStr">
        <is>
          <t>3 · DEPENDENT</t>
        </is>
      </c>
      <c r="F263" s="3" t="inlineStr">
        <is>
          <t>Build asset accounts from onboarding answers (accumulation: retirement savings + holdings).</t>
        </is>
      </c>
      <c r="G263" s="11" t="inlineStr">
        <is>
          <t>a = op (or none when missing)
accounts = []
bal = raw read as a number (0 when it is not one)
sp = current savings portfolio
the answer:
user id = uid
accounts = accounts</t>
        </is>
      </c>
      <c r="H263" s="3" t="inlineStr">
        <is>
          <t>A is op (or none — when missing). Accounts is []. Bal is raw read as a number (0 — when it is one is missing). Sp is current savings portfolio. The answer is user id = uid; accounts = accounts.</t>
        </is>
      </c>
      <c r="I263" s="3" t="inlineStr">
        <is>
          <t>READ FROM THE CODE — rendered from the expressions the function runs</t>
        </is>
      </c>
      <c r="J263" s="3" t="inlineStr">
        <is>
          <t>1. uid: UserId
2. op: Record&lt;string, any&gt; | null</t>
        </is>
      </c>
      <c r="K263" s="3" t="inlineStr">
        <is>
          <t>AssetsDoc</t>
        </is>
      </c>
      <c r="L263" s="3" t="inlineStr">
        <is>
          <t>—</t>
        </is>
      </c>
      <c r="M263" s="3" t="inlineStr">
        <is>
          <t>None found in this function — anything it assumes comes from the functions it depends on.</t>
        </is>
      </c>
      <c r="N263" s="3" t="inlineStr">
        <is>
          <t>Yes</t>
        </is>
      </c>
      <c r="O263" s="3" t="inlineStr">
        <is>
          <t>1. MK-ST-F-043 newEntityId
2. MK-ST-F-052 toNum
3. MK-XS-F-175 uid</t>
        </is>
      </c>
      <c r="P263" s="3" t="n">
        <v>205</v>
      </c>
      <c r="Q263" s="3" t="inlineStr">
        <is>
          <t>1. MK-ST-F-043 newEntityId
2. MK-ST-F-052 toNum
3. MK-XS-F-175 uid
4. MK-XS-F-122 n
5. MK-ST-F-027 accountId
6. MK-CF-F-111 applyTransaction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MK-CF-F-218 moveOldRentFigure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MK-ST-F-053 money
38. MK-CF-F-085 filingStatusOf
39. MK-CF-F-097 grossFromNet
40. MK-CF-F-185 needsTakeHomeConversion
41. MK-CF-F-089 over65CountOf
42. MK-CF-F-037 inferDebtType
43. MK-CF-F-217 hasOldRentFigure
44. MK-CF-F-216 typed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MK-CF-F-155 cash
68. MK-NW-F-016 cashTotal
69. MK-CF-F-010 emergencyTest
70. MK-CF-F-190 essentialsMonthly
71. MK-CF-O-004 incomeSummary
72. MK-CF-F-009 monthlyEssentials
73. MK-CF-F-022 paymentShape
74. MK-CF-F-002 plannedMonthlySpend
75. MK-NW-F-117 propertyUseMap
76. MK-ST-F-085 rentFigure
77. MK-CF-O-020 theBudgetCounted
78. MK-CF-F-113 affectedAccountIds
79. MK-CF-F-134 usesSleeve
80. MK-ST-F-049 formatMoney
81. MK-CF-F-101 taxOwedFor
82. MK-ST-F-067 utcOfDay
83. MK-ST-F-035 covers
84. MK-NW-F-120 classEvidenceOf
85. MK-NW-F-008 incomeBearingClassOf
86. MK-PF-F-031 contractMultiplier
87. MK-PF-F-035 unknownFigure
88. MK-CF-F-072 currentRetirementIncomeMonthly
89. MK-NW-F-027 accountClassBreakdown
90. MK-NW-F-029 assetAllocation
91. MK-NW-F-011 assetClassOf
92. MK-CF-F-189 essentialsFromLoggedSpending
93. MK-CF-O-002 expenses
94. MK-CF-F-203 MONTH
95. MK-CF-O-001 basePay
96. MK-CF-F-069 benefitActiveMonths
97. MK-CF-F-173 earnerWages
98. MK-CF-F-179 entryFromWage
99. MK-CF-F-071 extraIncome
100. MK-CF-F-092 incomeMonthlyGrid
101. MK-CF-F-192 inflowLabel
102. MK-CF-F-103 marginalBracketFor
103. MK-CF-F-181 rateInForce
104. MK-CF-F-068 rentalNetAnnual
105. MK-CF-F-082 salaryAnnual
106. MK-CF-F-060 salaryGrossByMonth
107. MK-CF-F-084 taxableAnnual
108. MK-CF-F-120 pctBaseMonthly
109. MK-CF-F-004 spendBuckets
110. MK-CF-F-021 defaultPaymentType
111. MK-XS-F-027 takeHomeMonthly
112. MK-NW-F-116 rentedIdsOf
113. MK-NW-F-106 mortgagesByProperty
114. MK-NW-F-107 propertyUses
115. MK-ST-F-048 currencySymbol
116. MK-CF-F-100 taxableIncomeFor
117. MK-ST-F-034 firstDate
118. MK-NW-F-009 maturityClass
119. MK-ST-F-010 nameEvidence
120. MK-CF-F-075 retirementIncomeMonthly
121. MK-NW-F-109 holdingClassOf
122. MK-NW-F-067 plural
123. MK-CF-F-151 actualSpending
124. MK-CF-F-150 debtPaymentsCountedAsExpenses
125. MK-CF-F-153 radar
126. MK-CF-F-149 recurringDebtPayments
127. MK-CF-O-010 theMonth
128. MK-CF-F-171 earnerPay
129. MK-CF-F-204 line
130. MK-HM-F-006 money0
131. MK-CF-F-198 payrollTaxWithheld
132. MK-CF-F-172 hasWage
133. MK-CF-F-165 salaryMonths
134. MK-CF-F-070 benefitAnnual
135. MK-CF-F-065 equityVestWeights
136. MK-CF-F-206 householdK401ByMonth
137. MK-CF-F-087 monthlyTaxRates
138. MK-CF-F-073 otherIncomeMonth
139. MK-CF-F-066 rsuAnnual
140. MK-CF-F-077 scholarshipByCalendarMonth
141. MK-CF-F-088 taxableByCalendarMonth
142. MK-CF-F-177 wageGrossByMonth
143. MK-PL-F-012 waterfall
144. MK-CF-F-193 inflowSourceWord
145. MK-CF-F-180 enteredLandsAnnual
146. MK-CF-F-086 stateRateOf
147. MK-CF-F-067 rentalList
148. MK-CF-F-176 sumMonthsOverEarners
149. MK-CF-F-074 tipsAnnual
150. MK-CF-F-003 categoryMonthly
151. MK-CF-F-011 savingsByMonth
152. MK-NW-F-115 liveRent
153. MK-CF-F-023 requiredPayment
154. MK-ST-F-047 activeCurrency
155. MK-CF-F-099 deductionFor
156. MK-NW-F-124 maturityParts
157. MK-XS-F-147 call
158. MK-CF-F-148 inMonth
159. MK-CF-F-152 isRadarItem
160. MK-CF-O-003 thisMonth
161. MK-CF-F-143 annualisedGross
162. MK-CF-F-145 deductionsFromPay
163. MK-CF-F-128 grossByMonth
164. MK-CF-F-146 payFiguresAgree
165. MK-CF-F-144 takeHomeAsEntered
166. MK-XS-F-180 declareFigures
167. MK-HM-F-005 pctTxt
168. MK-CF-F-062 equityRowValue
169. MK-CF-F-090 effectiveRate
170. MK-CF-F-063 rowVestYear
171. MK-CF-F-130 enteredMonthlyRaw
172. MK-CF-F-166 hasMonthlySalaryTable
173. MK-ST-F-036 reconcile
174. MK-CF-F-167 salaryCalendarYear
175. MK-CF-F-081 salaryActiveMonths
176. MK-CF-F-008 spendByMonth
177. MK-NW-F-114 rentAmount
178. MK-CF-F-187 seniorDeductionFor
179. MK-XS-F-064 currentIdToken
180. MK-XS-F-112 relayUrl
181. MK-CF-F-005 actualMonthFlow
182. MK-CF-F-156 plannedMonthFlow
183. MK-CF-F-142 monthsOf
184. MK-CF-F-141 perMonth
185. MK-NW-F-078 ONE
186. MK-CF-F-157 debtPaymentsByDebt
187. MK-CF-F-140 periodsAYear
188. MK-NW-F-077 ALL
189. MK-NW-F-059 currentYield
190. MK-NW-O-001 theBonds
191. MK-NW-F-112 yearlyInterest
192. MK-NW-F-057 annualCoupon
193. MK-NW-F-056 bondInfo
194. MK-NW-F-064 bondRateSensitivity
195. MK-NW-F-061 bondSummary
196. MK-NW-F-055 isBond
197. MK-NW-F-072 rowOf
198. MK-NW-F-060 approxYTM
199. MK-NW-F-069 priceAtYield
200. MK-NW-F-131 pricedLikeBond
201. MK-NW-F-125 isPastMaturity
202. MK-NW-F-126 yearlyInterestNow
203. MK-NW-F-070 accruedInterestCaveat
204. MK-NW-F-058 yearsToMaturity
205. MK-NW-F-119 estimatedAccrued</t>
        </is>
      </c>
      <c r="R263"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3" s="3" t="inlineStr">
        <is>
          <t>—</t>
        </is>
      </c>
      <c r="T263" s="3" t="inlineStr">
        <is>
          <t>ACCOUNTS_FROM_SETUP</t>
        </is>
      </c>
      <c r="U263" s="3" t="inlineStr">
        <is>
          <t>ACTIVE</t>
        </is>
      </c>
      <c r="V263" s="3" t="inlineStr">
        <is>
          <t>2026-10-10</t>
        </is>
      </c>
      <c r="W263" s="3" t="n"/>
      <c r="X263" s="3" t="n"/>
      <c r="Y263" s="3" t="inlineStr">
        <is>
          <t>NOTHING OPEN</t>
        </is>
      </c>
    </row>
    <row r="264" ht="60" customHeight="1">
      <c r="A264" s="3" t="inlineStr">
        <is>
          <t>MK-NW-F-041</t>
        </is>
      </c>
      <c r="B264" s="3" t="inlineStr">
        <is>
          <t>monthlyContributionsFromOnboarding</t>
        </is>
      </c>
      <c r="C264" s="3" t="inlineStr">
        <is>
          <t>src/domain/assets/index.ts</t>
        </is>
      </c>
      <c r="D264" s="3" t="n">
        <v>2531</v>
      </c>
      <c r="E264" s="3" t="inlineStr">
        <is>
          <t>2 · DISPLAYED</t>
        </is>
      </c>
      <c r="F264" s="3" t="inlineStr">
        <is>
          <t>Total monthly contributions across types + employer match (feeds the retirement projection).</t>
        </is>
      </c>
      <c r="G264" s="11" t="inlineStr">
        <is>
          <t>a = op (or none when missing)
nothing   when !['c_401k', 'c_roth', 'c_invest', 'employerMatchValue'].some((k) =&gt; string(a[k] ?? '').trim() ! = '')
age = age attained in year(to num(birth year) or nothing)
k401 = min(c 401k read as a number (0 when it is not one), annual401k limit(age) ÷ 12)
match = (k401 × to num(employer match value)) ÷ 100   if employer match mode = 'pct'
employer match monthly(op)   otherwise
the answer = k401 + to num(c roth) + to num(c invest) + match</t>
        </is>
      </c>
      <c r="H264" s="3" t="inlineStr">
        <is>
          <t>A is op (or none — when missing). When !['c_401k', 'c_roth', 'c_invest', 'employerMatchValue'].some((k) =&gt; string(a[k] ?? '').trim() ! = ''), it answers no answer. Age is age attained in year(to num(birth year) or no answer). K401: the smaller of c 401k read as a number (0 — when it is one is missing) and annual401k limit(age divided by 12). Match is (k401 times to num(employer match value)) divided by 100 — when employer match mode = 'pct'; employer match monthly(op) — otherwise. The answer is k401 plus to num(c roth) plus to num(c invest) plus match.</t>
        </is>
      </c>
      <c r="I264" s="3" t="inlineStr">
        <is>
          <t>PARTLY READ — some of the code is still showing through; needs a hand pass</t>
        </is>
      </c>
      <c r="J264" s="3" t="inlineStr">
        <is>
          <t>op: Record&lt;string, any&gt; | null</t>
        </is>
      </c>
      <c r="K264" s="3" t="inlineStr">
        <is>
          <t>number | null</t>
        </is>
      </c>
      <c r="L264" s="3" t="inlineStr">
        <is>
          <t>NOT FOUND — a screen calls it, but the words printed beside its answer could not be traced automatically. Needs reading.</t>
        </is>
      </c>
      <c r="M264" s="3" t="inlineStr">
        <is>
          <t>None found in this function — anything it assumes comes from the functions it depends on.</t>
        </is>
      </c>
      <c r="N264" s="3" t="inlineStr">
        <is>
          <t>Yes</t>
        </is>
      </c>
      <c r="O264" s="3" t="inlineStr">
        <is>
          <t>1. MK-CF-F-197 ageAttainedInYear
2. MK-CF-F-053 annual401kLimit
3. MK-CF-F-078 employerMatchMonthly
4. MK-ST-F-053 money
5. MK-ST-F-052 toNum</t>
        </is>
      </c>
      <c r="P264" s="3" t="n">
        <v>15</v>
      </c>
      <c r="Q264" s="3" t="inlineStr">
        <is>
          <t>1. MK-CF-F-197 ageAttainedInYear
2. MK-CF-F-053 annual401kLimit
3. MK-CF-F-078 employerMatchMonthly
4. MK-ST-F-053 money
5. MK-ST-F-052 toNum
6. MK-CF-F-175 sumOverEarners
7. MK-CF-F-178 wageMatchMonthly
8. MK-ST-F-049 formatMoney
9. MK-XS-F-122 n
10. MK-CF-F-173 earnerWages
11. MK-ST-F-048 currencySymbol
12. MK-ST-F-039 on
13. MK-CF-F-172 hasWage
14. MK-ST-F-047 activeCurrency
15. MK-ST-F-056 has</t>
        </is>
      </c>
      <c r="R264" s="3" t="inlineStr">
        <is>
          <t>1. MK-CF-F-197 ageAttainedInYear → MK-NW-F-041 monthlyContributionsFromOnboarding
2. MK-CF-F-053 annual401kLimit → MK-NW-F-041 monthlyContributionsFromOnboarding
3. MK-ST-F-056 has → MK-CF-F-172 hasWage → MK-CF-F-173 earnerWages → MK-CF-F-175 sumOverEarners → MK-CF-F-078 employerMatchMonthly → MK-NW-F-041 monthlyContributionsFromOnboarding
4. MK-XS-F-122 n → MK-ST-F-052 toNum → MK-CF-F-178 wageMatchMonthly → MK-CF-F-078 employerMatchMonthly → MK-NW-F-041 monthlyContributionsFromOnboarding
5. MK-ST-F-047 activeCurrency → MK-ST-F-048 currencySymbol → MK-ST-F-049 formatMoney → MK-ST-F-053 money → MK-NW-F-041 monthlyContributionsFromOnboarding
6. MK-XS-F-122 n → MK-ST-F-049 formatMoney → MK-ST-F-053 money → MK-NW-F-041 monthlyContributionsFromOnboarding
7. MK-ST-F-039 on → MK-ST-F-049 formatMoney → MK-ST-F-053 money → MK-NW-F-041 monthlyContributionsFromOnboarding
8. MK-XS-F-122 n → MK-ST-F-053 money → MK-NW-F-041 monthlyContributionsFromOnboarding
9. … and 1 more paths</t>
        </is>
      </c>
      <c r="S264" s="3" t="inlineStr">
        <is>
          <t>—</t>
        </is>
      </c>
      <c r="T264" s="3" t="inlineStr">
        <is>
          <t>MONTHLY_SAVING</t>
        </is>
      </c>
      <c r="U264" s="3" t="inlineStr">
        <is>
          <t>ACTIVE</t>
        </is>
      </c>
      <c r="V264" s="3" t="inlineStr">
        <is>
          <t>2026-10-07</t>
        </is>
      </c>
      <c r="W264" s="3" t="n"/>
      <c r="X264" s="3" t="n"/>
      <c r="Y264" s="3" t="inlineStr">
        <is>
          <t>NOTHING OPEN</t>
        </is>
      </c>
    </row>
    <row r="265" ht="60" customHeight="1">
      <c r="A265" s="3" t="inlineStr">
        <is>
          <t>MK-NW-F-045</t>
        </is>
      </c>
      <c r="B265" s="3" t="inlineStr">
        <is>
          <t>sourceWording</t>
        </is>
      </c>
      <c r="C265" s="3" t="inlineStr">
        <is>
          <t>src/domain/assets/index.ts</t>
        </is>
      </c>
      <c r="D265" s="3" t="n">
        <v>2588</v>
      </c>
      <c r="E265" s="3" t="inlineStr">
        <is>
          <t>2 · DISPLAYED</t>
        </is>
      </c>
      <c r="F265" s="3" t="inlineStr">
        <is>
          <t>The words saying where an account's numbers come from, which are Linked, Imported or By hand, with a date added only when the numbers are stale.</t>
        </is>
      </c>
      <c r="G265"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65"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65" s="3" t="inlineStr">
        <is>
          <t>PARTLY READ — some of the code is still showing through; needs a hand pass</t>
        </is>
      </c>
      <c r="J265" s="3" t="inlineStr">
        <is>
          <t>1. a: AssetAccount
2. now: number = Date.now()</t>
        </is>
      </c>
      <c r="K265" s="3" t="inlineStr">
        <is>
          <t>string</t>
        </is>
      </c>
      <c r="L265" s="3" t="inlineStr">
        <is>
          <t>NOT FOUND — a screen calls it, but the words printed beside its answer could not be traced automatically. Needs reading.</t>
        </is>
      </c>
      <c r="M265" s="3" t="inlineStr">
        <is>
          <t>· Uses today's date from the device clock, so the answer changes by itself overnight.</t>
        </is>
      </c>
      <c r="N265" s="3" t="inlineStr">
        <is>
          <t>Yes</t>
        </is>
      </c>
      <c r="O265" s="3" t="inlineStr">
        <is>
          <t>1. MK-ST-F-076 ageLabel
2. MK-ST-F-077 isStale</t>
        </is>
      </c>
      <c r="P265" s="3" t="n">
        <v>3</v>
      </c>
      <c r="Q265" s="3" t="inlineStr">
        <is>
          <t>1. MK-ST-F-076 ageLabel
2. MK-ST-F-077 isStale
3. MK-XS-F-170 daysSince</t>
        </is>
      </c>
      <c r="R265" s="3" t="inlineStr">
        <is>
          <t>1. MK-XS-F-170 daysSince → MK-ST-F-076 ageLabel → MK-NW-F-045 sourceWording
2. MK-XS-F-170 daysSince → MK-ST-F-077 isStale → MK-NW-F-045 sourceWording</t>
        </is>
      </c>
      <c r="S265" s="3" t="inlineStr">
        <is>
          <t>—</t>
        </is>
      </c>
      <c r="T265" s="3" t="inlineStr">
        <is>
          <t>WHERE_THE_VALUE_CAME_FROM</t>
        </is>
      </c>
      <c r="U265" s="3" t="inlineStr">
        <is>
          <t>ACTIVE</t>
        </is>
      </c>
      <c r="V265" s="3" t="inlineStr">
        <is>
          <t>2026-10-01</t>
        </is>
      </c>
      <c r="W265" s="3" t="n"/>
      <c r="X265" s="3" t="n"/>
      <c r="Y265" s="3" t="inlineStr">
        <is>
          <t>NOTHING OPEN</t>
        </is>
      </c>
    </row>
    <row r="266" ht="60" customHeight="1">
      <c r="A266" s="3" t="inlineStr">
        <is>
          <t>MK-NW-F-046</t>
        </is>
      </c>
      <c r="B266" s="3" t="inlineStr">
        <is>
          <t>historyCoverage</t>
        </is>
      </c>
      <c r="C266" s="3" t="inlineStr">
        <is>
          <t>src/domain/assets/index.ts</t>
        </is>
      </c>
      <c r="D266" s="3" t="n">
        <v>2664</v>
      </c>
      <c r="E266" s="3" t="inlineStr">
        <is>
          <t>2 · DISPLAYED</t>
        </is>
      </c>
      <c r="F266" s="3" t="inlineStr">
        <is>
          <t>Says how far back one account's activity records reach, set against the period being asked about, in a sentence a person can read.</t>
        </is>
      </c>
      <c r="G266" s="11" t="inlineStr">
        <is>
          <t>who = (institution or label or 'this account').trim()
stated = history start override (or history from when missing)
from = the first 10 of string(stated).trim()   if stated
nothing   otherwise
the answer:
kind = 'unreadable'
from = nothing
months covered = nothing
sentence = HISTORY_START_UNREADABLE
nothing   when the first 10 of from ≤ window start
whole = (now.get full year() − fy) × 12 + (now.get month() + 1 − fm) − (now.get date() &lt; fd ? 1 : 0)
days in month = the date now.get full year(), now.get month() + (now.get date() &lt; fd ? 0 : 1), 0).get date(
part = ((now.get date() − fd + (now.get date() &lt; fd ? days in month : 0)) % days in month) ÷ days in month
months = max(0, round down((whole + part) × 10 + 1e − 9) ÷ 10)
whole months = max(0, whole)
yrs = round down(whole months ÷ 12), rem = whole months % 12
… the first steps only — the rest of the body needs reading by hand.</t>
        </is>
      </c>
      <c r="H266" s="3" t="inlineStr">
        <is>
          <t>Who is (institution or label or 'this account').trim(). Stated is history start override (or history from — when missing). From: the first 10 of string(stated).trim() — when stated; no answer — otherwise. The answer is kind = 'unreadable'; from is missing; months covered is missing; sentence = HISTORY_START_UNREADABLE. When the first 10 of from is at most window start, it answers no answer. Whole is (now.get full year() minus fy) times 12 plus (now.get month() plus 1 minus fm) minus (now.get date() &lt; fd ? 1 : 0). Days in month: the date now.get full year(), now.get month() plus (now.get date() &lt; fd ? 0 : 1), 0).get date(. Part is ((now.get date() minus fd plus (now.get date() &lt; fd ? days in month : 0)) % days in month) divided by days in month. Months is (whole plus part, rounded down times 10 plus 1e minus 9, never below zero divided by 10). Whole months is whole, never below zero. Yrs is whole months divided by 12, rounded down, rem = whole months % 12. Only the first steps are shown; the rest of the body needs reading by hand.</t>
        </is>
      </c>
      <c r="I266" s="3" t="inlineStr">
        <is>
          <t>PARTLY READ — some of the code is still showing through; needs a hand pass</t>
        </is>
      </c>
      <c r="J266" s="3" t="inlineStr">
        <is>
          <t>Nothing is handed to it</t>
        </is>
      </c>
      <c r="K266" s="3" t="inlineStr">
        <is>
          <t>NOT DECLARED — the code does not say what it gives back</t>
        </is>
      </c>
      <c r="L266" s="3" t="inlineStr">
        <is>
          <t>NOT FOUND — a screen calls it, but the words printed beside its answer could not be traced automatically. Needs reading.</t>
        </is>
      </c>
      <c r="M266" s="3" t="inlineStr">
        <is>
          <t>1. Turns a monthly figure into a year by multiplying by twelve.
2. Uses today's date from the device clock, so the answer changes by itself overnight.
3. Never lets whole fall below 0.</t>
        </is>
      </c>
      <c r="N266" s="3" t="inlineStr">
        <is>
          <t>Yes</t>
        </is>
      </c>
      <c r="O266" s="3" t="inlineStr">
        <is>
          <t>1. MK-CF-F-203 MONTH
2. MK-ST-F-065 isoLocalDate
3. MK-CF-F-132 map
4. MK-NW-F-067 plural
5. MK-NW-F-068 prettyDay</t>
        </is>
      </c>
      <c r="P266" s="3" t="n">
        <v>112</v>
      </c>
      <c r="Q266" s="3" t="inlineStr">
        <is>
          <t>1. MK-CF-F-203 MONTH
2. MK-ST-F-065 isoLocalDate
3. MK-CF-F-132 map
4. MK-NW-F-067 plural
5. MK-NW-F-068 prettyDay
6. MK-CF-O-010 theMonth
7. MK-XS-F-122 n
8. MK-CF-F-155 cash
9. MK-CF-O-002 expenses
10. MK-CF-O-003 thisMonth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MK-XS-F-180 declareFigures
32. MK-ST-F-049 formatMoney
33. MK-ST-F-053 money
34. MK-NW-O-001 theBonds
35. MK-CF-F-193 inflowSourceWord
36. MK-CF-F-092 incomeMonthlyGrid
37. MK-CF-F-011 savingsByMonth
38. MK-NW-F-112 yearlyInterest
39. MK-ST-F-048 currencySymbol
40. MK-ST-F-039 on
41. MK-ST-F-027 accountId
42. MK-NW-F-057 annualCoupon
43. MK-NW-F-056 bondInfo
44. MK-NW-F-064 bondRateSensitivity
45. MK-NW-F-061 bondSummary
46. MK-NW-F-055 isBond
47. MK-NW-F-124 maturityParts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MK-NW-F-131 pricedLikeBond
70. MK-NW-F-125 isPastMaturity
71. MK-NW-F-126 yearlyInterestNow
72. MK-NW-F-011 assetClassOf
73. MK-NW-F-009 maturityClass
74. MK-CF-F-216 typed
75. MK-NW-F-070 accruedInterestCaveat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MK-NW-F-119 estimatedAccrued
99. MK-NW-F-120 classEvidenceOf
100. MK-CF-F-100 taxableIncomeFor
101. MK-CF-F-074 tipsAnnual
102. MK-ST-F-085 rentFigure
103. MK-CF-F-165 salaryMonths
104. MK-CF-F-003 categoryMonthly
105. MK-NW-F-008 incomeBearingClassOf
106. MK-CF-F-099 deductionFor
107. MK-CF-F-081 salaryActiveMonths
108. MK-ST-F-010 nameEvidence
109. MK-CF-F-187 seniorDeductionFor
110. MK-XS-F-147 call
111. MK-XS-F-064 currentIdToken
112. MK-XS-F-112 relayUrl</t>
        </is>
      </c>
      <c r="R266" s="3" t="inlineStr">
        <is>
          <t>1. MONTH (already above — a loop) → MK-CF-O-010 theMonth → MK-CF-F-203 MONTH → MK-NW-F-046 historyCoverage
2. MK-XS-F-122 n → MK-CF-F-155 cash → MK-CF-O-010 theMonth → MK-CF-F-203 MONTH → MK-NW-F-046 historyCoverage
3. MK-CF-F-148 inMonth → MK-CF-F-151 actualSpending → MK-CF-O-002 expenses → MK-CF-O-010 theMonth → MK-CF-F-203 MONTH → MK-NW-F-046 historyCoverage
4. MK-ST-F-052 toNum → MK-CF-F-151 actualSpending → MK-CF-O-002 expenses → MK-CF-O-010 theMonth → MK-CF-F-203 MONTH → MK-NW-F-046 historyCoverage
5. MK-CF-F-191 ym → MK-CF-F-151 actualSpending → MK-CF-O-002 expenses → MK-CF-O-010 theMonth → MK-CF-F-203 MONTH → MK-NW-F-046 historyCoverage
6. MK-ST-F-056 has → MK-CF-F-150 debtPaymentsCountedAsExpenses → MK-CF-O-002 expenses → MK-CF-O-010 theMonth → MK-CF-F-203 MONTH → MK-NW-F-046 historyCoverage
7. MK-CF-F-148 inMonth → MK-CF-F-150 debtPaymentsCountedAsExpenses → MK-CF-O-002 expenses → MK-CF-O-010 theMonth → MK-CF-F-203 MONTH → MK-NW-F-046 historyCoverage
8. MK-CF-F-022 paymentShape → MK-CF-F-150 debtPaymentsCountedAsExpenses → MK-CF-O-002 expenses → MK-CF-O-010 theMonth → MK-CF-F-203 MONTH → MK-NW-F-046 historyCoverage
9. … and 5 more paths</t>
        </is>
      </c>
      <c r="S266" s="3" t="inlineStr">
        <is>
          <t>—</t>
        </is>
      </c>
      <c r="T266" s="3" t="inlineStr">
        <is>
          <t>—</t>
        </is>
      </c>
      <c r="U266" s="3" t="inlineStr">
        <is>
          <t>ACTIVE</t>
        </is>
      </c>
      <c r="V266" s="3" t="inlineStr">
        <is>
          <t>2026-10-10</t>
        </is>
      </c>
      <c r="W266" s="3" t="n"/>
      <c r="X266" s="3" t="n"/>
      <c r="Y266" s="3" t="inlineStr">
        <is>
          <t>NOTHING OPEN</t>
        </is>
      </c>
    </row>
    <row r="267" ht="45" customHeight="1">
      <c r="A267" s="3" t="inlineStr">
        <is>
          <t>MK-NW-F-047</t>
        </is>
      </c>
      <c r="B267" s="3" t="inlineStr">
        <is>
          <t>uberGroupOf</t>
        </is>
      </c>
      <c r="C267" s="3" t="inlineStr">
        <is>
          <t>src/domain/assets/index.ts</t>
        </is>
      </c>
      <c r="D267" s="3" t="n">
        <v>2778</v>
      </c>
      <c r="E267" s="3" t="inlineStr">
        <is>
          <t>1 · ACTION</t>
        </is>
      </c>
      <c r="F267" s="3" t="inlineStr">
        <is>
          <t>Which of the three Net worth groups an asset class belongs to: Cash, Investments or Personal property.</t>
        </is>
      </c>
      <c r="G267" s="11" t="inlineStr">
        <is>
          <t>CLASS_UBER[cls] (or 'investments' when missing)</t>
        </is>
      </c>
      <c r="H267" s="3" t="inlineStr">
        <is>
          <t>CLASS_UBER[cls] (or 'investments' — when missing)</t>
        </is>
      </c>
      <c r="I267" s="3" t="inlineStr">
        <is>
          <t>READ FROM THE CODE — rendered from the expressions the function runs</t>
        </is>
      </c>
      <c r="J267" s="3" t="inlineStr">
        <is>
          <t>cls: AssetClass</t>
        </is>
      </c>
      <c r="K267" s="3" t="inlineStr">
        <is>
          <t>UberGroup</t>
        </is>
      </c>
      <c r="L267" s="3" t="inlineStr">
        <is>
          <t>"Nothing entered yet." — on the Net worth screen, under "DEBTS"</t>
        </is>
      </c>
      <c r="M267" s="3" t="inlineStr">
        <is>
          <t>None found in this function — anything it assumes comes from the functions it depends on.</t>
        </is>
      </c>
      <c r="N267" s="3" t="inlineStr">
        <is>
          <t>Yes</t>
        </is>
      </c>
      <c r="O267" s="3" t="inlineStr">
        <is>
          <t>—</t>
        </is>
      </c>
      <c r="P267" s="3" t="n">
        <v>0</v>
      </c>
      <c r="Q267" s="3" t="inlineStr">
        <is>
          <t>None — no dependent function stands behind it</t>
        </is>
      </c>
      <c r="R267" s="3" t="inlineStr">
        <is>
          <t>No dependent function — it reads its inputs and answers</t>
        </is>
      </c>
      <c r="S267" s="3" t="inlineStr">
        <is>
          <t>—</t>
        </is>
      </c>
      <c r="T267" s="3" t="inlineStr">
        <is>
          <t>—</t>
        </is>
      </c>
      <c r="U267" s="3" t="inlineStr">
        <is>
          <t>ACTIVE</t>
        </is>
      </c>
      <c r="V267" s="3" t="inlineStr">
        <is>
          <t>2026-08-27</t>
        </is>
      </c>
      <c r="W267" s="3" t="n"/>
      <c r="X267" s="3" t="n"/>
      <c r="Y267" s="3" t="inlineStr">
        <is>
          <t>NOTHING OPEN</t>
        </is>
      </c>
    </row>
    <row r="268" ht="45" customHeight="1">
      <c r="A268" s="3" t="inlineStr">
        <is>
          <t>MK-NW-F-048</t>
        </is>
      </c>
      <c r="B268" s="3" t="inlineStr">
        <is>
          <t>uberGroupRows</t>
        </is>
      </c>
      <c r="C268" s="3" t="inlineStr">
        <is>
          <t>src/domain/assets/index.ts</t>
        </is>
      </c>
      <c r="D268" s="3" t="n">
        <v>2796</v>
      </c>
      <c r="E268" s="3" t="inlineStr">
        <is>
          <t>2 · DISPLAYED</t>
        </is>
      </c>
      <c r="F268" s="3" t="inlineStr">
        <is>
          <t>Group per-class totals into the three uber-groups, keeping class order inside each.</t>
        </is>
      </c>
      <c r="G268" s="11" t="inlineStr">
        <is>
          <t>classes = class rows where uber group of(key) = group</t>
        </is>
      </c>
      <c r="H268" s="3" t="inlineStr">
        <is>
          <t>Classes is class rows where uber group of(key) = group.</t>
        </is>
      </c>
      <c r="I268" s="3" t="inlineStr">
        <is>
          <t>READ FROM THE CODE — rendered from the expressions the function runs</t>
        </is>
      </c>
      <c r="J268" s="3" t="inlineStr">
        <is>
          <t>Nothing is handed to it</t>
        </is>
      </c>
      <c r="K268" s="3" t="inlineStr">
        <is>
          <t>NOT DECLARED — the code does not say what it gives back</t>
        </is>
      </c>
      <c r="L268" s="3" t="inlineStr">
        <is>
          <t>NOT FOUND — a screen calls it, but the words printed beside its answer could not be traced automatically. Needs reading.</t>
        </is>
      </c>
      <c r="M268" s="3" t="inlineStr">
        <is>
          <t>None found in this function — anything it assumes comes from the functions it depends on.</t>
        </is>
      </c>
      <c r="N268" s="3" t="inlineStr">
        <is>
          <t>Yes</t>
        </is>
      </c>
      <c r="O268" s="3" t="inlineStr">
        <is>
          <t>1. MK-CF-F-132 map
2. MK-NW-F-047 uberGroupOf</t>
        </is>
      </c>
      <c r="P268" s="3" t="n">
        <v>2</v>
      </c>
      <c r="Q268" s="3" t="inlineStr">
        <is>
          <t>1. MK-CF-F-132 map
2. MK-NW-F-047 uberGroupOf</t>
        </is>
      </c>
      <c r="R268" s="3" t="inlineStr">
        <is>
          <t>1. MK-CF-F-132 map → MK-NW-F-048 uberGroupRows
2. MK-NW-F-047 uberGroupOf → MK-NW-F-048 uberGroupRows</t>
        </is>
      </c>
      <c r="S268" s="3" t="inlineStr">
        <is>
          <t>—</t>
        </is>
      </c>
      <c r="T268" s="3" t="inlineStr">
        <is>
          <t>NET_WORTH_GROUPING</t>
        </is>
      </c>
      <c r="U268" s="3" t="inlineStr">
        <is>
          <t>ACTIVE</t>
        </is>
      </c>
      <c r="V268" s="3" t="inlineStr">
        <is>
          <t>2026-08-27</t>
        </is>
      </c>
      <c r="W268" s="3" t="n"/>
      <c r="X268" s="3" t="n"/>
      <c r="Y268" s="3" t="inlineStr">
        <is>
          <t>NOTHING OPEN</t>
        </is>
      </c>
    </row>
    <row r="269" ht="30" customHeight="1">
      <c r="A269" s="3" t="inlineStr">
        <is>
          <t>MK-NW-F-049</t>
        </is>
      </c>
      <c r="B269" s="3" t="inlineStr">
        <is>
          <t>itemizedTotal</t>
        </is>
      </c>
      <c r="C269" s="3" t="inlineStr">
        <is>
          <t>src/domain/assets/itemize.ts</t>
        </is>
      </c>
      <c r="D269" s="3" t="n">
        <v>52</v>
      </c>
      <c r="E269" s="3" t="inlineStr">
        <is>
          <t>1 · ACTION</t>
        </is>
      </c>
      <c r="F269" s="3" t="inlineStr">
        <is>
          <t>Σ of the itemized holding values.</t>
        </is>
      </c>
      <c r="G269" s="11" t="inlineStr">
        <is>
          <t>the answer = Σ over items of (value, or 0 when missing)</t>
        </is>
      </c>
      <c r="H269" s="3" t="inlineStr">
        <is>
          <t>Adds up the value of every holding entered while itemising an account.</t>
        </is>
      </c>
      <c r="I269" s="3" t="inlineStr">
        <is>
          <t>READ BY HAND 2026-08-26 — checked line by line against the code</t>
        </is>
      </c>
      <c r="J269" s="3" t="inlineStr">
        <is>
          <t>items: ItemHolding[]</t>
        </is>
      </c>
      <c r="K269" s="3" t="inlineStr">
        <is>
          <t>number</t>
        </is>
      </c>
      <c r="L269" s="3" t="inlineStr">
        <is>
          <t>—</t>
        </is>
      </c>
      <c r="M269" s="3" t="inlineStr">
        <is>
          <t>None found in this function — anything it assumes comes from the functions it depends on.</t>
        </is>
      </c>
      <c r="N269" s="3" t="inlineStr">
        <is>
          <t>Yes</t>
        </is>
      </c>
      <c r="O269" s="3" t="inlineStr">
        <is>
          <t>—</t>
        </is>
      </c>
      <c r="P269" s="3" t="n">
        <v>0</v>
      </c>
      <c r="Q269" s="3" t="inlineStr">
        <is>
          <t>None — no dependent function stands behind it</t>
        </is>
      </c>
      <c r="R269" s="3" t="inlineStr">
        <is>
          <t>No dependent function — it reads its inputs and answers</t>
        </is>
      </c>
      <c r="S269" s="3" t="inlineStr">
        <is>
          <t>—</t>
        </is>
      </c>
      <c r="T269" s="3" t="inlineStr">
        <is>
          <t>ITEMISED_TOTAL</t>
        </is>
      </c>
      <c r="U269" s="3" t="inlineStr">
        <is>
          <t>ACTIVE</t>
        </is>
      </c>
      <c r="V269" s="3" t="inlineStr">
        <is>
          <t>2026-09-12</t>
        </is>
      </c>
      <c r="W269" s="3" t="n"/>
      <c r="X269" s="3" t="n"/>
      <c r="Y269" s="3" t="inlineStr">
        <is>
          <t>NOTHING OPEN</t>
        </is>
      </c>
    </row>
    <row r="270" ht="60" customHeight="1">
      <c r="A270" s="3" t="inlineStr">
        <is>
          <t>MK-NW-F-050</t>
        </is>
      </c>
      <c r="B270" s="3" t="inlineStr">
        <is>
          <t>itemizeRemainder</t>
        </is>
      </c>
      <c r="C270" s="3" t="inlineStr">
        <is>
          <t>src/domain/assets/itemize.ts</t>
        </is>
      </c>
      <c r="D270" s="3" t="n">
        <v>106</v>
      </c>
      <c r="E270" s="3" t="inlineStr">
        <is>
          <t>1 · ACTION</t>
        </is>
      </c>
      <c r="F270" s="3" t="inlineStr">
        <is>
          <t>The entered total of an account less the value of the holdings listed under it: positive when some is still unexplained, negative when the holdings add up to more.</t>
        </is>
      </c>
      <c r="G270" s="11" t="inlineStr">
        <is>
          <t>the answer = (lump balance, or 0) − itemized total(items)</t>
        </is>
      </c>
      <c r="H270" s="3" t="inlineStr">
        <is>
          <t>The lump balance less the holdings entered so far: positive means money still unallocated, negative means the holdings exceed the entered total.</t>
        </is>
      </c>
      <c r="I270" s="3" t="inlineStr">
        <is>
          <t>READ BY HAND 2026-08-26 — checked line by line against the code</t>
        </is>
      </c>
      <c r="J270" s="3" t="inlineStr">
        <is>
          <t>1. lumpBalance: number
2. items: ItemHolding[]</t>
        </is>
      </c>
      <c r="K270" s="3" t="inlineStr">
        <is>
          <t>number</t>
        </is>
      </c>
      <c r="L270" s="3" t="inlineStr">
        <is>
          <t>—</t>
        </is>
      </c>
      <c r="M270" s="3" t="inlineStr">
        <is>
          <t>· If lump balance is missing it counts as zero, so nothing recorded and a real zero look the same.</t>
        </is>
      </c>
      <c r="N270" s="3" t="inlineStr">
        <is>
          <t>Yes</t>
        </is>
      </c>
      <c r="O270" s="3" t="inlineStr">
        <is>
          <t>MK-NW-F-049 itemizedTotal</t>
        </is>
      </c>
      <c r="P270" s="3" t="n">
        <v>1</v>
      </c>
      <c r="Q270" s="3" t="inlineStr">
        <is>
          <t>MK-NW-F-049 itemizedTotal</t>
        </is>
      </c>
      <c r="R270" s="3" t="inlineStr">
        <is>
          <t>MK-NW-F-049 itemizedTotal → MK-NW-F-050 itemizeRemainder</t>
        </is>
      </c>
      <c r="S270" s="3" t="inlineStr">
        <is>
          <t>—</t>
        </is>
      </c>
      <c r="T270" s="3" t="inlineStr">
        <is>
          <t>ITEMISED_REMAINDER</t>
        </is>
      </c>
      <c r="U270" s="3" t="inlineStr">
        <is>
          <t>ACTIVE</t>
        </is>
      </c>
      <c r="V270" s="3" t="inlineStr">
        <is>
          <t>2026-09-12</t>
        </is>
      </c>
      <c r="W270" s="3" t="n"/>
      <c r="X270" s="3" t="n"/>
      <c r="Y270" s="3" t="inlineStr">
        <is>
          <t>NOTHING OPEN</t>
        </is>
      </c>
    </row>
    <row r="271" ht="60" customHeight="1">
      <c r="A271" s="3" t="inlineStr">
        <is>
          <t>MK-NW-F-051</t>
        </is>
      </c>
      <c r="B271" s="3" t="inlineStr">
        <is>
          <t>itemizedResultTotal</t>
        </is>
      </c>
      <c r="C271" s="3" t="inlineStr">
        <is>
          <t>src/domain/assets/itemize.ts</t>
        </is>
      </c>
      <c r="D271" s="3" t="n">
        <v>131</v>
      </c>
      <c r="E271" s="3" t="inlineStr">
        <is>
          <t>2 · DISPLAYED</t>
        </is>
      </c>
      <c r="F271" s="3" t="inlineStr">
        <is>
          <t>The account total AFTER itemizing.</t>
        </is>
      </c>
      <c r="G271" s="11" t="inlineStr">
        <is>
          <t>sum = itemized total(items)
remainder = itemize remainder(lump.balance, items)
the answer:
sum + remainder   if remainder &gt; 0
sum   otherwise</t>
        </is>
      </c>
      <c r="H271" s="3" t="inlineStr">
        <is>
          <t>Sum is itemized total(items). Remainder is itemize remainder(lump.balance, items). The answer is sum plus remainder — when remainder &gt; 0; sum — otherwise.</t>
        </is>
      </c>
      <c r="I271" s="3" t="inlineStr">
        <is>
          <t>READ FROM THE CODE — rendered from the expressions the function runs</t>
        </is>
      </c>
      <c r="J271" s="3" t="inlineStr">
        <is>
          <t>1. lump: Pick&lt;AssetAccount, 'balance'&gt;
2. items: ItemHolding[]</t>
        </is>
      </c>
      <c r="K271" s="3" t="inlineStr">
        <is>
          <t>number</t>
        </is>
      </c>
      <c r="L271" s="3" t="inlineStr">
        <is>
          <t>NOT FOUND — a screen calls it, but the words printed beside its answer could not be traced automatically. Needs reading.</t>
        </is>
      </c>
      <c r="M271" s="3" t="inlineStr">
        <is>
          <t>None found in this function — anything it assumes comes from the functions it depends on.</t>
        </is>
      </c>
      <c r="N271" s="3" t="inlineStr">
        <is>
          <t>Yes</t>
        </is>
      </c>
      <c r="O271" s="3" t="inlineStr">
        <is>
          <t>1. MK-CF-F-155 cash
2. MK-NW-F-050 itemizeRemainder
3. MK-NW-F-049 itemizedTotal</t>
        </is>
      </c>
      <c r="P271" s="3" t="n">
        <v>4</v>
      </c>
      <c r="Q271" s="3" t="inlineStr">
        <is>
          <t>1. MK-CF-F-155 cash
2. MK-NW-F-050 itemizeRemainder
3. MK-NW-F-049 itemizedTotal
4. MK-XS-F-122 n</t>
        </is>
      </c>
      <c r="R271" s="3" t="inlineStr">
        <is>
          <t>1. MK-XS-F-122 n → MK-CF-F-155 cash → MK-NW-F-051 itemizedResultTotal
2. MK-NW-F-049 itemizedTotal → MK-NW-F-050 itemizeRemainder → MK-NW-F-051 itemizedResultTotal
3. MK-NW-F-049 itemizedTotal → MK-NW-F-051 itemizedResultTotal</t>
        </is>
      </c>
      <c r="S271" s="3" t="inlineStr">
        <is>
          <t>—</t>
        </is>
      </c>
      <c r="T271" s="3" t="inlineStr">
        <is>
          <t>—</t>
        </is>
      </c>
      <c r="U271" s="3" t="inlineStr">
        <is>
          <t>ACTIVE</t>
        </is>
      </c>
      <c r="V271" s="3" t="inlineStr">
        <is>
          <t>2026-10-07</t>
        </is>
      </c>
      <c r="W271" s="3" t="n"/>
      <c r="X271" s="3" t="n"/>
      <c r="Y271" s="3" t="inlineStr">
        <is>
          <t>NOTHING OPEN</t>
        </is>
      </c>
    </row>
    <row r="272" ht="60" customHeight="1">
      <c r="A272" s="3" t="inlineStr">
        <is>
          <t>MK-NW-F-052</t>
        </is>
      </c>
      <c r="B272" s="3" t="inlineStr">
        <is>
          <t>buildItemizedAccounts</t>
        </is>
      </c>
      <c r="C272" s="3" t="inlineStr">
        <is>
          <t>src/domain/assets/itemize.ts</t>
        </is>
      </c>
      <c r="D272" s="3" t="n">
        <v>173</v>
      </c>
      <c r="E272" s="3" t="inlineStr">
        <is>
          <t>2 · DISPLAYED</t>
        </is>
      </c>
      <c r="F272" s="3" t="inlineStr">
        <is>
          <t>Build the new accounts to CREATE when committing an itemization.</t>
        </is>
      </c>
      <c r="G272" s="11" t="inlineStr">
        <is>
          <t>missing = items (or none when missing) where value = nothing (or !number.is finite(value) when missing or zero)
institution = (lump.institution or lump.label or '').trim() (or undefined when missing or zero)
bucket = lump.tax bucket
wrapper = lump.kind   if lump.kind and ['401k', 'trad_ira', 'roth_ira', 'hsa', 'college_529'].includes(lump.kind)
undefined   otherwise
the answer = acct
remainder = itemize remainder(lump.balance, items)</t>
        </is>
      </c>
      <c r="H272" s="3" t="inlineStr">
        <is>
          <t>Missing is items (or none — when missing) where value is missing (or !number.is finite(value) — when missing or zero). Institution is (lump.institution or lump.label or '').trim() (or undefined — when missing or zero). Bucket is lump.tax bucket. Wrapper is lump.kind — when lump.kind and ['401k', 'trad_ira', 'roth_ira', 'hsa', 'college_529'].includes(lump.kind); undefined — otherwise. The answer is acct. Remainder is itemize remainder(lump.balance, items).</t>
        </is>
      </c>
      <c r="I272" s="3" t="inlineStr">
        <is>
          <t>PARTLY READ — some of the code is still showing through; needs a hand pass</t>
        </is>
      </c>
      <c r="J272" s="3" t="inlineStr">
        <is>
          <t>1. lump: AssetAccount
2. items: ItemHolding[]</t>
        </is>
      </c>
      <c r="K272" s="3" t="inlineStr">
        <is>
          <t>Omit&lt;AssetAccount, 'asset_id'&gt;[]</t>
        </is>
      </c>
      <c r="L272" s="3" t="inlineStr">
        <is>
          <t>NOT FOUND — a screen calls it, but the words printed beside its answer could not be traced automatically. Needs reading.</t>
        </is>
      </c>
      <c r="M272" s="3" t="inlineStr">
        <is>
          <t>None found in this function — anything it assumes comes from the functions it depends on.</t>
        </is>
      </c>
      <c r="N272" s="3" t="inlineStr">
        <is>
          <t>Yes</t>
        </is>
      </c>
      <c r="O272" s="3" t="inlineStr">
        <is>
          <t>1. MK-NW-F-034 benchmarkReturn
2. MK-CF-F-155 cash
3. MK-NW-F-050 itemizeRemainder
4. MK-CF-F-132 map
5. MK-NW-F-067 plural</t>
        </is>
      </c>
      <c r="P272" s="3" t="n">
        <v>20</v>
      </c>
      <c r="Q272" s="3" t="inlineStr">
        <is>
          <t>1. MK-NW-F-034 benchmarkReturn
2. MK-CF-F-155 cash
3. MK-NW-F-050 itemizeRemainder
4. MK-CF-F-132 map
5. MK-NW-F-067 plural
6. MK-NW-F-007 assetKind
7. MK-XS-F-122 n
8. MK-NW-F-049 itemizedTotal
9. MK-NW-F-011 assetClassOf
10. MK-NW-F-120 classEvidenceOf
11. MK-NW-F-008 incomeBearingClassOf
12. MK-NW-F-009 maturityClass
13. MK-ST-F-010 nameEvidence
14. MK-NW-F-124 maturityParts
15. MK-CF-F-216 typed
16. MK-XS-F-147 call
17. MK-ST-F-056 has
18. MK-ST-F-027 accountId
19. MK-XS-F-064 currentIdToken
20. MK-XS-F-112 relayUrl</t>
        </is>
      </c>
      <c r="R272" s="3" t="inlineStr">
        <is>
          <t>1. MK-CF-F-155 cash → MK-NW-F-120 classEvidenceOf → MK-NW-F-011 assetClassOf → MK-NW-F-007 assetKind → MK-NW-F-034 benchmarkReturn → MK-NW-F-052 buildItemizedAccounts
2. MK-NW-F-008 incomeBearingClassOf → MK-NW-F-120 classEvidenceOf → MK-NW-F-011 assetClassOf → MK-NW-F-007 assetKind → MK-NW-F-034 benchmarkReturn → MK-NW-F-052 buildItemizedAccounts
3. MK-NW-F-009 maturityClass → MK-NW-F-120 classEvidenceOf → MK-NW-F-011 assetClassOf → MK-NW-F-007 assetKind → MK-NW-F-034 benchmarkReturn → MK-NW-F-052 buildItemizedAccounts
4. MK-XS-F-122 n → MK-CF-F-155 cash → MK-NW-F-007 assetKind → MK-NW-F-034 benchmarkReturn → MK-NW-F-052 buildItemizedAccounts
5. MK-XS-F-122 n → MK-CF-F-155 cash → MK-NW-F-052 buildItemizedAccounts
6. MK-NW-F-049 itemizedTotal → MK-NW-F-050 itemizeRemainder → MK-NW-F-052 buildItemizedAccounts
7. MK-CF-F-132 map → MK-NW-F-052 buildItemizedAccounts
8. MK-XS-F-122 n → MK-NW-F-067 plural → MK-NW-F-052 buildItemizedAccounts</t>
        </is>
      </c>
      <c r="S272" s="3" t="inlineStr">
        <is>
          <t>—</t>
        </is>
      </c>
      <c r="T272" s="3" t="inlineStr">
        <is>
          <t>ITEMISE_AN_ACCOUNT</t>
        </is>
      </c>
      <c r="U272" s="3" t="inlineStr">
        <is>
          <t>ACTIVE</t>
        </is>
      </c>
      <c r="V272" s="3" t="inlineStr">
        <is>
          <t>2026-10-09</t>
        </is>
      </c>
      <c r="W272" s="3" t="n"/>
      <c r="X272" s="3" t="n"/>
      <c r="Y272" s="3" t="inlineStr">
        <is>
          <t>NOTHING OPEN</t>
        </is>
      </c>
    </row>
    <row r="273" ht="60" customHeight="1">
      <c r="A273" s="3" t="inlineStr">
        <is>
          <t>MK-NW-F-053</t>
        </is>
      </c>
      <c r="B273" s="3" t="inlineStr">
        <is>
          <t>correctClassOf</t>
        </is>
      </c>
      <c r="C273" s="3" t="inlineStr">
        <is>
          <t>src/domain/assets/reclassify.ts</t>
        </is>
      </c>
      <c r="D273" s="3" t="n">
        <v>46</v>
      </c>
      <c r="E273" s="3" t="inlineStr">
        <is>
          <t>3 · DEPENDENT</t>
        </is>
      </c>
      <c r="F273" s="3" t="inlineStr">
        <is>
          <t>The class an account SHOULD carry under the current rule.</t>
        </is>
      </c>
      <c r="G273" s="11" t="inlineStr">
        <is>
          <t>asset class (or nothing when missing)   when class source = 'user'
evidence = class evidence of(a)
evidence   when evidence
'stocks_etf'   when kind = 'money_market'
'bonds'   when kind = 'cd'
the answer = nothing</t>
        </is>
      </c>
      <c r="H273" s="3" t="inlineStr">
        <is>
          <t>When class source = 'user', it answers asset class (or no answer — when missing). Evidence is class evidence of(a). When evidence, it answers evidence. When kind = 'money_market', it answers 'stocks_etf'. When kind = 'cd', it answers 'bonds'. The answer is no answer.</t>
        </is>
      </c>
      <c r="I273" s="3" t="inlineStr">
        <is>
          <t>READ FROM THE CODE — rendered from the expressions the function runs</t>
        </is>
      </c>
      <c r="J273" s="3" t="inlineStr">
        <is>
          <t>a: AssetAccount</t>
        </is>
      </c>
      <c r="K273" s="3" t="inlineStr">
        <is>
          <t>AssetClass | null</t>
        </is>
      </c>
      <c r="L273" s="3" t="inlineStr">
        <is>
          <t>—</t>
        </is>
      </c>
      <c r="M273" s="3" t="inlineStr">
        <is>
          <t>None found in this function — anything it assumes comes from the functions it depends on.</t>
        </is>
      </c>
      <c r="N273" s="3" t="inlineStr">
        <is>
          <t>Yes</t>
        </is>
      </c>
      <c r="O273" s="3" t="inlineStr">
        <is>
          <t>MK-NW-F-120 classEvidenceOf</t>
        </is>
      </c>
      <c r="P273" s="3" t="n">
        <v>15</v>
      </c>
      <c r="Q273" s="3" t="inlineStr">
        <is>
          <t>1. MK-NW-F-120 classEvidenceOf
2. MK-CF-F-155 cash
3. MK-NW-F-008 incomeBearingClassOf
4. MK-NW-F-009 maturityClass
5. MK-XS-F-122 n
6. MK-ST-F-010 nameEvidence
7. MK-NW-F-011 assetClassOf
8. MK-NW-F-124 maturityParts
9. MK-CF-F-216 typed
10. MK-XS-F-147 call
11. MK-ST-F-056 has
12. MK-CF-F-132 map
13. MK-ST-F-027 accountId
14. MK-XS-F-064 currentIdToken
15. MK-XS-F-112 relayUrl</t>
        </is>
      </c>
      <c r="R273" s="3" t="inlineStr">
        <is>
          <t>1. MK-XS-F-122 n → MK-CF-F-155 cash → MK-NW-F-120 classEvidenceOf → MK-NW-F-053 correctClassOf
2. MK-XS-F-122 n → MK-CF-F-155 cash → MK-NW-F-008 incomeBearingClassOf → MK-NW-F-120 classEvidenceOf → MK-NW-F-053 correctClassOf
3. MK-ST-F-027 accountId → MK-XS-F-147 call → MK-ST-F-010 nameEvidence → MK-NW-F-008 incomeBearingClassOf → MK-NW-F-120 classEvidenceOf → MK-NW-F-053 correctClassOf
4. MK-XS-F-064 currentIdToken → MK-XS-F-147 call → MK-ST-F-010 nameEvidence → MK-NW-F-008 incomeBearingClassOf → MK-NW-F-120 classEvidenceOf → MK-NW-F-053 correctClassOf
5. MK-XS-F-112 relayUrl → MK-XS-F-147 call → MK-ST-F-010 nameEvidence → MK-NW-F-008 incomeBearingClassOf → MK-NW-F-120 classEvidenceOf → MK-NW-F-053 correctClassOf
6. MK-ST-F-056 has → MK-ST-F-010 nameEvidence → MK-NW-F-008 incomeBearingClassOf → MK-NW-F-120 classEvidenceOf → MK-NW-F-053 correctClassOf
7. MK-CF-F-132 map → MK-ST-F-010 nameEvidence → MK-NW-F-008 incomeBearingClassOf → MK-NW-F-120 classEvidenceOf → MK-NW-F-053 correctClassOf
8. classEvidenceOf (already above — a loop) → MK-NW-F-011 assetClassOf → MK-NW-F-009 maturityClass → MK-NW-F-120 classEvidenceOf → MK-NW-F-053 correctClassOf
9. … and 3 more paths</t>
        </is>
      </c>
      <c r="S273" s="3" t="inlineStr">
        <is>
          <t>—</t>
        </is>
      </c>
      <c r="T273" s="3" t="inlineStr">
        <is>
          <t>—</t>
        </is>
      </c>
      <c r="U273" s="3" t="inlineStr">
        <is>
          <t>ACTIVE</t>
        </is>
      </c>
      <c r="V273" s="3" t="inlineStr">
        <is>
          <t>2026-10-09</t>
        </is>
      </c>
      <c r="W273" s="3" t="n"/>
      <c r="X273" s="3" t="n"/>
      <c r="Y273" s="3" t="inlineStr">
        <is>
          <t>NOTHING OPEN</t>
        </is>
      </c>
    </row>
    <row r="274" ht="60" customHeight="1">
      <c r="A274" s="3" t="inlineStr">
        <is>
          <t>MK-NW-F-054</t>
        </is>
      </c>
      <c r="B274" s="3" t="inlineStr">
        <is>
          <t>reclassifyAccounts</t>
        </is>
      </c>
      <c r="C274" s="3" t="inlineStr">
        <is>
          <t>src/domain/assets/reclassify.ts</t>
        </is>
      </c>
      <c r="D274" s="3" t="n">
        <v>100</v>
      </c>
      <c r="E274" s="3" t="inlineStr">
        <is>
          <t>3 · DEPENDENT</t>
        </is>
      </c>
      <c r="F274" s="3" t="inlineStr">
        <is>
          <t>Corrects the asset class of any account or holding filed under the wrong one, and counts how many it changed.</t>
        </is>
      </c>
      <c r="G274" s="11" t="inlineStr">
        <is>
          <t>changed = 0
a   when wrapper confirmed
want = nothing   if class source = 'user'
correct class of(a)   otherwise
next = a
ps = (next.positions ?? []) as any[]
p   when class source = 'user' (or class asked when missing or zero)
the answer = p</t>
        </is>
      </c>
      <c r="H274" s="3" t="inlineStr">
        <is>
          <t>Changed is 0. When wrapper confirmed, it answers a. Want is no answer — when class source = 'user'; correct class of(a) — otherwise. Next is a. Ps is (next.positions ?? []) as any[]. When class source = 'user' (or class asked — when missing or zero), it answers p. The answer is p.</t>
        </is>
      </c>
      <c r="I274" s="3" t="inlineStr">
        <is>
          <t>PARTLY READ — some of the code is still showing through; needs a hand pass</t>
        </is>
      </c>
      <c r="J274" s="3" t="inlineStr">
        <is>
          <t>accounts: AssetAccount[]</t>
        </is>
      </c>
      <c r="K274" s="3" t="inlineStr">
        <is>
          <t>NOT DECLARED — the code does not say what it gives back</t>
        </is>
      </c>
      <c r="L274" s="3" t="inlineStr">
        <is>
          <t>—</t>
        </is>
      </c>
      <c r="M274" s="3" t="inlineStr">
        <is>
          <t>· Uses a built-in changed of 0.</t>
        </is>
      </c>
      <c r="N274" s="3" t="inlineStr">
        <is>
          <t>Yes</t>
        </is>
      </c>
      <c r="O274" s="3" t="inlineStr">
        <is>
          <t>1. MK-NW-F-053 correctClassOf
2. MK-NW-F-123 holdingNameEvidence
3. MK-NW-F-121 holdingTagClass
4. MK-NW-F-122 holdingTagFor
5. MK-CF-F-132 map</t>
        </is>
      </c>
      <c r="P274" s="3" t="n">
        <v>19</v>
      </c>
      <c r="Q274" s="3" t="inlineStr">
        <is>
          <t>1. MK-NW-F-053 correctClassOf
2. MK-NW-F-123 holdingNameEvidence
3. MK-NW-F-121 holdingTagClass
4. MK-NW-F-122 holdingTagFor
5. MK-CF-F-132 map
6. MK-NW-F-120 classEvidenceOf
7. MK-CF-F-155 cash
8. MK-NW-F-008 incomeBearingClassOf
9. MK-NW-F-009 maturityClass
10. MK-XS-F-122 n
11. MK-ST-F-010 nameEvidence
12. MK-NW-F-011 assetClassOf
13. MK-NW-F-124 maturityParts
14. MK-CF-F-216 typed
15. MK-XS-F-147 call
16. MK-ST-F-056 has
17. MK-ST-F-027 accountId
18. MK-XS-F-064 currentIdToken
19. MK-XS-F-112 relayUrl</t>
        </is>
      </c>
      <c r="R274" s="3" t="inlineStr">
        <is>
          <t>1. MK-XS-F-122 n → MK-CF-F-155 cash → MK-NW-F-120 classEvidenceOf → MK-NW-F-053 correctClassOf → MK-NW-F-054 reclassifyAccounts
2. MK-XS-F-122 n → MK-CF-F-155 cash → MK-NW-F-008 incomeBearingClassOf → MK-NW-F-120 classEvidenceOf → MK-NW-F-053 correctClassOf → MK-NW-F-054 reclassifyAccounts
3. MK-XS-F-147 call → MK-ST-F-010 nameEvidence → MK-NW-F-008 incomeBearingClassOf → MK-NW-F-120 classEvidenceOf → MK-NW-F-053 correctClassOf → MK-NW-F-054 reclassifyAccounts
4. MK-ST-F-056 has → MK-ST-F-010 nameEvidence → MK-NW-F-008 incomeBearingClassOf → MK-NW-F-120 classEvidenceOf → MK-NW-F-053 correctClassOf → MK-NW-F-054 reclassifyAccounts
5. MK-CF-F-132 map → MK-ST-F-010 nameEvidence → MK-NW-F-008 incomeBearingClassOf → MK-NW-F-120 classEvidenceOf → MK-NW-F-053 correctClassOf → MK-NW-F-054 reclassifyAccounts
6. classEvidenceOf (already above — a loop) → MK-NW-F-011 assetClassOf → MK-NW-F-009 maturityClass → MK-NW-F-120 classEvidenceOf → MK-NW-F-053 correctClassOf → MK-NW-F-054 reclassifyAccounts
7. maturityClass (already above — a loop) → MK-NW-F-124 maturityParts → MK-NW-F-009 maturityClass → MK-NW-F-120 classEvidenceOf → MK-NW-F-053 correctClassOf → MK-NW-F-054 reclassifyAccounts
8. MK-CF-F-216 typed → MK-NW-F-124 maturityParts → MK-NW-F-009 maturityClass → MK-NW-F-120 classEvidenceOf → MK-NW-F-053 correctClassOf → MK-NW-F-054 reclassifyAccounts
9. … and 5 more paths</t>
        </is>
      </c>
      <c r="S274" s="3" t="inlineStr">
        <is>
          <t>—</t>
        </is>
      </c>
      <c r="T274" s="3" t="inlineStr">
        <is>
          <t>—</t>
        </is>
      </c>
      <c r="U274" s="3" t="inlineStr">
        <is>
          <t>ACTIVE</t>
        </is>
      </c>
      <c r="V274" s="3" t="inlineStr">
        <is>
          <t>2026-10-09</t>
        </is>
      </c>
      <c r="W274" s="3" t="n"/>
      <c r="X274" s="3" t="n"/>
      <c r="Y274" s="3" t="inlineStr">
        <is>
          <t>NOTHING OPEN</t>
        </is>
      </c>
    </row>
    <row r="275" ht="60" customHeight="1">
      <c r="A275" s="3" t="inlineStr">
        <is>
          <t>MK-NW-F-055</t>
        </is>
      </c>
      <c r="B275" s="3" t="inlineStr">
        <is>
          <t>isBond</t>
        </is>
      </c>
      <c r="C275" s="3" t="inlineStr">
        <is>
          <t>src/domain/bonds/index.ts</t>
        </is>
      </c>
      <c r="D275" s="3" t="n">
        <v>94</v>
      </c>
      <c r="E275" s="3" t="inlineStr">
        <is>
          <t>2 · DISPLAYED</t>
        </is>
      </c>
      <c r="F275" s="3" t="inlineStr">
        <is>
          <t>An AssetAccount is a bond if its ASSET CLASS is bonds (spec §2: "detected by assetClass, NOT maturity date").</t>
        </is>
      </c>
      <c r="G275" s="11" t="inlineStr">
        <is>
          <t>asset class of(a) = 'bonds'</t>
        </is>
      </c>
      <c r="H275" s="3" t="inlineStr">
        <is>
          <t>asset class of(a) = 'bonds'.</t>
        </is>
      </c>
      <c r="I275" s="3" t="inlineStr">
        <is>
          <t>READ FROM THE CODE — rendered from the expressions the function runs</t>
        </is>
      </c>
      <c r="J275" s="3" t="inlineStr">
        <is>
          <t>a: AssetAccount</t>
        </is>
      </c>
      <c r="K275" s="3" t="inlineStr">
        <is>
          <t>boolean</t>
        </is>
      </c>
      <c r="L275" s="3" t="inlineStr">
        <is>
          <t>NOT FOUND — a screen calls it, but the words printed beside its answer could not be traced automatically. Needs reading.</t>
        </is>
      </c>
      <c r="M275" s="3" t="inlineStr">
        <is>
          <t>None found in this function — anything it assumes comes from the functions it depends on.</t>
        </is>
      </c>
      <c r="N275" s="3" t="inlineStr">
        <is>
          <t>Yes</t>
        </is>
      </c>
      <c r="O275" s="3" t="inlineStr">
        <is>
          <t>MK-NW-F-011 assetClassOf</t>
        </is>
      </c>
      <c r="P275" s="3" t="n">
        <v>15</v>
      </c>
      <c r="Q275" s="3" t="inlineStr">
        <is>
          <t>1. MK-NW-F-011 assetClassOf
2. MK-NW-F-120 classEvidenceOf
3. MK-CF-F-155 cash
4. MK-NW-F-008 incomeBearingClassOf
5. MK-NW-F-009 maturityClass
6. MK-XS-F-122 n
7. MK-ST-F-010 nameEvidence
8. MK-NW-F-124 maturityParts
9. MK-CF-F-216 typed
10. MK-XS-F-147 call
11. MK-ST-F-056 has
12. MK-CF-F-132 map
13. MK-ST-F-027 accountId
14. MK-XS-F-064 currentIdToken
15. MK-XS-F-112 relayUrl</t>
        </is>
      </c>
      <c r="R275" s="3" t="inlineStr">
        <is>
          <t>1. MK-XS-F-122 n → MK-CF-F-155 cash → MK-NW-F-120 classEvidenceOf → MK-NW-F-011 assetClassOf → MK-NW-F-055 isBond
2. MK-XS-F-122 n → MK-CF-F-155 cash → MK-NW-F-008 incomeBearingClassOf → MK-NW-F-120 classEvidenceOf → MK-NW-F-011 assetClassOf → MK-NW-F-055 isBond
3. MK-XS-F-147 call → MK-ST-F-010 nameEvidence → MK-NW-F-008 incomeBearingClassOf → MK-NW-F-120 classEvidenceOf → MK-NW-F-011 assetClassOf → MK-NW-F-055 isBond
4. MK-ST-F-056 has → MK-ST-F-010 nameEvidence → MK-NW-F-008 incomeBearingClassOf → MK-NW-F-120 classEvidenceOf → MK-NW-F-011 assetClassOf → MK-NW-F-055 isBond
5. MK-CF-F-132 map → MK-ST-F-010 nameEvidence → MK-NW-F-008 incomeBearingClassOf → MK-NW-F-120 classEvidenceOf → MK-NW-F-011 assetClassOf → MK-NW-F-055 isBond
6. assetClassOf (already above — a loop) → MK-NW-F-009 maturityClass → MK-NW-F-120 classEvidenceOf → MK-NW-F-011 assetClassOf → MK-NW-F-055 isBond
7. maturityClass (already above — a loop) → MK-NW-F-124 maturityParts → MK-NW-F-009 maturityClass → MK-NW-F-120 classEvidenceOf → MK-NW-F-011 assetClassOf → MK-NW-F-055 isBond
8. MK-CF-F-216 typed → MK-NW-F-124 maturityParts → MK-NW-F-009 maturityClass → MK-NW-F-120 classEvidenceOf → MK-NW-F-011 assetClassOf → MK-NW-F-055 isBond
9. … and 1 more paths</t>
        </is>
      </c>
      <c r="S275" s="3" t="inlineStr">
        <is>
          <t>—</t>
        </is>
      </c>
      <c r="T275" s="3" t="inlineStr">
        <is>
          <t>IS_BOND</t>
        </is>
      </c>
      <c r="U275" s="3" t="inlineStr">
        <is>
          <t>ACTIVE</t>
        </is>
      </c>
      <c r="V275" s="3" t="inlineStr">
        <is>
          <t>2026-08-27</t>
        </is>
      </c>
      <c r="W275" s="3" t="n"/>
      <c r="X275" s="3" t="n"/>
      <c r="Y275" s="3" t="inlineStr">
        <is>
          <t>NOTHING OPEN</t>
        </is>
      </c>
    </row>
    <row r="276" ht="60" customHeight="1">
      <c r="A276" s="3" t="inlineStr">
        <is>
          <t>MK-NW-F-056</t>
        </is>
      </c>
      <c r="B276" s="3" t="inlineStr">
        <is>
          <t>bondInfo</t>
        </is>
      </c>
      <c r="C276" s="3" t="inlineStr">
        <is>
          <t>src/domain/bonds/index.ts</t>
        </is>
      </c>
      <c r="D276" s="3" t="n">
        <v>142</v>
      </c>
      <c r="E276" s="3" t="inlineStr">
        <is>
          <t>3 · DEPENDENT</t>
        </is>
      </c>
      <c r="F276" s="3" t="inlineStr">
        <is>
          <t>What are this holding's bond facts?</t>
        </is>
      </c>
      <c r="G276" s="11" t="inlineStr">
        <is>
          <t>face = face value   when it is above 0;   nothing otherwise
coupon rate = coupon rate as entered (a typed 0 kept);   nothing when not entered
maturity = maturity date or ''
value = balance or 0
accrued interest = the entered figure, or nothing when not entered
is a CD = kind is 'cd', or the name or institution says CD or certificate of deposit
where a CD was bought = 'broker'   when the person said so;   'bank' otherwise (DEC-3837, 2026-10-10)</t>
        </is>
      </c>
      <c r="H276" s="3" t="inlineStr">
        <is>
          <t>Reads the bond's facts off the account record — face value, coupon rate, maturity date, the value as entered, the accrued interest when the person entered it (MK-XS-I-065), whether it is a CD, and where a CD was bought (a CD not answered is read as bought from the bank, DEC-3837). No arithmetic.</t>
        </is>
      </c>
      <c r="I276" s="3" t="inlineStr">
        <is>
          <t>READ BY HAND 2026-08-26 — checked line by line against the code</t>
        </is>
      </c>
      <c r="J276" s="3" t="inlineStr">
        <is>
          <t>a: AssetAccount</t>
        </is>
      </c>
      <c r="K276" s="3" t="inlineStr">
        <is>
          <t>BondInfo</t>
        </is>
      </c>
      <c r="L276" s="3" t="inlineStr">
        <is>
          <t>—</t>
        </is>
      </c>
      <c r="M276" s="3" t="inlineStr">
        <is>
          <t>· If balance is missing it counts as zero, so nothing recorded and a real zero look the same.</t>
        </is>
      </c>
      <c r="N276" s="3" t="inlineStr">
        <is>
          <t>Yes</t>
        </is>
      </c>
      <c r="O276" s="3" t="inlineStr">
        <is>
          <t>1. MK-CF-F-155 cash
2. MK-NW-F-124 maturityParts</t>
        </is>
      </c>
      <c r="P276" s="3" t="n">
        <v>15</v>
      </c>
      <c r="Q276" s="3" t="inlineStr">
        <is>
          <t>1. MK-CF-F-155 cash
2. MK-NW-F-124 maturityParts
3. MK-XS-F-122 n
4. MK-NW-F-009 maturityClass
5. MK-CF-F-216 typed
6. MK-NW-F-011 assetClassOf
7. MK-NW-F-120 classEvidenceOf
8. MK-NW-F-008 incomeBearingClassOf
9. MK-ST-F-010 nameEvidence
10. MK-XS-F-147 call
11. MK-ST-F-056 has
12. MK-CF-F-132 map
13. MK-ST-F-027 accountId
14. MK-XS-F-064 currentIdToken
15. MK-XS-F-112 relayUrl</t>
        </is>
      </c>
      <c r="R276" s="3" t="inlineStr">
        <is>
          <t>1. MK-XS-F-122 n → MK-CF-F-155 cash → MK-NW-F-056 bondInfo
2. MK-CF-F-155 cash → MK-NW-F-120 classEvidenceOf → MK-NW-F-011 assetClassOf → MK-NW-F-009 maturityClass → MK-NW-F-124 maturityParts → MK-NW-F-056 bondInfo
3. MK-NW-F-008 incomeBearingClassOf → MK-NW-F-120 classEvidenceOf → MK-NW-F-011 assetClassOf → MK-NW-F-009 maturityClass → MK-NW-F-124 maturityParts → MK-NW-F-056 bondInfo
4. maturityClass (already above — a loop) → MK-NW-F-120 classEvidenceOf → MK-NW-F-011 assetClassOf → MK-NW-F-009 maturityClass → MK-NW-F-124 maturityParts → MK-NW-F-056 bondInfo
5. maturityParts (already above — a loop) → MK-NW-F-009 maturityClass → MK-NW-F-124 maturityParts → MK-NW-F-056 bondInfo
6. MK-CF-F-216 typed → MK-NW-F-009 maturityClass → MK-NW-F-124 maturityParts → MK-NW-F-056 bondInfo
7. MK-CF-F-216 typed → MK-NW-F-124 maturityParts → MK-NW-F-056 bondInfo</t>
        </is>
      </c>
      <c r="S276" s="3" t="inlineStr">
        <is>
          <t>—</t>
        </is>
      </c>
      <c r="T276" s="3" t="inlineStr">
        <is>
          <t>BOND_FACTS</t>
        </is>
      </c>
      <c r="U276" s="3" t="inlineStr">
        <is>
          <t>ACTIVE</t>
        </is>
      </c>
      <c r="V276" s="3" t="inlineStr">
        <is>
          <t>2026-10-10</t>
        </is>
      </c>
      <c r="W276" s="3" t="inlineStr">
        <is>
          <t>[from MK-NW-M-041 / M-042 / M-045] bond display rule (nine facts; value current → cost → face; else 'need more information'); why compute yield when the coupon rate is an input?</t>
        </is>
      </c>
      <c r="X276"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76" s="6" t="inlineStr">
        <is>
          <t>WAITING ON YOU — answer to read</t>
        </is>
      </c>
    </row>
    <row r="277" ht="60" customHeight="1">
      <c r="A277" s="3" t="inlineStr">
        <is>
          <t>MK-NW-F-057</t>
        </is>
      </c>
      <c r="B277" s="3" t="inlineStr">
        <is>
          <t>annualCoupon</t>
        </is>
      </c>
      <c r="C277" s="3" t="inlineStr">
        <is>
          <t>src/domain/bonds/index.ts</t>
        </is>
      </c>
      <c r="D277" s="3" t="n">
        <v>191</v>
      </c>
      <c r="E277" s="3" t="inlineStr">
        <is>
          <t>3 · DEPENDENT</t>
        </is>
      </c>
      <c r="F277" s="3" t="inlineStr">
        <is>
          <t>Annual coupon income = face value × coupon rate (paid as cash).</t>
        </is>
      </c>
      <c r="G277" s="11" t="inlineStr">
        <is>
          <t>annual coupon = face value × coupon rate</t>
        </is>
      </c>
      <c r="H277" s="3" t="inlineStr">
        <is>
          <t>What the bond pays in interest over a year: its face value times its stated rate. Paid semi-annually in practice; this figure is the yearly total.</t>
        </is>
      </c>
      <c r="I277" s="3" t="inlineStr">
        <is>
          <t>READ BY HAND 2026-08-26 — checked line by line against the code</t>
        </is>
      </c>
      <c r="J277" s="3" t="inlineStr">
        <is>
          <t>b: BondInfo</t>
        </is>
      </c>
      <c r="K277" s="3" t="inlineStr">
        <is>
          <t>number | null</t>
        </is>
      </c>
      <c r="L277" s="3" t="inlineStr">
        <is>
          <t>—</t>
        </is>
      </c>
      <c r="M277" s="3" t="inlineStr">
        <is>
          <t>None found in this function — anything it assumes comes from the functions it depends on.</t>
        </is>
      </c>
      <c r="N277" s="3" t="inlineStr">
        <is>
          <t>Yes</t>
        </is>
      </c>
      <c r="O277" s="3" t="inlineStr">
        <is>
          <t>—</t>
        </is>
      </c>
      <c r="P277" s="3" t="n">
        <v>0</v>
      </c>
      <c r="Q277" s="3" t="inlineStr">
        <is>
          <t>None — no dependent function stands behind it</t>
        </is>
      </c>
      <c r="R277" s="3" t="inlineStr">
        <is>
          <t>No dependent function — it reads its inputs and answers</t>
        </is>
      </c>
      <c r="S277" s="3" t="inlineStr">
        <is>
          <t>—</t>
        </is>
      </c>
      <c r="T277" s="3" t="inlineStr">
        <is>
          <t>BOND_COUPON</t>
        </is>
      </c>
      <c r="U277" s="3" t="inlineStr">
        <is>
          <t>ACTIVE</t>
        </is>
      </c>
      <c r="V277" s="3" t="inlineStr">
        <is>
          <t>2026-09-27</t>
        </is>
      </c>
      <c r="W277" s="3" t="inlineStr">
        <is>
          <t>[from MK-NW-M-043] a matured bond must not earn a coupon; one label ('Calculated annual interest') instead of COUPON / YR and Interest payments; maturity date as an input.</t>
        </is>
      </c>
      <c r="X277" s="6" t="inlineStr">
        <is>
          <t>JJ-3: face × rate with no look at maturity — wrong for any matured bond, and inherited by F-061 and F-063. Fix: takes the maturity date and today; 0 once matured; adds MK-XS-I-013 to its inputs. Label: Q40; matured display: Q39.</t>
        </is>
      </c>
      <c r="Y277" s="6" t="inlineStr">
        <is>
          <t>WAITING ON YOU — answer to read</t>
        </is>
      </c>
    </row>
    <row r="278" ht="60" customHeight="1">
      <c r="A278" s="3" t="inlineStr">
        <is>
          <t>MK-NW-F-058</t>
        </is>
      </c>
      <c r="B278" s="3" t="inlineStr">
        <is>
          <t>yearsToMaturity</t>
        </is>
      </c>
      <c r="C278" s="3" t="inlineStr">
        <is>
          <t>src/domain/bonds/index.ts</t>
        </is>
      </c>
      <c r="D278" s="3" t="n">
        <v>350</v>
      </c>
      <c r="E278" s="3" t="inlineStr">
        <is>
          <t>3 · DEPENDENT</t>
        </is>
      </c>
      <c r="F278" s="3" t="inlineStr">
        <is>
          <t>How long until this bond pays back?</t>
        </is>
      </c>
      <c r="G278" s="11" t="inlineStr">
        <is>
          <t>years to maturity = max(0, (maturity date − today) ÷ 365.25 days)</t>
        </is>
      </c>
      <c r="H278" s="3" t="inlineStr">
        <is>
          <t>How long until the bond repays, as a fraction of a year, never negative. Uses 365.25 days — the master file says 365, which is finding A31.</t>
        </is>
      </c>
      <c r="I278" s="3" t="inlineStr">
        <is>
          <t>READ BY HAND 2026-08-26 — checked line by line against the code</t>
        </is>
      </c>
      <c r="J278" s="3" t="inlineStr">
        <is>
          <t>1. maturity: string
2. now: Date = new Date()</t>
        </is>
      </c>
      <c r="K278" s="3" t="inlineStr">
        <is>
          <t>number | null</t>
        </is>
      </c>
      <c r="L278" s="3" t="inlineStr">
        <is>
          <t>—</t>
        </is>
      </c>
      <c r="M278" s="3" t="inlineStr">
        <is>
          <t>1. Uses today's date from the device clock, so the answer changes by itself overnight.
2. Rounds the answer to a whole number.
3. No maturity date, or an unreadable one, gives NO answer — not zero and not "due now" (G11, founder 2026-09-12); the yield to maturity and the rate sensitivity then refuse too.</t>
        </is>
      </c>
      <c r="N278" s="3" t="inlineStr">
        <is>
          <t>Yes</t>
        </is>
      </c>
      <c r="O278" s="3" t="inlineStr">
        <is>
          <t>1. MK-NW-F-124 maturityParts
2. MK-XS-F-122 n</t>
        </is>
      </c>
      <c r="P278" s="3" t="n">
        <v>15</v>
      </c>
      <c r="Q278" s="3" t="inlineStr">
        <is>
          <t>1. MK-NW-F-124 maturityParts
2. MK-XS-F-122 n
3. MK-NW-F-009 maturityClass
4. MK-CF-F-216 typed
5. MK-NW-F-011 assetClassOf
6. MK-NW-F-120 classEvidenceOf
7. MK-CF-F-155 cash
8. MK-NW-F-008 incomeBearingClassOf
9. MK-ST-F-010 nameEvidence
10. MK-XS-F-147 call
11. MK-ST-F-056 has
12. MK-CF-F-132 map
13. MK-ST-F-027 accountId
14. MK-XS-F-064 currentIdToken
15. MK-XS-F-112 relayUrl</t>
        </is>
      </c>
      <c r="R278" s="3" t="inlineStr">
        <is>
          <t>1. MK-CF-F-155 cash → MK-NW-F-120 classEvidenceOf → MK-NW-F-011 assetClassOf → MK-NW-F-009 maturityClass → MK-NW-F-124 maturityParts → MK-NW-F-058 yearsToMaturity
2. MK-NW-F-008 incomeBearingClassOf → MK-NW-F-120 classEvidenceOf → MK-NW-F-011 assetClassOf → MK-NW-F-009 maturityClass → MK-NW-F-124 maturityParts → MK-NW-F-058 yearsToMaturity
3. maturityClass (already above — a loop) → MK-NW-F-120 classEvidenceOf → MK-NW-F-011 assetClassOf → MK-NW-F-009 maturityClass → MK-NW-F-124 maturityParts → MK-NW-F-058 yearsToMaturity
4. maturityParts (already above — a loop) → MK-NW-F-009 maturityClass → MK-NW-F-124 maturityParts → MK-NW-F-058 yearsToMaturity
5. MK-CF-F-216 typed → MK-NW-F-009 maturityClass → MK-NW-F-124 maturityParts → MK-NW-F-058 yearsToMaturity
6. MK-CF-F-216 typed → MK-NW-F-124 maturityParts → MK-NW-F-058 yearsToMaturity
7. MK-XS-F-122 n → MK-NW-F-058 yearsToMaturity</t>
        </is>
      </c>
      <c r="S278" s="3" t="inlineStr">
        <is>
          <t>—</t>
        </is>
      </c>
      <c r="T278" s="3" t="inlineStr">
        <is>
          <t>BOND_YEARS_LEFT</t>
        </is>
      </c>
      <c r="U278" s="3" t="inlineStr">
        <is>
          <t>ACTIVE</t>
        </is>
      </c>
      <c r="V278" s="3" t="inlineStr">
        <is>
          <t>2026-10-13</t>
        </is>
      </c>
      <c r="W278" s="3" t="n"/>
      <c r="X278" s="3" t="n"/>
      <c r="Y278" s="6" t="inlineStr">
        <is>
          <t>TESTED, NOT VERIFIED (G11)</t>
        </is>
      </c>
    </row>
    <row r="279" ht="60" customHeight="1">
      <c r="A279" s="3" t="inlineStr">
        <is>
          <t>MK-NW-F-059</t>
        </is>
      </c>
      <c r="B279" s="3" t="inlineStr">
        <is>
          <t>currentYield</t>
        </is>
      </c>
      <c r="C279" s="3" t="inlineStr">
        <is>
          <t>src/domain/bonds/index.ts</t>
        </is>
      </c>
      <c r="D279" s="3" t="n">
        <v>400</v>
      </c>
      <c r="E279" s="3" t="inlineStr">
        <is>
          <t>3 · DEPENDENT</t>
        </is>
      </c>
      <c r="F279" s="3" t="inlineStr">
        <is>
          <t>Current yield = annual coupon ÷ current price/value.</t>
        </is>
      </c>
      <c r="G279" s="11" t="inlineStr">
        <is>
          <t>current yield = annual coupon ÷ current value</t>
        </is>
      </c>
      <c r="H279" s="3" t="inlineStr">
        <is>
          <t>The interest a year as a share of what the bond is worth now. If the recorded value is a dirty price it carries accrued interest, and the yield reads low — the file does not say which it is.</t>
        </is>
      </c>
      <c r="I279" s="3" t="inlineStr">
        <is>
          <t>READ BY HAND 2026-08-26 — checked line by line against the code</t>
        </is>
      </c>
      <c r="J279" s="3" t="inlineStr">
        <is>
          <t>b: BondInfo</t>
        </is>
      </c>
      <c r="K279" s="3" t="inlineStr">
        <is>
          <t>number | null</t>
        </is>
      </c>
      <c r="L279" s="3" t="inlineStr">
        <is>
          <t>—</t>
        </is>
      </c>
      <c r="M279" s="3" t="inlineStr">
        <is>
          <t>None found in this function — anything it assumes comes from the functions it depends on.</t>
        </is>
      </c>
      <c r="N279" s="3" t="inlineStr">
        <is>
          <t>Yes</t>
        </is>
      </c>
      <c r="O279" s="3" t="inlineStr">
        <is>
          <t>MK-NW-F-112 yearlyInterest</t>
        </is>
      </c>
      <c r="P279" s="3" t="n">
        <v>1</v>
      </c>
      <c r="Q279" s="3" t="inlineStr">
        <is>
          <t>MK-NW-F-112 yearlyInterest</t>
        </is>
      </c>
      <c r="R279" s="3" t="inlineStr">
        <is>
          <t>MK-NW-F-112 yearlyInterest → MK-NW-F-059 currentYield</t>
        </is>
      </c>
      <c r="S279" s="3" t="inlineStr">
        <is>
          <t>—</t>
        </is>
      </c>
      <c r="T279" s="3" t="inlineStr">
        <is>
          <t>BOND_CURRENT_YIELD</t>
        </is>
      </c>
      <c r="U279" s="3" t="inlineStr">
        <is>
          <t>ACTIVE</t>
        </is>
      </c>
      <c r="V279" s="3" t="inlineStr">
        <is>
          <t>2026-09-27</t>
        </is>
      </c>
      <c r="W279" s="3" t="inlineStr">
        <is>
          <t>[from MK-NW-M-044, typed A47; and K45] subtract accrued interest when recorded, caveat when not; yield always two decimals.</t>
        </is>
      </c>
      <c r="X279" s="6" t="inlineStr">
        <is>
          <t>coupon ÷ value, no accrued-interest term (no field exists yet — after brief Q-38 (2026-08-20)). Two decimals: already on the Bonds screen; account detail's two yield rows still one decimal — fix there. Caveat wording: Q45.</t>
        </is>
      </c>
      <c r="Y279" s="6" t="inlineStr">
        <is>
          <t>WAITING ON YOU — answer to read · TESTED, NOT VERIFIED (A47)</t>
        </is>
      </c>
    </row>
    <row r="280" ht="60" customHeight="1">
      <c r="A280" s="3" t="inlineStr">
        <is>
          <t>MK-NW-F-060</t>
        </is>
      </c>
      <c r="B280" s="3" t="inlineStr">
        <is>
          <t>approxYTM</t>
        </is>
      </c>
      <c r="C280" s="3" t="inlineStr">
        <is>
          <t>src/domain/bonds/index.ts</t>
        </is>
      </c>
      <c r="D280" s="3" t="n">
        <v>570</v>
      </c>
      <c r="E280" s="3" t="inlineStr">
        <is>
          <t>3 · DEPENDENT</t>
        </is>
      </c>
      <c r="F280" s="3" t="inlineStr">
        <is>
          <t>Yield to maturity, solved from the price, decimal; a CD bought from the bank yields its rate (DEC-3837, 2026-10-10).</t>
        </is>
      </c>
      <c r="G280" s="11" t="inlineStr">
        <is>
          <t>nothing   when there is no maturity date or it has passed
a CD bought from the bank (not priced like a bond): the answer = its interest rate (DEC-3837, 2026-10-10)
nothing   when no face value or no rate was entered, or the value is 0 or less
full price = value + accrued interest (as entered, else estimated accrued)
the answer = the yield y at which price at yield(y) = full price, found by halving the interval</t>
        </is>
      </c>
      <c r="H280" s="3" t="inlineStr">
        <is>
          <t>The real yield, solved: the rate that discounts every remaining coupon and the face value back to the full price. A CD bought from the bank yields its stated rate, with or without a face value; a CD bought through a broker is priced like a bond (DEC-3837, 2026-10-10).</t>
        </is>
      </c>
      <c r="I280" s="3" t="inlineStr">
        <is>
          <t>READ BY HAND 2026-08-26 — checked line by line against the code</t>
        </is>
      </c>
      <c r="J280" s="3" t="inlineStr">
        <is>
          <t>1. b: BondInfo
2. now: Date = new Date()</t>
        </is>
      </c>
      <c r="K280" s="3" t="inlineStr">
        <is>
          <t>number | null</t>
        </is>
      </c>
      <c r="L280" s="3" t="inlineStr">
        <is>
          <t>—</t>
        </is>
      </c>
      <c r="M280" s="3" t="inlineStr">
        <is>
          <t>1. If amount is missing it uses 0.
2. Uses today's date from the device clock, so the answer changes by itself overnight.
3. 'value' is the bond's current value as entered (the balance) — the SAME total basis as face, not a price per $100 (founder question G20, 2026-09-08).</t>
        </is>
      </c>
      <c r="N280" s="3" t="inlineStr">
        <is>
          <t>Yes</t>
        </is>
      </c>
      <c r="O280" s="3" t="inlineStr">
        <is>
          <t>1. MK-NW-F-119 estimatedAccrued
2. MK-NW-F-069 priceAtYield
3. MK-NW-F-131 pricedLikeBond
4. MK-NW-F-058 yearsToMaturity</t>
        </is>
      </c>
      <c r="P280" s="3" t="n">
        <v>20</v>
      </c>
      <c r="Q280" s="3" t="inlineStr">
        <is>
          <t>1. MK-NW-F-119 estimatedAccrued
2. MK-NW-F-069 priceAtYield
3. MK-NW-F-131 pricedLikeBond
4. MK-NW-F-058 yearsToMaturity
5. MK-NW-F-124 maturityParts
6. MK-XS-F-122 n
7. MK-NW-F-057 annualCoupon
8. MK-CF-F-155 cash
9. MK-NW-F-009 maturityClass
10. MK-CF-F-216 typed
11. MK-NW-F-011 assetClassOf
12. MK-NW-F-120 classEvidenceOf
13. MK-NW-F-008 incomeBearingClassOf
14. MK-ST-F-010 nameEvidence
15. MK-XS-F-147 call
16. MK-ST-F-056 has
17. MK-CF-F-132 map
18. MK-ST-F-027 accountId
19. MK-XS-F-064 currentIdToken
20. MK-XS-F-112 relayUrl</t>
        </is>
      </c>
      <c r="R280" s="3" t="inlineStr">
        <is>
          <t>1. MK-NW-F-120 classEvidenceOf → MK-NW-F-011 assetClassOf → MK-NW-F-009 maturityClass → MK-NW-F-124 maturityParts → MK-NW-F-119 estimatedAccrued → MK-NW-F-060 approxYTM
2. maturityParts (already above — a loop) → MK-NW-F-009 maturityClass → MK-NW-F-124 maturityParts → MK-NW-F-119 estimatedAccrued → MK-NW-F-060 approxYTM
3. MK-CF-F-216 typed → MK-NW-F-009 maturityClass → MK-NW-F-124 maturityParts → MK-NW-F-119 estimatedAccrued → MK-NW-F-060 approxYTM
4. MK-CF-F-216 typed → MK-NW-F-124 maturityParts → MK-NW-F-119 estimatedAccrued → MK-NW-F-060 approxYTM
5. MK-XS-F-122 n → MK-NW-F-119 estimatedAccrued → MK-NW-F-060 approxYTM
6. MK-XS-F-122 n → MK-CF-F-155 cash → MK-NW-F-131 pricedLikeBond → MK-NW-F-119 estimatedAccrued → MK-NW-F-060 approxYTM
7. MK-NW-F-057 annualCoupon → MK-NW-F-069 priceAtYield → MK-NW-F-060 approxYTM
8. MK-NW-F-011 assetClassOf → MK-NW-F-009 maturityClass → MK-NW-F-124 maturityParts → MK-NW-F-058 yearsToMaturity → MK-NW-F-069 priceAtYield → MK-NW-F-060 approxYTM
9. … and 5 more paths</t>
        </is>
      </c>
      <c r="S280" s="3" t="inlineStr">
        <is>
          <t>—</t>
        </is>
      </c>
      <c r="T280" s="3" t="inlineStr">
        <is>
          <t>BOND_YIELD_TO_MATURITY</t>
        </is>
      </c>
      <c r="U280" s="3" t="inlineStr">
        <is>
          <t>ACTIVE</t>
        </is>
      </c>
      <c r="V280" s="3" t="inlineStr">
        <is>
          <t>2026-10-10</t>
        </is>
      </c>
      <c r="W280" s="3" t="inlineStr">
        <is>
          <t>[from MK-NW-M-041, Formula (in words)] why compute yield when the coupon rate is an input?</t>
        </is>
      </c>
      <c r="X280" s="6" t="inlineStr">
        <is>
          <t>Yield to maturity is derived from coupon, face, value and years left — it cannot be an input. Coupon RATE stays an input (MK-XS-I-012). Two decimals on the account-detail row still owed (K45).</t>
        </is>
      </c>
      <c r="Y280" s="6" t="inlineStr">
        <is>
          <t>WAITING ON YOU — answer to read · TESTED, NOT VERIFIED (G11, G20)</t>
        </is>
      </c>
    </row>
    <row r="281" ht="60" customHeight="1">
      <c r="A281" s="3" t="inlineStr">
        <is>
          <t>MK-NW-F-061</t>
        </is>
      </c>
      <c r="B281" s="3" t="inlineStr">
        <is>
          <t>bondSummary</t>
        </is>
      </c>
      <c r="C281" s="3" t="inlineStr">
        <is>
          <t>src/domain/bonds/index.ts</t>
        </is>
      </c>
      <c r="D281" s="3" t="n">
        <v>656</v>
      </c>
      <c r="E281" s="3" t="inlineStr">
        <is>
          <t>3 · DEPENDENT</t>
        </is>
      </c>
      <c r="F281" s="3" t="inlineStr">
        <is>
          <t>Adds up every bond and CD held: how many there are, what they are worth, their face value, the interest they pay in a year, their average yield and the next one to mature.</t>
        </is>
      </c>
      <c r="G281" s="11" t="inlineStr">
        <is>
          <t>list = bonds (or none when missing)
total value = Σ over list of (value)
total face = Σ over list of (face (or 0 when missing))
coupon = Σ over list of (yearly interest now(each, now) (or 0 when missing))
clean = (b: bond info) =&gt; value
priced = list where clean(each) &gt; 0 and yearly interest(each) ≠ nothing and !is past maturity(maturity, now)
clean value = Σ over priced of (clean(each))
avg yield = Σ over clean value &gt; 0 ? priced of (yearly interest(each) (or 0 when missing))÷ clean value : nothing
today = iso local date(now)
the answer:
count = count of list
total value = total value
total face = total face
annual coupon = coupon
avg yield = avg yield
next maturity = the first of future (or nothing when missing)</t>
        </is>
      </c>
      <c r="H281" s="3" t="inlineStr">
        <is>
          <t>List is bonds (or none — when missing). Total value: the value added up across list. Total face: the face (or 0 — when missing) added up across list. Coupon: the yearly interest now(each, now) (or 0 — when missing) added up across list. Clean is (b: bond info) =&gt; value. Priced is list where clean(each) &gt; 0 and yearly interest(each) is not no answer and !is past maturity(maturity, now). Clean value: the clean(each) added up across priced. Avg yield: the yearly interest(each added up across clean value &gt; 0 ? priced (or 0 — when missing))÷ clean value : no answer. Today is iso local date(now). The answer is count = how many list there are; total value = total value; total face = total face; annual coupon = coupon; avg yield = avg yield; next maturity = the first of future (or no answer — when missing).</t>
        </is>
      </c>
      <c r="I281" s="3" t="inlineStr">
        <is>
          <t>PARTLY READ — some of the code is still showing through; needs a hand pass</t>
        </is>
      </c>
      <c r="J281" s="3" t="inlineStr">
        <is>
          <t>1. bonds: BondInfo[]
2. now: Date = new Date()</t>
        </is>
      </c>
      <c r="K281" s="3" t="inlineStr">
        <is>
          <t>BondSummary</t>
        </is>
      </c>
      <c r="L281" s="3" t="inlineStr">
        <is>
          <t>—</t>
        </is>
      </c>
      <c r="M281" s="3" t="inlineStr">
        <is>
          <t>1. If face is missing it uses 0.
2. Uses today's date from the device clock, so the answer changes by itself overnight.</t>
        </is>
      </c>
      <c r="N281" s="3" t="inlineStr">
        <is>
          <t>Yes</t>
        </is>
      </c>
      <c r="O281" s="3" t="inlineStr">
        <is>
          <t>1. MK-NW-F-125 isPastMaturity
2. MK-ST-F-065 isoLocalDate
3. MK-CF-F-132 map
4. MK-NW-F-124 maturityParts
5. MK-NW-F-112 yearlyInterest
6. MK-NW-F-126 yearlyInterestNow</t>
        </is>
      </c>
      <c r="P281" s="3" t="n">
        <v>19</v>
      </c>
      <c r="Q281" s="3" t="inlineStr">
        <is>
          <t>1. MK-NW-F-125 isPastMaturity
2. MK-ST-F-065 isoLocalDate
3. MK-CF-F-132 map
4. MK-NW-F-124 maturityParts
5. MK-NW-F-112 yearlyInterest
6. MK-NW-F-126 yearlyInterestNow
7. MK-NW-F-009 maturityClass
8. MK-CF-F-216 typed
9. MK-NW-F-011 assetClassOf
10. MK-NW-F-120 classEvidenceOf
11. MK-CF-F-155 cash
12. MK-NW-F-008 incomeBearingClassOf
13. MK-XS-F-122 n
14. MK-ST-F-010 nameEvidence
15. MK-XS-F-147 call
16. MK-ST-F-056 has
17. MK-ST-F-027 accountId
18. MK-XS-F-064 currentIdToken
19. MK-XS-F-112 relayUrl</t>
        </is>
      </c>
      <c r="R281" s="3" t="inlineStr">
        <is>
          <t>1. MK-ST-F-065 isoLocalDate → MK-NW-F-125 isPastMaturity → MK-NW-F-061 bondSummary
2. MK-NW-F-120 classEvidenceOf → MK-NW-F-011 assetClassOf → MK-NW-F-009 maturityClass → MK-NW-F-124 maturityParts → MK-NW-F-125 isPastMaturity → MK-NW-F-061 bondSummary
3. maturityParts (already above — a loop) → MK-NW-F-009 maturityClass → MK-NW-F-124 maturityParts → MK-NW-F-125 isPastMaturity → MK-NW-F-061 bondSummary
4. MK-CF-F-216 typed → MK-NW-F-009 maturityClass → MK-NW-F-124 maturityParts → MK-NW-F-125 isPastMaturity → MK-NW-F-061 bondSummary
5. MK-CF-F-216 typed → MK-NW-F-124 maturityParts → MK-NW-F-125 isPastMaturity → MK-NW-F-061 bondSummary
6. MK-ST-F-065 isoLocalDate → MK-NW-F-061 bondSummary
7. MK-CF-F-132 map → MK-NW-F-061 bondSummary
8. MK-CF-F-155 cash → MK-NW-F-120 classEvidenceOf → MK-NW-F-011 assetClassOf → MK-NW-F-009 maturityClass → MK-NW-F-124 maturityParts → MK-NW-F-061 bondSummary
9. … and 5 more paths</t>
        </is>
      </c>
      <c r="S281" s="3" t="inlineStr">
        <is>
          <t>—</t>
        </is>
      </c>
      <c r="T281" s="3" t="inlineStr">
        <is>
          <t>—</t>
        </is>
      </c>
      <c r="U281" s="3" t="inlineStr">
        <is>
          <t>ACTIVE</t>
        </is>
      </c>
      <c r="V281" s="3" t="inlineStr">
        <is>
          <t>2026-10-13</t>
        </is>
      </c>
      <c r="W281" s="3" t="inlineStr">
        <is>
          <t>[from MK-NW-M-041 / M-042 / M-043] total value = sum of what? inputs should be face value; matured bonds and the coupon total.</t>
        </is>
      </c>
      <c r="X281" s="6" t="inlineStr">
        <is>
          <t>totalValue = Σ each bond's entered value (the balance); totalFace = Σ face (MK-XS-I-011); count = number of bond records; the coupon total inherits JJ-3 (matured bonds still counted). This is the real producer of MK-NW-M-041 and M-042 — both rows should name it.</t>
        </is>
      </c>
      <c r="Y281" s="6" t="inlineStr">
        <is>
          <t>WAITING ON YOU — answer to read</t>
        </is>
      </c>
    </row>
    <row r="282" ht="60" customHeight="1">
      <c r="A282" s="3" t="inlineStr">
        <is>
          <t>MK-NW-F-062</t>
        </is>
      </c>
      <c r="B282" s="3" t="inlineStr">
        <is>
          <t>couponIncomeAnnual</t>
        </is>
      </c>
      <c r="C282" s="3" t="inlineStr">
        <is>
          <t>src/domain/bonds/index.ts</t>
        </is>
      </c>
      <c r="D282" s="3" t="n">
        <v>700</v>
      </c>
      <c r="E282" s="3" t="inlineStr">
        <is>
          <t>3 · DEPENDENT (feeds an action only)</t>
        </is>
      </c>
      <c r="F282" s="3" t="inlineStr">
        <is>
          <t>Total annual coupon income across the user's INDIVIDUAL bonds (kept for the Bonds screen summary).</t>
        </is>
      </c>
      <c r="G282" s="11" t="inlineStr">
        <is>
          <t>Σ over accounts (or none when missing) where is bond of (yearly interest now(bond info(each), now) (or 0 when missing))</t>
        </is>
      </c>
      <c r="H282" s="3" t="inlineStr">
        <is>
          <t>the yearly interest now(bond info(each), now) (or 0 — when missing) added up across accounts (or none — when missing) where is bond.</t>
        </is>
      </c>
      <c r="I282" s="3" t="inlineStr">
        <is>
          <t>READ FROM THE CODE — rendered from the expressions the function runs</t>
        </is>
      </c>
      <c r="J282" s="3" t="inlineStr">
        <is>
          <t>1. accounts: AssetAccount[]
2. now: Date = new Date()</t>
        </is>
      </c>
      <c r="K282" s="3" t="inlineStr">
        <is>
          <t>number</t>
        </is>
      </c>
      <c r="L282" s="3" t="inlineStr">
        <is>
          <t>—</t>
        </is>
      </c>
      <c r="M282" s="3" t="inlineStr">
        <is>
          <t>· Uses today's date from the device clock, so the answer changes by itself overnight.</t>
        </is>
      </c>
      <c r="N282" s="3" t="inlineStr">
        <is>
          <t>No</t>
        </is>
      </c>
      <c r="O282" s="3" t="inlineStr">
        <is>
          <t>1. MK-NW-F-056 bondInfo
2. MK-NW-F-063 interestIncomeAnnual
3. MK-NW-F-055 isBond
4. MK-NW-F-126 yearlyInterestNow</t>
        </is>
      </c>
      <c r="P282" s="3" t="n">
        <v>22</v>
      </c>
      <c r="Q282" s="3" t="inlineStr">
        <is>
          <t>1. MK-NW-F-056 bondInfo
2. MK-NW-F-063 interestIncomeAnnual
3. MK-NW-F-055 isBond
4. MK-NW-F-126 yearlyInterestNow
5. MK-CF-F-155 cash
6. MK-NW-F-124 maturityParts
7. MK-NW-F-011 assetClassOf
8. MK-NW-F-125 isPastMaturity
9. MK-NW-F-112 yearlyInterest
10. MK-XS-F-122 n
11. MK-NW-F-009 maturityClass
12. MK-CF-F-216 typed
13. MK-NW-F-120 classEvidenceOf
14. MK-ST-F-065 isoLocalDate
15. MK-NW-F-008 incomeBearingClassOf
16. MK-ST-F-010 nameEvidence
17. MK-XS-F-147 call
18. MK-ST-F-056 has
19. MK-CF-F-132 map
20. MK-ST-F-027 accountId
21. MK-XS-F-064 currentIdToken
22. MK-XS-F-112 relayUrl</t>
        </is>
      </c>
      <c r="R282" s="3" t="inlineStr">
        <is>
          <t>1. MK-XS-F-122 n → MK-CF-F-155 cash → MK-NW-F-056 bondInfo → MK-NW-F-062 couponIncomeAnnual
2. MK-NW-F-120 classEvidenceOf → MK-NW-F-011 assetClassOf → MK-NW-F-009 maturityClass → MK-NW-F-124 maturityParts → MK-NW-F-056 bondInfo → MK-NW-F-062 couponIncomeAnnual
3. maturityParts (already above — a loop) → MK-NW-F-009 maturityClass → MK-NW-F-124 maturityParts → MK-NW-F-056 bondInfo → MK-NW-F-062 couponIncomeAnnual
4. MK-CF-F-216 typed → MK-NW-F-009 maturityClass → MK-NW-F-124 maturityParts → MK-NW-F-056 bondInfo → MK-NW-F-062 couponIncomeAnnual
5. MK-CF-F-216 typed → MK-NW-F-124 maturityParts → MK-NW-F-056 bondInfo → MK-NW-F-062 couponIncomeAnnual
6. MK-XS-F-122 n → MK-CF-F-155 cash → MK-NW-F-120 classEvidenceOf → MK-NW-F-011 assetClassOf → MK-NW-F-063 interestIncomeAnnual → MK-NW-F-062 couponIncomeAnnual
7. MK-CF-F-155 cash → MK-NW-F-008 incomeBearingClassOf → MK-NW-F-120 classEvidenceOf → MK-NW-F-011 assetClassOf → MK-NW-F-063 interestIncomeAnnual → MK-NW-F-062 couponIncomeAnnual
8. MK-ST-F-010 nameEvidence → MK-NW-F-008 incomeBearingClassOf → MK-NW-F-120 classEvidenceOf → MK-NW-F-011 assetClassOf → MK-NW-F-063 interestIncomeAnnual → MK-NW-F-062 couponIncomeAnnual
9. … and 5 more paths</t>
        </is>
      </c>
      <c r="S282" s="3" t="inlineStr">
        <is>
          <t>—</t>
        </is>
      </c>
      <c r="T282" s="3" t="inlineStr">
        <is>
          <t>—</t>
        </is>
      </c>
      <c r="U282" s="3" t="inlineStr">
        <is>
          <t>ACTIVE</t>
        </is>
      </c>
      <c r="V282" s="3" t="inlineStr">
        <is>
          <t>2026-10-09</t>
        </is>
      </c>
      <c r="W282" s="3" t="n"/>
      <c r="X282" s="3" t="n"/>
      <c r="Y282" s="3" t="inlineStr">
        <is>
          <t>NOTHING OPEN</t>
        </is>
      </c>
    </row>
    <row r="283" ht="60" customHeight="1">
      <c r="A283" s="3" t="inlineStr">
        <is>
          <t>MK-NW-F-063</t>
        </is>
      </c>
      <c r="B283" s="3" t="inlineStr">
        <is>
          <t>interestIncomeAnnual</t>
        </is>
      </c>
      <c r="C283" s="3" t="inlineStr">
        <is>
          <t>src/domain/bonds/index.ts</t>
        </is>
      </c>
      <c r="D283" s="3" t="n">
        <v>739</v>
      </c>
      <c r="E283" s="3" t="inlineStr">
        <is>
          <t>3 · DEPENDENT (feeds an action only)</t>
        </is>
      </c>
      <c r="F283" s="3" t="inlineStr">
        <is>
          <t>The interest every bond, CD and rate-paying cash account pays in a year, added up, counting nothing for a holding that states no rate.</t>
        </is>
      </c>
      <c r="G283" s="11" t="inlineStr">
        <is>
          <t>cls = asset class of(a)
the answer = t + (yearly interest now(bond info(a), now) ?? 0)</t>
        </is>
      </c>
      <c r="H283" s="3" t="inlineStr">
        <is>
          <t>Cls is asset class of(a). The answer is t plus (yearly interest now(bond info(a), now) ?? 0).</t>
        </is>
      </c>
      <c r="I283" s="3" t="inlineStr">
        <is>
          <t>PARTLY READ — some of the code is still showing through; needs a hand pass</t>
        </is>
      </c>
      <c r="J283" s="3" t="inlineStr">
        <is>
          <t>1. accounts: AssetAccount[]
2. now: Date = new Date()</t>
        </is>
      </c>
      <c r="K283" s="3" t="inlineStr">
        <is>
          <t>number</t>
        </is>
      </c>
      <c r="L283" s="3" t="inlineStr">
        <is>
          <t>—</t>
        </is>
      </c>
      <c r="M283" s="3" t="inlineStr">
        <is>
          <t>1. If coupon rate is missing it counts as zero, so nothing recorded and a real zero look the same.
2. If balance is missing it counts as zero, so nothing recorded and a real zero look the same.
3. Uses today's date from the device clock, so the answer changes by itself overnight.</t>
        </is>
      </c>
      <c r="N283" s="3" t="inlineStr">
        <is>
          <t>No</t>
        </is>
      </c>
      <c r="O283" s="3" t="inlineStr">
        <is>
          <t>1. MK-NW-F-011 assetClassOf
2. MK-NW-F-056 bondInfo
3. MK-NW-F-126 yearlyInterestNow</t>
        </is>
      </c>
      <c r="P283" s="3" t="n">
        <v>20</v>
      </c>
      <c r="Q283" s="3" t="inlineStr">
        <is>
          <t>1. MK-NW-F-011 assetClassOf
2. MK-NW-F-056 bondInfo
3. MK-NW-F-126 yearlyInterestNow
4. MK-NW-F-120 classEvidenceOf
5. MK-CF-F-155 cash
6. MK-NW-F-124 maturityParts
7. MK-NW-F-125 isPastMaturity
8. MK-NW-F-112 yearlyInterest
9. MK-NW-F-008 incomeBearingClassOf
10. MK-NW-F-009 maturityClass
11. MK-XS-F-122 n
12. MK-CF-F-216 typed
13. MK-ST-F-065 isoLocalDate
14. MK-ST-F-010 nameEvidence
15. MK-XS-F-147 call
16. MK-ST-F-056 has
17. MK-CF-F-132 map
18. MK-ST-F-027 accountId
19. MK-XS-F-064 currentIdToken
20. MK-XS-F-112 relayUrl</t>
        </is>
      </c>
      <c r="R283" s="3" t="inlineStr">
        <is>
          <t>1. MK-XS-F-122 n → MK-CF-F-155 cash → MK-NW-F-120 classEvidenceOf → MK-NW-F-011 assetClassOf → MK-NW-F-063 interestIncomeAnnual
2. MK-XS-F-122 n → MK-CF-F-155 cash → MK-NW-F-008 incomeBearingClassOf → MK-NW-F-120 classEvidenceOf → MK-NW-F-011 assetClassOf → MK-NW-F-063 interestIncomeAnnual
3. MK-XS-F-147 call → MK-ST-F-010 nameEvidence → MK-NW-F-008 incomeBearingClassOf → MK-NW-F-120 classEvidenceOf → MK-NW-F-011 assetClassOf → MK-NW-F-063 interestIncomeAnnual
4. MK-ST-F-056 has → MK-ST-F-010 nameEvidence → MK-NW-F-008 incomeBearingClassOf → MK-NW-F-120 classEvidenceOf → MK-NW-F-011 assetClassOf → MK-NW-F-063 interestIncomeAnnual
5. MK-CF-F-132 map → MK-ST-F-010 nameEvidence → MK-NW-F-008 incomeBearingClassOf → MK-NW-F-120 classEvidenceOf → MK-NW-F-011 assetClassOf → MK-NW-F-063 interestIncomeAnnual
6. assetClassOf (already above — a loop) → MK-NW-F-009 maturityClass → MK-NW-F-120 classEvidenceOf → MK-NW-F-011 assetClassOf → MK-NW-F-063 interestIncomeAnnual
7. maturityClass (already above — a loop) → MK-NW-F-124 maturityParts → MK-NW-F-009 maturityClass → MK-NW-F-120 classEvidenceOf → MK-NW-F-011 assetClassOf → MK-NW-F-063 interestIncomeAnnual
8. MK-CF-F-216 typed → MK-NW-F-124 maturityParts → MK-NW-F-009 maturityClass → MK-NW-F-120 classEvidenceOf → MK-NW-F-011 assetClassOf → MK-NW-F-063 interestIncomeAnnual
9. … and 5 more paths</t>
        </is>
      </c>
      <c r="S283" s="3" t="inlineStr">
        <is>
          <t>—</t>
        </is>
      </c>
      <c r="T283" s="3" t="inlineStr">
        <is>
          <t>—</t>
        </is>
      </c>
      <c r="U283" s="3" t="inlineStr">
        <is>
          <t>ACTIVE</t>
        </is>
      </c>
      <c r="V283" s="3" t="inlineStr">
        <is>
          <t>2026-10-09</t>
        </is>
      </c>
      <c r="W283" s="3" t="inlineStr">
        <is>
          <t>[from MK-NW-M-043 / M-045, typed A46] If coupon rate is not available use 0.</t>
        </is>
      </c>
      <c r="X283" s="6" t="inlineStr">
        <is>
          <t>JJ-4: still falls back to 4.2% (DEFAULT_BOND_YIELD) for a bond fund with no rate, and the paycheck income lines do the same. Fix: 0 + 'no rate recorded'. Also inherits JJ-3 (matured bonds). The other 4.2%/4% figures are expected-return defaults, a different concept — Q44.</t>
        </is>
      </c>
      <c r="Y283" s="6" t="inlineStr">
        <is>
          <t>WAITING ON YOU — answer to read · TESTED, NOT VERIFIED (A46)</t>
        </is>
      </c>
    </row>
    <row r="284" ht="60" customHeight="1">
      <c r="A284" s="3" t="inlineStr">
        <is>
          <t>MK-NW-F-064</t>
        </is>
      </c>
      <c r="B284" s="3" t="inlineStr">
        <is>
          <t>bondRateSensitivity</t>
        </is>
      </c>
      <c r="C284" s="3" t="inlineStr">
        <is>
          <t>src/domain/bonds/index.ts</t>
        </is>
      </c>
      <c r="D284" s="3" t="n">
        <v>869</v>
      </c>
      <c r="E284" s="3" t="inlineStr">
        <is>
          <t>3 · DEPENDENT</t>
        </is>
      </c>
      <c r="F284" s="3" t="inlineStr">
        <is>
          <t>What happens to this bond if interest rates move?</t>
        </is>
      </c>
      <c r="G284" s="11" t="inlineStr">
        <is>
          <t>ytm = approx ytm(b, now)
nothing   when !priced like bond(b) (or ytm = nothing (or face = nothing (or face ≤ 0 (or not (coupon rate ≠ nothing and coupon rate &gt; 0) when missing or zero) when missing or zero) when missing or zero) when missing or zero)
step = (10)^(max(0, round down(math.log10(math.max(value, 1))) − 2))
base = price at yield(b, ytm, now)
nothing   when base = nothing
change = (price at yield(b, math.max(0.0001, ytm + delta), now) ?? base) − base
v = value + change
the answer:
rates up = move(0.01)
rates down = move(-0.01)</t>
        </is>
      </c>
      <c r="H284" s="3" t="inlineStr">
        <is>
          <t>Ytm is approx ytm(b, now). When !priced like bond(b) (or ytm is missing (or face is missing (or face is at most 0 (or not (coupon rate is not no answer and coupon rate &gt; 0) — when missing or zero) — when missing or zero) — when missing or zero) — when missing or zero), it answers no answer. Step is (10)^(math.log10(math.the larger of value and 1, rounded down, never below zero minus 2)). Base is price at yield(b, ytm, now). When base is missing, it answers no answer. Change is (price at yield(b, math.the larger of 0.0001 and ytm plus delta, now) ?? base) minus base. V is value plus change. The answer is rates up = move(0.01); rates down = move(-0.01).</t>
        </is>
      </c>
      <c r="I284" s="3" t="inlineStr">
        <is>
          <t>PARTLY READ — some of the code is still showing through; needs a hand pass</t>
        </is>
      </c>
      <c r="J284" s="3" t="inlineStr">
        <is>
          <t>1. b: BondInfo
2. now: Date = new Date()</t>
        </is>
      </c>
      <c r="K284" s="3" t="inlineStr">
        <is>
          <t>RateSensitivity | null</t>
        </is>
      </c>
      <c r="L284" s="3" t="inlineStr">
        <is>
          <t>—</t>
        </is>
      </c>
      <c r="M284" s="3" t="inlineStr">
        <is>
          <t>1. Applies a built-in rate of 99% to v.
2. Uses today's date from the device clock, so the answer changes by itself overnight.
3. Never lets value fall below 1.
4. Rounds the answer to a whole number.</t>
        </is>
      </c>
      <c r="N284" s="3" t="inlineStr">
        <is>
          <t>Yes</t>
        </is>
      </c>
      <c r="O284" s="3" t="inlineStr">
        <is>
          <t>1. MK-NW-F-060 approxYTM
2. MK-NW-F-069 priceAtYield
3. MK-NW-F-131 pricedLikeBond</t>
        </is>
      </c>
      <c r="P284" s="3" t="n">
        <v>21</v>
      </c>
      <c r="Q284" s="3" t="inlineStr">
        <is>
          <t>1. MK-NW-F-060 approxYTM
2. MK-NW-F-069 priceAtYield
3. MK-NW-F-131 pricedLikeBond
4. MK-NW-F-119 estimatedAccrued
5. MK-NW-F-058 yearsToMaturity
6. MK-NW-F-057 annualCoupon
7. MK-CF-F-155 cash
8. MK-NW-F-124 maturityParts
9. MK-XS-F-122 n
10. MK-NW-F-009 maturityClass
11. MK-CF-F-216 typed
12. MK-NW-F-011 assetClassOf
13. MK-NW-F-120 classEvidenceOf
14. MK-NW-F-008 incomeBearingClassOf
15. MK-ST-F-010 nameEvidence
16. MK-XS-F-147 call
17. MK-ST-F-056 has
18. MK-CF-F-132 map
19. MK-ST-F-027 accountId
20. MK-XS-F-064 currentIdToken
21. MK-XS-F-112 relayUrl</t>
        </is>
      </c>
      <c r="R284" s="3" t="inlineStr">
        <is>
          <t>1. MK-NW-F-011 assetClassOf → MK-NW-F-009 maturityClass → MK-NW-F-124 maturityParts → MK-NW-F-119 estimatedAccrued → MK-NW-F-060 approxYTM → MK-NW-F-064 bondRateSensitivity
2. maturityParts (already above — a loop) → MK-NW-F-009 maturityClass → MK-NW-F-124 maturityParts → MK-NW-F-119 estimatedAccrued → MK-NW-F-060 approxYTM → MK-NW-F-064 bondRateSensitivity
3. MK-CF-F-216 typed → MK-NW-F-009 maturityClass → MK-NW-F-124 maturityParts → MK-NW-F-119 estimatedAccrued → MK-NW-F-060 approxYTM → MK-NW-F-064 bondRateSensitivity
4. MK-CF-F-216 typed → MK-NW-F-124 maturityParts → MK-NW-F-119 estimatedAccrued → MK-NW-F-060 approxYTM → MK-NW-F-064 bondRateSensitivity
5. MK-XS-F-122 n → MK-NW-F-119 estimatedAccrued → MK-NW-F-060 approxYTM → MK-NW-F-064 bondRateSensitivity
6. MK-XS-F-122 n → MK-CF-F-155 cash → MK-NW-F-131 pricedLikeBond → MK-NW-F-119 estimatedAccrued → MK-NW-F-060 approxYTM → MK-NW-F-064 bondRateSensitivity
7. MK-NW-F-057 annualCoupon → MK-NW-F-069 priceAtYield → MK-NW-F-060 approxYTM → MK-NW-F-064 bondRateSensitivity
8. MK-NW-F-009 maturityClass → MK-NW-F-124 maturityParts → MK-NW-F-058 yearsToMaturity → MK-NW-F-069 priceAtYield → MK-NW-F-060 approxYTM → MK-NW-F-064 bondRateSensitivity
9. … and 5 more paths</t>
        </is>
      </c>
      <c r="S284" s="3" t="inlineStr">
        <is>
          <t>MK-NW-M-028</t>
        </is>
      </c>
      <c r="T284" s="3" t="inlineStr">
        <is>
          <t>IF_RATES_MOVE</t>
        </is>
      </c>
      <c r="U284" s="3" t="inlineStr">
        <is>
          <t>ACTIVE</t>
        </is>
      </c>
      <c r="V284" s="3" t="inlineStr">
        <is>
          <t>2026-10-10</t>
        </is>
      </c>
      <c r="W284" s="3" t="n"/>
      <c r="X284" s="3" t="n"/>
      <c r="Y284" s="6" t="inlineStr">
        <is>
          <t>TESTED, NOT VERIFIED (G11)</t>
        </is>
      </c>
    </row>
    <row r="285" ht="60" customHeight="1">
      <c r="A285" s="3" t="inlineStr">
        <is>
          <t>MK-NW-F-065</t>
        </is>
      </c>
      <c r="B285" s="3" t="inlineStr">
        <is>
          <t>buildNetWorth</t>
        </is>
      </c>
      <c r="C285" s="3" t="inlineStr">
        <is>
          <t>src/domain/networth/index.ts</t>
        </is>
      </c>
      <c r="D285" s="3" t="n">
        <v>35</v>
      </c>
      <c r="E285" s="3" t="inlineStr">
        <is>
          <t>3 · DEPENDENT</t>
        </is>
      </c>
      <c r="F285" s="3" t="inlineStr">
        <is>
          <t>Net worth from two totals: everything owned less everything owed.</t>
        </is>
      </c>
      <c r="G285" s="11" t="inlineStr">
        <is>
          <t>gross assets = round(assets total, 2 dp)
gross debt   = round(debt total, 2 dp)
net worth    = round(assets total − debt total, 2 dp)</t>
        </is>
      </c>
      <c r="H285"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85" s="3" t="inlineStr">
        <is>
          <t>READ BY HAND 2026-08-26 — checked line by line against the code</t>
        </is>
      </c>
      <c r="J285" s="3" t="inlineStr">
        <is>
          <t>1. uid: UserId
2. grossAssets: number
3. grossDebt: number</t>
        </is>
      </c>
      <c r="K285" s="3" t="inlineStr">
        <is>
          <t>NetWorthState</t>
        </is>
      </c>
      <c r="L285" s="3" t="inlineStr">
        <is>
          <t>—</t>
        </is>
      </c>
      <c r="M285" s="3" t="inlineStr">
        <is>
          <t>None found in this function — anything it assumes comes from the functions it depends on.</t>
        </is>
      </c>
      <c r="N285" s="3" t="inlineStr">
        <is>
          <t>Yes</t>
        </is>
      </c>
      <c r="O285" s="3" t="inlineStr">
        <is>
          <t>MK-XS-F-175 uid</t>
        </is>
      </c>
      <c r="P285" s="3" t="n">
        <v>206</v>
      </c>
      <c r="Q285"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285"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85" s="3" t="inlineStr">
        <is>
          <t>—</t>
        </is>
      </c>
      <c r="T285" s="3" t="inlineStr">
        <is>
          <t>NET_WORTH</t>
        </is>
      </c>
      <c r="U285" s="3" t="inlineStr">
        <is>
          <t>ACTIVE</t>
        </is>
      </c>
      <c r="V285" s="3" t="inlineStr">
        <is>
          <t>2026-09-27</t>
        </is>
      </c>
      <c r="W285" s="3" t="n"/>
      <c r="X285" s="3" t="n"/>
      <c r="Y285" s="3" t="inlineStr">
        <is>
          <t>NOTHING OPEN</t>
        </is>
      </c>
    </row>
    <row r="286" ht="60" customHeight="1">
      <c r="A286" s="3" t="inlineStr">
        <is>
          <t>MK-NW-F-066</t>
        </is>
      </c>
      <c r="B286" s="3" t="inlineStr">
        <is>
          <t>sumWhere</t>
        </is>
      </c>
      <c r="C286" s="3" t="inlineStr">
        <is>
          <t>src/domain/assets/index.ts</t>
        </is>
      </c>
      <c r="D286" s="3" t="n">
        <v>967</v>
      </c>
      <c r="E286" s="3" t="inlineStr">
        <is>
          <t>3 · DEPENDENT</t>
        </is>
      </c>
      <c r="F286" s="3" t="inlineStr">
        <is>
          <t>Adds up the balances of the accounts that pass a given test.</t>
        </is>
      </c>
      <c r="G286" s="11" t="inlineStr">
        <is>
          <t>hits = accounts (or none when missing) where pred
missing = hits where balance = nothing (or !number.is finite(balance as number) when missing or zero)
total = Σ over hits where !missing.includes(each) of (balance as number)
the answer:
total = total
missing count = count of missing</t>
        </is>
      </c>
      <c r="H286" s="3" t="inlineStr">
        <is>
          <t>Hits is accounts (or none — when missing) where pred. Missing is hits where balance is missing (or !number.is finite(balance as number) — when missing or zero). Total: the balance as number added up across hits where !missing.includes(each). The answer is total = total; missing count = how many missing there are.</t>
        </is>
      </c>
      <c r="I286" s="3" t="inlineStr">
        <is>
          <t>PARTLY READ — some of the code is still showing through; needs a hand pass</t>
        </is>
      </c>
      <c r="J286" s="3" t="inlineStr">
        <is>
          <t>1. accounts: AssetAccount[]
2. pred: (a: AssetAccount) =&gt; boolean</t>
        </is>
      </c>
      <c r="K286" s="3" t="inlineStr">
        <is>
          <t>NOT DECLARED — the code does not say what it gives back</t>
        </is>
      </c>
      <c r="L286" s="3" t="inlineStr">
        <is>
          <t>—</t>
        </is>
      </c>
      <c r="M286" s="3" t="inlineStr">
        <is>
          <t>None found in this function — anything it assumes comes from the functions it depends on.</t>
        </is>
      </c>
      <c r="N286" s="3" t="inlineStr">
        <is>
          <t>Yes</t>
        </is>
      </c>
      <c r="O286" s="3" t="inlineStr">
        <is>
          <t>—</t>
        </is>
      </c>
      <c r="P286" s="3" t="n">
        <v>0</v>
      </c>
      <c r="Q286" s="3" t="inlineStr">
        <is>
          <t>None — no dependent function stands behind it</t>
        </is>
      </c>
      <c r="R286" s="3" t="inlineStr">
        <is>
          <t>No dependent function — it reads its inputs and answers</t>
        </is>
      </c>
      <c r="S286" s="3" t="inlineStr">
        <is>
          <t>—</t>
        </is>
      </c>
      <c r="T286" s="3" t="inlineStr">
        <is>
          <t>—</t>
        </is>
      </c>
      <c r="U286" s="3" t="inlineStr">
        <is>
          <t>ACTIVE</t>
        </is>
      </c>
      <c r="V286" s="3" t="inlineStr">
        <is>
          <t>2026-10-08</t>
        </is>
      </c>
      <c r="W286" s="3" t="n"/>
      <c r="X286" s="3" t="n"/>
      <c r="Y286" s="3" t="inlineStr">
        <is>
          <t>NOTHING OPEN</t>
        </is>
      </c>
    </row>
    <row r="287" ht="60" customHeight="1">
      <c r="A287" s="3" t="inlineStr">
        <is>
          <t>MK-NW-F-067</t>
        </is>
      </c>
      <c r="B287" s="3" t="inlineStr">
        <is>
          <t>plural</t>
        </is>
      </c>
      <c r="C287" s="3" t="inlineStr">
        <is>
          <t>src/domain/_shared/plural.ts</t>
        </is>
      </c>
      <c r="D287" s="3" t="n">
        <v>76</v>
      </c>
      <c r="E287" s="3" t="inlineStr">
        <is>
          <t>2 · DISPLAYED</t>
        </is>
      </c>
      <c r="F287" s="3" t="inlineStr">
        <is>
          <t>Writes a count with its noun, singular for one and plural otherwise: 1 CD, 3 CDs.</t>
        </is>
      </c>
      <c r="G287" s="11" t="inlineStr">
        <is>
          <t>the answer = n + ' ' + (one   when n = 1;   many   otherwise)</t>
        </is>
      </c>
      <c r="H287" s="3" t="inlineStr">
        <is>
          <t>'1 account' or '3 accounts' — the word made plural when the count is not one. Display only.</t>
        </is>
      </c>
      <c r="I287" s="3" t="inlineStr">
        <is>
          <t>READ BY HAND 2026-08-26 — checked line by line against the code</t>
        </is>
      </c>
      <c r="J287" s="3" t="inlineStr">
        <is>
          <t>1. n: number
2. word: CountedWord
3. shown: string | number = n</t>
        </is>
      </c>
      <c r="K287" s="3" t="inlineStr">
        <is>
          <t>string</t>
        </is>
      </c>
      <c r="L287" s="3" t="inlineStr">
        <is>
          <t>1. "ACTIVITY" — on the account portfolio screen, under "ACTIVITY"
2. "Add the property first ›" — on the setup questions, which appear on more than one screen
3. "Interest rate % (optional)" — on a card used on more than one screen (DebtEditorSheet)
4. "Matures (CDs and dated bonds count under Bonds &amp; CDs)" — on the Net worth screen
5. "Matures" — on the account portfolio screen
6. "Nest egg today" — on the Retirement cockpit screen, under "scRetired ?"</t>
        </is>
      </c>
      <c r="M287" s="3" t="inlineStr">
        <is>
          <t>None found in this function — anything it assumes comes from the functions it depends on.</t>
        </is>
      </c>
      <c r="N287" s="3" t="inlineStr">
        <is>
          <t>Yes</t>
        </is>
      </c>
      <c r="O287" s="3" t="inlineStr">
        <is>
          <t>MK-XS-F-122 n</t>
        </is>
      </c>
      <c r="P287" s="3" t="n">
        <v>1</v>
      </c>
      <c r="Q287" s="3" t="inlineStr">
        <is>
          <t>MK-XS-F-122 n</t>
        </is>
      </c>
      <c r="R287" s="3" t="inlineStr">
        <is>
          <t>MK-XS-F-122 n → MK-NW-F-067 plural</t>
        </is>
      </c>
      <c r="S287" s="3" t="inlineStr">
        <is>
          <t>—</t>
        </is>
      </c>
      <c r="T287" s="3" t="inlineStr">
        <is>
          <t>—</t>
        </is>
      </c>
      <c r="U287" s="3" t="inlineStr">
        <is>
          <t>ACTIVE</t>
        </is>
      </c>
      <c r="V287" s="3" t="inlineStr">
        <is>
          <t>2026-10-10</t>
        </is>
      </c>
      <c r="W287" s="3" t="n"/>
      <c r="X287" s="3" t="n"/>
      <c r="Y287" s="3" t="inlineStr">
        <is>
          <t>NOTHING OPEN</t>
        </is>
      </c>
    </row>
    <row r="288" ht="60" customHeight="1">
      <c r="A288" s="3" t="inlineStr">
        <is>
          <t>MK-NW-F-068</t>
        </is>
      </c>
      <c r="B288" s="3" t="inlineStr">
        <is>
          <t>prettyDay</t>
        </is>
      </c>
      <c r="C288" s="3" t="inlineStr">
        <is>
          <t>src/domain/assets/index.ts</t>
        </is>
      </c>
      <c r="D288" s="3" t="n">
        <v>2731</v>
      </c>
      <c r="E288" s="3" t="inlineStr">
        <is>
          <t>3 · DEPENDENT</t>
        </is>
      </c>
      <c r="F288" s="3" t="inlineStr">
        <is>
          <t>Writes a date as month, day and year: Aug 4, 2026.</t>
        </is>
      </c>
      <c r="G288" s="11" t="inlineStr">
        <is>
          <t>m = ÷ ^(\d{4}) − (\d{2}) − (\d{2}) ÷ .exec(string(iso ?? '').trim())
''   when m is missing
''   when mo &lt; 1 (or mo &gt; 12 (or d &lt; 1 (or d &gt; new date(date.UTC(y, mo, 0)).get utcdate() when missing or zero) when missing or zero) when missing or zero)
the answer = `${MONTH_ABBR[mo − 1]} ${d}, ${y}`</t>
        </is>
      </c>
      <c r="H288" s="3" t="inlineStr">
        <is>
          <t>M is ÷ ^(\d{4}) minus (\d{2}) minus (\d{2}) divided by .exec(string(iso ?? '').trim()). When m is missing, it answers ''. When mo &lt; 1 (or mo &gt; 12 (or d &lt; 1 (or d &gt; new date(date.UTC(y, mo, 0)).get utcdate() — when missing or zero) — when missing or zero) — when missing or zero), it answers ''. The answer is `${MONTH_ABBR[mo minus 1]} ${d}, ${y}`.</t>
        </is>
      </c>
      <c r="I288" s="3" t="inlineStr">
        <is>
          <t>PARTLY READ — some of the code is still showing through; needs a hand pass</t>
        </is>
      </c>
      <c r="J288" s="3" t="inlineStr">
        <is>
          <t>iso: string</t>
        </is>
      </c>
      <c r="K288" s="3" t="inlineStr">
        <is>
          <t>string</t>
        </is>
      </c>
      <c r="L288" s="3" t="inlineStr">
        <is>
          <t>—</t>
        </is>
      </c>
      <c r="M288" s="3" t="inlineStr">
        <is>
          <t>None found in this function — anything it assumes comes from the functions it depends on.</t>
        </is>
      </c>
      <c r="N288" s="3" t="inlineStr">
        <is>
          <t>Yes</t>
        </is>
      </c>
      <c r="O288" s="3" t="inlineStr">
        <is>
          <t>MK-CF-F-132 map</t>
        </is>
      </c>
      <c r="P288" s="3" t="n">
        <v>1</v>
      </c>
      <c r="Q288" s="3" t="inlineStr">
        <is>
          <t>MK-CF-F-132 map</t>
        </is>
      </c>
      <c r="R288" s="3" t="inlineStr">
        <is>
          <t>MK-CF-F-132 map → MK-NW-F-068 prettyDay</t>
        </is>
      </c>
      <c r="S288" s="3" t="inlineStr">
        <is>
          <t>—</t>
        </is>
      </c>
      <c r="T288" s="3" t="inlineStr">
        <is>
          <t>—</t>
        </is>
      </c>
      <c r="U288" s="3" t="inlineStr">
        <is>
          <t>ACTIVE</t>
        </is>
      </c>
      <c r="V288" s="3" t="inlineStr">
        <is>
          <t>2026-10-08</t>
        </is>
      </c>
      <c r="W288" s="3" t="n"/>
      <c r="X288" s="3" t="n"/>
      <c r="Y288" s="3" t="inlineStr">
        <is>
          <t>NOTHING OPEN</t>
        </is>
      </c>
    </row>
    <row r="289" ht="60" customHeight="1">
      <c r="A289" s="3" t="inlineStr">
        <is>
          <t>MK-NW-F-069</t>
        </is>
      </c>
      <c r="B289" s="3" t="inlineStr">
        <is>
          <t>priceAtYield</t>
        </is>
      </c>
      <c r="C289" s="3" t="inlineStr">
        <is>
          <t>src/domain/bonds/index.ts</t>
        </is>
      </c>
      <c r="D289" s="3" t="n">
        <v>803</v>
      </c>
      <c r="E289" s="3" t="inlineStr">
        <is>
          <t>3 · DEPENDENT</t>
        </is>
      </c>
      <c r="F289" s="3" t="inlineStr">
        <is>
          <t>Price the bond's future cash flows at a given annual yield (yearly approximation).</t>
        </is>
      </c>
      <c r="G289" s="11" t="inlineStr">
        <is>
          <t>t = years to maturity(maturity, now)
nothing   when t = nothing (or t ≤ 0 when missing or zero)
nothing   when face = nothing (or not (face &gt; 0) or !(1 + y &gt; 0) when missing or zero)
c = annual coupon(b) (or 0 when missing)
pv = 0
[LOOP — the answer is found inside a loop the extractor cannot render; the steps above are the ones before it. Read by hand.]</t>
        </is>
      </c>
      <c r="H289" s="3" t="inlineStr">
        <is>
          <t>T is years to maturity(maturity, now). When t is missing (or t is at most 0 — when missing or zero), it answers no answer. When face is missing (or not (face &gt; 0) or !(1 plus y &gt; 0) — when missing or zero), it answers no answer. C is annual coupon(b) (or 0 — when missing). Pv is 0. The answer is pv. The answer is found inside a loop that cannot be rendered here; read the code by hand.</t>
        </is>
      </c>
      <c r="I289" s="3" t="inlineStr">
        <is>
          <t>PARTLY READ — the body has a loop the extractor cannot render; the steps shown are the ones before it. Needs a hand pass (G23).</t>
        </is>
      </c>
      <c r="J289" s="3" t="inlineStr">
        <is>
          <t>1. b: BondInfo
2. y: number
3. now: Date</t>
        </is>
      </c>
      <c r="K289" s="3" t="inlineStr">
        <is>
          <t>number | null</t>
        </is>
      </c>
      <c r="L289" s="3" t="inlineStr">
        <is>
          <t>—</t>
        </is>
      </c>
      <c r="M289" s="3" t="inlineStr">
        <is>
          <t>· Uses a built-in pv of 0.</t>
        </is>
      </c>
      <c r="N289" s="3" t="inlineStr">
        <is>
          <t>Yes</t>
        </is>
      </c>
      <c r="O289" s="3" t="inlineStr">
        <is>
          <t>1. MK-NW-F-057 annualCoupon
2. MK-NW-F-058 yearsToMaturity</t>
        </is>
      </c>
      <c r="P289" s="3" t="n">
        <v>17</v>
      </c>
      <c r="Q289" s="3" t="inlineStr">
        <is>
          <t>1. MK-NW-F-057 annualCoupon
2. MK-NW-F-058 yearsToMaturity
3. MK-NW-F-124 maturityParts
4. MK-XS-F-122 n
5. MK-NW-F-009 maturityClass
6. MK-CF-F-216 typed
7. MK-NW-F-011 assetClassOf
8. MK-NW-F-120 classEvidenceOf
9. MK-CF-F-155 cash
10. MK-NW-F-008 incomeBearingClassOf
11. MK-ST-F-010 nameEvidence
12. MK-XS-F-147 call
13. MK-ST-F-056 has
14. MK-CF-F-132 map
15. MK-ST-F-027 accountId
16. MK-XS-F-064 currentIdToken
17. MK-XS-F-112 relayUrl</t>
        </is>
      </c>
      <c r="R289" s="3" t="inlineStr">
        <is>
          <t>1. MK-NW-F-057 annualCoupon → MK-NW-F-069 priceAtYield
2. MK-NW-F-120 classEvidenceOf → MK-NW-F-011 assetClassOf → MK-NW-F-009 maturityClass → MK-NW-F-124 maturityParts → MK-NW-F-058 yearsToMaturity → MK-NW-F-069 priceAtYield
3. maturityParts (already above — a loop) → MK-NW-F-009 maturityClass → MK-NW-F-124 maturityParts → MK-NW-F-058 yearsToMaturity → MK-NW-F-069 priceAtYield
4. MK-CF-F-216 typed → MK-NW-F-009 maturityClass → MK-NW-F-124 maturityParts → MK-NW-F-058 yearsToMaturity → MK-NW-F-069 priceAtYield
5. MK-CF-F-216 typed → MK-NW-F-124 maturityParts → MK-NW-F-058 yearsToMaturity → MK-NW-F-069 priceAtYield
6. MK-XS-F-122 n → MK-NW-F-058 yearsToMaturity → MK-NW-F-069 priceAtYield</t>
        </is>
      </c>
      <c r="S289" s="3" t="inlineStr">
        <is>
          <t>—</t>
        </is>
      </c>
      <c r="T289" s="3" t="inlineStr">
        <is>
          <t>—</t>
        </is>
      </c>
      <c r="U289" s="3" t="inlineStr">
        <is>
          <t>ACTIVE</t>
        </is>
      </c>
      <c r="V289" s="3" t="inlineStr">
        <is>
          <t>2026-10-09</t>
        </is>
      </c>
      <c r="W289" s="3" t="n"/>
      <c r="X289" s="3" t="n"/>
      <c r="Y289" s="3" t="inlineStr">
        <is>
          <t>NOTHING OPEN</t>
        </is>
      </c>
    </row>
    <row r="290" ht="60" customHeight="1">
      <c r="A290" s="3" t="inlineStr">
        <is>
          <t>MK-NW-F-070</t>
        </is>
      </c>
      <c r="B290" s="3" t="inlineStr">
        <is>
          <t>accruedInterestCaveat</t>
        </is>
      </c>
      <c r="C290" s="3" t="inlineStr">
        <is>
          <t>src/domain/bonds/index.ts</t>
        </is>
      </c>
      <c r="D290" s="3" t="n">
        <v>450</v>
      </c>
      <c r="E290" s="3" t="inlineStr">
        <is>
          <t>3 · DEPENDENT</t>
        </is>
      </c>
      <c r="F290" s="3" t="inlineStr">
        <is>
          <t>The note shown beside a bond's yield when its accrued interest was not entered, or nothing when it was.</t>
        </is>
      </c>
      <c r="G290" s="11" t="inlineStr">
        <is>
          <t>nothing   when accrued interest ≠ nothing
est = estimated accrued(b, now)
nothing   when est = nothing
pct = `${+((coupon rate as number) × 100).to fixed(3)}%`
the answer = `added estimated $${math.round(est.amount).to locale string('en − US')} in accrued interest to bond value at ${pct} coupon for ${plural(est.days, 'day')} to calculate YTM. if this is not accurate, enter actual accrued interest`</t>
        </is>
      </c>
      <c r="H290" s="3" t="inlineStr">
        <is>
          <t>When accrued interest is not no answer, it answers no answer. Est is estimated accrued(b, now). When est is missing, it answers no answer. Pct is `${+((coupon rate as number) times 100).to fixed(3)}%`. The answer is `added estimated $${math.est.amount, to a whole number.to locale string('en minus US')} in accrued interest to bond value at ${pct} coupon for ${plural(est.days, 'day')} to calculate YTM. — when this is accurate is missing, enter actual accrued interest`.</t>
        </is>
      </c>
      <c r="I290" s="3" t="inlineStr">
        <is>
          <t>PARTLY READ — some of the code is still showing through; needs a hand pass</t>
        </is>
      </c>
      <c r="J290" s="3" t="inlineStr">
        <is>
          <t>1. b: BondInfo
2. now: Date = new Date()</t>
        </is>
      </c>
      <c r="K290" s="3" t="inlineStr">
        <is>
          <t>string | null</t>
        </is>
      </c>
      <c r="L290" s="3" t="inlineStr">
        <is>
          <t>—</t>
        </is>
      </c>
      <c r="M290" s="3" t="inlineStr">
        <is>
          <t>1. Uses today's date from the device clock, so the answer changes by itself overnight.
2. Rounds the answer to a whole number.
3. Shows 3 decimal places.</t>
        </is>
      </c>
      <c r="N290" s="3" t="inlineStr">
        <is>
          <t>Yes</t>
        </is>
      </c>
      <c r="O290" s="3" t="inlineStr">
        <is>
          <t>1. MK-NW-F-119 estimatedAccrued
2. MK-NW-F-067 plural</t>
        </is>
      </c>
      <c r="P290" s="3" t="n">
        <v>18</v>
      </c>
      <c r="Q290" s="3" t="inlineStr">
        <is>
          <t>1. MK-NW-F-119 estimatedAccrued
2. MK-NW-F-067 plural
3. MK-NW-F-124 maturityParts
4. MK-XS-F-122 n
5. MK-NW-F-131 pricedLikeBond
6. MK-NW-F-009 maturityClass
7. MK-CF-F-216 typed
8. MK-CF-F-155 cash
9. MK-NW-F-011 assetClassOf
10. MK-NW-F-120 classEvidenceOf
11. MK-NW-F-008 incomeBearingClassOf
12. MK-ST-F-010 nameEvidence
13. MK-XS-F-147 call
14. MK-ST-F-056 has
15. MK-CF-F-132 map
16. MK-ST-F-027 accountId
17. MK-XS-F-064 currentIdToken
18. MK-XS-F-112 relayUrl</t>
        </is>
      </c>
      <c r="R290" s="3" t="inlineStr">
        <is>
          <t>1. MK-NW-F-120 classEvidenceOf → MK-NW-F-011 assetClassOf → MK-NW-F-009 maturityClass → MK-NW-F-124 maturityParts → MK-NW-F-119 estimatedAccrued → MK-NW-F-070 accruedInterestCaveat
2. maturityParts (already above — a loop) → MK-NW-F-009 maturityClass → MK-NW-F-124 maturityParts → MK-NW-F-119 estimatedAccrued → MK-NW-F-070 accruedInterestCaveat
3. MK-CF-F-216 typed → MK-NW-F-009 maturityClass → MK-NW-F-124 maturityParts → MK-NW-F-119 estimatedAccrued → MK-NW-F-070 accruedInterestCaveat
4. MK-CF-F-216 typed → MK-NW-F-124 maturityParts → MK-NW-F-119 estimatedAccrued → MK-NW-F-070 accruedInterestCaveat
5. MK-XS-F-122 n → MK-NW-F-119 estimatedAccrued → MK-NW-F-070 accruedInterestCaveat
6. MK-XS-F-122 n → MK-CF-F-155 cash → MK-NW-F-131 pricedLikeBond → MK-NW-F-119 estimatedAccrued → MK-NW-F-070 accruedInterestCaveat
7. MK-XS-F-122 n → MK-NW-F-067 plural → MK-NW-F-070 accruedInterestCaveat</t>
        </is>
      </c>
      <c r="S290" s="3" t="inlineStr">
        <is>
          <t>—</t>
        </is>
      </c>
      <c r="T290" s="3" t="inlineStr">
        <is>
          <t>—</t>
        </is>
      </c>
      <c r="U290" s="3" t="inlineStr">
        <is>
          <t>ACTIVE</t>
        </is>
      </c>
      <c r="V290" s="3" t="inlineStr">
        <is>
          <t>2026-10-10</t>
        </is>
      </c>
      <c r="W290" s="3" t="n"/>
      <c r="X290" s="3" t="n"/>
      <c r="Y290" s="6" t="inlineStr">
        <is>
          <t>TESTED, NOT VERIFIED (A47)</t>
        </is>
      </c>
    </row>
    <row r="291" ht="60" customHeight="1">
      <c r="A291" s="3" t="inlineStr">
        <is>
          <t>MK-NW-F-071</t>
        </is>
      </c>
      <c r="B291" s="3" t="inlineStr">
        <is>
          <t>isCertificateOfDeposit</t>
        </is>
      </c>
      <c r="C291" s="3" t="inlineStr">
        <is>
          <t>MoneyKeel/functions/networth-and-performance/bonds.ts</t>
        </is>
      </c>
      <c r="D291" s="3" t="n">
        <v>51</v>
      </c>
      <c r="E291" s="3" t="inlineStr">
        <is>
          <t>3 · DEPENDENT</t>
        </is>
      </c>
      <c r="F291" s="3" t="inlineStr">
        <is>
          <t>Whether an account is a certificate of deposit, judged from its name.</t>
        </is>
      </c>
      <c r="G291" s="11" t="inlineStr">
        <is>
          <t>!!bond info(a as any).is cd</t>
        </is>
      </c>
      <c r="H291" s="3" t="inlineStr">
        <is>
          <t>!!bond info(a as any).is cd.</t>
        </is>
      </c>
      <c r="I291" s="3" t="inlineStr">
        <is>
          <t>PARTLY READ — some of the code is still showing through; needs a hand pass</t>
        </is>
      </c>
      <c r="J291" s="3" t="inlineStr">
        <is>
          <t>a: Pick&lt;AssetAccount, 'label'&gt; &amp; { institution?: string; kind?: string }</t>
        </is>
      </c>
      <c r="K291" s="3" t="inlineStr">
        <is>
          <t>boolean</t>
        </is>
      </c>
      <c r="L291" s="3" t="inlineStr">
        <is>
          <t>—</t>
        </is>
      </c>
      <c r="M291" s="3" t="inlineStr">
        <is>
          <t>None found in this function — anything it assumes comes from the functions it depends on.</t>
        </is>
      </c>
      <c r="N291" s="3" t="inlineStr">
        <is>
          <t>Yes</t>
        </is>
      </c>
      <c r="O291" s="3" t="inlineStr">
        <is>
          <t>MK-NW-F-056 bondInfo</t>
        </is>
      </c>
      <c r="P291" s="3" t="n">
        <v>16</v>
      </c>
      <c r="Q291" s="3" t="inlineStr">
        <is>
          <t>1. MK-NW-F-056 bondInfo
2. MK-CF-F-155 cash
3. MK-NW-F-124 maturityParts
4. MK-XS-F-122 n
5. MK-NW-F-009 maturityClass
6. MK-CF-F-216 typed
7. MK-NW-F-011 assetClassOf
8. MK-NW-F-120 classEvidenceOf
9. MK-NW-F-008 incomeBearingClassOf
10. MK-ST-F-010 nameEvidence
11. MK-XS-F-147 call
12. MK-ST-F-056 has
13. MK-CF-F-132 map
14. MK-ST-F-027 accountId
15. MK-XS-F-064 currentIdToken
16. MK-XS-F-112 relayUrl</t>
        </is>
      </c>
      <c r="R291" s="3" t="inlineStr">
        <is>
          <t>1. MK-XS-F-122 n → MK-CF-F-155 cash → MK-NW-F-056 bondInfo → MK-NW-F-071 isCertificateOfDeposit
2. MK-NW-F-120 classEvidenceOf → MK-NW-F-011 assetClassOf → MK-NW-F-009 maturityClass → MK-NW-F-124 maturityParts → MK-NW-F-056 bondInfo → MK-NW-F-071 isCertificateOfDeposit
3. maturityParts (already above — a loop) → MK-NW-F-009 maturityClass → MK-NW-F-124 maturityParts → MK-NW-F-056 bondInfo → MK-NW-F-071 isCertificateOfDeposit
4. MK-CF-F-216 typed → MK-NW-F-009 maturityClass → MK-NW-F-124 maturityParts → MK-NW-F-056 bondInfo → MK-NW-F-071 isCertificateOfDeposit
5. MK-CF-F-216 typed → MK-NW-F-124 maturityParts → MK-NW-F-056 bondInfo → MK-NW-F-071 isCertificateOfDeposit</t>
        </is>
      </c>
      <c r="S291" s="3" t="inlineStr">
        <is>
          <t>—</t>
        </is>
      </c>
      <c r="T291" s="3" t="inlineStr">
        <is>
          <t>—</t>
        </is>
      </c>
      <c r="U291" s="3" t="inlineStr">
        <is>
          <t>ACTIVE</t>
        </is>
      </c>
      <c r="V291" s="3" t="inlineStr">
        <is>
          <t>2026-10-09</t>
        </is>
      </c>
      <c r="W291" s="3" t="n"/>
      <c r="X291" s="3" t="n"/>
      <c r="Y291" s="3" t="inlineStr">
        <is>
          <t>NOTHING OPEN</t>
        </is>
      </c>
    </row>
    <row r="292" ht="60" customHeight="1">
      <c r="A292" s="3" t="inlineStr">
        <is>
          <t>MK-NW-F-072</t>
        </is>
      </c>
      <c r="B292" s="3" t="inlineStr">
        <is>
          <t>rowOf</t>
        </is>
      </c>
      <c r="C292" s="3" t="inlineStr">
        <is>
          <t>MoneyKeel/functions/networth-and-performance/bonds.ts</t>
        </is>
      </c>
      <c r="D292" s="3" t="n">
        <v>150</v>
      </c>
      <c r="E292" s="3" t="inlineStr">
        <is>
          <t>3 · DEPENDENT</t>
        </is>
      </c>
      <c r="F292" s="3" t="inlineStr">
        <is>
          <t>One bond's row for the Bonds screen: its face value, yearly interest rate, interest paid in a year, maturity date and years left.</t>
        </is>
      </c>
      <c r="G292" s="11" t="inlineStr">
        <is>
          <t>b = bond info(a)</t>
        </is>
      </c>
      <c r="H292" s="3" t="inlineStr">
        <is>
          <t>B is bond info(a).</t>
        </is>
      </c>
      <c r="I292" s="3" t="inlineStr">
        <is>
          <t>READ FROM THE CODE — rendered from the expressions the function runs</t>
        </is>
      </c>
      <c r="J292" s="3" t="inlineStr">
        <is>
          <t>1. a: AssetAccount
2. now: Date</t>
        </is>
      </c>
      <c r="K292" s="3" t="inlineStr">
        <is>
          <t>BondRow</t>
        </is>
      </c>
      <c r="L292" s="3" t="inlineStr">
        <is>
          <t>—</t>
        </is>
      </c>
      <c r="M292" s="3" t="inlineStr">
        <is>
          <t>None found in this function — anything it assumes comes from the functions it depends on.</t>
        </is>
      </c>
      <c r="N292" s="3" t="inlineStr">
        <is>
          <t>Yes</t>
        </is>
      </c>
      <c r="O292" s="3" t="inlineStr">
        <is>
          <t>1. MK-NW-F-070 accruedInterestCaveat
2. MK-NW-F-060 approxYTM
3. MK-NW-F-056 bondInfo
4. MK-NW-F-059 currentYield
5. MK-NW-F-131 pricedLikeBond
6. MK-NW-F-126 yearlyInterestNow
7. MK-NW-F-058 yearsToMaturity</t>
        </is>
      </c>
      <c r="P292" s="3" t="n">
        <v>29</v>
      </c>
      <c r="Q292" s="3" t="inlineStr">
        <is>
          <t>1. MK-NW-F-070 accruedInterestCaveat
2. MK-NW-F-060 approxYTM
3. MK-NW-F-056 bondInfo
4. MK-NW-F-059 currentYield
5. MK-NW-F-131 pricedLikeBond
6. MK-NW-F-126 yearlyInterestNow
7. MK-NW-F-058 yearsToMaturity
8. MK-NW-F-119 estimatedAccrued
9. MK-NW-F-067 plural
10. MK-NW-F-069 priceAtYield
11. MK-CF-F-155 cash
12. MK-NW-F-124 maturityParts
13. MK-NW-F-112 yearlyInterest
14. MK-NW-F-125 isPastMaturity
15. MK-XS-F-122 n
16. MK-NW-F-057 annualCoupon
17. MK-NW-F-009 maturityClass
18. MK-CF-F-216 typed
19. MK-ST-F-065 isoLocalDate
20. MK-NW-F-011 assetClassOf
21. MK-NW-F-120 classEvidenceOf
22. MK-NW-F-008 incomeBearingClassOf
23. MK-ST-F-010 nameEvidence
24. MK-XS-F-147 call
25. MK-ST-F-056 has
26. MK-CF-F-132 map
27. MK-ST-F-027 accountId
28. MK-XS-F-064 currentIdToken
29. MK-XS-F-112 relayUrl</t>
        </is>
      </c>
      <c r="R292" s="3" t="inlineStr">
        <is>
          <t>1. MK-NW-F-011 assetClassOf → MK-NW-F-009 maturityClass → MK-NW-F-124 maturityParts → MK-NW-F-119 estimatedAccrued → MK-NW-F-070 accruedInterestCaveat → MK-NW-F-072 rowOf
2. maturityParts (already above — a loop) → MK-NW-F-009 maturityClass → MK-NW-F-124 maturityParts → MK-NW-F-119 estimatedAccrued → MK-NW-F-070 accruedInterestCaveat → MK-NW-F-072 rowOf
3. MK-CF-F-216 typed → MK-NW-F-009 maturityClass → MK-NW-F-124 maturityParts → MK-NW-F-119 estimatedAccrued → MK-NW-F-070 accruedInterestCaveat → MK-NW-F-072 rowOf
4. MK-CF-F-216 typed → MK-NW-F-124 maturityParts → MK-NW-F-119 estimatedAccrued → MK-NW-F-070 accruedInterestCaveat → MK-NW-F-072 rowOf
5. MK-XS-F-122 n → MK-NW-F-119 estimatedAccrued → MK-NW-F-070 accruedInterestCaveat → MK-NW-F-072 rowOf
6. MK-XS-F-122 n → MK-CF-F-155 cash → MK-NW-F-131 pricedLikeBond → MK-NW-F-119 estimatedAccrued → MK-NW-F-070 accruedInterestCaveat → MK-NW-F-072 rowOf
7. MK-XS-F-122 n → MK-NW-F-067 plural → MK-NW-F-070 accruedInterestCaveat → MK-NW-F-072 rowOf
8. MK-NW-F-011 assetClassOf → MK-NW-F-009 maturityClass → MK-NW-F-124 maturityParts → MK-NW-F-119 estimatedAccrued → MK-NW-F-060 approxYTM → MK-NW-F-072 rowOf
9. … and 5 more paths</t>
        </is>
      </c>
      <c r="S292" s="3" t="inlineStr">
        <is>
          <t>—</t>
        </is>
      </c>
      <c r="T292" s="3" t="inlineStr">
        <is>
          <t>—</t>
        </is>
      </c>
      <c r="U292" s="3" t="inlineStr">
        <is>
          <t>ACTIVE</t>
        </is>
      </c>
      <c r="V292" s="3" t="inlineStr">
        <is>
          <t>2026-09-27</t>
        </is>
      </c>
      <c r="W292" s="3" t="n"/>
      <c r="X292" s="3" t="n"/>
      <c r="Y292" s="3" t="inlineStr">
        <is>
          <t>NOTHING OPEN</t>
        </is>
      </c>
    </row>
    <row r="293" ht="60" customHeight="1">
      <c r="A293" s="3" t="inlineStr">
        <is>
          <t>MK-NW-F-073</t>
        </is>
      </c>
      <c r="B293" s="3" t="inlineStr">
        <is>
          <t>itemising</t>
        </is>
      </c>
      <c r="C293" s="3" t="inlineStr">
        <is>
          <t>MoneyKeel/functions/networth-and-performance/account.ts</t>
        </is>
      </c>
      <c r="D293" s="3" t="n">
        <v>190</v>
      </c>
      <c r="E293" s="3" t="inlineStr">
        <is>
          <t>2 · DISPLAYED</t>
        </is>
      </c>
      <c r="F293" s="3" t="inlineStr">
        <is>
          <t>When an account entered as one total is broken into holdings: the total to keep, the value of the holdings listed so far, and the amount still not explained by them.</t>
        </is>
      </c>
      <c r="G293" s="11" t="inlineStr">
        <is>
          <t>NOT READ YET — the body is not a shape this can render faithfully, so nothing is claimed rather than something being guessed. It needs reading by hand.</t>
        </is>
      </c>
      <c r="H293" s="3" t="inlineStr">
        <is>
          <t>NOT READ YET — the body is not a shape this can render faithfully, so nothing is claimed rather than something being guessed. It needs reading by hand.</t>
        </is>
      </c>
      <c r="I293" s="3" t="inlineStr">
        <is>
          <t>NOT READ — nothing is claimed rather than something guessed</t>
        </is>
      </c>
      <c r="J293" s="3" t="inlineStr">
        <is>
          <t>1. lumpBalance: number
2. items: ItemHolding[]</t>
        </is>
      </c>
      <c r="K293" s="3" t="inlineStr">
        <is>
          <t>Itemising</t>
        </is>
      </c>
      <c r="L293" s="3" t="inlineStr">
        <is>
          <t>NOT FOUND — a screen calls it, but the words printed beside its answer could not be traced automatically. Needs reading.</t>
        </is>
      </c>
      <c r="M293" s="3" t="inlineStr">
        <is>
          <t>None found in this function — anything it assumes comes from the functions it depends on.</t>
        </is>
      </c>
      <c r="N293" s="3" t="inlineStr">
        <is>
          <t>Yes</t>
        </is>
      </c>
      <c r="O293" s="3" t="inlineStr">
        <is>
          <t>1. MK-NW-F-118 itemizeMissingCount
2. MK-NW-F-050 itemizeRemainder
3. MK-NW-F-049 itemizedTotal</t>
        </is>
      </c>
      <c r="P293" s="3" t="n">
        <v>3</v>
      </c>
      <c r="Q293" s="3" t="inlineStr">
        <is>
          <t>1. MK-NW-F-118 itemizeMissingCount
2. MK-NW-F-050 itemizeRemainder
3. MK-NW-F-049 itemizedTotal</t>
        </is>
      </c>
      <c r="R293" s="3" t="inlineStr">
        <is>
          <t>1. MK-NW-F-118 itemizeMissingCount → MK-NW-F-073 itemising
2. MK-NW-F-049 itemizedTotal → MK-NW-F-050 itemizeRemainder → MK-NW-F-073 itemising
3. MK-NW-F-049 itemizedTotal → MK-NW-F-073 itemising</t>
        </is>
      </c>
      <c r="S293" s="3" t="inlineStr">
        <is>
          <t>—</t>
        </is>
      </c>
      <c r="T293" s="3" t="inlineStr">
        <is>
          <t>—</t>
        </is>
      </c>
      <c r="U293" s="3" t="inlineStr">
        <is>
          <t>ACTIVE</t>
        </is>
      </c>
      <c r="V293" s="3" t="inlineStr">
        <is>
          <t>2026-09-27</t>
        </is>
      </c>
      <c r="W293" s="3" t="n"/>
      <c r="X293" s="3" t="n"/>
      <c r="Y293" s="3" t="inlineStr">
        <is>
          <t>NOTHING OPEN</t>
        </is>
      </c>
    </row>
    <row r="294" ht="60" customHeight="1">
      <c r="A294" s="3" t="inlineStr">
        <is>
          <t>MK-NW-F-075</t>
        </is>
      </c>
      <c r="B294" s="3" t="inlineStr">
        <is>
          <t>ACC</t>
        </is>
      </c>
      <c r="C294" s="3" t="inlineStr">
        <is>
          <t>MoneyKeel/functions/networth-and-performance/account.ts</t>
        </is>
      </c>
      <c r="D294" s="3" t="n">
        <v>249</v>
      </c>
      <c r="E294" s="3" t="inlineStr">
        <is>
          <t>1 · ACTION</t>
        </is>
      </c>
      <c r="F294" s="3" t="inlineStr">
        <is>
          <t>Example only: runs theAccount on the worked example and calculates nothing of its own.</t>
        </is>
      </c>
      <c r="G294" s="11" t="inlineStr">
        <is>
          <t>NOT READ YET — the body is not a shape this can render faithfully, so nothing is claimed rather than something being guessed. It needs reading by hand.</t>
        </is>
      </c>
      <c r="H294" s="3" t="inlineStr">
        <is>
          <t>NOT READ YET — the body is not a shape this can render faithfully, so nothing is claimed rather than something being guessed. It needs reading by hand.</t>
        </is>
      </c>
      <c r="I294" s="3" t="inlineStr">
        <is>
          <t>NOT READ — nothing is claimed rather than something guessed</t>
        </is>
      </c>
      <c r="J294" s="3" t="inlineStr">
        <is>
          <t>Nothing is handed to it</t>
        </is>
      </c>
      <c r="K294" s="3" t="inlineStr">
        <is>
          <t>EXAMPLE_ACCOUNT, transactions: EXAMPLE_LEDGER });</t>
        </is>
      </c>
      <c r="L294" s="3" t="inlineStr">
        <is>
          <t>—</t>
        </is>
      </c>
      <c r="M294" s="3" t="inlineStr">
        <is>
          <t>None found in this function — anything it assumes comes from the functions it depends on.</t>
        </is>
      </c>
      <c r="N294" s="3" t="inlineStr">
        <is>
          <t>No</t>
        </is>
      </c>
      <c r="O294" s="3" t="inlineStr">
        <is>
          <t>1. MK-CF-F-155 cash
2. MK-XS-F-180 declareFigures
3. MK-NW-F-073 itemising
4. MK-PF-F-004 marketValue
5. MK-ST-F-030 record
6. MK-NW-O-002 theAccount</t>
        </is>
      </c>
      <c r="P294" s="3" t="n">
        <v>36</v>
      </c>
      <c r="Q294" s="3" t="inlineStr">
        <is>
          <t>1. MK-CF-F-155 cash
2. MK-XS-F-180 declareFigures
3. MK-NW-F-073 itemising
4. MK-PF-F-004 marketValue
5. MK-ST-F-030 record
6. MK-NW-O-002 theAccount
7. MK-XS-F-122 n
8. MK-NW-F-118 itemizeMissingCount
9. MK-NW-F-050 itemizeRemainder
10. MK-NW-F-049 itemizedTotal
11. MK-PF-F-031 contractMultiplier
12. MK-PF-F-001 totalShares
13. MK-NW-F-027 accountClassBreakdown
14. MK-CF-F-118 cashEffect
15. MK-CF-F-132 map
16. MK-ST-F-013 personalFlowTotals
17. MK-ST-F-021 toNumber
18. MK-NW-F-011 assetClassOf
19. MK-ST-F-056 has
20. MK-NW-F-109 holdingClassOf
21. MK-NW-F-067 plural
22. MK-NW-F-120 classEvidenceOf
23. MK-NW-F-123 holdingNameEvidence
24. MK-NW-F-121 holdingTagClass
25. MK-NW-F-054 reclassifyAccounts
26. MK-NW-F-008 incomeBearingClassOf
27. MK-NW-F-009 maturityClass
28. MK-NW-F-053 correctClassOf
29. MK-NW-F-122 holdingTagFor
30. MK-ST-F-010 nameEvidence
31. MK-NW-F-124 maturityParts
32. MK-CF-F-216 typed
33. MK-XS-F-147 call
34. MK-ST-F-027 accountId
35. MK-XS-F-064 currentIdToken
36. MK-XS-F-112 relayUrl</t>
        </is>
      </c>
      <c r="R294" s="3" t="inlineStr">
        <is>
          <t>1. MK-XS-F-122 n → MK-CF-F-155 cash → MK-NW-F-075 ACC
2. MK-XS-F-180 declareFigures → MK-NW-F-075 ACC
3. MK-NW-F-118 itemizeMissingCount → MK-NW-F-073 itemising → MK-NW-F-075 ACC
4. MK-NW-F-049 itemizedTotal → MK-NW-F-050 itemizeRemainder → MK-NW-F-073 itemising → MK-NW-F-075 ACC
5. MK-NW-F-049 itemizedTotal → MK-NW-F-073 itemising → MK-NW-F-075 ACC
6. MK-PF-F-031 contractMultiplier → MK-PF-F-004 marketValue → MK-NW-F-075 ACC
7. MK-PF-F-001 totalShares → MK-PF-F-004 marketValue → MK-NW-F-075 ACC
8. MK-ST-F-030 record → MK-NW-F-075 ACC
9. … and 4 more paths</t>
        </is>
      </c>
      <c r="S294" s="3" t="inlineStr">
        <is>
          <t>—</t>
        </is>
      </c>
      <c r="T294" s="3" t="inlineStr">
        <is>
          <t>—</t>
        </is>
      </c>
      <c r="U294" s="3" t="inlineStr">
        <is>
          <t>ACTIVE</t>
        </is>
      </c>
      <c r="V294" s="3" t="inlineStr">
        <is>
          <t>2026-09-28</t>
        </is>
      </c>
      <c r="W294" s="3" t="n"/>
      <c r="X294" s="3" t="n"/>
      <c r="Y294" s="3" t="inlineStr">
        <is>
          <t>NOTHING OPEN</t>
        </is>
      </c>
    </row>
    <row r="295" ht="60" customHeight="1">
      <c r="A295" s="3" t="inlineStr">
        <is>
          <t>MK-NW-F-076</t>
        </is>
      </c>
      <c r="B295" s="3" t="inlineStr">
        <is>
          <t>ALT</t>
        </is>
      </c>
      <c r="C295" s="3" t="inlineStr">
        <is>
          <t>MoneyKeel/functions/networth-and-performance/alternatives-outlook.ts</t>
        </is>
      </c>
      <c r="D295" s="3" t="n">
        <v>180</v>
      </c>
      <c r="E295" s="3" t="inlineStr">
        <is>
          <t>3 · DEPENDENT (feeds an action only)</t>
        </is>
      </c>
      <c r="F295" s="3" t="inlineStr">
        <is>
          <t>Example only: runs theAlternativesOutlook on the worked example and calculates nothing of its own.</t>
        </is>
      </c>
      <c r="G295" s="11" t="inlineStr">
        <is>
          <t>NOT READ YET — the body is not a shape this can render faithfully, so nothing is claimed rather than something being guessed. It needs reading by hand.</t>
        </is>
      </c>
      <c r="H295" s="3" t="inlineStr">
        <is>
          <t>NOT READ YET — the body is not a shape this can render faithfully, so nothing is claimed rather than something being guessed. It needs reading by hand.</t>
        </is>
      </c>
      <c r="I295" s="3" t="inlineStr">
        <is>
          <t>NOT READ — nothing is claimed rather than something guessed</t>
        </is>
      </c>
      <c r="J295" s="3" t="inlineStr">
        <is>
          <t>Nothing is handed to it</t>
        </is>
      </c>
      <c r="K295" s="3" t="inlineStr">
        <is>
          <t>EXAMPLE });</t>
        </is>
      </c>
      <c r="L295" s="3" t="inlineStr">
        <is>
          <t>—</t>
        </is>
      </c>
      <c r="M295" s="3" t="inlineStr">
        <is>
          <t>None found in this function — anything it assumes comes from the functions it depends on.</t>
        </is>
      </c>
      <c r="N295" s="3" t="inlineStr">
        <is>
          <t>No</t>
        </is>
      </c>
      <c r="O295" s="3" t="inlineStr">
        <is>
          <t>1. MK-XS-F-180 declareFigures
2. MK-NW-O-005 theAlternativesOutlook</t>
        </is>
      </c>
      <c r="P295" s="3" t="n">
        <v>143</v>
      </c>
      <c r="Q295" s="3" t="inlineStr">
        <is>
          <t>1. MK-XS-F-180 declareFigures
2. MK-NW-O-005 theAlternativesOutlook
3. MK-NW-F-113 altPartsOf
4. MK-NW-F-002 alternativesSummary
5. MK-NW-F-034 benchmarkReturn
6. MK-NW-F-037 blendedReturn
7. MK-NW-F-028 classPortionLabel
8. MK-NW-F-001 isAlternative
9. MK-CF-F-132 map
10. MK-NW-F-132 notClassifiedWords
11. MK-NW-F-027 accountClassBreakdown
12. MK-NW-F-109 holdingClassOf
13. MK-CF-F-200 LINE
14. MK-CF-F-204 line
15. MK-NW-F-007 assetKind
16. MK-NW-F-032 earmarkedAmount
17. MK-NW-F-031 primaryCarIdOf
18. MK-NW-F-110 primaryHomeIdOf
19. MK-XS-F-120 nameOf
20. MK-NW-F-067 plural
21. MK-NW-F-011 assetClassOf
22. MK-ST-F-049 formatMoney
23. MK-CF-F-155 cash
24. MK-ST-F-056 has
25. MK-NW-F-123 holdingNameEvidence
26. MK-NW-F-121 holdingTagClass
27. MK-NW-F-054 reclassifyAccounts
28. MK-CF-O-006 theCreditLine
29. MK-CF-F-203 MONTH
30. MK-NW-F-030 earmarkDefault
31. MK-NW-F-134 carValueNotEnteredNotes
32. MK-NW-F-133 valueEntered
33. MK-NW-F-117 propertyUseMap
34. MK-XS-F-122 n
35. MK-NW-F-120 classEvidenceOf
36. MK-ST-F-048 currencySymbol
37. MK-ST-F-039 on
38. MK-NW-F-008 incomeBearingClassOf
39. MK-NW-F-053 correctClassOf
40. MK-NW-F-122 holdingTagFor
41. MK-CF-F-031 creditUtilization
42. MK-CF-O-010 theMonth
43. MK-ST-F-053 money
44. MK-NW-F-033 retirementEarmarkedValue
45. MK-NW-F-116 rentedIdsOf
46. MK-NW-F-009 maturityClass
47. MK-ST-F-047 activeCurrency
48. MK-ST-F-010 nameEvidence
49. MK-CF-O-002 expenses
50. MK-CF-O-003 thisMonth
51. MK-NW-F-115 liveRent
52. MK-NW-F-124 maturityParts
53. MK-CF-F-216 typed
54. MK-XS-F-147 call
55. MK-CF-F-151 actualSpending
56. MK-CF-F-150 debtPaymentsCountedAsExpenses
57. MK-CF-F-153 radar
58. MK-CF-F-149 recurringDebtPayments
59. MK-CF-F-005 actualMonthFlow
60. MK-CF-F-156 plannedMonthFlow
61. MK-NW-F-114 rentAmount
62. MK-ST-F-027 accountId
63. MK-XS-F-064 currentIdToken
64. MK-XS-F-112 relayUrl
65. MK-CF-F-148 inMonth
66. MK-ST-F-052 toNum
67. MK-CF-F-191 ym
68. MK-CF-F-022 paymentShape
69. MK-CF-F-152 isRadarItem
70. MK-CF-F-023 requiredPayment
71. MK-NW-F-078 ONE
72. MK-CF-F-157 debtPaymentsByDebt
73. MK-CF-F-192 inflowLabel
74. MK-XS-F-027 takeHomeMonthly
75. MK-ST-F-085 rentFigure
76. MK-CF-F-021 defaultPaymentType
77. MK-NW-F-077 ALL
78. MK-NW-F-059 currentYield
79. MK-NW-O-001 theBonds
80. MK-CF-F-193 inflowSourceWord
81. MK-CF-F-092 incomeMonthlyGrid
82. MK-CF-F-011 savingsByMonth
83. MK-NW-F-112 yearlyInterest
84. MK-NW-F-057 annualCoupon
85. MK-NW-F-056 bondInfo
86. MK-NW-F-064 bondRateSensitivity
87. MK-NW-F-061 bondSummary
88. MK-NW-F-055 isBond
89. MK-NW-F-072 rowOf
90. MK-CF-F-069 benefitActiveMonths
91. MK-CF-F-072 currentRetirementIncomeMonthly
92. MK-CF-F-173 earnerWages
93. MK-CF-F-065 equityVestWeights
94. MK-CF-F-071 extraIncome
95. MK-CF-F-206 householdK401ByMonth
96. MK-CF-F-087 monthlyTaxRates
97. MK-CF-F-073 otherIncomeMonth
98. MK-CF-F-181 rateInForce
99. MK-CF-F-068 rentalNetAnnual
100. MK-CF-F-066 rsuAnnual
101. MK-CF-F-060 salaryGrossByMonth
102. MK-CF-F-077 scholarshipByCalendarMonth
103. MK-CF-F-088 taxableByCalendarMonth
104. MK-CF-F-177 wageGrossByMonth
105. MK-PL-F-012 waterfall
106. MK-CF-F-008 spendByMonth
107. MK-NW-F-060 approxYTM
108. MK-NW-F-069 priceAtYield
109. MK-NW-F-131 pricedLikeBond
110. MK-NW-F-125 isPastMaturity
111. MK-ST-F-065 isoLocalDate
112. MK-NW-F-126 yearlyInterestNow
113. MK-NW-F-070 accruedInterestCaveat
114. MK-NW-F-058 yearsToMaturity
115. MK-CF-F-075 retirementIncomeMonthly
116. MK-CF-F-172 hasWage
117. MK-CF-F-062 equityRowValue
118. MK-CF-F-070 benefitAnnual
119. MK-CF-F-176 sumMonthsOverEarners
120. MK-CF-F-090 effectiveRate
121. MK-CF-F-180 enteredLandsAnnual
122. MK-CF-F-085 filingStatusOf
123. MK-CF-F-089 over65CountOf
124. MK-CF-F-082 salaryAnnual
125. MK-CF-F-086 stateRateOf
126. MK-CF-F-101 taxOwedFor
127. MK-CF-F-084 taxableAnnual
128. MK-CF-F-067 rentalList
129. MK-CF-F-063 rowVestYear
130. MK-CF-F-130 enteredMonthlyRaw
131. MK-CF-F-166 hasMonthlySalaryTable
132. MK-ST-F-036 reconcile
133. MK-CF-F-167 salaryCalendarYear
134. MK-CF-F-120 pctBaseMonthly
135. MK-CF-F-004 spendBuckets
136. MK-NW-F-119 estimatedAccrued
137. MK-CF-F-100 taxableIncomeFor
138. MK-CF-F-074 tipsAnnual
139. MK-CF-F-165 salaryMonths
140. MK-CF-F-003 categoryMonthly
141. MK-CF-F-099 deductionFor
142. MK-CF-F-081 salaryActiveMonths
143. MK-CF-F-187 seniorDeductionFor</t>
        </is>
      </c>
      <c r="R295" s="3" t="inlineStr">
        <is>
          <t>1. MK-XS-F-180 declareFigures → MK-NW-F-076 ALT
2. MK-NW-F-120 classEvidenceOf → MK-NW-F-011 assetClassOf → MK-NW-F-027 accountClassBreakdown → MK-NW-F-113 altPartsOf → MK-NW-O-005 theAlternativesOutlook → MK-NW-F-076 ALT
3. MK-XS-F-122 n → MK-CF-F-155 cash → MK-NW-F-027 accountClassBreakdown → MK-NW-F-113 altPartsOf → MK-NW-O-005 theAlternativesOutlook → MK-NW-F-076 ALT
4. MK-ST-F-056 has → MK-NW-F-027 accountClassBreakdown → MK-NW-F-113 altPartsOf → MK-NW-O-005 theAlternativesOutlook → MK-NW-F-076 ALT
5. MK-NW-F-123 holdingNameEvidence → MK-NW-F-109 holdingClassOf → MK-NW-F-027 accountClassBreakdown → MK-NW-F-113 altPartsOf → MK-NW-O-005 theAlternativesOutlook → MK-NW-F-076 ALT
6. MK-NW-F-121 holdingTagClass → MK-NW-F-109 holdingClassOf → MK-NW-F-027 accountClassBreakdown → MK-NW-F-113 altPartsOf → MK-NW-O-005 theAlternativesOutlook → MK-NW-F-076 ALT
7. MK-NW-F-054 reclassifyAccounts → MK-NW-F-109 holdingClassOf → MK-NW-F-027 accountClassBreakdown → MK-NW-F-113 altPartsOf → MK-NW-O-005 theAlternativesOutlook → MK-NW-F-076 ALT
8. MK-CF-F-132 map → MK-NW-F-027 accountClassBreakdown → MK-NW-F-113 altPartsOf → MK-NW-O-005 theAlternativesOutlook → MK-NW-F-076 ALT
9. … and 4 more paths</t>
        </is>
      </c>
      <c r="S295" s="3" t="inlineStr">
        <is>
          <t>—</t>
        </is>
      </c>
      <c r="T295" s="3" t="inlineStr">
        <is>
          <t>—</t>
        </is>
      </c>
      <c r="U295" s="3" t="inlineStr">
        <is>
          <t>ACTIVE</t>
        </is>
      </c>
      <c r="V295" s="3" t="inlineStr">
        <is>
          <t>2026-10-01</t>
        </is>
      </c>
      <c r="W295" s="3" t="n"/>
      <c r="X295" s="3" t="n"/>
      <c r="Y295" s="3" t="inlineStr">
        <is>
          <t>NOTHING OPEN</t>
        </is>
      </c>
    </row>
    <row r="296" ht="60" customHeight="1">
      <c r="A296" s="3" t="inlineStr">
        <is>
          <t>MK-NW-F-077</t>
        </is>
      </c>
      <c r="B296" s="3" t="inlineStr">
        <is>
          <t>ALL</t>
        </is>
      </c>
      <c r="C296" s="3" t="inlineStr">
        <is>
          <t>MoneyKeel/functions/networth-and-performance/bonds.ts</t>
        </is>
      </c>
      <c r="D296" s="3" t="n">
        <v>336</v>
      </c>
      <c r="E296" s="3" t="inlineStr">
        <is>
          <t>1 · ACTION</t>
        </is>
      </c>
      <c r="F296" s="3" t="inlineStr">
        <is>
          <t>Example only: runs theBonds on the worked example and calculates nothing of its own.</t>
        </is>
      </c>
      <c r="G296" s="11" t="inlineStr">
        <is>
          <t>NOT READ YET — the body is not a shape this can render faithfully, so nothing is claimed rather than something being guessed. It needs reading by hand.</t>
        </is>
      </c>
      <c r="H296" s="3" t="inlineStr">
        <is>
          <t>NOT READ YET — the body is not a shape this can render faithfully, so nothing is claimed rather than something being guessed. It needs reading by hand.</t>
        </is>
      </c>
      <c r="I296" s="3" t="inlineStr">
        <is>
          <t>NOT READ — nothing is claimed rather than something guessed</t>
        </is>
      </c>
      <c r="J296" s="3" t="inlineStr">
        <is>
          <t>Nothing is handed to it</t>
        </is>
      </c>
      <c r="K296" s="3" t="inlineStr">
        <is>
          <t>EXAMPLE, today: TODAY });</t>
        </is>
      </c>
      <c r="L296" s="3" t="inlineStr">
        <is>
          <t>—</t>
        </is>
      </c>
      <c r="M296" s="3" t="inlineStr">
        <is>
          <t>None found in this function — anything it assumes comes from the functions it depends on.</t>
        </is>
      </c>
      <c r="N296" s="3" t="inlineStr">
        <is>
          <t>Yes</t>
        </is>
      </c>
      <c r="O296" s="3" t="inlineStr">
        <is>
          <t>MK-NW-O-001 theBonds</t>
        </is>
      </c>
      <c r="P296" s="3" t="n">
        <v>34</v>
      </c>
      <c r="Q296" s="3" t="inlineStr">
        <is>
          <t>1. MK-NW-O-001 theBonds
2. MK-ST-F-027 accountId
3. MK-NW-F-057 annualCoupon
4. MK-NW-F-056 bondInfo
5. MK-NW-F-064 bondRateSensitivity
6. MK-NW-F-061 bondSummary
7. MK-NW-F-055 isBond
8. MK-CF-F-132 map
9. MK-NW-F-124 maturityParts
10. MK-NW-F-072 rowOf
11. MK-NW-F-112 yearlyInterest
12. MK-CF-F-155 cash
13. MK-NW-F-060 approxYTM
14. MK-NW-F-069 priceAtYield
15. MK-NW-F-131 pricedLikeBond
16. MK-NW-F-125 isPastMaturity
17. MK-ST-F-065 isoLocalDate
18. MK-NW-F-126 yearlyInterestNow
19. MK-NW-F-011 assetClassOf
20. MK-NW-F-009 maturityClass
21. MK-CF-F-216 typed
22. MK-NW-F-070 accruedInterestCaveat
23. MK-NW-F-059 currentYield
24. MK-NW-F-058 yearsToMaturity
25. MK-XS-F-122 n
26. MK-NW-F-119 estimatedAccrued
27. MK-NW-F-120 classEvidenceOf
28. MK-NW-F-067 plural
29. MK-NW-F-008 incomeBearingClassOf
30. MK-ST-F-010 nameEvidence
31. MK-XS-F-147 call
32. MK-ST-F-056 has
33. MK-XS-F-064 currentIdToken
34. MK-XS-F-112 relayUrl</t>
        </is>
      </c>
      <c r="R296" s="3" t="inlineStr">
        <is>
          <t>1. MK-ST-F-027 accountId → MK-NW-O-001 theBonds → MK-NW-F-077 ALL
2. MK-NW-F-057 annualCoupon → MK-NW-O-001 theBonds → MK-NW-F-077 ALL
3. MK-XS-F-122 n → MK-CF-F-155 cash → MK-NW-F-056 bondInfo → MK-NW-O-001 theBonds → MK-NW-F-077 ALL
4. MK-NW-F-011 assetClassOf → MK-NW-F-009 maturityClass → MK-NW-F-124 maturityParts → MK-NW-F-056 bondInfo → MK-NW-O-001 theBonds → MK-NW-F-077 ALL
5. maturityParts (already above — a loop) → MK-NW-F-009 maturityClass → MK-NW-F-124 maturityParts → MK-NW-F-056 bondInfo → MK-NW-O-001 theBonds → MK-NW-F-077 ALL
6. MK-CF-F-216 typed → MK-NW-F-009 maturityClass → MK-NW-F-124 maturityParts → MK-NW-F-056 bondInfo → MK-NW-O-001 theBonds → MK-NW-F-077 ALL
7. MK-CF-F-216 typed → MK-NW-F-124 maturityParts → MK-NW-F-056 bondInfo → MK-NW-O-001 theBonds → MK-NW-F-077 ALL
8. MK-NW-F-124 maturityParts → MK-NW-F-119 estimatedAccrued → MK-NW-F-060 approxYTM → MK-NW-F-064 bondRateSensitivity → MK-NW-O-001 theBonds → MK-NW-F-077 ALL
9. … and 4 more paths</t>
        </is>
      </c>
      <c r="S296" s="3" t="inlineStr">
        <is>
          <t>—</t>
        </is>
      </c>
      <c r="T296" s="3" t="inlineStr">
        <is>
          <t>—</t>
        </is>
      </c>
      <c r="U296" s="3" t="inlineStr">
        <is>
          <t>ACTIVE</t>
        </is>
      </c>
      <c r="V296" s="3" t="inlineStr">
        <is>
          <t>2026-09-28</t>
        </is>
      </c>
      <c r="W296" s="3" t="n"/>
      <c r="X296" s="3" t="n"/>
      <c r="Y296" s="3" t="inlineStr">
        <is>
          <t>NOTHING OPEN</t>
        </is>
      </c>
    </row>
    <row r="297" ht="60" customHeight="1">
      <c r="A297" s="3" t="inlineStr">
        <is>
          <t>MK-NW-F-078</t>
        </is>
      </c>
      <c r="B297" s="3" t="inlineStr">
        <is>
          <t>ONE</t>
        </is>
      </c>
      <c r="C297" s="3" t="inlineStr">
        <is>
          <t>MoneyKeel/functions/networth-and-performance/bonds.ts</t>
        </is>
      </c>
      <c r="D297" s="3" t="n">
        <v>380</v>
      </c>
      <c r="E297" s="3" t="inlineStr">
        <is>
          <t>2 · DISPLAYED</t>
        </is>
      </c>
      <c r="F297" s="3" t="inlineStr">
        <is>
          <t>Example only: runs theBonds for one bond of the worked example and calculates nothing of its own.</t>
        </is>
      </c>
      <c r="G297" s="11" t="inlineStr">
        <is>
          <t>NOT READ YET — the body is not a shape this can render faithfully, so nothing is claimed rather than something being guessed. It needs reading by hand.</t>
        </is>
      </c>
      <c r="H297" s="3" t="inlineStr">
        <is>
          <t>NOT READ YET — the body is not a shape this can render faithfully, so nothing is claimed rather than something being guessed. It needs reading by hand.</t>
        </is>
      </c>
      <c r="I297" s="3" t="inlineStr">
        <is>
          <t>NOT READ — nothing is claimed rather than something guessed</t>
        </is>
      </c>
      <c r="J297" s="3" t="inlineStr">
        <is>
          <t>Nothing is handed to it</t>
        </is>
      </c>
      <c r="K297" s="3" t="inlineStr">
        <is>
          <t>EXAMPLE, accountId: 'b1', today: TODAY }).one!;</t>
        </is>
      </c>
      <c r="L297" s="3" t="inlineStr">
        <is>
          <t>NOT FOUND — a screen calls it, but the words printed beside its answer could not be traced automatically. Needs reading.</t>
        </is>
      </c>
      <c r="M297" s="3" t="inlineStr">
        <is>
          <t>1. If face is missing it uses 0.
2. If coupon per year is missing it uses 0.
3. If current yield is missing it uses 0.
4. If coupon rate is missing it uses 0.
5. If years left is missing it uses 0.
6. Shows 2 decimal places.
7. Shows 1 decimal place.</t>
        </is>
      </c>
      <c r="N297" s="3" t="inlineStr">
        <is>
          <t>Yes</t>
        </is>
      </c>
      <c r="O297" s="3" t="inlineStr">
        <is>
          <t>1. MK-NW-F-077 ALL
2. MK-NW-F-059 currentYield
3. MK-XS-F-180 declareFigures
4. MK-ST-F-049 formatMoney
5. MK-ST-F-053 money
6. MK-NW-O-001 theBonds</t>
        </is>
      </c>
      <c r="P297" s="3" t="n">
        <v>41</v>
      </c>
      <c r="Q297" s="3" t="inlineStr">
        <is>
          <t>1. MK-NW-F-077 ALL
2. MK-NW-F-059 currentYield
3. MK-XS-F-180 declareFigures
4. MK-ST-F-049 formatMoney
5. MK-ST-F-053 money
6. MK-NW-O-001 theBonds
7. MK-NW-F-112 yearlyInterest
8. MK-ST-F-048 currencySymbol
9. MK-XS-F-122 n
10. MK-ST-F-039 on
11. MK-ST-F-027 accountId
12. MK-NW-F-057 annualCoupon
13. MK-NW-F-056 bondInfo
14. MK-NW-F-064 bondRateSensitivity
15. MK-NW-F-061 bondSummary
16. MK-NW-F-055 isBond
17. MK-CF-F-132 map
18. MK-NW-F-124 maturityParts
19. MK-NW-F-072 rowOf
20. MK-ST-F-047 activeCurrency
21. MK-CF-F-155 cash
22. MK-NW-F-060 approxYTM
23. MK-NW-F-069 priceAtYield
24. MK-NW-F-131 pricedLikeBond
25. MK-NW-F-125 isPastMaturity
26. MK-ST-F-065 isoLocalDate
27. MK-NW-F-126 yearlyInterestNow
28. MK-NW-F-011 assetClassOf
29. MK-NW-F-009 maturityClass
30. MK-CF-F-216 typed
31. MK-NW-F-070 accruedInterestCaveat
32. MK-NW-F-058 yearsToMaturity
33. MK-NW-F-119 estimatedAccrued
34. MK-NW-F-120 classEvidenceOf
35. MK-NW-F-067 plural
36. MK-NW-F-008 incomeBearingClassOf
37. MK-ST-F-010 nameEvidence
38. MK-XS-F-147 call
39. MK-ST-F-056 has
40. MK-XS-F-064 currentIdToken
41. MK-XS-F-112 relayUrl</t>
        </is>
      </c>
      <c r="R297" s="3" t="inlineStr">
        <is>
          <t>1. MK-ST-F-027 accountId → MK-NW-O-001 theBonds → MK-NW-F-077 ALL → MK-NW-F-078 ONE
2. MK-NW-F-057 annualCoupon → MK-NW-O-001 theBonds → MK-NW-F-077 ALL → MK-NW-F-078 ONE
3. MK-XS-F-122 n → MK-CF-F-155 cash → MK-NW-F-056 bondInfo → MK-NW-O-001 theBonds → MK-NW-F-077 ALL → MK-NW-F-078 ONE
4. MK-NW-F-009 maturityClass → MK-NW-F-124 maturityParts → MK-NW-F-056 bondInfo → MK-NW-O-001 theBonds → MK-NW-F-077 ALL → MK-NW-F-078 ONE
5. MK-CF-F-216 typed → MK-NW-F-124 maturityParts → MK-NW-F-056 bondInfo → MK-NW-O-001 theBonds → MK-NW-F-077 ALL → MK-NW-F-078 ONE
6. MK-NW-F-119 estimatedAccrued → MK-NW-F-060 approxYTM → MK-NW-F-064 bondRateSensitivity → MK-NW-O-001 theBonds → MK-NW-F-077 ALL → MK-NW-F-078 ONE
7. MK-NW-F-069 priceAtYield → MK-NW-F-060 approxYTM → MK-NW-F-064 bondRateSensitivity → MK-NW-O-001 theBonds → MK-NW-F-077 ALL → MK-NW-F-078 ONE
8. MK-NW-F-131 pricedLikeBond → MK-NW-F-060 approxYTM → MK-NW-F-064 bondRateSensitivity → MK-NW-O-001 theBonds → MK-NW-F-077 ALL → MK-NW-F-078 ONE
9. … and 5 more paths</t>
        </is>
      </c>
      <c r="S297" s="3" t="inlineStr">
        <is>
          <t>—</t>
        </is>
      </c>
      <c r="T297" s="3" t="inlineStr">
        <is>
          <t>—</t>
        </is>
      </c>
      <c r="U297" s="3" t="inlineStr">
        <is>
          <t>ACTIVE</t>
        </is>
      </c>
      <c r="V297" s="3" t="inlineStr">
        <is>
          <t>2026-09-28</t>
        </is>
      </c>
      <c r="W297" s="3" t="n"/>
      <c r="X297" s="3" t="n"/>
      <c r="Y297" s="3" t="inlineStr">
        <is>
          <t>NOTHING OPEN</t>
        </is>
      </c>
    </row>
    <row r="298" ht="60" customHeight="1">
      <c r="A298" s="3" t="inlineStr">
        <is>
          <t>MK-NW-F-079</t>
        </is>
      </c>
      <c r="B298" s="3" t="inlineStr">
        <is>
          <t>EF</t>
        </is>
      </c>
      <c r="C298" s="3" t="inlineStr">
        <is>
          <t>MoneyKeel/functions/networth-and-performance/emergency-fund.ts</t>
        </is>
      </c>
      <c r="D298" s="3" t="n">
        <v>315</v>
      </c>
      <c r="E298" s="3" t="inlineStr">
        <is>
          <t>1 · ACTION</t>
        </is>
      </c>
      <c r="F298" s="3" t="inlineStr">
        <is>
          <t>Example only: runs theEmergencyFund on the worked example and calculates nothing of its own.</t>
        </is>
      </c>
      <c r="G298" s="11" t="inlineStr">
        <is>
          <t>the emergency fund(EXAMPLE)</t>
        </is>
      </c>
      <c r="H298" s="3" t="inlineStr">
        <is>
          <t>the emergency fund(EXAMPLE)</t>
        </is>
      </c>
      <c r="I298" s="3" t="inlineStr">
        <is>
          <t>READ FROM THE CODE — rendered from the expressions the function runs</t>
        </is>
      </c>
      <c r="J298" s="3" t="inlineStr">
        <is>
          <t>Nothing is handed to it</t>
        </is>
      </c>
      <c r="K298" s="3" t="inlineStr">
        <is>
          <t>NOT DECLARED — the code does not say what it gives back</t>
        </is>
      </c>
      <c r="L298" s="3" t="inlineStr">
        <is>
          <t>—</t>
        </is>
      </c>
      <c r="M298" s="3" t="inlineStr">
        <is>
          <t>1. Rounds the answer to 1 decimal place.
2. Shows 1 decimal place.</t>
        </is>
      </c>
      <c r="N298" s="3" t="inlineStr">
        <is>
          <t>No</t>
        </is>
      </c>
      <c r="O298" s="3" t="inlineStr">
        <is>
          <t>1. MK-CF-F-155 cash
2. MK-XS-F-180 declareFigures
3. MK-CF-F-190 essentialsMonthly
4. MK-ST-F-049 formatMoney
5. MK-NW-O-004 theEmergencyFund</t>
        </is>
      </c>
      <c r="P298" s="3" t="n">
        <v>152</v>
      </c>
      <c r="Q298" s="3" t="inlineStr">
        <is>
          <t>1. MK-CF-F-155 cash
2. MK-XS-F-180 declareFigures
3. MK-CF-F-190 essentialsMonthly
4. MK-ST-F-049 formatMoney
5. MK-NW-O-004 theEmergencyFund
6. MK-XS-F-122 n
7. MK-CF-F-189 essentialsFromLoggedSpending
8. MK-CF-O-002 expenses
9. MK-CF-F-216 typed
10. MK-ST-F-048 currencySymbol
11. MK-ST-F-039 on
12. MK-NW-F-016 cashTotal
13. MK-CF-F-010 emergencyTest
14. MK-ST-F-056 has
15. MK-CF-O-004 incomeSummary
16. MK-CF-F-132 map
17. MK-CF-F-009 monthlyEssentials
18. MK-CF-F-022 paymentShape
19. MK-CF-F-002 plannedMonthlySpend
20. MK-NW-F-117 propertyUseMap
21. MK-ST-F-085 rentFigure
22. MK-CF-O-020 theBudgetCounted
23. MK-ST-F-052 toNum
24. MK-CF-F-191 ym
25. MK-CF-F-151 actualSpending
26. MK-CF-F-150 debtPaymentsCountedAsExpenses
27. MK-CF-F-153 radar
28. MK-CF-F-149 recurringDebtPayments
29. MK-ST-F-047 activeCurrency
30. MK-NW-F-027 accountClassBreakdown
31. MK-NW-F-029 assetAllocation
32. MK-NW-F-011 assetClassOf
33. MK-CF-F-203 MONTH
34. MK-CF-O-001 basePay
35. MK-CF-F-069 benefitActiveMonths
36. MK-CF-F-072 currentRetirementIncomeMonthly
37. MK-CF-F-173 earnerWages
38. MK-CF-F-179 entryFromWage
39. MK-CF-F-071 extraIncome
40. MK-CF-F-085 filingStatusOf
41. MK-CF-F-092 incomeMonthlyGrid
42. MK-CF-F-192 inflowLabel
43. MK-CF-F-103 marginalBracketFor
44. MK-CF-F-089 over65CountOf
45. MK-CF-F-181 rateInForce
46. MK-CF-F-068 rentalNetAnnual
47. MK-CF-F-082 salaryAnnual
48. MK-CF-F-060 salaryGrossByMonth
49. MK-CF-F-084 taxableAnnual
50. MK-CF-F-120 pctBaseMonthly
51. MK-CF-F-004 spendBuckets
52. MK-CF-F-021 defaultPaymentType
53. MK-XS-F-027 takeHomeMonthly
54. MK-NW-F-116 rentedIdsOf
55. MK-NW-F-106 mortgagesByProperty
56. MK-NW-F-107 propertyUses
57. MK-CF-F-148 inMonth
58. MK-CF-F-152 isRadarItem
59. MK-CF-F-023 requiredPayment
60. MK-NW-F-109 holdingClassOf
61. MK-NW-F-067 plural
62. MK-NW-F-120 classEvidenceOf
63. MK-CF-O-010 theMonth
64. MK-ST-F-035 covers
65. MK-CF-F-171 earnerPay
66. MK-CF-F-204 line
67. MK-ST-F-053 money
68. MK-HM-F-006 money0
69. MK-CF-F-198 payrollTaxWithheld
70. MK-CF-F-075 retirementIncomeMonthly
71. MK-CF-F-172 hasWage
72. MK-CF-F-165 salaryMonths
73. MK-CF-F-070 benefitAnnual
74. MK-CF-F-065 equityVestWeights
75. MK-CF-F-206 householdK401ByMonth
76. MK-CF-F-087 monthlyTaxRates
77. MK-CF-F-073 otherIncomeMonth
78. MK-CF-F-066 rsuAnnual
79. MK-CF-F-077 scholarshipByCalendarMonth
80. MK-CF-F-088 taxableByCalendarMonth
81. MK-CF-F-177 wageGrossByMonth
82. MK-PL-F-012 waterfall
83. MK-CF-F-193 inflowSourceWord
84. MK-CF-F-100 taxableIncomeFor
85. MK-CF-F-180 enteredLandsAnnual
86. MK-CF-F-086 stateRateOf
87. MK-CF-F-101 taxOwedFor
88. MK-CF-F-067 rentalList
89. MK-CF-F-176 sumMonthsOverEarners
90. MK-CF-F-074 tipsAnnual
91. MK-CF-F-003 categoryMonthly
92. MK-CF-F-011 savingsByMonth
93. MK-NW-F-115 liveRent
94. MK-NW-F-123 holdingNameEvidence
95. MK-NW-F-121 holdingTagClass
96. MK-NW-F-054 reclassifyAccounts
97. MK-NW-F-008 incomeBearingClassOf
98. MK-NW-F-009 maturityClass
99. MK-CF-O-003 thisMonth
100. MK-ST-F-034 firstDate
101. MK-CF-F-143 annualisedGross
102. MK-CF-F-145 deductionsFromPay
103. MK-CF-F-128 grossByMonth
104. MK-CF-F-146 payFiguresAgree
105. MK-CF-F-144 takeHomeAsEntered
106. MK-HM-F-005 pctTxt
107. MK-CF-F-062 equityRowValue
108. MK-CF-F-090 effectiveRate
109. MK-CF-F-063 rowVestYear
110. MK-CF-F-130 enteredMonthlyRaw
111. MK-CF-F-166 hasMonthlySalaryTable
112. MK-ST-F-036 reconcile
113. MK-CF-F-167 salaryCalendarYear
114. MK-CF-F-099 deductionFor
115. MK-CF-F-081 salaryActiveMonths
116. MK-CF-F-008 spendByMonth
117. MK-NW-F-114 rentAmount
118. MK-NW-F-053 correctClassOf
119. MK-NW-F-122 holdingTagFor
120. MK-ST-F-010 nameEvidence
121. MK-NW-F-124 maturityParts
122. MK-CF-F-005 actualMonthFlow
123. MK-CF-F-156 plannedMonthFlow
124. MK-CF-F-142 monthsOf
125. MK-CF-F-141 perMonth
126. MK-CF-F-187 seniorDeductionFor
127. MK-XS-F-147 call
128. MK-NW-F-078 ONE
129. MK-CF-F-157 debtPaymentsByDebt
130. MK-CF-F-140 periodsAYear
131. MK-ST-F-027 accountId
132. MK-XS-F-064 currentIdToken
133. MK-XS-F-112 relayUrl
134. MK-NW-F-077 ALL
135. MK-NW-F-059 currentYield
136. MK-NW-O-001 theBonds
137. MK-NW-F-112 yearlyInterest
138. MK-NW-F-057 annualCoupon
139. MK-NW-F-056 bondInfo
140. MK-NW-F-064 bondRateSensitivity
141. MK-NW-F-061 bondSummary
142. MK-NW-F-055 isBond
143. MK-NW-F-072 rowOf
144. MK-NW-F-060 approxYTM
145. MK-NW-F-069 priceAtYield
146. MK-NW-F-131 pricedLikeBond
147. MK-NW-F-125 isPastMaturity
148. MK-ST-F-065 isoLocalDate
149. MK-NW-F-126 yearlyInterestNow
150. MK-NW-F-070 accruedInterestCaveat
151. MK-NW-F-058 yearsToMaturity
152. MK-NW-F-119 estimatedAccrued</t>
        </is>
      </c>
      <c r="R298"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298" s="3" t="inlineStr">
        <is>
          <t>—</t>
        </is>
      </c>
      <c r="T298" s="3" t="inlineStr">
        <is>
          <t>—</t>
        </is>
      </c>
      <c r="U298" s="3" t="inlineStr">
        <is>
          <t>ACTIVE</t>
        </is>
      </c>
      <c r="V298" s="3" t="inlineStr">
        <is>
          <t>2026-09-28</t>
        </is>
      </c>
      <c r="W298" s="3" t="n"/>
      <c r="X298" s="3" t="n"/>
      <c r="Y298" s="3" t="inlineStr">
        <is>
          <t>NOTHING OPEN</t>
        </is>
      </c>
    </row>
    <row r="299" ht="60" customHeight="1">
      <c r="A299" s="3" t="inlineStr">
        <is>
          <t>MK-NW-F-080</t>
        </is>
      </c>
      <c r="B299" s="3" t="inlineStr">
        <is>
          <t>HOLD</t>
        </is>
      </c>
      <c r="C299" s="3" t="inlineStr">
        <is>
          <t>MoneyKeel/functions/networth-and-performance/holding.ts</t>
        </is>
      </c>
      <c r="D299" s="3" t="n">
        <v>219</v>
      </c>
      <c r="E299" s="3" t="inlineStr">
        <is>
          <t>1 · ACTION</t>
        </is>
      </c>
      <c r="F299" s="3" t="inlineStr">
        <is>
          <t>Example only: runs theHolding on the worked example and calculates nothing of its own.</t>
        </is>
      </c>
      <c r="G299" s="11" t="inlineStr">
        <is>
          <t>NOT READ YET — the body is not a shape this can render faithfully, so nothing is claimed rather than something being guessed. It needs reading by hand.</t>
        </is>
      </c>
      <c r="H299" s="3" t="inlineStr">
        <is>
          <t>NOT READ YET — the body is not a shape this can render faithfully, so nothing is claimed rather than something being guessed. It needs reading by hand.</t>
        </is>
      </c>
      <c r="I299" s="3" t="inlineStr">
        <is>
          <t>NOT READ — nothing is claimed rather than something guessed</t>
        </is>
      </c>
      <c r="J299" s="3" t="inlineStr">
        <is>
          <t>Nothing is handed to it</t>
        </is>
      </c>
      <c r="K299" s="3" t="inlineStr">
        <is>
          <t>EXAMPLE_POSITION, accountId: 'a2', price: 290,</t>
        </is>
      </c>
      <c r="L299" s="3" t="inlineStr">
        <is>
          <t>—</t>
        </is>
      </c>
      <c r="M299" s="3" t="inlineStr">
        <is>
          <t>None found in this function — anything it assumes comes from the functions it depends on.</t>
        </is>
      </c>
      <c r="N299" s="3" t="inlineStr">
        <is>
          <t>No</t>
        </is>
      </c>
      <c r="O299" s="3" t="inlineStr">
        <is>
          <t>1. MK-XS-F-180 declareFigures
2. MK-NW-O-006 theHolding</t>
        </is>
      </c>
      <c r="P299" s="3" t="n">
        <v>12</v>
      </c>
      <c r="Q299" s="3" t="inlineStr">
        <is>
          <t>1. MK-XS-F-180 declareFigures
2. MK-NW-O-006 theHolding
3. MK-ST-F-027 accountId
4. MK-PF-F-006 capGains
5. MK-PF-F-031 contractMultiplier
6. MK-PF-F-002 costBasis
7. MK-CF-F-132 map
8. MK-PF-F-004 marketValue
9. MK-PF-F-028 realizedFromLedger
10. MK-PF-F-001 totalShares
11. MK-XS-F-122 n
12. MK-PF-F-035 unknownFigure</t>
        </is>
      </c>
      <c r="R299" s="3" t="inlineStr">
        <is>
          <t>1. MK-XS-F-180 declareFigures → MK-NW-F-080 HOLD
2. MK-ST-F-027 accountId → MK-NW-O-006 theHolding → MK-NW-F-080 HOLD
3. MK-PF-F-031 contractMultiplier → MK-PF-F-006 capGains → MK-NW-O-006 theHolding → MK-NW-F-080 HOLD
4. MK-XS-F-122 n → MK-PF-F-006 capGains → MK-NW-O-006 theHolding → MK-NW-F-080 HOLD
5. MK-PF-F-035 unknownFigure → MK-PF-F-006 capGains → MK-NW-O-006 theHolding → MK-NW-F-080 HOLD
6. MK-PF-F-031 contractMultiplier → MK-NW-O-006 theHolding → MK-NW-F-080 HOLD
7. MK-PF-F-031 contractMultiplier → MK-PF-F-002 costBasis → MK-NW-O-006 theHolding → MK-NW-F-080 HOLD
8. MK-PF-F-035 unknownFigure → MK-PF-F-002 costBasis → MK-NW-O-006 theHolding → MK-NW-F-080 HOLD
9. … and 4 more paths</t>
        </is>
      </c>
      <c r="S299" s="3" t="inlineStr">
        <is>
          <t>—</t>
        </is>
      </c>
      <c r="T299" s="3" t="inlineStr">
        <is>
          <t>—</t>
        </is>
      </c>
      <c r="U299" s="3" t="inlineStr">
        <is>
          <t>ACTIVE</t>
        </is>
      </c>
      <c r="V299" s="3" t="inlineStr">
        <is>
          <t>2026-09-28</t>
        </is>
      </c>
      <c r="W299" s="3" t="n"/>
      <c r="X299" s="3" t="n"/>
      <c r="Y299" s="3" t="inlineStr">
        <is>
          <t>NOTHING OPEN</t>
        </is>
      </c>
    </row>
    <row r="300" ht="60" customHeight="1">
      <c r="A300" s="3" t="inlineStr">
        <is>
          <t>MK-NW-F-081</t>
        </is>
      </c>
      <c r="B300" s="3" t="inlineStr">
        <is>
          <t>LB</t>
        </is>
      </c>
      <c r="C300" s="3" t="inlineStr">
        <is>
          <t>MoneyKeel/functions/networth-and-performance/look-back.ts</t>
        </is>
      </c>
      <c r="D300" s="3" t="n">
        <v>96</v>
      </c>
      <c r="E300" s="3" t="inlineStr">
        <is>
          <t>1 · ACTION</t>
        </is>
      </c>
      <c r="F300" s="3" t="inlineStr">
        <is>
          <t>Example only: runs theLookBack on the worked example and calculates nothing of its own.</t>
        </is>
      </c>
      <c r="G300" s="11" t="inlineStr">
        <is>
          <t>the look back(EXAMPLE)!</t>
        </is>
      </c>
      <c r="H300" s="3" t="inlineStr">
        <is>
          <t>the look back(EXAMPLE)!</t>
        </is>
      </c>
      <c r="I300" s="3" t="inlineStr">
        <is>
          <t>READ FROM THE CODE — rendered from the expressions the function runs</t>
        </is>
      </c>
      <c r="J300" s="3" t="inlineStr">
        <is>
          <t>Nothing is handed to it</t>
        </is>
      </c>
      <c r="K300" s="3" t="inlineStr">
        <is>
          <t>NOT DECLARED — the code does not say what it gives back</t>
        </is>
      </c>
      <c r="L300" s="3" t="inlineStr">
        <is>
          <t>—</t>
        </is>
      </c>
      <c r="M300" s="3" t="inlineStr">
        <is>
          <t>None found in this function — anything it assumes comes from the functions it depends on.</t>
        </is>
      </c>
      <c r="N300" s="3" t="inlineStr">
        <is>
          <t>No</t>
        </is>
      </c>
      <c r="O300" s="3" t="inlineStr">
        <is>
          <t>1. MK-XS-F-180 declareFigures
2. MK-ST-F-053 money
3. MK-NW-O-007 theLookBack</t>
        </is>
      </c>
      <c r="P300" s="3" t="n">
        <v>12</v>
      </c>
      <c r="Q300" s="3" t="inlineStr">
        <is>
          <t>1. MK-XS-F-180 declareFigures
2. MK-ST-F-053 money
3. MK-NW-O-007 theLookBack
4. MK-ST-F-049 formatMoney
5. MK-XS-F-122 n
6. MK-PF-F-023 lookBack
7. MK-ST-F-048 currencySymbol
8. MK-ST-F-039 on
9. MK-PF-F-022 factorOverMonths
10. MK-ST-F-047 activeCurrency
11. MK-ST-F-065 isoLocalDate
12. MK-PF-F-036 monthsBefore</t>
        </is>
      </c>
      <c r="R300" s="3" t="inlineStr">
        <is>
          <t>1. MK-XS-F-180 declareFigures → MK-NW-F-081 LB
2. MK-ST-F-047 activeCurrency → MK-ST-F-048 currencySymbol → MK-ST-F-049 formatMoney → MK-ST-F-053 money → MK-NW-F-081 LB
3. MK-XS-F-122 n → MK-ST-F-049 formatMoney → MK-ST-F-053 money → MK-NW-F-081 LB
4. MK-ST-F-039 on → MK-ST-F-049 formatMoney → MK-ST-F-053 money → MK-NW-F-081 LB
5. MK-XS-F-122 n → MK-ST-F-053 money → MK-NW-F-081 LB
6. MK-ST-F-065 isoLocalDate → MK-PF-F-022 factorOverMonths → MK-PF-F-023 lookBack → MK-NW-O-007 theLookBack → MK-NW-F-081 LB
7. MK-PF-F-036 monthsBefore → MK-PF-F-022 factorOverMonths → MK-PF-F-023 lookBack → MK-NW-O-007 theLookBack → MK-NW-F-081 LB</t>
        </is>
      </c>
      <c r="S300" s="3" t="inlineStr">
        <is>
          <t>—</t>
        </is>
      </c>
      <c r="T300" s="3" t="inlineStr">
        <is>
          <t>—</t>
        </is>
      </c>
      <c r="U300" s="3" t="inlineStr">
        <is>
          <t>ACTIVE</t>
        </is>
      </c>
      <c r="V300" s="3" t="inlineStr">
        <is>
          <t>2026-09-28</t>
        </is>
      </c>
      <c r="W300" s="3" t="n"/>
      <c r="X300" s="3" t="n"/>
      <c r="Y300" s="3" t="inlineStr">
        <is>
          <t>NOTHING OPEN</t>
        </is>
      </c>
    </row>
    <row r="301" ht="60" customHeight="1">
      <c r="A301" s="3" t="inlineStr">
        <is>
          <t>MK-NW-F-082</t>
        </is>
      </c>
      <c r="B301" s="3" t="inlineStr">
        <is>
          <t>NW</t>
        </is>
      </c>
      <c r="C301" s="3" t="inlineStr">
        <is>
          <t>MoneyKeel/functions/networth-and-performance/net-worth.ts</t>
        </is>
      </c>
      <c r="D301" s="3" t="n">
        <v>583</v>
      </c>
      <c r="E301" s="3" t="inlineStr">
        <is>
          <t>1 · ACTION</t>
        </is>
      </c>
      <c r="F301" s="3" t="inlineStr">
        <is>
          <t>Example only: runs theNetWorth on the worked example and calculates nothing of its own.</t>
        </is>
      </c>
      <c r="G301" s="11" t="inlineStr">
        <is>
          <t>the net worth(EXAMPLE)</t>
        </is>
      </c>
      <c r="H301" s="3" t="inlineStr">
        <is>
          <t>the net worth(EXAMPLE)</t>
        </is>
      </c>
      <c r="I301" s="3" t="inlineStr">
        <is>
          <t>READ FROM THE CODE — rendered from the expressions the function runs</t>
        </is>
      </c>
      <c r="J301" s="3" t="inlineStr">
        <is>
          <t>Nothing is handed to it</t>
        </is>
      </c>
      <c r="K301" s="3" t="inlineStr">
        <is>
          <t>NOT DECLARED — the code does not say what it gives back</t>
        </is>
      </c>
      <c r="L301" s="3" t="inlineStr">
        <is>
          <t>—</t>
        </is>
      </c>
      <c r="M301" s="3" t="inlineStr">
        <is>
          <t>None found in this function — anything it assumes comes from the functions it depends on.</t>
        </is>
      </c>
      <c r="N301" s="3" t="inlineStr">
        <is>
          <t>Yes</t>
        </is>
      </c>
      <c r="O301" s="3" t="inlineStr">
        <is>
          <t>1. MK-NW-F-097 LEDGER
2. MK-NW-O-003 theNetWorth</t>
        </is>
      </c>
      <c r="P301" s="3" t="n">
        <v>230</v>
      </c>
      <c r="Q301" s="3" t="inlineStr">
        <is>
          <t>1. MK-NW-F-097 LEDGER
2. MK-NW-O-003 theNetWorth
3. MK-NW-F-096 CLASS_KEY_OF
4. MK-NW-F-095 CLASS_LABEL_OF
5. MK-NW-F-094 ledgerGroups
6. MK-NW-F-078 ONE
7. MK-NW-F-029 assetAllocation
8. MK-NW-F-011 assetClassOf
9. MK-NW-F-039 buildAssetsState
10. MK-ST-F-028 buildDayFromAccounts
11. MK-CF-F-036 buildDebtState
12. MK-NW-F-065 buildNetWorth
13. MK-NW-F-016 cashTotal
14. MK-ST-F-056 has
15. MK-NW-F-022 investableAssets
16. MK-NW-F-021 investmentsTotal
17. MK-NW-F-014 isRealAsset
18. MK-ST-F-065 isoLocalDate
19. MK-CF-F-204 line
20. MK-CF-F-132 map
21. MK-NW-F-106 mortgagesByProperty
22. MK-ST-F-082 movementsOf
23. MK-ST-F-039 on
24. MK-ST-F-030 record
25. MK-CF-F-023 requiredPayment
26. MK-ST-F-081 timeWeightedReturn
27. MK-XS-F-175 uid
28. MK-NW-F-027 accountClassBreakdown
29. MK-NW-F-077 ALL
30. MK-NW-F-059 currentYield
31. MK-XS-F-180 declareFigures
32. MK-ST-F-049 formatMoney
33. MK-ST-F-053 money
34. MK-NW-O-001 theBonds
35. MK-NW-F-120 classEvidenceOf
36. MK-CF-F-026 actualDebtPayment
37. MK-CF-F-025 minimumDebtService
38. MK-CF-F-027 totalDebtBalance
39. MK-NW-F-066 sumWhere
40. MK-NW-F-023 wrapperWord
41. MK-CF-F-155 cash
42. MK-CF-F-203 MONTH
43. MK-CF-F-022 paymentShape
44. MK-ST-F-027 accountId
45. MK-ST-F-083 accountValuesOn
46. MK-ST-F-080 isDay
47. MK-CF-F-111 applyTransaction
48. MK-NW-F-040 assetsFromOnboarding
49. MK-PF-F-013 benchmarkTicker
50. MK-PF-F-034 closeOnOrBefore
51. MK-CF-F-186 convertTakeHomeMode
52. MK-ST-F-079 dailyWindowStart
53. MK-CF-F-038 debtsFromOnboarding
54. MK-XS-F-083 fetchPriceSeries
55. MK-ST-F-084 fillBetweenObservations
56. MK-PL-F-013 goalsFromOnboarding
57. MK-CF-F-116 inverseOf
58. MK-CF-F-112 makeTransaction
59. MK-CF-F-218 moveOldRentFigure
60. MK-XS-F-122 n
61. MK-ST-F-043 newEntityId
62. MK-XS-F-006 pruneDaily
63. MK-ST-F-073 rebuildDays
64. MK-NW-F-054 reclassifyAccounts
65. MK-XS-F-174 recomputeBalances
66. MK-CF-F-115 restoreUndo
67. MK-CF-F-109 reviewTransactions
68. MK-ST-F-044 setMoneyFormat
69. MK-NW-O-004 theEmergencyFund
70. MK-CF-F-114 undoSnapshot
71. MK-CF-F-191 ym
72. MK-NW-F-109 holdingClassOf
73. MK-NW-F-067 plural
74. MK-NW-F-112 yearlyInterest
75. MK-ST-F-048 currencySymbol
76. MK-NW-F-057 annualCoupon
77. MK-NW-F-056 bondInfo
78. MK-NW-F-064 bondRateSensitivity
79. MK-NW-F-061 bondSummary
80. MK-NW-F-055 isBond
81. MK-NW-F-124 maturityParts
82. MK-NW-F-072 rowOf
83. MK-NW-F-008 incomeBearingClassOf
84. MK-NW-F-009 maturityClass
85. MK-CF-F-024 totalDebtMonthly
86. MK-CF-O-010 theMonth
87. MK-CF-F-021 defaultPaymentType
88. MK-CF-F-138 addLot
89. MK-CF-F-136 bumpCash
90. MK-CF-F-137 findPos
91. MK-CF-F-139 removeShares
92. MK-PF-F-001 totalShares
93. MK-ST-F-052 toNum
94. MK-CF-F-085 filingStatusOf
95. MK-CF-F-097 grossFromNet
96. MK-CF-F-185 needsTakeHomeConversion
97. MK-CF-F-089 over65CountOf
98. MK-CF-F-037 inferDebtType
99. MK-CF-F-217 hasOldRentFigure
100. MK-CF-F-216 typed
101. MK-ST-F-069 amountOf
102. MK-CF-F-133 cashOf
103. MK-ST-F-066 isDayKey
104. MK-ST-F-070 isOpening
105. MK-ST-F-071 rebuildableFrom
106. MK-ST-F-068 stepDay
107. MK-ST-F-072 undo
108. MK-NW-F-053 correctClassOf
109. MK-NW-F-123 holdingNameEvidence
110. MK-NW-F-121 holdingTagClass
111. MK-NW-F-122 holdingTagFor
112. MK-PF-F-002 costBasis
113. MK-PF-F-009 latestClose
114. MK-PF-F-004 marketValue
115. MK-XS-F-024 resolveLens
116. MK-ST-F-055 round2
117. MK-CF-F-162 daysApart
118. MK-CF-F-108 isMoneyOut
119. MK-PL-F-074 median
120. MK-CF-F-131 normPayee
121. MK-CF-F-010 emergencyTest
122. MK-CF-F-190 essentialsMonthly
123. MK-CF-O-004 incomeSummary
124. MK-CF-F-009 monthlyEssentials
125. MK-CF-F-002 plannedMonthlySpend
126. MK-NW-F-117 propertyUseMap
127. MK-ST-F-085 rentFigure
128. MK-CF-O-020 theBudgetCounted
129. MK-CF-F-113 affectedAccountIds
130. MK-ST-F-047 activeCurrency
131. MK-NW-F-060 approxYTM
132. MK-NW-F-069 priceAtYield
133. MK-NW-F-131 pricedLikeBond
134. MK-NW-F-125 isPastMaturity
135. MK-NW-F-126 yearlyInterestNow
136. MK-NW-F-070 accruedInterestCaveat
137. MK-NW-F-058 yearsToMaturity
138. MK-ST-F-010 nameEvidence
139. MK-CF-F-201 INCOME
140. MK-CF-O-002 expenses
141. MK-CF-O-003 thisMonth
142. MK-CF-F-134 usesSleeve
143. MK-CF-F-101 taxOwedFor
144. MK-ST-F-067 utcOfDay
145. MK-ST-F-035 covers
146. MK-PF-F-031 contractMultiplier
147. MK-PF-F-035 unknownFigure
148. MK-CF-F-072 currentRetirementIncomeMonthly
149. MK-CF-F-189 essentialsFromLoggedSpending
150. MK-CF-O-001 basePay
151. MK-CF-F-069 benefitActiveMonths
152. MK-CF-F-173 earnerWages
153. MK-CF-F-179 entryFromWage
154. MK-CF-F-071 extraIncome
155. MK-CF-F-092 incomeMonthlyGrid
156. MK-CF-F-192 inflowLabel
157. MK-CF-F-103 marginalBracketFor
158. MK-CF-F-181 rateInForce
159. MK-CF-F-068 rentalNetAnnual
160. MK-CF-F-082 salaryAnnual
161. MK-CF-F-060 salaryGrossByMonth
162. MK-CF-F-084 taxableAnnual
163. MK-CF-F-120 pctBaseMonthly
164. MK-CF-F-004 spendBuckets
165. MK-XS-F-027 takeHomeMonthly
166. MK-NW-F-116 rentedIdsOf
167. MK-NW-F-107 propertyUses
168. MK-NW-F-119 estimatedAccrued
169. MK-XS-F-147 call
170. MK-CF-F-207 SOURCE
171. MK-CF-F-151 actualSpending
172. MK-CF-F-150 debtPaymentsCountedAsExpenses
173. MK-CF-F-153 radar
174. MK-CF-F-149 recurringDebtPayments
175. MK-CF-F-005 actualMonthFlow
176. MK-CF-F-156 plannedMonthFlow
177. MK-CF-F-100 taxableIncomeFor
178. MK-ST-F-034 firstDate
179. MK-CF-F-075 retirementIncomeMonthly
180. MK-CF-F-171 earnerPay
181. MK-HM-F-006 money0
182. MK-CF-F-198 payrollTaxWithheld
183. MK-CF-F-172 hasWage
184. MK-CF-F-165 salaryMonths
185. MK-CF-F-070 benefitAnnual
186. MK-CF-F-065 equityVestWeights
187. MK-CF-F-206 householdK401ByMonth
188. MK-CF-F-087 monthlyTaxRates
189. MK-CF-F-073 otherIncomeMonth
190. MK-CF-F-066 rsuAnnual
191. MK-CF-F-077 scholarshipByCalendarMonth
192. MK-CF-F-088 taxableByCalendarMonth
193. MK-CF-F-177 wageGrossByMonth
194. MK-PL-F-012 waterfall
195. MK-CF-F-193 inflowSourceWord
196. MK-CF-F-180 enteredLandsAnnual
197. MK-CF-F-086 stateRateOf
198. MK-CF-F-067 rentalList
199. MK-CF-F-176 sumMonthsOverEarners
200. MK-CF-F-074 tipsAnnual
201. MK-CF-F-003 categoryMonthly
202. MK-CF-F-011 savingsByMonth
203. MK-NW-F-115 liveRent
204. MK-XS-F-064 currentIdToken
205. MK-XS-F-112 relayUrl
206. MK-CF-O-016 incomeSources
207. MK-CF-F-148 inMonth
208. MK-CF-F-152 isRadarItem
209. MK-CF-F-157 debtPaymentsByDebt
210. MK-CF-F-099 deductionFor
211. MK-CF-F-143 annualisedGross
212. MK-CF-F-145 deductionsFromPay
213. MK-CF-F-128 grossByMonth
214. MK-CF-F-146 payFiguresAgree
215. MK-CF-F-144 takeHomeAsEntered
216. MK-HM-F-005 pctTxt
217. MK-CF-F-062 equityRowValue
218. MK-CF-F-090 effectiveRate
219. MK-CF-F-063 rowVestYear
220. MK-CF-F-130 enteredMonthlyRaw
221. MK-CF-F-166 hasMonthlySalaryTable
222. MK-ST-F-036 reconcile
223. MK-CF-F-167 salaryCalendarYear
224. MK-CF-F-081 salaryActiveMonths
225. MK-CF-F-008 spendByMonth
226. MK-NW-F-114 rentAmount
227. MK-CF-F-187 seniorDeductionFor
228. MK-CF-F-142 monthsOf
229. MK-CF-F-141 perMonth
230. MK-CF-F-140 periodsAYear</t>
        </is>
      </c>
      <c r="R301" s="3" t="inlineStr">
        <is>
          <t>1. MK-NW-F-096 CLASS_KEY_OF → MK-NW-F-097 LEDGER → MK-NW-F-082 NW
2. MK-NW-F-095 CLASS_LABEL_OF → MK-NW-F-097 LEDGER → MK-NW-F-082 NW
3. MK-NW-F-120 classEvidenceOf → MK-NW-F-011 assetClassOf → MK-NW-F-027 accountClassBreakdown → MK-NW-F-094 ledgerGroups → MK-NW-F-097 LEDGER → MK-NW-F-082 NW
4. MK-XS-F-122 n → MK-CF-F-155 cash → MK-NW-F-027 accountClassBreakdown → MK-NW-F-094 ledgerGroups → MK-NW-F-097 LEDGER → MK-NW-F-082 NW
5. MK-ST-F-056 has → MK-NW-F-027 accountClassBreakdown → MK-NW-F-094 ledgerGroups → MK-NW-F-097 LEDGER → MK-NW-F-082 NW
6. MK-NW-F-123 holdingNameEvidence → MK-NW-F-109 holdingClassOf → MK-NW-F-027 accountClassBreakdown → MK-NW-F-094 ledgerGroups → MK-NW-F-097 LEDGER → MK-NW-F-082 NW
7. MK-NW-F-121 holdingTagClass → MK-NW-F-109 holdingClassOf → MK-NW-F-027 accountClassBreakdown → MK-NW-F-094 ledgerGroups → MK-NW-F-097 LEDGER → MK-NW-F-082 NW
8. MK-NW-F-054 reclassifyAccounts → MK-NW-F-109 holdingClassOf → MK-NW-F-027 accountClassBreakdown → MK-NW-F-094 ledgerGroups → MK-NW-F-097 LEDGER → MK-NW-F-082 NW
9. … and 4 more paths</t>
        </is>
      </c>
      <c r="S301" s="3" t="inlineStr">
        <is>
          <t>—</t>
        </is>
      </c>
      <c r="T301" s="3" t="inlineStr">
        <is>
          <t>—</t>
        </is>
      </c>
      <c r="U301" s="3" t="inlineStr">
        <is>
          <t>ACTIVE</t>
        </is>
      </c>
      <c r="V301" s="3" t="inlineStr">
        <is>
          <t>2026-09-28</t>
        </is>
      </c>
      <c r="W301" s="3" t="n"/>
      <c r="X301" s="3" t="n"/>
      <c r="Y301" s="3" t="inlineStr">
        <is>
          <t>NOTHING OPEN</t>
        </is>
      </c>
    </row>
    <row r="302" ht="60" customHeight="1">
      <c r="A302" s="3" t="inlineStr">
        <is>
          <t>MK-NW-F-083</t>
        </is>
      </c>
      <c r="B302" s="3" t="inlineStr">
        <is>
          <t>PERF</t>
        </is>
      </c>
      <c r="C302" s="3" t="inlineStr">
        <is>
          <t>MoneyKeel/functions/networth-and-performance/performance.ts</t>
        </is>
      </c>
      <c r="D302" s="3" t="n">
        <v>1202</v>
      </c>
      <c r="E302" s="3" t="inlineStr">
        <is>
          <t>1 · ACTION</t>
        </is>
      </c>
      <c r="F302" s="3" t="inlineStr">
        <is>
          <t>Example only: runs thePerformance on the worked example and calculates nothing of its own.</t>
        </is>
      </c>
      <c r="G302" s="11" t="inlineStr">
        <is>
          <t>the performance(EXAMPLE)</t>
        </is>
      </c>
      <c r="H302" s="3" t="inlineStr">
        <is>
          <t>the performance(EXAMPLE)</t>
        </is>
      </c>
      <c r="I302" s="3" t="inlineStr">
        <is>
          <t>READ FROM THE CODE — rendered from the expressions the function runs</t>
        </is>
      </c>
      <c r="J302" s="3" t="inlineStr">
        <is>
          <t>Nothing is handed to it</t>
        </is>
      </c>
      <c r="K302" s="3" t="inlineStr">
        <is>
          <t>NOT DECLARED — the code does not say what it gives back</t>
        </is>
      </c>
      <c r="L302" s="3" t="inlineStr">
        <is>
          <t>—</t>
        </is>
      </c>
      <c r="M302" s="3" t="inlineStr">
        <is>
          <t>None found in this function — anything it assumes comes from the functions it depends on.</t>
        </is>
      </c>
      <c r="N302" s="3" t="inlineStr">
        <is>
          <t>No</t>
        </is>
      </c>
      <c r="O302" s="3" t="inlineStr">
        <is>
          <t>MK-NW-O-008 thePerformance</t>
        </is>
      </c>
      <c r="P302" s="3" t="n">
        <v>168</v>
      </c>
      <c r="Q302" s="3" t="inlineStr">
        <is>
          <t>1. MK-NW-O-008 thePerformance
2. MK-NW-F-026 accountDisplayNames
3. MK-ST-F-083 accountValuesOn
4. MK-XS-F-011 buildChangeWalk
5. MK-ST-F-028 buildDayFromAccounts
6. MK-PF-F-014 buildPerformance
7. MK-CF-F-155 cash
8. MK-NW-F-104 closedWith
9. MK-ST-F-078 dateShown
10. MK-NW-F-127 gainOfRow
11. MK-NW-F-129 gainRowName
12. MK-ST-F-056 has
13. MK-NW-F-071 isCertificateOfDeposit
14. MK-NW-F-138 knownHoldingsReturn
15. MK-CF-F-132 map
16. MK-ST-F-082 movementsOf
17. MK-NW-F-130 notIncludedSentence
18. MK-PF-F-010 periodReturn
19. MK-ST-F-013 personalFlowTotals
20. MK-NW-F-091 pricedGainOf
21. MK-ST-F-030 record
22. MK-ST-F-081 timeWeightedReturn
23. MK-ST-F-021 toNumber
24. MK-ST-F-031 valueOn
25. MK-ST-F-060 verdict
26. MK-NW-F-105 whyNoReturn
27. MK-ST-F-038 windowBounds
28. MK-NW-F-090 windowStartKey
29. MK-PF-F-042 windowTotal
30. MK-NW-F-025 accountDisplayName
31. MK-XS-F-122 n
32. MK-ST-F-027 accountId
33. MK-PF-F-013 benchmarkTicker
34. MK-PF-F-002 costBasis
35. MK-PF-F-037 dayBefore
36. MK-PF-F-012 earliestPurchaseDate
37. MK-PF-F-041 isoDay
38. MK-PF-F-009 latestClose
39. MK-PF-F-004 marketValue
40. MK-PF-F-039 periodReturnParts
41. MK-PF-F-011 periodReturnSince
42. MK-PF-F-038 periodTotalReturn
43. MK-PF-F-040 returnSincePurchases
44. MK-PF-F-008 startDateFor
45. MK-PF-F-007 totalROI
46. MK-PF-F-005 unrealizedGain
47. MK-NW-F-128 heldValueOf
48. MK-NW-F-056 bondInfo
49. MK-NW-F-067 plural
50. MK-ST-F-080 isDay
51. MK-CF-F-204 line
52. MK-ST-F-039 on
53. MK-ST-F-033 onOrBefore
54. MK-ST-F-063 shiftDay
55. MK-ST-F-062 toUtc
56. MK-ST-F-065 isoLocalDate
57. MK-NW-F-024 accountLastFour
58. MK-NW-F-012 taxTreatmentOf
59. MK-NW-F-023 wrapperWord
60. MK-ST-F-053 money
61. MK-PF-F-031 contractMultiplier
62. MK-PF-F-035 unknownFigure
63. MK-PF-F-001 totalShares
64. MK-PF-F-029 closeAsOf
65. MK-PF-F-034 closeOnOrBefore
66. MK-PF-F-036 monthsBefore
67. MK-NW-F-124 maturityParts
68. MK-CF-F-203 MONTH
69. MK-XS-F-180 declareFigures
70. MK-NW-F-007 assetKind
71. MK-ST-F-049 formatMoney
72. MK-NW-F-009 maturityClass
73. MK-CF-F-216 typed
74. MK-CF-O-010 theMonth
75. MK-NW-F-011 assetClassOf
76. MK-ST-F-048 currencySymbol
77. MK-CF-O-002 expenses
78. MK-CF-O-003 thisMonth
79. MK-NW-F-120 classEvidenceOf
80. MK-ST-F-047 activeCurrency
81. MK-CF-F-151 actualSpending
82. MK-CF-F-150 debtPaymentsCountedAsExpenses
83. MK-CF-F-153 radar
84. MK-CF-F-149 recurringDebtPayments
85. MK-CF-F-005 actualMonthFlow
86. MK-CF-F-156 plannedMonthFlow
87. MK-NW-F-008 incomeBearingClassOf
88. MK-CF-F-148 inMonth
89. MK-ST-F-052 toNum
90. MK-CF-F-191 ym
91. MK-CF-F-022 paymentShape
92. MK-CF-F-152 isRadarItem
93. MK-CF-F-023 requiredPayment
94. MK-NW-F-078 ONE
95. MK-CF-F-157 debtPaymentsByDebt
96. MK-CF-F-192 inflowLabel
97. MK-XS-F-027 takeHomeMonthly
98. MK-ST-F-010 nameEvidence
99. MK-CF-F-021 defaultPaymentType
100. MK-NW-F-077 ALL
101. MK-NW-F-059 currentYield
102. MK-NW-O-001 theBonds
103. MK-CF-F-193 inflowSourceWord
104. MK-CF-F-092 incomeMonthlyGrid
105. MK-CF-F-011 savingsByMonth
106. MK-XS-F-147 call
107. MK-NW-F-112 yearlyInterest
108. MK-NW-F-057 annualCoupon
109. MK-NW-F-064 bondRateSensitivity
110. MK-NW-F-061 bondSummary
111. MK-NW-F-055 isBond
112. MK-NW-F-072 rowOf
113. MK-CF-F-069 benefitActiveMonths
114. MK-CF-F-072 currentRetirementIncomeMonthly
115. MK-CF-F-173 earnerWages
116. MK-CF-F-065 equityVestWeights
117. MK-CF-F-071 extraIncome
118. MK-CF-F-206 householdK401ByMonth
119. MK-CF-F-087 monthlyTaxRates
120. MK-CF-F-073 otherIncomeMonth
121. MK-CF-F-181 rateInForce
122. MK-CF-F-068 rentalNetAnnual
123. MK-CF-F-066 rsuAnnual
124. MK-CF-F-060 salaryGrossByMonth
125. MK-CF-F-077 scholarshipByCalendarMonth
126. MK-CF-F-088 taxableByCalendarMonth
127. MK-CF-F-177 wageGrossByMonth
128. MK-PL-F-012 waterfall
129. MK-CF-F-008 spendByMonth
130. MK-XS-F-064 currentIdToken
131. MK-XS-F-112 relayUrl
132. MK-NW-F-060 approxYTM
133. MK-NW-F-069 priceAtYield
134. MK-NW-F-131 pricedLikeBond
135. MK-NW-F-125 isPastMaturity
136. MK-NW-F-126 yearlyInterestNow
137. MK-NW-F-070 accruedInterestCaveat
138. MK-NW-F-058 yearsToMaturity
139. MK-CF-F-075 retirementIncomeMonthly
140. MK-CF-F-172 hasWage
141. MK-CF-F-062 equityRowValue
142. MK-CF-F-070 benefitAnnual
143. MK-CF-F-176 sumMonthsOverEarners
144. MK-CF-F-090 effectiveRate
145. MK-CF-F-180 enteredLandsAnnual
146. MK-CF-F-085 filingStatusOf
147. MK-CF-F-089 over65CountOf
148. MK-CF-F-082 salaryAnnual
149. MK-CF-F-086 stateRateOf
150. MK-CF-F-101 taxOwedFor
151. MK-CF-F-084 taxableAnnual
152. MK-CF-F-067 rentalList
153. MK-CF-F-063 rowVestYear
154. MK-CF-F-130 enteredMonthlyRaw
155. MK-CF-F-166 hasMonthlySalaryTable
156. MK-ST-F-036 reconcile
157. MK-CF-F-167 salaryCalendarYear
158. MK-CF-F-120 pctBaseMonthly
159. MK-CF-F-004 spendBuckets
160. MK-NW-F-119 estimatedAccrued
161. MK-CF-F-100 taxableIncomeFor
162. MK-CF-F-074 tipsAnnual
163. MK-ST-F-085 rentFigure
164. MK-CF-F-165 salaryMonths
165. MK-CF-F-003 categoryMonthly
166. MK-CF-F-099 deductionFor
167. MK-CF-F-081 salaryActiveMonths
168. MK-CF-F-187 seniorDeductionFor</t>
        </is>
      </c>
      <c r="R302" s="3" t="inlineStr">
        <is>
          <t>1. accountDisplayNames (already above — a loop) → MK-NW-F-025 accountDisplayName → MK-NW-F-026 accountDisplayNames → MK-NW-O-008 thePerformance → MK-NW-F-083 PERF
2. MK-NW-F-024 accountLastFour → MK-NW-F-025 accountDisplayName → MK-NW-F-026 accountDisplayNames → MK-NW-O-008 thePerformance → MK-NW-F-083 PERF
3. MK-ST-F-039 on → MK-NW-F-025 accountDisplayName → MK-NW-F-026 accountDisplayNames → MK-NW-O-008 thePerformance → MK-NW-F-083 PERF
4. MK-NW-F-007 assetKind → MK-NW-F-012 taxTreatmentOf → MK-NW-F-025 accountDisplayName → MK-NW-F-026 accountDisplayNames → MK-NW-O-008 thePerformance → MK-NW-F-083 PERF
5. MK-NW-F-023 wrapperWord → MK-NW-F-025 accountDisplayName → MK-NW-F-026 accountDisplayNames → MK-NW-O-008 thePerformance → MK-NW-F-083 PERF
6. MK-ST-F-056 has → MK-NW-F-026 accountDisplayNames → MK-NW-O-008 thePerformance → MK-NW-F-083 PERF
7. MK-CF-F-132 map → MK-NW-F-026 accountDisplayNames → MK-NW-O-008 thePerformance → MK-NW-F-083 PERF
8. MK-XS-F-122 n → MK-NW-F-026 accountDisplayNames → MK-NW-O-008 thePerformance → MK-NW-F-083 PERF
9. … and 4 more paths</t>
        </is>
      </c>
      <c r="S302" s="3" t="inlineStr">
        <is>
          <t>—</t>
        </is>
      </c>
      <c r="T302" s="3" t="inlineStr">
        <is>
          <t>—</t>
        </is>
      </c>
      <c r="U302" s="3" t="inlineStr">
        <is>
          <t>ACTIVE</t>
        </is>
      </c>
      <c r="V302" s="3" t="inlineStr">
        <is>
          <t>2026-09-30</t>
        </is>
      </c>
      <c r="W302" s="3" t="n"/>
      <c r="X302" s="3" t="n"/>
      <c r="Y302" s="3" t="inlineStr">
        <is>
          <t>NOTHING OPEN</t>
        </is>
      </c>
    </row>
    <row r="303" ht="60" customHeight="1">
      <c r="A303" s="3" t="inlineStr">
        <is>
          <t>MK-NW-F-084</t>
        </is>
      </c>
      <c r="B303" s="3" t="inlineStr">
        <is>
          <t>categoryEarnings</t>
        </is>
      </c>
      <c r="C303" s="3" t="inlineStr">
        <is>
          <t>MoneyKeel/functions/networth-and-performance/performance.ts</t>
        </is>
      </c>
      <c r="D303" s="3" t="n">
        <v>998</v>
      </c>
      <c r="E303" s="3" t="inlineStr">
        <is>
          <t>2 · DISPLAYED</t>
        </is>
      </c>
      <c r="F303" s="3" t="inlineStr">
        <is>
          <t>What each category of investment paid in dividends and interest over the period, and that category's return.</t>
        </is>
      </c>
      <c r="G303" s="11" t="inlineStr">
        <is>
          <t>rows = input.rows (or none when missing)
cls = string(asset class ?? '')
'bonds'   when cls = 'bond' (or cls = 'bonds' when missing or zero)
'cash'   when cls = 'cash'
'alternatives'   when cls = 'other' (or cls = 'alternatives' when missing or zero)
'bonds'   when !cls and kind = 'fixed_income'
the answer = 'stocks_etf'
r = rows.find((x) =&gt; string(position.ticker ?? '').to upper case() = string(tk ?? '').to upper case())
category of(position)   when r
in class = rows where category of(position) = cls
now = Σ over usable of (r.market value as number)
… the first steps only — the rest of the body needs reading by hand.</t>
        </is>
      </c>
      <c r="H303" s="3" t="inlineStr">
        <is>
          <t>Rows is input.rows (or none — when missing). Cls is string(asset class ?? ''). When cls = 'bond' (or cls = 'bonds' — when missing or zero), it answers 'bonds'. When cls = 'cash', it answers 'cash'. When cls = 'other' (or cls = 'alternatives' — when missing or zero), it answers 'alternatives'. When !cls and kind = 'fixed_income', it answers 'bonds'. The answer is 'stocks_etf'. R is rows.find((x) =&gt; string(position.ticker ?? '').to upper case() = string(tk ?? '').to upper case()). When r, it answers category of(position). In class is rows where category of(position) = cls. Now: the r.market value as number added up across usable. Only the first steps are shown; the rest of the body needs reading by hand.</t>
        </is>
      </c>
      <c r="I303" s="3" t="inlineStr">
        <is>
          <t>PARTLY READ — some of the code is still showing through; needs a hand pass</t>
        </is>
      </c>
      <c r="J303" s="3" t="inlineStr">
        <is>
          <t>Nothing is handed to it</t>
        </is>
      </c>
      <c r="K303" s="3" t="inlineStr">
        <is>
          <t>NOT DECLARED — the code does not say what it gives back</t>
        </is>
      </c>
      <c r="L303" s="3" t="inlineStr">
        <is>
          <t>NOT FOUND — a screen calls it, but the words printed beside its answer could not be traced automatically. Needs reading.</t>
        </is>
      </c>
      <c r="M303" s="3" t="inlineStr">
        <is>
          <t>1. If market value is missing it uses 0.
2. If balance is missing it uses 0.
3. If coupon rate is missing it uses 0.</t>
        </is>
      </c>
      <c r="N303" s="3" t="inlineStr">
        <is>
          <t>Yes</t>
        </is>
      </c>
      <c r="O303" s="3" t="inlineStr">
        <is>
          <t>1. MK-CF-F-155 cash
2. MK-ST-F-056 has
3. MK-CF-F-132 map
4. MK-PF-F-010 periodReturn
5. MK-ST-F-030 record
6. MK-PF-F-042 windowTotal</t>
        </is>
      </c>
      <c r="P303" s="3" t="n">
        <v>13</v>
      </c>
      <c r="Q303" s="3" t="inlineStr">
        <is>
          <t>1. MK-CF-F-155 cash
2. MK-ST-F-056 has
3. MK-CF-F-132 map
4. MK-PF-F-010 periodReturn
5. MK-ST-F-030 record
6. MK-PF-F-042 windowTotal
7. MK-XS-F-122 n
8. MK-PF-F-039 periodReturnParts
9. MK-PF-F-029 closeAsOf
10. MK-PF-F-037 dayBefore
11. MK-PF-F-009 latestClose
12. MK-PF-F-008 startDateFor
13. MK-PF-F-036 monthsBefore</t>
        </is>
      </c>
      <c r="R303" s="3" t="inlineStr">
        <is>
          <t>1. MK-XS-F-122 n → MK-CF-F-155 cash → MK-NW-F-084 categoryEarnings
2. MK-ST-F-056 has → MK-NW-F-084 categoryEarnings
3. MK-CF-F-132 map → MK-NW-F-084 categoryEarnings
4. MK-PF-F-029 closeAsOf → MK-PF-F-039 periodReturnParts → MK-PF-F-010 periodReturn → MK-NW-F-084 categoryEarnings
5. MK-PF-F-037 dayBefore → MK-PF-F-039 periodReturnParts → MK-PF-F-010 periodReturn → MK-NW-F-084 categoryEarnings
6. MK-PF-F-009 latestClose → MK-PF-F-039 periodReturnParts → MK-PF-F-010 periodReturn → MK-NW-F-084 categoryEarnings
7. MK-ST-F-030 record → MK-PF-F-039 periodReturnParts → MK-PF-F-010 periodReturn → MK-NW-F-084 categoryEarnings
8. MK-PF-F-036 monthsBefore → MK-PF-F-008 startDateFor → MK-PF-F-039 periodReturnParts → MK-PF-F-010 periodReturn → MK-NW-F-084 categoryEarnings
9. … and 2 more paths</t>
        </is>
      </c>
      <c r="S303" s="3" t="inlineStr">
        <is>
          <t>—</t>
        </is>
      </c>
      <c r="T303" s="3" t="inlineStr">
        <is>
          <t>—</t>
        </is>
      </c>
      <c r="U303" s="3" t="inlineStr">
        <is>
          <t>ACTIVE</t>
        </is>
      </c>
      <c r="V303" s="3" t="inlineStr">
        <is>
          <t>2026-10-11</t>
        </is>
      </c>
      <c r="W303" s="3" t="n"/>
      <c r="X303" s="3" t="n"/>
      <c r="Y303" s="3" t="inlineStr">
        <is>
          <t>NOTHING OPEN</t>
        </is>
      </c>
    </row>
    <row r="304" ht="60" customHeight="1">
      <c r="A304" s="3" t="inlineStr">
        <is>
          <t>MK-NW-F-085</t>
        </is>
      </c>
      <c r="B304" s="3" t="inlineStr">
        <is>
          <t>PERF_ONE</t>
        </is>
      </c>
      <c r="C304" s="3" t="inlineStr">
        <is>
          <t>MoneyKeel/functions/networth-and-performance/performance.ts</t>
        </is>
      </c>
      <c r="D304" s="3" t="n">
        <v>1230</v>
      </c>
      <c r="E304" s="3" t="inlineStr">
        <is>
          <t>1 · ACTION</t>
        </is>
      </c>
      <c r="F304" s="3" t="inlineStr">
        <is>
          <t>Example only: runs thePerformance for chosen accounts of the worked example and calculates nothing of its own.</t>
        </is>
      </c>
      <c r="G304" s="11" t="inlineStr">
        <is>
          <t>NOT READ YET — the body is not a shape this can render faithfully, so nothing is claimed rather than something being guessed. It needs reading by hand.</t>
        </is>
      </c>
      <c r="H304" s="3" t="inlineStr">
        <is>
          <t>NOT READ YET — the body is not a shape this can render faithfully, so nothing is claimed rather than something being guessed. It needs reading by hand.</t>
        </is>
      </c>
      <c r="I304" s="3" t="inlineStr">
        <is>
          <t>NOT READ — nothing is claimed rather than something guessed</t>
        </is>
      </c>
      <c r="J304" s="3" t="inlineStr">
        <is>
          <t>ids: string[]</t>
        </is>
      </c>
      <c r="K304" s="3" t="inlineStr">
        <is>
          <t>new Set(ids) });</t>
        </is>
      </c>
      <c r="L304" s="3" t="inlineStr">
        <is>
          <t>—</t>
        </is>
      </c>
      <c r="M304" s="3" t="inlineStr">
        <is>
          <t>None found in this function — anything it assumes comes from the functions it depends on.</t>
        </is>
      </c>
      <c r="N304" s="3" t="inlineStr">
        <is>
          <t>No</t>
        </is>
      </c>
      <c r="O304" s="3" t="inlineStr">
        <is>
          <t>MK-NW-O-008 thePerformance</t>
        </is>
      </c>
      <c r="P304" s="3" t="n">
        <v>168</v>
      </c>
      <c r="Q304" s="3" t="inlineStr">
        <is>
          <t>1. MK-NW-O-008 thePerformance
2. MK-NW-F-026 accountDisplayNames
3. MK-ST-F-083 accountValuesOn
4. MK-XS-F-011 buildChangeWalk
5. MK-ST-F-028 buildDayFromAccounts
6. MK-PF-F-014 buildPerformance
7. MK-CF-F-155 cash
8. MK-NW-F-104 closedWith
9. MK-ST-F-078 dateShown
10. MK-NW-F-127 gainOfRow
11. MK-NW-F-129 gainRowName
12. MK-ST-F-056 has
13. MK-NW-F-071 isCertificateOfDeposit
14. MK-NW-F-138 knownHoldingsReturn
15. MK-CF-F-132 map
16. MK-ST-F-082 movementsOf
17. MK-NW-F-130 notIncludedSentence
18. MK-PF-F-010 periodReturn
19. MK-ST-F-013 personalFlowTotals
20. MK-NW-F-091 pricedGainOf
21. MK-ST-F-030 record
22. MK-ST-F-081 timeWeightedReturn
23. MK-ST-F-021 toNumber
24. MK-ST-F-031 valueOn
25. MK-ST-F-060 verdict
26. MK-NW-F-105 whyNoReturn
27. MK-ST-F-038 windowBounds
28. MK-NW-F-090 windowStartKey
29. MK-PF-F-042 windowTotal
30. MK-NW-F-025 accountDisplayName
31. MK-XS-F-122 n
32. MK-ST-F-027 accountId
33. MK-PF-F-013 benchmarkTicker
34. MK-PF-F-002 costBasis
35. MK-PF-F-037 dayBefore
36. MK-PF-F-012 earliestPurchaseDate
37. MK-PF-F-041 isoDay
38. MK-PF-F-009 latestClose
39. MK-PF-F-004 marketValue
40. MK-PF-F-039 periodReturnParts
41. MK-PF-F-011 periodReturnSince
42. MK-PF-F-038 periodTotalReturn
43. MK-PF-F-040 returnSincePurchases
44. MK-PF-F-008 startDateFor
45. MK-PF-F-007 totalROI
46. MK-PF-F-005 unrealizedGain
47. MK-NW-F-128 heldValueOf
48. MK-NW-F-056 bondInfo
49. MK-NW-F-067 plural
50. MK-ST-F-080 isDay
51. MK-CF-F-204 line
52. MK-ST-F-039 on
53. MK-ST-F-033 onOrBefore
54. MK-ST-F-063 shiftDay
55. MK-ST-F-062 toUtc
56. MK-ST-F-065 isoLocalDate
57. MK-NW-F-024 accountLastFour
58. MK-NW-F-012 taxTreatmentOf
59. MK-NW-F-023 wrapperWord
60. MK-ST-F-053 money
61. MK-PF-F-031 contractMultiplier
62. MK-PF-F-035 unknownFigure
63. MK-PF-F-001 totalShares
64. MK-PF-F-029 closeAsOf
65. MK-PF-F-034 closeOnOrBefore
66. MK-PF-F-036 monthsBefore
67. MK-NW-F-124 maturityParts
68. MK-CF-F-203 MONTH
69. MK-XS-F-180 declareFigures
70. MK-NW-F-007 assetKind
71. MK-ST-F-049 formatMoney
72. MK-NW-F-009 maturityClass
73. MK-CF-F-216 typed
74. MK-CF-O-010 theMonth
75. MK-NW-F-011 assetClassOf
76. MK-ST-F-048 currencySymbol
77. MK-CF-O-002 expenses
78. MK-CF-O-003 thisMonth
79. MK-NW-F-120 classEvidenceOf
80. MK-ST-F-047 activeCurrency
81. MK-CF-F-151 actualSpending
82. MK-CF-F-150 debtPaymentsCountedAsExpenses
83. MK-CF-F-153 radar
84. MK-CF-F-149 recurringDebtPayments
85. MK-CF-F-005 actualMonthFlow
86. MK-CF-F-156 plannedMonthFlow
87. MK-NW-F-008 incomeBearingClassOf
88. MK-CF-F-148 inMonth
89. MK-ST-F-052 toNum
90. MK-CF-F-191 ym
91. MK-CF-F-022 paymentShape
92. MK-CF-F-152 isRadarItem
93. MK-CF-F-023 requiredPayment
94. MK-NW-F-078 ONE
95. MK-CF-F-157 debtPaymentsByDebt
96. MK-CF-F-192 inflowLabel
97. MK-XS-F-027 takeHomeMonthly
98. MK-ST-F-010 nameEvidence
99. MK-CF-F-021 defaultPaymentType
100. MK-NW-F-077 ALL
101. MK-NW-F-059 currentYield
102. MK-NW-O-001 theBonds
103. MK-CF-F-193 inflowSourceWord
104. MK-CF-F-092 incomeMonthlyGrid
105. MK-CF-F-011 savingsByMonth
106. MK-XS-F-147 call
107. MK-NW-F-112 yearlyInterest
108. MK-NW-F-057 annualCoupon
109. MK-NW-F-064 bondRateSensitivity
110. MK-NW-F-061 bondSummary
111. MK-NW-F-055 isBond
112. MK-NW-F-072 rowOf
113. MK-CF-F-069 benefitActiveMonths
114. MK-CF-F-072 currentRetirementIncomeMonthly
115. MK-CF-F-173 earnerWages
116. MK-CF-F-065 equityVestWeights
117. MK-CF-F-071 extraIncome
118. MK-CF-F-206 householdK401ByMonth
119. MK-CF-F-087 monthlyTaxRates
120. MK-CF-F-073 otherIncomeMonth
121. MK-CF-F-181 rateInForce
122. MK-CF-F-068 rentalNetAnnual
123. MK-CF-F-066 rsuAnnual
124. MK-CF-F-060 salaryGrossByMonth
125. MK-CF-F-077 scholarshipByCalendarMonth
126. MK-CF-F-088 taxableByCalendarMonth
127. MK-CF-F-177 wageGrossByMonth
128. MK-PL-F-012 waterfall
129. MK-CF-F-008 spendByMonth
130. MK-XS-F-064 currentIdToken
131. MK-XS-F-112 relayUrl
132. MK-NW-F-060 approxYTM
133. MK-NW-F-069 priceAtYield
134. MK-NW-F-131 pricedLikeBond
135. MK-NW-F-125 isPastMaturity
136. MK-NW-F-126 yearlyInterestNow
137. MK-NW-F-070 accruedInterestCaveat
138. MK-NW-F-058 yearsToMaturity
139. MK-CF-F-075 retirementIncomeMonthly
140. MK-CF-F-172 hasWage
141. MK-CF-F-062 equityRowValue
142. MK-CF-F-070 benefitAnnual
143. MK-CF-F-176 sumMonthsOverEarners
144. MK-CF-F-090 effectiveRate
145. MK-CF-F-180 enteredLandsAnnual
146. MK-CF-F-085 filingStatusOf
147. MK-CF-F-089 over65CountOf
148. MK-CF-F-082 salaryAnnual
149. MK-CF-F-086 stateRateOf
150. MK-CF-F-101 taxOwedFor
151. MK-CF-F-084 taxableAnnual
152. MK-CF-F-067 rentalList
153. MK-CF-F-063 rowVestYear
154. MK-CF-F-130 enteredMonthlyRaw
155. MK-CF-F-166 hasMonthlySalaryTable
156. MK-ST-F-036 reconcile
157. MK-CF-F-167 salaryCalendarYear
158. MK-CF-F-120 pctBaseMonthly
159. MK-CF-F-004 spendBuckets
160. MK-NW-F-119 estimatedAccrued
161. MK-CF-F-100 taxableIncomeFor
162. MK-CF-F-074 tipsAnnual
163. MK-ST-F-085 rentFigure
164. MK-CF-F-165 salaryMonths
165. MK-CF-F-003 categoryMonthly
166. MK-CF-F-099 deductionFor
167. MK-CF-F-081 salaryActiveMonths
168. MK-CF-F-187 seniorDeductionFor</t>
        </is>
      </c>
      <c r="R304" s="3" t="inlineStr">
        <is>
          <t>1. accountDisplayNames (already above — a loop) → MK-NW-F-025 accountDisplayName → MK-NW-F-026 accountDisplayNames → MK-NW-O-008 thePerformance → MK-NW-F-085 PERF_ONE
2. MK-NW-F-024 accountLastFour → MK-NW-F-025 accountDisplayName → MK-NW-F-026 accountDisplayNames → MK-NW-O-008 thePerformance → MK-NW-F-085 PERF_ONE
3. MK-ST-F-039 on → MK-NW-F-025 accountDisplayName → MK-NW-F-026 accountDisplayNames → MK-NW-O-008 thePerformance → MK-NW-F-085 PERF_ONE
4. MK-NW-F-007 assetKind → MK-NW-F-012 taxTreatmentOf → MK-NW-F-025 accountDisplayName → MK-NW-F-026 accountDisplayNames → MK-NW-O-008 thePerformance → MK-NW-F-085 PERF_ONE
5. MK-NW-F-023 wrapperWord → MK-NW-F-025 accountDisplayName → MK-NW-F-026 accountDisplayNames → MK-NW-O-008 thePerformance → MK-NW-F-085 PERF_ONE
6. MK-ST-F-056 has → MK-NW-F-026 accountDisplayNames → MK-NW-O-008 thePerformance → MK-NW-F-085 PERF_ONE
7. MK-CF-F-132 map → MK-NW-F-026 accountDisplayNames → MK-NW-O-008 thePerformance → MK-NW-F-085 PERF_ONE
8. MK-XS-F-122 n → MK-NW-F-026 accountDisplayNames → MK-NW-O-008 thePerformance → MK-NW-F-085 PERF_ONE
9. … and 4 more paths</t>
        </is>
      </c>
      <c r="S304" s="3" t="inlineStr">
        <is>
          <t>—</t>
        </is>
      </c>
      <c r="T304" s="3" t="inlineStr">
        <is>
          <t>—</t>
        </is>
      </c>
      <c r="U304" s="3" t="inlineStr">
        <is>
          <t>ACTIVE</t>
        </is>
      </c>
      <c r="V304" s="3" t="inlineStr">
        <is>
          <t>2026-09-30</t>
        </is>
      </c>
      <c r="W304" s="3" t="n"/>
      <c r="X304" s="3" t="n"/>
      <c r="Y304" s="3" t="inlineStr">
        <is>
          <t>NOTHING OPEN</t>
        </is>
      </c>
    </row>
    <row r="305" ht="60" customHeight="1">
      <c r="A305" s="3" t="inlineStr">
        <is>
          <t>MK-NW-F-086</t>
        </is>
      </c>
      <c r="B305" s="3" t="inlineStr">
        <is>
          <t>CATS</t>
        </is>
      </c>
      <c r="C305" s="3" t="inlineStr">
        <is>
          <t>MoneyKeel/functions/networth-and-performance/performance.ts</t>
        </is>
      </c>
      <c r="D305" s="3" t="n">
        <v>1278</v>
      </c>
      <c r="E305" s="3" t="inlineStr">
        <is>
          <t>1 · ACTION</t>
        </is>
      </c>
      <c r="F305" s="3" t="inlineStr">
        <is>
          <t>Example only: runs categoryEarnings on the worked example and calculates nothing of its own.</t>
        </is>
      </c>
      <c r="G305" s="11" t="inlineStr">
        <is>
          <t>category earnings(CAT_EXAMPLE)</t>
        </is>
      </c>
      <c r="H305" s="3" t="inlineStr">
        <is>
          <t>category earnings(CAT_EXAMPLE)</t>
        </is>
      </c>
      <c r="I305" s="3" t="inlineStr">
        <is>
          <t>READ FROM THE CODE — rendered from the expressions the function runs</t>
        </is>
      </c>
      <c r="J305" s="3" t="inlineStr">
        <is>
          <t>Nothing is handed to it</t>
        </is>
      </c>
      <c r="K305" s="3" t="inlineStr">
        <is>
          <t>NOT DECLARED — the code does not say what it gives back</t>
        </is>
      </c>
      <c r="L305" s="3" t="inlineStr">
        <is>
          <t>—</t>
        </is>
      </c>
      <c r="M305" s="3" t="inlineStr">
        <is>
          <t>None found in this function — anything it assumes comes from the functions it depends on.</t>
        </is>
      </c>
      <c r="N305" s="3" t="inlineStr">
        <is>
          <t>No</t>
        </is>
      </c>
      <c r="O305" s="3" t="inlineStr">
        <is>
          <t>MK-NW-F-084 categoryEarnings</t>
        </is>
      </c>
      <c r="P305" s="3" t="n">
        <v>14</v>
      </c>
      <c r="Q305" s="3" t="inlineStr">
        <is>
          <t>1. MK-NW-F-084 categoryEarnings
2. MK-CF-F-155 cash
3. MK-ST-F-056 has
4. MK-CF-F-132 map
5. MK-PF-F-010 periodReturn
6. MK-ST-F-030 record
7. MK-PF-F-042 windowTotal
8. MK-XS-F-122 n
9. MK-PF-F-039 periodReturnParts
10. MK-PF-F-029 closeAsOf
11. MK-PF-F-037 dayBefore
12. MK-PF-F-009 latestClose
13. MK-PF-F-008 startDateFor
14. MK-PF-F-036 monthsBefore</t>
        </is>
      </c>
      <c r="R305" s="3" t="inlineStr">
        <is>
          <t>1. MK-XS-F-122 n → MK-CF-F-155 cash → MK-NW-F-084 categoryEarnings → MK-NW-F-086 CATS
2. MK-ST-F-056 has → MK-NW-F-084 categoryEarnings → MK-NW-F-086 CATS
3. MK-CF-F-132 map → MK-NW-F-084 categoryEarnings → MK-NW-F-086 CATS
4. MK-PF-F-029 closeAsOf → MK-PF-F-039 periodReturnParts → MK-PF-F-010 periodReturn → MK-NW-F-084 categoryEarnings → MK-NW-F-086 CATS
5. MK-PF-F-037 dayBefore → MK-PF-F-039 periodReturnParts → MK-PF-F-010 periodReturn → MK-NW-F-084 categoryEarnings → MK-NW-F-086 CATS
6. MK-PF-F-009 latestClose → MK-PF-F-039 periodReturnParts → MK-PF-F-010 periodReturn → MK-NW-F-084 categoryEarnings → MK-NW-F-086 CATS
7. MK-ST-F-030 record → MK-PF-F-039 periodReturnParts → MK-PF-F-010 periodReturn → MK-NW-F-084 categoryEarnings → MK-NW-F-086 CATS
8. MK-PF-F-036 monthsBefore → MK-PF-F-008 startDateFor → MK-PF-F-039 periodReturnParts → MK-PF-F-010 periodReturn → MK-NW-F-084 categoryEarnings → MK-NW-F-086 CATS
9. … and 2 more paths</t>
        </is>
      </c>
      <c r="S305" s="3" t="inlineStr">
        <is>
          <t>—</t>
        </is>
      </c>
      <c r="T305" s="3" t="inlineStr">
        <is>
          <t>—</t>
        </is>
      </c>
      <c r="U305" s="3" t="inlineStr">
        <is>
          <t>ACTIVE</t>
        </is>
      </c>
      <c r="V305" s="3" t="inlineStr">
        <is>
          <t>2026-09-30</t>
        </is>
      </c>
      <c r="W305" s="3" t="n"/>
      <c r="X305" s="3" t="n"/>
      <c r="Y305" s="3" t="inlineStr">
        <is>
          <t>NOTHING OPEN</t>
        </is>
      </c>
    </row>
    <row r="306" ht="60" customHeight="1">
      <c r="A306" s="3" t="inlineStr">
        <is>
          <t>MK-NW-F-087</t>
        </is>
      </c>
      <c r="B306" s="3" t="inlineStr">
        <is>
          <t>CAT</t>
        </is>
      </c>
      <c r="C306" s="3" t="inlineStr">
        <is>
          <t>MoneyKeel/functions/networth-and-performance/performance.ts</t>
        </is>
      </c>
      <c r="D306" s="3" t="n">
        <v>1300</v>
      </c>
      <c r="E306" s="3" t="inlineStr">
        <is>
          <t>1 · ACTION</t>
        </is>
      </c>
      <c r="F306" s="3" t="inlineStr">
        <is>
          <t>Example only: picks one category out of the worked example of what each category earned.</t>
        </is>
      </c>
      <c r="G306" s="11" t="inlineStr">
        <is>
          <t>CATS().find((c) =&gt; key = key)</t>
        </is>
      </c>
      <c r="H306" s="3" t="inlineStr">
        <is>
          <t>CATS().find((c) =&gt; key = key)</t>
        </is>
      </c>
      <c r="I306" s="3" t="inlineStr">
        <is>
          <t>PARTLY READ — some of the code is still showing through; needs a hand pass</t>
        </is>
      </c>
      <c r="J306" s="3" t="inlineStr">
        <is>
          <t>key: string</t>
        </is>
      </c>
      <c r="K306" s="3" t="inlineStr">
        <is>
          <t>NOT DECLARED — the code does not say what it gives back</t>
        </is>
      </c>
      <c r="L306" s="3" t="inlineStr">
        <is>
          <t>—</t>
        </is>
      </c>
      <c r="M306" s="3" t="inlineStr">
        <is>
          <t>None found in this function — anything it assumes comes from the functions it depends on.</t>
        </is>
      </c>
      <c r="N306" s="3" t="inlineStr">
        <is>
          <t>No</t>
        </is>
      </c>
      <c r="O306" s="3" t="inlineStr">
        <is>
          <t>MK-NW-F-086 CATS</t>
        </is>
      </c>
      <c r="P306" s="3" t="n">
        <v>15</v>
      </c>
      <c r="Q306" s="3" t="inlineStr">
        <is>
          <t>1. MK-NW-F-086 CATS
2. MK-NW-F-084 categoryEarnings
3. MK-CF-F-155 cash
4. MK-ST-F-056 has
5. MK-CF-F-132 map
6. MK-PF-F-010 periodReturn
7. MK-ST-F-030 record
8. MK-PF-F-042 windowTotal
9. MK-XS-F-122 n
10. MK-PF-F-039 periodReturnParts
11. MK-PF-F-029 closeAsOf
12. MK-PF-F-037 dayBefore
13. MK-PF-F-009 latestClose
14. MK-PF-F-008 startDateFor
15. MK-PF-F-036 monthsBefore</t>
        </is>
      </c>
      <c r="R306" s="3" t="inlineStr">
        <is>
          <t>1. MK-XS-F-122 n → MK-CF-F-155 cash → MK-NW-F-084 categoryEarnings → MK-NW-F-086 CATS → MK-NW-F-087 CAT
2. MK-ST-F-056 has → MK-NW-F-084 categoryEarnings → MK-NW-F-086 CATS → MK-NW-F-087 CAT
3. MK-CF-F-132 map → MK-NW-F-084 categoryEarnings → MK-NW-F-086 CATS → MK-NW-F-087 CAT
4. MK-PF-F-029 closeAsOf → MK-PF-F-039 periodReturnParts → MK-PF-F-010 periodReturn → MK-NW-F-084 categoryEarnings → MK-NW-F-086 CATS → MK-NW-F-087 CAT
5. MK-PF-F-037 dayBefore → MK-PF-F-039 periodReturnParts → MK-PF-F-010 periodReturn → MK-NW-F-084 categoryEarnings → MK-NW-F-086 CATS → MK-NW-F-087 CAT
6. MK-PF-F-009 latestClose → MK-PF-F-039 periodReturnParts → MK-PF-F-010 periodReturn → MK-NW-F-084 categoryEarnings → MK-NW-F-086 CATS → MK-NW-F-087 CAT
7. MK-ST-F-030 record → MK-PF-F-039 periodReturnParts → MK-PF-F-010 periodReturn → MK-NW-F-084 categoryEarnings → MK-NW-F-086 CATS → MK-NW-F-087 CAT
8. MK-PF-F-008 startDateFor → MK-PF-F-039 periodReturnParts → MK-PF-F-010 periodReturn → MK-NW-F-084 categoryEarnings → MK-NW-F-086 CATS → MK-NW-F-087 CAT
9. … and 2 more paths</t>
        </is>
      </c>
      <c r="S306" s="3" t="inlineStr">
        <is>
          <t>—</t>
        </is>
      </c>
      <c r="T306" s="3" t="inlineStr">
        <is>
          <t>—</t>
        </is>
      </c>
      <c r="U306" s="3" t="inlineStr">
        <is>
          <t>ACTIVE</t>
        </is>
      </c>
      <c r="V306" s="3" t="inlineStr">
        <is>
          <t>2026-09-30</t>
        </is>
      </c>
      <c r="W306" s="3" t="n"/>
      <c r="X306" s="3" t="n"/>
      <c r="Y306" s="3" t="inlineStr">
        <is>
          <t>NOTHING OPEN</t>
        </is>
      </c>
    </row>
    <row r="307" ht="60" customHeight="1">
      <c r="A307" s="3" t="inlineStr">
        <is>
          <t>MK-NW-F-088</t>
        </is>
      </c>
      <c r="B307" s="3" t="inlineStr">
        <is>
          <t>BENCH</t>
        </is>
      </c>
      <c r="C307" s="3" t="inlineStr">
        <is>
          <t>MoneyKeel/functions/networth-and-performance/performance.ts</t>
        </is>
      </c>
      <c r="D307" s="3" t="n">
        <v>1331</v>
      </c>
      <c r="E307" s="3" t="inlineStr">
        <is>
          <t>3 · DEPENDENT (feeds an action only)</t>
        </is>
      </c>
      <c r="F307" s="3" t="inlineStr">
        <is>
          <t>Example only: runs the market comparison on the worked example and calculates nothing of its own.</t>
        </is>
      </c>
      <c r="G307" s="11" t="inlineStr">
        <is>
          <t>portfolio bench return([</t>
        </is>
      </c>
      <c r="H307" s="3" t="inlineStr">
        <is>
          <t>portfolio bench return([</t>
        </is>
      </c>
      <c r="I307" s="3" t="inlineStr">
        <is>
          <t>READ FROM THE CODE — rendered from the expressions the function runs</t>
        </is>
      </c>
      <c r="J307" s="3" t="inlineStr">
        <is>
          <t>Nothing is handed to it</t>
        </is>
      </c>
      <c r="K307" s="3" t="inlineStr">
        <is>
          <t>NOT DECLARED — the code does not say what it gives back</t>
        </is>
      </c>
      <c r="L307" s="3" t="inlineStr">
        <is>
          <t>—</t>
        </is>
      </c>
      <c r="M307" s="3" t="inlineStr">
        <is>
          <t>None found in this function — anything it assumes comes from the functions it depends on.</t>
        </is>
      </c>
      <c r="N307" s="3" t="inlineStr">
        <is>
          <t>No</t>
        </is>
      </c>
      <c r="O307" s="3" t="inlineStr">
        <is>
          <t>1. MK-NW-F-087 CAT
2. MK-NW-F-083 PERF
3. MK-NW-F-085 PERF_ONE
4. MK-NW-F-093 QUIET_PERF
5. MK-CF-F-135 availableCash
6. MK-XS-F-180 declareFigures
7. MK-ST-F-049 formatMoney
8. MK-PF-F-020 portfolioBenchReturn</t>
        </is>
      </c>
      <c r="P307" s="3" t="n">
        <v>179</v>
      </c>
      <c r="Q307" s="3" t="inlineStr">
        <is>
          <t>1. MK-NW-F-087 CAT
2. MK-NW-F-083 PERF
3. MK-NW-F-085 PERF_ONE
4. MK-NW-F-093 QUIET_PERF
5. MK-CF-F-135 availableCash
6. MK-XS-F-180 declareFigures
7. MK-ST-F-049 formatMoney
8. MK-PF-F-020 portfolioBenchReturn
9. MK-NW-F-086 CATS
10. MK-NW-O-008 thePerformance
11. MK-CF-F-134 usesSleeve
12. MK-ST-F-048 currencySymbol
13. MK-XS-F-122 n
14. MK-ST-F-039 on
15. MK-CF-F-132 map
16. MK-ST-F-053 money
17. MK-PF-F-044 startValues
18. MK-PF-F-042 windowTotal
19. MK-PF-F-043 windowTotalOfRow
20. MK-NW-F-084 categoryEarnings
21. MK-NW-F-026 accountDisplayNames
22. MK-ST-F-083 accountValuesOn
23. MK-XS-F-011 buildChangeWalk
24. MK-ST-F-028 buildDayFromAccounts
25. MK-PF-F-014 buildPerformance
26. MK-CF-F-155 cash
27. MK-NW-F-104 closedWith
28. MK-ST-F-078 dateShown
29. MK-NW-F-127 gainOfRow
30. MK-NW-F-129 gainRowName
31. MK-ST-F-056 has
32. MK-NW-F-071 isCertificateOfDeposit
33. MK-NW-F-138 knownHoldingsReturn
34. MK-ST-F-082 movementsOf
35. MK-NW-F-130 notIncludedSentence
36. MK-PF-F-010 periodReturn
37. MK-ST-F-013 personalFlowTotals
38. MK-NW-F-091 pricedGainOf
39. MK-ST-F-030 record
40. MK-ST-F-081 timeWeightedReturn
41. MK-ST-F-021 toNumber
42. MK-ST-F-031 valueOn
43. MK-ST-F-060 verdict
44. MK-NW-F-105 whyNoReturn
45. MK-ST-F-038 windowBounds
46. MK-NW-F-090 windowStartKey
47. MK-ST-F-047 activeCurrency
48. MK-NW-F-025 accountDisplayName
49. MK-ST-F-027 accountId
50. MK-PF-F-013 benchmarkTicker
51. MK-PF-F-002 costBasis
52. MK-PF-F-037 dayBefore
53. MK-PF-F-012 earliestPurchaseDate
54. MK-PF-F-041 isoDay
55. MK-PF-F-009 latestClose
56. MK-PF-F-004 marketValue
57. MK-PF-F-039 periodReturnParts
58. MK-PF-F-011 periodReturnSince
59. MK-PF-F-038 periodTotalReturn
60. MK-PF-F-040 returnSincePurchases
61. MK-PF-F-008 startDateFor
62. MK-PF-F-007 totalROI
63. MK-PF-F-005 unrealizedGain
64. MK-NW-F-128 heldValueOf
65. MK-NW-F-056 bondInfo
66. MK-NW-F-067 plural
67. MK-ST-F-080 isDay
68. MK-CF-F-204 line
69. MK-ST-F-033 onOrBefore
70. MK-ST-F-063 shiftDay
71. MK-ST-F-062 toUtc
72. MK-ST-F-065 isoLocalDate
73. MK-NW-F-024 accountLastFour
74. MK-NW-F-012 taxTreatmentOf
75. MK-NW-F-023 wrapperWord
76. MK-PF-F-031 contractMultiplier
77. MK-PF-F-035 unknownFigure
78. MK-PF-F-001 totalShares
79. MK-PF-F-029 closeAsOf
80. MK-PF-F-034 closeOnOrBefore
81. MK-PF-F-036 monthsBefore
82. MK-NW-F-124 maturityParts
83. MK-CF-F-203 MONTH
84. MK-NW-F-007 assetKind
85. MK-NW-F-009 maturityClass
86. MK-CF-F-216 typed
87. MK-CF-O-010 theMonth
88. MK-NW-F-011 assetClassOf
89. MK-CF-O-002 expenses
90. MK-CF-O-003 thisMonth
91. MK-NW-F-120 classEvidenceOf
92. MK-CF-F-151 actualSpending
93. MK-CF-F-150 debtPaymentsCountedAsExpenses
94. MK-CF-F-153 radar
95. MK-CF-F-149 recurringDebtPayments
96. MK-CF-F-005 actualMonthFlow
97. MK-CF-F-156 plannedMonthFlow
98. MK-NW-F-008 incomeBearingClassOf
99. MK-CF-F-148 inMonth
100. MK-ST-F-052 toNum
101. MK-CF-F-191 ym
102. MK-CF-F-022 paymentShape
103. MK-CF-F-152 isRadarItem
104. MK-CF-F-023 requiredPayment
105. MK-NW-F-078 ONE
106. MK-CF-F-157 debtPaymentsByDebt
107. MK-CF-F-192 inflowLabel
108. MK-XS-F-027 takeHomeMonthly
109. MK-ST-F-010 nameEvidence
110. MK-CF-F-021 defaultPaymentType
111. MK-NW-F-077 ALL
112. MK-NW-F-059 currentYield
113. MK-NW-O-001 theBonds
114. MK-CF-F-193 inflowSourceWord
115. MK-CF-F-092 incomeMonthlyGrid
116. MK-CF-F-011 savingsByMonth
117. MK-XS-F-147 call
118. MK-NW-F-112 yearlyInterest
119. MK-NW-F-057 annualCoupon
120. MK-NW-F-064 bondRateSensitivity
121. MK-NW-F-061 bondSummary
122. MK-NW-F-055 isBond
123. MK-NW-F-072 rowOf
124. MK-CF-F-069 benefitActiveMonths
125. MK-CF-F-072 currentRetirementIncomeMonthly
126. MK-CF-F-173 earnerWages
127. MK-CF-F-065 equityVestWeights
128. MK-CF-F-071 extraIncome
129. MK-CF-F-206 householdK401ByMonth
130. MK-CF-F-087 monthlyTaxRates
131. MK-CF-F-073 otherIncomeMonth
132. MK-CF-F-181 rateInForce
133. MK-CF-F-068 rentalNetAnnual
134. MK-CF-F-066 rsuAnnual
135. MK-CF-F-060 salaryGrossByMonth
136. MK-CF-F-077 scholarshipByCalendarMonth
137. MK-CF-F-088 taxableByCalendarMonth
138. MK-CF-F-177 wageGrossByMonth
139. MK-PL-F-012 waterfall
140. MK-CF-F-008 spendByMonth
141. MK-XS-F-064 currentIdToken
142. MK-XS-F-112 relayUrl
143. MK-NW-F-060 approxYTM
144. MK-NW-F-069 priceAtYield
145. MK-NW-F-131 pricedLikeBond
146. MK-NW-F-125 isPastMaturity
147. MK-NW-F-126 yearlyInterestNow
148. MK-NW-F-070 accruedInterestCaveat
149. MK-NW-F-058 yearsToMaturity
150. MK-CF-F-075 retirementIncomeMonthly
151. MK-CF-F-172 hasWage
152. MK-CF-F-062 equityRowValue
153. MK-CF-F-070 benefitAnnual
154. MK-CF-F-176 sumMonthsOverEarners
155. MK-CF-F-090 effectiveRate
156. MK-CF-F-180 enteredLandsAnnual
157. MK-CF-F-085 filingStatusOf
158. MK-CF-F-089 over65CountOf
159. MK-CF-F-082 salaryAnnual
160. MK-CF-F-086 stateRateOf
161. MK-CF-F-101 taxOwedFor
162. MK-CF-F-084 taxableAnnual
163. MK-CF-F-067 rentalList
164. MK-CF-F-063 rowVestYear
165. MK-CF-F-130 enteredMonthlyRaw
166. MK-CF-F-166 hasMonthlySalaryTable
167. MK-ST-F-036 reconcile
168. MK-CF-F-167 salaryCalendarYear
169. MK-CF-F-120 pctBaseMonthly
170. MK-CF-F-004 spendBuckets
171. MK-NW-F-119 estimatedAccrued
172. MK-CF-F-100 taxableIncomeFor
173. MK-CF-F-074 tipsAnnual
174. MK-ST-F-085 rentFigure
175. MK-CF-F-165 salaryMonths
176. MK-CF-F-003 categoryMonthly
177. MK-CF-F-099 deductionFor
178. MK-CF-F-081 salaryActiveMonths
179. MK-CF-F-187 seniorDeductionFor</t>
        </is>
      </c>
      <c r="R307" s="3" t="inlineStr">
        <is>
          <t>1. MK-XS-F-122 n → MK-CF-F-155 cash → MK-NW-F-084 categoryEarnings → MK-NW-F-086 CATS → MK-NW-F-087 CAT → MK-NW-F-088 BENCH
2. MK-ST-F-056 has → MK-NW-F-084 categoryEarnings → MK-NW-F-086 CATS → MK-NW-F-087 CAT → MK-NW-F-088 BENCH
3. MK-CF-F-132 map → MK-NW-F-084 categoryEarnings → MK-NW-F-086 CATS → MK-NW-F-087 CAT → MK-NW-F-088 BENCH
4. MK-PF-F-039 periodReturnParts → MK-PF-F-010 periodReturn → MK-NW-F-084 categoryEarnings → MK-NW-F-086 CATS → MK-NW-F-087 CAT → MK-NW-F-088 BENCH
5. MK-ST-F-030 record → MK-NW-F-084 categoryEarnings → MK-NW-F-086 CATS → MK-NW-F-087 CAT → MK-NW-F-088 BENCH
6. MK-PF-F-042 windowTotal → MK-NW-F-084 categoryEarnings → MK-NW-F-086 CATS → MK-NW-F-087 CAT → MK-NW-F-088 BENCH
7. accountDisplayNames (already above — a loop) → MK-NW-F-025 accountDisplayName → MK-NW-F-026 accountDisplayNames → MK-NW-O-008 thePerformance → MK-NW-F-083 PERF → MK-NW-F-088 BENCH
8. MK-NW-F-024 accountLastFour → MK-NW-F-025 accountDisplayName → MK-NW-F-026 accountDisplayNames → MK-NW-O-008 thePerformance → MK-NW-F-083 PERF → MK-NW-F-088 BENCH
9. … and 5 more paths</t>
        </is>
      </c>
      <c r="S307" s="3" t="inlineStr">
        <is>
          <t>—</t>
        </is>
      </c>
      <c r="T307" s="3" t="inlineStr">
        <is>
          <t>—</t>
        </is>
      </c>
      <c r="U307" s="3" t="inlineStr">
        <is>
          <t>ACTIVE</t>
        </is>
      </c>
      <c r="V307" s="3" t="inlineStr">
        <is>
          <t>2026-09-30</t>
        </is>
      </c>
      <c r="W307" s="3" t="n"/>
      <c r="X307" s="3" t="n"/>
      <c r="Y307" s="3" t="inlineStr">
        <is>
          <t>NOTHING OPEN</t>
        </is>
      </c>
    </row>
    <row r="308" ht="60" customHeight="1">
      <c r="A308" s="3" t="inlineStr">
        <is>
          <t>MK-NW-F-090</t>
        </is>
      </c>
      <c r="B308" s="3" t="inlineStr">
        <is>
          <t>windowStartKey</t>
        </is>
      </c>
      <c r="C308" s="3" t="inlineStr">
        <is>
          <t>MoneyKeel/functions/networth-and-performance/performance.ts</t>
        </is>
      </c>
      <c r="D308" s="3" t="n">
        <v>122</v>
      </c>
      <c r="E308" s="3" t="inlineStr">
        <is>
          <t>2 · DISPLAYED</t>
        </is>
      </c>
      <c r="F308" s="3" t="inlineStr">
        <is>
          <t>The first day of a period: the day after the record's first day for Since, 1 January for This year, the same day 1, 3, 6, 12 or 24 months back for 1M, 3M, 6M, 1Y and 2Y, and nothing for a window name the app does not have (DEC-4640) — no start, so no figure.</t>
        </is>
      </c>
      <c r="G308" s="11" t="inlineStr">
        <is>
          <t>first = record dates where ÷ ^\d{4}-\d{2}-\d{2}$ ÷ .test(each)the first of , in order
today   when first is missing
after = the first 10 of the date date.parse(`${first}T00:00:00Z`) + 86400000).to isostring(
the answer:
after   if after ≤ today
today   otherwise
opens = start date for(period as period, new date(y, m − 1, day, 12))</t>
        </is>
      </c>
      <c r="H308"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Opens is start date for(period as period, new date(y, m minus 1, day, 12)).</t>
        </is>
      </c>
      <c r="I308" s="3" t="inlineStr">
        <is>
          <t>PARTLY READ — some of the code is still showing through; needs a hand pass</t>
        </is>
      </c>
      <c r="J308" s="3" t="inlineStr">
        <is>
          <t>1. period: string
2. recordDates: string[]
3. today: string</t>
        </is>
      </c>
      <c r="K308" s="3" t="inlineStr">
        <is>
          <t>string | null</t>
        </is>
      </c>
      <c r="L308" s="3" t="inlineStr">
        <is>
          <t>NOT FOUND — a screen calls it, but the words printed beside its answer could not be traced automatically. Needs reading.</t>
        </is>
      </c>
      <c r="M308" s="3" t="inlineStr">
        <is>
          <t>None found in this function — anything it assumes comes from the functions it depends on.</t>
        </is>
      </c>
      <c r="N308" s="3" t="inlineStr">
        <is>
          <t>Yes</t>
        </is>
      </c>
      <c r="O308" s="3" t="inlineStr">
        <is>
          <t>1. MK-ST-F-065 isoLocalDate
2. MK-CF-F-132 map
3. MK-PF-F-008 startDateFor</t>
        </is>
      </c>
      <c r="P308" s="3" t="n">
        <v>4</v>
      </c>
      <c r="Q308" s="3" t="inlineStr">
        <is>
          <t>1. MK-ST-F-065 isoLocalDate
2. MK-CF-F-132 map
3. MK-PF-F-008 startDateFor
4. MK-PF-F-036 monthsBefore</t>
        </is>
      </c>
      <c r="R308" s="3" t="inlineStr">
        <is>
          <t>1. MK-ST-F-065 isoLocalDate → MK-NW-F-090 windowStartKey
2. MK-CF-F-132 map → MK-NW-F-090 windowStartKey
3. MK-PF-F-036 monthsBefore → MK-PF-F-008 startDateFor → MK-NW-F-090 windowStartKey</t>
        </is>
      </c>
      <c r="S308" s="3" t="inlineStr">
        <is>
          <t>—</t>
        </is>
      </c>
      <c r="T308" s="3" t="inlineStr">
        <is>
          <t>—</t>
        </is>
      </c>
      <c r="U308" s="3" t="inlineStr">
        <is>
          <t>ACTIVE</t>
        </is>
      </c>
      <c r="V308" s="3" t="inlineStr">
        <is>
          <t>2026-10-12</t>
        </is>
      </c>
      <c r="W308" s="3" t="n"/>
      <c r="X308" s="3" t="n"/>
      <c r="Y308" s="3" t="inlineStr">
        <is>
          <t>NOTHING OPEN</t>
        </is>
      </c>
    </row>
    <row r="309" ht="60" customHeight="1">
      <c r="A309" s="3" t="inlineStr">
        <is>
          <t>MK-NW-F-091</t>
        </is>
      </c>
      <c r="B309" s="3" t="inlineStr">
        <is>
          <t>pricedGainOf</t>
        </is>
      </c>
      <c r="C309" s="3" t="inlineStr">
        <is>
          <t>MoneyKeel/functions/networth-and-performance/performance.ts</t>
        </is>
      </c>
      <c r="D309" s="3" t="n">
        <v>210</v>
      </c>
      <c r="E309" s="3" t="inlineStr">
        <is>
          <t>3 · DEPENDENT</t>
        </is>
      </c>
      <c r="F309" s="3" t="inlineStr">
        <is>
          <t>What the holdings gained over the period in dollars: the true gain for a holding bought inside the period, the price move's share of today's value for one with a price history, the stated rate's share for a CD — and nothing (unknown) when any holding has neither.</t>
        </is>
      </c>
      <c r="G309" s="11" t="inlineStr">
        <is>
          <t>total = 0
g = gain of row(r, years)
nothing   when g = nothing
[LOOP — the answer is found inside a loop the extractor cannot render; the steps above are the ones before it. Read by hand.]</t>
        </is>
      </c>
      <c r="H309" s="3" t="inlineStr">
        <is>
          <t>Total is 0. G is gain of row(r, years). When g is missing, it answers no answer. The answer is total. The answer is found inside a loop that cannot be rendered here; read the code by hand.</t>
        </is>
      </c>
      <c r="I309" s="3" t="inlineStr">
        <is>
          <t>PARTLY READ — the body has a loop the extractor cannot render; the steps shown are the ones before it. Needs a hand pass (G23).</t>
        </is>
      </c>
      <c r="J309" s="3" t="inlineStr">
        <is>
          <t>1. rows: GainRow[]
2. years = 0</t>
        </is>
      </c>
      <c r="K309" s="3" t="inlineStr">
        <is>
          <t>number | null</t>
        </is>
      </c>
      <c r="L309" s="3" t="inlineStr">
        <is>
          <t>—</t>
        </is>
      </c>
      <c r="M309" s="3" t="inlineStr">
        <is>
          <t>· Uses a built-in total of 0.</t>
        </is>
      </c>
      <c r="N309" s="3" t="inlineStr">
        <is>
          <t>Yes</t>
        </is>
      </c>
      <c r="O309" s="3" t="inlineStr">
        <is>
          <t>MK-NW-F-127 gainOfRow</t>
        </is>
      </c>
      <c r="P309" s="3" t="n">
        <v>13</v>
      </c>
      <c r="Q309" s="3" t="inlineStr">
        <is>
          <t>1. MK-NW-F-127 gainOfRow
2. MK-NW-F-128 heldValueOf
3. MK-PF-F-010 periodReturn
4. MK-PF-F-042 windowTotal
5. MK-PF-F-031 contractMultiplier
6. MK-PF-F-001 totalShares
7. MK-PF-F-039 periodReturnParts
8. MK-PF-F-029 closeAsOf
9. MK-PF-F-037 dayBefore
10. MK-PF-F-009 latestClose
11. MK-ST-F-030 record
12. MK-PF-F-008 startDateFor
13. MK-PF-F-036 monthsBefore</t>
        </is>
      </c>
      <c r="R309" s="3" t="inlineStr">
        <is>
          <t>1. MK-PF-F-031 contractMultiplier → MK-NW-F-128 heldValueOf → MK-NW-F-127 gainOfRow → MK-NW-F-091 pricedGainOf
2. MK-PF-F-001 totalShares → MK-NW-F-128 heldValueOf → MK-NW-F-127 gainOfRow → MK-NW-F-091 pricedGainOf
3. MK-PF-F-029 closeAsOf → MK-PF-F-039 periodReturnParts → MK-PF-F-010 periodReturn → MK-NW-F-127 gainOfRow → MK-NW-F-091 pricedGainOf
4. MK-PF-F-037 dayBefore → MK-PF-F-039 periodReturnParts → MK-PF-F-010 periodReturn → MK-NW-F-127 gainOfRow → MK-NW-F-091 pricedGainOf
5. MK-PF-F-009 latestClose → MK-PF-F-039 periodReturnParts → MK-PF-F-010 periodReturn → MK-NW-F-127 gainOfRow → MK-NW-F-091 pricedGainOf
6. MK-ST-F-030 record → MK-PF-F-039 periodReturnParts → MK-PF-F-010 periodReturn → MK-NW-F-127 gainOfRow → MK-NW-F-091 pricedGainOf
7. MK-PF-F-036 monthsBefore → MK-PF-F-008 startDateFor → MK-PF-F-039 periodReturnParts → MK-PF-F-010 periodReturn → MK-NW-F-127 gainOfRow → MK-NW-F-091 pricedGainOf
8. MK-PF-F-042 windowTotal → MK-NW-F-127 gainOfRow → MK-NW-F-091 pricedGainOf</t>
        </is>
      </c>
      <c r="S309" s="3" t="inlineStr">
        <is>
          <t>—</t>
        </is>
      </c>
      <c r="T309" s="3" t="inlineStr">
        <is>
          <t>—</t>
        </is>
      </c>
      <c r="U309" s="3" t="inlineStr">
        <is>
          <t>ACTIVE</t>
        </is>
      </c>
      <c r="V309" s="3" t="inlineStr">
        <is>
          <t>2026-10-13</t>
        </is>
      </c>
      <c r="W309" s="3" t="n"/>
      <c r="X309" s="3" t="n"/>
      <c r="Y309" s="3" t="inlineStr">
        <is>
          <t>NOTHING OPEN</t>
        </is>
      </c>
    </row>
    <row r="310" ht="60" customHeight="1">
      <c r="A310" s="3" t="inlineStr">
        <is>
          <t>MK-NW-F-092</t>
        </is>
      </c>
      <c r="B310" s="3" t="inlineStr">
        <is>
          <t>investmentAccountIdsOf</t>
        </is>
      </c>
      <c r="C310" s="3" t="inlineStr">
        <is>
          <t>MoneyKeel/functions/networth-and-performance/performance.ts</t>
        </is>
      </c>
      <c r="D310" s="3" t="n">
        <v>444</v>
      </c>
      <c r="E310" s="3" t="inlineStr">
        <is>
          <t>2 · DISPLAYED</t>
        </is>
      </c>
      <c r="F310" s="3" t="inlineStr">
        <is>
          <t>Which accounts count as investments: those holding stocks and funds, bonds and CDs, alternatives or a mix, and never cash or property.</t>
        </is>
      </c>
      <c r="G310" s="11" t="inlineStr">
        <is>
          <t>invested = a list with no repeats of ['stocks_etf', 'bonds', 'alternatives', 'mixed']
the answer = a list with no repeats of accounts (or none when missing) where invested.has(class of(each))for each of : string(asset id)</t>
        </is>
      </c>
      <c r="H310" s="3" t="inlineStr">
        <is>
          <t>Invested is a list with no repeats of ['stocks_etf', 'bonds', 'alternatives', 'mixed']. The answer is a list with no repeats of accounts (or none — when missing) where invested.has(class of(each))for each of : string(asset id).</t>
        </is>
      </c>
      <c r="I310" s="3" t="inlineStr">
        <is>
          <t>PARTLY READ — some of the code is still showing through; needs a hand pass</t>
        </is>
      </c>
      <c r="J310" s="3" t="inlineStr">
        <is>
          <t>Nothing is handed to it</t>
        </is>
      </c>
      <c r="K310" s="3" t="inlineStr">
        <is>
          <t>NOT DECLARED — the code does not say what it gives back</t>
        </is>
      </c>
      <c r="L310" s="3" t="inlineStr">
        <is>
          <t>NOT FOUND — a screen calls it, but the words printed beside its answer could not be traced automatically. Needs reading.</t>
        </is>
      </c>
      <c r="M310" s="3" t="inlineStr">
        <is>
          <t>None found in this function — anything it assumes comes from the functions it depends on.</t>
        </is>
      </c>
      <c r="N310" s="3" t="inlineStr">
        <is>
          <t>Yes</t>
        </is>
      </c>
      <c r="O310" s="3" t="inlineStr">
        <is>
          <t>1. MK-ST-F-056 has
2. MK-CF-F-132 map</t>
        </is>
      </c>
      <c r="P310" s="3" t="n">
        <v>2</v>
      </c>
      <c r="Q310" s="3" t="inlineStr">
        <is>
          <t>1. MK-ST-F-056 has
2. MK-CF-F-132 map</t>
        </is>
      </c>
      <c r="R310" s="3" t="inlineStr">
        <is>
          <t>1. MK-ST-F-056 has → MK-NW-F-092 investmentAccountIdsOf
2. MK-CF-F-132 map → MK-NW-F-092 investmentAccountIdsOf</t>
        </is>
      </c>
      <c r="S310" s="3" t="inlineStr">
        <is>
          <t>—</t>
        </is>
      </c>
      <c r="T310" s="3" t="inlineStr">
        <is>
          <t>—</t>
        </is>
      </c>
      <c r="U310" s="3" t="inlineStr">
        <is>
          <t>ACTIVE</t>
        </is>
      </c>
      <c r="V310" s="3" t="inlineStr">
        <is>
          <t>2026-09-30</t>
        </is>
      </c>
      <c r="W310" s="3" t="n"/>
      <c r="X310" s="3" t="n"/>
      <c r="Y310" s="3" t="inlineStr">
        <is>
          <t>NOTHING OPEN</t>
        </is>
      </c>
    </row>
    <row r="311" ht="60" customHeight="1">
      <c r="A311" s="3" t="inlineStr">
        <is>
          <t>MK-NW-F-093</t>
        </is>
      </c>
      <c r="B311" s="3" t="inlineStr">
        <is>
          <t>QUIET_PERF</t>
        </is>
      </c>
      <c r="C311" s="3" t="inlineStr">
        <is>
          <t>MoneyKeel/functions/networth-and-performance/performance.ts</t>
        </is>
      </c>
      <c r="D311" s="3" t="n">
        <v>1181</v>
      </c>
      <c r="E311" s="3" t="inlineStr">
        <is>
          <t>1 · ACTION</t>
        </is>
      </c>
      <c r="F311" s="3" t="inlineStr">
        <is>
          <t>Example only: runs thePerformance on the worked example and calculates nothing of its own.</t>
        </is>
      </c>
      <c r="G311" s="11" t="inlineStr">
        <is>
          <t>the performance(QUIET)</t>
        </is>
      </c>
      <c r="H311" s="3" t="inlineStr">
        <is>
          <t>the performance(QUIET)</t>
        </is>
      </c>
      <c r="I311" s="3" t="inlineStr">
        <is>
          <t>READ FROM THE CODE — rendered from the expressions the function runs</t>
        </is>
      </c>
      <c r="J311" s="3" t="inlineStr">
        <is>
          <t>Nothing is handed to it</t>
        </is>
      </c>
      <c r="K311" s="3" t="inlineStr">
        <is>
          <t>NOT DECLARED — the code does not say what it gives back</t>
        </is>
      </c>
      <c r="L311" s="3" t="inlineStr">
        <is>
          <t>—</t>
        </is>
      </c>
      <c r="M311" s="3" t="inlineStr">
        <is>
          <t>None found in this function — anything it assumes comes from the functions it depends on.</t>
        </is>
      </c>
      <c r="N311" s="3" t="inlineStr">
        <is>
          <t>No</t>
        </is>
      </c>
      <c r="O311" s="3" t="inlineStr">
        <is>
          <t>MK-NW-O-008 thePerformance</t>
        </is>
      </c>
      <c r="P311" s="3" t="n">
        <v>168</v>
      </c>
      <c r="Q311" s="3" t="inlineStr">
        <is>
          <t>1. MK-NW-O-008 thePerformance
2. MK-NW-F-026 accountDisplayNames
3. MK-ST-F-083 accountValuesOn
4. MK-XS-F-011 buildChangeWalk
5. MK-ST-F-028 buildDayFromAccounts
6. MK-PF-F-014 buildPerformance
7. MK-CF-F-155 cash
8. MK-NW-F-104 closedWith
9. MK-ST-F-078 dateShown
10. MK-NW-F-127 gainOfRow
11. MK-NW-F-129 gainRowName
12. MK-ST-F-056 has
13. MK-NW-F-071 isCertificateOfDeposit
14. MK-NW-F-138 knownHoldingsReturn
15. MK-CF-F-132 map
16. MK-ST-F-082 movementsOf
17. MK-NW-F-130 notIncludedSentence
18. MK-PF-F-010 periodReturn
19. MK-ST-F-013 personalFlowTotals
20. MK-NW-F-091 pricedGainOf
21. MK-ST-F-030 record
22. MK-ST-F-081 timeWeightedReturn
23. MK-ST-F-021 toNumber
24. MK-ST-F-031 valueOn
25. MK-ST-F-060 verdict
26. MK-NW-F-105 whyNoReturn
27. MK-ST-F-038 windowBounds
28. MK-NW-F-090 windowStartKey
29. MK-PF-F-042 windowTotal
30. MK-NW-F-025 accountDisplayName
31. MK-XS-F-122 n
32. MK-ST-F-027 accountId
33. MK-PF-F-013 benchmarkTicker
34. MK-PF-F-002 costBasis
35. MK-PF-F-037 dayBefore
36. MK-PF-F-012 earliestPurchaseDate
37. MK-PF-F-041 isoDay
38. MK-PF-F-009 latestClose
39. MK-PF-F-004 marketValue
40. MK-PF-F-039 periodReturnParts
41. MK-PF-F-011 periodReturnSince
42. MK-PF-F-038 periodTotalReturn
43. MK-PF-F-040 returnSincePurchases
44. MK-PF-F-008 startDateFor
45. MK-PF-F-007 totalROI
46. MK-PF-F-005 unrealizedGain
47. MK-NW-F-128 heldValueOf
48. MK-NW-F-056 bondInfo
49. MK-NW-F-067 plural
50. MK-ST-F-080 isDay
51. MK-CF-F-204 line
52. MK-ST-F-039 on
53. MK-ST-F-033 onOrBefore
54. MK-ST-F-063 shiftDay
55. MK-ST-F-062 toUtc
56. MK-ST-F-065 isoLocalDate
57. MK-NW-F-024 accountLastFour
58. MK-NW-F-012 taxTreatmentOf
59. MK-NW-F-023 wrapperWord
60. MK-ST-F-053 money
61. MK-PF-F-031 contractMultiplier
62. MK-PF-F-035 unknownFigure
63. MK-PF-F-001 totalShares
64. MK-PF-F-029 closeAsOf
65. MK-PF-F-034 closeOnOrBefore
66. MK-PF-F-036 monthsBefore
67. MK-NW-F-124 maturityParts
68. MK-CF-F-203 MONTH
69. MK-XS-F-180 declareFigures
70. MK-NW-F-007 assetKind
71. MK-ST-F-049 formatMoney
72. MK-NW-F-009 maturityClass
73. MK-CF-F-216 typed
74. MK-CF-O-010 theMonth
75. MK-NW-F-011 assetClassOf
76. MK-ST-F-048 currencySymbol
77. MK-CF-O-002 expenses
78. MK-CF-O-003 thisMonth
79. MK-NW-F-120 classEvidenceOf
80. MK-ST-F-047 activeCurrency
81. MK-CF-F-151 actualSpending
82. MK-CF-F-150 debtPaymentsCountedAsExpenses
83. MK-CF-F-153 radar
84. MK-CF-F-149 recurringDebtPayments
85. MK-CF-F-005 actualMonthFlow
86. MK-CF-F-156 plannedMonthFlow
87. MK-NW-F-008 incomeBearingClassOf
88. MK-CF-F-148 inMonth
89. MK-ST-F-052 toNum
90. MK-CF-F-191 ym
91. MK-CF-F-022 paymentShape
92. MK-CF-F-152 isRadarItem
93. MK-CF-F-023 requiredPayment
94. MK-NW-F-078 ONE
95. MK-CF-F-157 debtPaymentsByDebt
96. MK-CF-F-192 inflowLabel
97. MK-XS-F-027 takeHomeMonthly
98. MK-ST-F-010 nameEvidence
99. MK-CF-F-021 defaultPaymentType
100. MK-NW-F-077 ALL
101. MK-NW-F-059 currentYield
102. MK-NW-O-001 theBonds
103. MK-CF-F-193 inflowSourceWord
104. MK-CF-F-092 incomeMonthlyGrid
105. MK-CF-F-011 savingsByMonth
106. MK-XS-F-147 call
107. MK-NW-F-112 yearlyInterest
108. MK-NW-F-057 annualCoupon
109. MK-NW-F-064 bondRateSensitivity
110. MK-NW-F-061 bondSummary
111. MK-NW-F-055 isBond
112. MK-NW-F-072 rowOf
113. MK-CF-F-069 benefitActiveMonths
114. MK-CF-F-072 currentRetirementIncomeMonthly
115. MK-CF-F-173 earnerWages
116. MK-CF-F-065 equityVestWeights
117. MK-CF-F-071 extraIncome
118. MK-CF-F-206 householdK401ByMonth
119. MK-CF-F-087 monthlyTaxRates
120. MK-CF-F-073 otherIncomeMonth
121. MK-CF-F-181 rateInForce
122. MK-CF-F-068 rentalNetAnnual
123. MK-CF-F-066 rsuAnnual
124. MK-CF-F-060 salaryGrossByMonth
125. MK-CF-F-077 scholarshipByCalendarMonth
126. MK-CF-F-088 taxableByCalendarMonth
127. MK-CF-F-177 wageGrossByMonth
128. MK-PL-F-012 waterfall
129. MK-CF-F-008 spendByMonth
130. MK-XS-F-064 currentIdToken
131. MK-XS-F-112 relayUrl
132. MK-NW-F-060 approxYTM
133. MK-NW-F-069 priceAtYield
134. MK-NW-F-131 pricedLikeBond
135. MK-NW-F-125 isPastMaturity
136. MK-NW-F-126 yearlyInterestNow
137. MK-NW-F-070 accruedInterestCaveat
138. MK-NW-F-058 yearsToMaturity
139. MK-CF-F-075 retirementIncomeMonthly
140. MK-CF-F-172 hasWage
141. MK-CF-F-062 equityRowValue
142. MK-CF-F-070 benefitAnnual
143. MK-CF-F-176 sumMonthsOverEarners
144. MK-CF-F-090 effectiveRate
145. MK-CF-F-180 enteredLandsAnnual
146. MK-CF-F-085 filingStatusOf
147. MK-CF-F-089 over65CountOf
148. MK-CF-F-082 salaryAnnual
149. MK-CF-F-086 stateRateOf
150. MK-CF-F-101 taxOwedFor
151. MK-CF-F-084 taxableAnnual
152. MK-CF-F-067 rentalList
153. MK-CF-F-063 rowVestYear
154. MK-CF-F-130 enteredMonthlyRaw
155. MK-CF-F-166 hasMonthlySalaryTable
156. MK-ST-F-036 reconcile
157. MK-CF-F-167 salaryCalendarYear
158. MK-CF-F-120 pctBaseMonthly
159. MK-CF-F-004 spendBuckets
160. MK-NW-F-119 estimatedAccrued
161. MK-CF-F-100 taxableIncomeFor
162. MK-CF-F-074 tipsAnnual
163. MK-ST-F-085 rentFigure
164. MK-CF-F-165 salaryMonths
165. MK-CF-F-003 categoryMonthly
166. MK-CF-F-099 deductionFor
167. MK-CF-F-081 salaryActiveMonths
168. MK-CF-F-187 seniorDeductionFor</t>
        </is>
      </c>
      <c r="R311" s="3" t="inlineStr">
        <is>
          <t>1. accountDisplayNames (already above — a loop) → MK-NW-F-025 accountDisplayName → MK-NW-F-026 accountDisplayNames → MK-NW-O-008 thePerformance → MK-NW-F-093 QUIET_PERF
2. MK-NW-F-024 accountLastFour → MK-NW-F-025 accountDisplayName → MK-NW-F-026 accountDisplayNames → MK-NW-O-008 thePerformance → MK-NW-F-093 QUIET_PERF
3. MK-ST-F-039 on → MK-NW-F-025 accountDisplayName → MK-NW-F-026 accountDisplayNames → MK-NW-O-008 thePerformance → MK-NW-F-093 QUIET_PERF
4. MK-NW-F-007 assetKind → MK-NW-F-012 taxTreatmentOf → MK-NW-F-025 accountDisplayName → MK-NW-F-026 accountDisplayNames → MK-NW-O-008 thePerformance → MK-NW-F-093 QUIET_PERF
5. MK-NW-F-023 wrapperWord → MK-NW-F-025 accountDisplayName → MK-NW-F-026 accountDisplayNames → MK-NW-O-008 thePerformance → MK-NW-F-093 QUIET_PERF
6. MK-ST-F-056 has → MK-NW-F-026 accountDisplayNames → MK-NW-O-008 thePerformance → MK-NW-F-093 QUIET_PERF
7. MK-CF-F-132 map → MK-NW-F-026 accountDisplayNames → MK-NW-O-008 thePerformance → MK-NW-F-093 QUIET_PERF
8. MK-XS-F-122 n → MK-NW-F-026 accountDisplayNames → MK-NW-O-008 thePerformance → MK-NW-F-093 QUIET_PERF
9. … and 4 more paths</t>
        </is>
      </c>
      <c r="S311" s="3" t="inlineStr">
        <is>
          <t>—</t>
        </is>
      </c>
      <c r="T311" s="3" t="inlineStr">
        <is>
          <t>—</t>
        </is>
      </c>
      <c r="U311" s="3" t="inlineStr">
        <is>
          <t>ACTIVE</t>
        </is>
      </c>
      <c r="V311" s="3" t="inlineStr">
        <is>
          <t>2026-09-30</t>
        </is>
      </c>
      <c r="W311" s="3" t="n"/>
      <c r="X311" s="3" t="n"/>
      <c r="Y311" s="3" t="inlineStr">
        <is>
          <t>NOTHING OPEN</t>
        </is>
      </c>
    </row>
    <row r="312" ht="60" customHeight="1">
      <c r="A312" s="3" t="inlineStr">
        <is>
          <t>MK-NW-F-094</t>
        </is>
      </c>
      <c r="B312" s="3" t="inlineStr">
        <is>
          <t>ledgerGroups</t>
        </is>
      </c>
      <c r="C312" s="3" t="inlineStr">
        <is>
          <t>MoneyKeel/functions/networth-and-performance/net-worth.ts</t>
        </is>
      </c>
      <c r="D312" s="3" t="n">
        <v>458</v>
      </c>
      <c r="E312" s="3" t="inlineStr">
        <is>
          <t>2 · DISPLAYED</t>
        </is>
      </c>
      <c r="F312" s="3" t="inlineStr">
        <is>
          <t>Groups the accounts for the Net worth list, by asset class or by institution, and gives each group its total.</t>
        </is>
      </c>
      <c r="G312" s="11" t="inlineStr">
        <is>
          <t>out = new map&lt;string, ledger group&gt;()
g = out.get(key) (or label = label
total = 0
account ids = []
rows = []
mix = [] when missing)
split = account class breakdown(a)
bal = (a as any).balance
known = bal   if typeof bal = 'number' and number.is finite(bal)
nothing   otherwise
shown = string((a as any).institution ?? '').trim() (or 'no institution set' when missing or zero)
g = group(shown.to lower case(), shown)
[LOOP — the answer is found inside a loop the extractor cannot render; the steps above are the ones before it. Read by hand.]</t>
        </is>
      </c>
      <c r="H312" s="3" t="inlineStr">
        <is>
          <t>Out is new map&lt;string, ledger group&gt;(). G is out.get(key) (or label = label; total = 0; account ids = []; rows = []; mix = [] — when missing). The answer is g. Split is account class breakdown(a). Bal is (a as any).balance. Known is bal — when typeof bal = 'number' and number.is finite(bal); no answer — otherwise. Shown is string((a as any).institution ?? '').trim() (or 'no institution set' — when missing or zero). G is group(shown.to lower case(), shown). The answer is found inside a loop that cannot be rendered here; read the code by hand.</t>
        </is>
      </c>
      <c r="I312" s="3" t="inlineStr">
        <is>
          <t>PARTLY READ — the body has a loop the extractor cannot render; the steps shown are the ones before it. Needs a hand pass (G23).</t>
        </is>
      </c>
      <c r="J312" s="3" t="inlineStr">
        <is>
          <t>Nothing is handed to it</t>
        </is>
      </c>
      <c r="K312" s="3" t="inlineStr">
        <is>
          <t>NOT DECLARED — the code does not say what it gives back</t>
        </is>
      </c>
      <c r="L312" s="3" t="inlineStr">
        <is>
          <t>NOT FOUND — a screen calls it, but the words printed beside its answer could not be traced automatically. Needs reading.</t>
        </is>
      </c>
      <c r="M312" s="3" t="inlineStr">
        <is>
          <t>1. If total is missing it uses 0.
2. If known is missing it uses 0.</t>
        </is>
      </c>
      <c r="N312" s="3" t="inlineStr">
        <is>
          <t>Yes</t>
        </is>
      </c>
      <c r="O312" s="3" t="inlineStr">
        <is>
          <t>1. MK-NW-F-027 accountClassBreakdown
2. MK-CF-F-132 map</t>
        </is>
      </c>
      <c r="P312" s="3" t="n">
        <v>23</v>
      </c>
      <c r="Q312" s="3" t="inlineStr">
        <is>
          <t>1. MK-NW-F-027 accountClassBreakdown
2. MK-CF-F-132 map
3. MK-NW-F-011 assetClassOf
4. MK-CF-F-155 cash
5. MK-ST-F-056 has
6. MK-NW-F-109 holdingClassOf
7. MK-NW-F-067 plural
8. MK-NW-F-120 classEvidenceOf
9. MK-XS-F-122 n
10. MK-NW-F-123 holdingNameEvidence
11. MK-NW-F-121 holdingTagClass
12. MK-NW-F-054 reclassifyAccounts
13. MK-NW-F-008 incomeBearingClassOf
14. MK-NW-F-009 maturityClass
15. MK-NW-F-053 correctClassOf
16. MK-NW-F-122 holdingTagFor
17. MK-ST-F-010 nameEvidence
18. MK-NW-F-124 maturityParts
19. MK-CF-F-216 typed
20. MK-XS-F-147 call
21. MK-ST-F-027 accountId
22. MK-XS-F-064 currentIdToken
23. MK-XS-F-112 relayUrl</t>
        </is>
      </c>
      <c r="R312" s="3" t="inlineStr">
        <is>
          <t>1. MK-XS-F-122 n → MK-CF-F-155 cash → MK-NW-F-120 classEvidenceOf → MK-NW-F-011 assetClassOf → MK-NW-F-027 accountClassBreakdown → MK-NW-F-094 ledgerGroups
2. MK-CF-F-155 cash → MK-NW-F-008 incomeBearingClassOf → MK-NW-F-120 classEvidenceOf → MK-NW-F-011 assetClassOf → MK-NW-F-027 accountClassBreakdown → MK-NW-F-094 ledgerGroups
3. MK-ST-F-010 nameEvidence → MK-NW-F-008 incomeBearingClassOf → MK-NW-F-120 classEvidenceOf → MK-NW-F-011 assetClassOf → MK-NW-F-027 accountClassBreakdown → MK-NW-F-094 ledgerGroups
4. assetClassOf (already above — a loop) → MK-NW-F-009 maturityClass → MK-NW-F-120 classEvidenceOf → MK-NW-F-011 assetClassOf → MK-NW-F-027 accountClassBreakdown → MK-NW-F-094 ledgerGroups
5. MK-NW-F-124 maturityParts → MK-NW-F-009 maturityClass → MK-NW-F-120 classEvidenceOf → MK-NW-F-011 assetClassOf → MK-NW-F-027 accountClassBreakdown → MK-NW-F-094 ledgerGroups
6. MK-CF-F-216 typed → MK-NW-F-009 maturityClass → MK-NW-F-120 classEvidenceOf → MK-NW-F-011 assetClassOf → MK-NW-F-027 accountClassBreakdown → MK-NW-F-094 ledgerGroups
7. MK-XS-F-122 n → MK-CF-F-155 cash → MK-NW-F-027 accountClassBreakdown → MK-NW-F-094 ledgerGroups
8. MK-ST-F-056 has → MK-NW-F-027 accountClassBreakdown → MK-NW-F-094 ledgerGroups
9. … and 5 more paths</t>
        </is>
      </c>
      <c r="S312" s="3" t="inlineStr">
        <is>
          <t>—</t>
        </is>
      </c>
      <c r="T312" s="3" t="inlineStr">
        <is>
          <t>—</t>
        </is>
      </c>
      <c r="U312" s="3" t="inlineStr">
        <is>
          <t>ACTIVE</t>
        </is>
      </c>
      <c r="V312" s="3" t="inlineStr">
        <is>
          <t>2026-10-13</t>
        </is>
      </c>
      <c r="W312" s="3" t="n"/>
      <c r="X312" s="3" t="n"/>
      <c r="Y312" s="3" t="inlineStr">
        <is>
          <t>NOTHING OPEN</t>
        </is>
      </c>
    </row>
    <row r="313" ht="60" customHeight="1">
      <c r="A313" s="3" t="inlineStr">
        <is>
          <t>MK-NW-F-095</t>
        </is>
      </c>
      <c r="B313" s="3" t="inlineStr">
        <is>
          <t>CLASS_LABEL_OF</t>
        </is>
      </c>
      <c r="C313" s="3" t="inlineStr">
        <is>
          <t>MoneyKeel/functions/networth-and-performance/net-worth.ts</t>
        </is>
      </c>
      <c r="D313" s="3" t="n">
        <v>625</v>
      </c>
      <c r="E313" s="3" t="inlineStr">
        <is>
          <t>1 · ACTION</t>
        </is>
      </c>
      <c r="F313" s="3" t="inlineStr">
        <is>
          <t>Example only: the display name of an asset class, used by the worked example of the Net worth list.</t>
        </is>
      </c>
      <c r="G313" s="11" t="inlineStr">
        <is>
          <t>NOT READ YET — the body is not a shape this can render faithfully, so nothing is claimed rather than something being guessed. It needs reading by hand.</t>
        </is>
      </c>
      <c r="H313" s="3" t="inlineStr">
        <is>
          <t>NOT READ YET — the body is not a shape this can render faithfully, so nothing is claimed rather than something being guessed. It needs reading by hand.</t>
        </is>
      </c>
      <c r="I313" s="3" t="inlineStr">
        <is>
          <t>NOT READ — nothing is claimed rather than something guessed</t>
        </is>
      </c>
      <c r="J313" s="3" t="inlineStr">
        <is>
          <t>a: any</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t>
        </is>
      </c>
      <c r="P313" s="3" t="n">
        <v>0</v>
      </c>
      <c r="Q313" s="3" t="inlineStr">
        <is>
          <t>None — no dependent function stands behind it</t>
        </is>
      </c>
      <c r="R313" s="3" t="inlineStr">
        <is>
          <t>No dependent function — it reads its inputs and answers</t>
        </is>
      </c>
      <c r="S313" s="3" t="inlineStr">
        <is>
          <t>—</t>
        </is>
      </c>
      <c r="T313" s="3" t="inlineStr">
        <is>
          <t>—</t>
        </is>
      </c>
      <c r="U313" s="3" t="inlineStr">
        <is>
          <t>ACTIVE</t>
        </is>
      </c>
      <c r="V313" s="3" t="inlineStr">
        <is>
          <t>2026-09-30</t>
        </is>
      </c>
      <c r="W313" s="3" t="n"/>
      <c r="X313" s="3" t="n"/>
      <c r="Y313" s="3" t="inlineStr">
        <is>
          <t>NOTHING OPEN</t>
        </is>
      </c>
    </row>
    <row r="314" ht="45" customHeight="1">
      <c r="A314" s="3" t="inlineStr">
        <is>
          <t>MK-NW-F-096</t>
        </is>
      </c>
      <c r="B314" s="3" t="inlineStr">
        <is>
          <t>CLASS_KEY_OF</t>
        </is>
      </c>
      <c r="C314" s="3" t="inlineStr">
        <is>
          <t>MoneyKeel/functions/networth-and-performance/net-worth.ts</t>
        </is>
      </c>
      <c r="D314" s="3" t="n">
        <v>651</v>
      </c>
      <c r="E314" s="3" t="inlineStr">
        <is>
          <t>1 · ACTION</t>
        </is>
      </c>
      <c r="F314" s="3" t="inlineStr">
        <is>
          <t>Example only: the asset class an account is filed under, used by the worked example of the Net worth list.</t>
        </is>
      </c>
      <c r="G314" s="11" t="inlineStr">
        <is>
          <t>string(asset class)</t>
        </is>
      </c>
      <c r="H314" s="3" t="inlineStr">
        <is>
          <t>string(asset class)</t>
        </is>
      </c>
      <c r="I314" s="3" t="inlineStr">
        <is>
          <t>READ FROM THE CODE — rendered from the expressions the function runs</t>
        </is>
      </c>
      <c r="J314" s="3" t="inlineStr">
        <is>
          <t>a: any</t>
        </is>
      </c>
      <c r="K314" s="3" t="inlineStr">
        <is>
          <t>NOT DECLARED — the code does not say what it gives back</t>
        </is>
      </c>
      <c r="L314" s="3" t="inlineStr">
        <is>
          <t>—</t>
        </is>
      </c>
      <c r="M314" s="3" t="inlineStr">
        <is>
          <t>None found in this function — anything it assumes comes from the functions it depends on.</t>
        </is>
      </c>
      <c r="N314" s="3" t="inlineStr">
        <is>
          <t>No</t>
        </is>
      </c>
      <c r="O314" s="3" t="inlineStr">
        <is>
          <t>—</t>
        </is>
      </c>
      <c r="P314" s="3" t="n">
        <v>0</v>
      </c>
      <c r="Q314" s="3" t="inlineStr">
        <is>
          <t>None — no dependent function stands behind it</t>
        </is>
      </c>
      <c r="R314" s="3" t="inlineStr">
        <is>
          <t>No dependent function — it reads its inputs and answers</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MK-NW-F-097</t>
        </is>
      </c>
      <c r="B315" s="3" t="inlineStr">
        <is>
          <t>LEDGER</t>
        </is>
      </c>
      <c r="C315" s="3" t="inlineStr">
        <is>
          <t>MoneyKeel/functions/networth-and-performance/net-worth.ts</t>
        </is>
      </c>
      <c r="D315" s="3" t="n">
        <v>675</v>
      </c>
      <c r="E315" s="3" t="inlineStr">
        <is>
          <t>1 · ACTION</t>
        </is>
      </c>
      <c r="F315" s="3" t="inlineStr">
        <is>
          <t>Example only: groups the worked example's accounts for the Net worth list, by class or by institution.</t>
        </is>
      </c>
      <c r="G315" s="11" t="inlineStr">
        <is>
          <t>ledger groups(LEDGER_ACCOUNTS, by, CLASS_LABEL_OF, CLASS_KEY_OF)</t>
        </is>
      </c>
      <c r="H315" s="3" t="inlineStr">
        <is>
          <t>ledger groups(LEDGER_ACCOUNTS, by, CLASS_LABEL_OF, CLASS_KEY_OF)</t>
        </is>
      </c>
      <c r="I315" s="3" t="inlineStr">
        <is>
          <t>READ FROM THE CODE — rendered from the expressions the function runs</t>
        </is>
      </c>
      <c r="J315" s="3" t="inlineStr">
        <is>
          <t>by: 'class' | 'institution'</t>
        </is>
      </c>
      <c r="K315" s="3" t="inlineStr">
        <is>
          <t>NOT DECLARED — the code does not say what it gives back</t>
        </is>
      </c>
      <c r="L315" s="3" t="inlineStr">
        <is>
          <t>—</t>
        </is>
      </c>
      <c r="M315" s="3" t="inlineStr">
        <is>
          <t>None found in this function — anything it assumes comes from the functions it depends on.</t>
        </is>
      </c>
      <c r="N315" s="3" t="inlineStr">
        <is>
          <t>Yes</t>
        </is>
      </c>
      <c r="O315" s="3" t="inlineStr">
        <is>
          <t>1. MK-NW-F-096 CLASS_KEY_OF
2. MK-NW-F-095 CLASS_LABEL_OF
3. MK-NW-F-094 ledgerGroups</t>
        </is>
      </c>
      <c r="P315" s="3" t="n">
        <v>26</v>
      </c>
      <c r="Q315" s="3" t="inlineStr">
        <is>
          <t>1. MK-NW-F-096 CLASS_KEY_OF
2. MK-NW-F-095 CLASS_LABEL_OF
3. MK-NW-F-094 ledgerGroups
4. MK-NW-F-027 accountClassBreakdown
5. MK-CF-F-132 map
6. MK-NW-F-011 assetClassOf
7. MK-CF-F-155 cash
8. MK-ST-F-056 has
9. MK-NW-F-109 holdingClassOf
10. MK-NW-F-067 plural
11. MK-NW-F-120 classEvidenceOf
12. MK-XS-F-122 n
13. MK-NW-F-123 holdingNameEvidence
14. MK-NW-F-121 holdingTagClass
15. MK-NW-F-054 reclassifyAccounts
16. MK-NW-F-008 incomeBearingClassOf
17. MK-NW-F-009 maturityClass
18. MK-NW-F-053 correctClassOf
19. MK-NW-F-122 holdingTagFor
20. MK-ST-F-010 nameEvidence
21. MK-NW-F-124 maturityParts
22. MK-CF-F-216 typed
23. MK-XS-F-147 call
24. MK-ST-F-027 accountId
25. MK-XS-F-064 currentIdToken
26. MK-XS-F-112 relayUrl</t>
        </is>
      </c>
      <c r="R315" s="3" t="inlineStr">
        <is>
          <t>1. MK-NW-F-096 CLASS_KEY_OF → MK-NW-F-097 LEDGER
2. MK-NW-F-095 CLASS_LABEL_OF → MK-NW-F-097 LEDGER
3. MK-CF-F-155 cash → MK-NW-F-120 classEvidenceOf → MK-NW-F-011 assetClassOf → MK-NW-F-027 accountClassBreakdown → MK-NW-F-094 ledgerGroups → MK-NW-F-097 LEDGER
4. MK-NW-F-008 incomeBearingClassOf → MK-NW-F-120 classEvidenceOf → MK-NW-F-011 assetClassOf → MK-NW-F-027 accountClassBreakdown → MK-NW-F-094 ledgerGroups → MK-NW-F-097 LEDGER
5. MK-NW-F-009 maturityClass → MK-NW-F-120 classEvidenceOf → MK-NW-F-011 assetClassOf → MK-NW-F-027 accountClassBreakdown → MK-NW-F-094 ledgerGroups → MK-NW-F-097 LEDGER
6. MK-XS-F-122 n → MK-CF-F-155 cash → MK-NW-F-027 accountClassBreakdown → MK-NW-F-094 ledgerGroups → MK-NW-F-097 LEDGER
7. MK-ST-F-056 has → MK-NW-F-027 accountClassBreakdown → MK-NW-F-094 ledgerGroups → MK-NW-F-097 LEDGER
8. MK-CF-F-155 cash → MK-NW-F-123 holdingNameEvidence → MK-NW-F-109 holdingClassOf → MK-NW-F-027 accountClassBreakdown → MK-NW-F-094 ledgerGroups → MK-NW-F-097 LEDGER
9. … and 4 more paths</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MK-NW-F-098</t>
        </is>
      </c>
      <c r="B316" s="3" t="inlineStr">
        <is>
          <t>LEDGER_BAND</t>
        </is>
      </c>
      <c r="C316" s="3" t="inlineStr">
        <is>
          <t>MoneyKeel/functions/networth-and-performance/net-worth.ts</t>
        </is>
      </c>
      <c r="D316" s="3" t="n">
        <v>696</v>
      </c>
      <c r="E316" s="3" t="inlineStr">
        <is>
          <t>1 · ACTION</t>
        </is>
      </c>
      <c r="F316" s="3" t="inlineStr">
        <is>
          <t>Example only: the total of one named group in the worked example of the Net worth list.</t>
        </is>
      </c>
      <c r="G316" s="11" t="inlineStr">
        <is>
          <t>LEDGER('class').find((g) =&gt; label = label).total (or nothing when missing)</t>
        </is>
      </c>
      <c r="H316" s="3" t="inlineStr">
        <is>
          <t>LEDGER('class').find((g) =&gt; label = label).total (or no answer — when missing)</t>
        </is>
      </c>
      <c r="I316" s="3" t="inlineStr">
        <is>
          <t>PARTLY READ — some of the code is still showing through; needs a hand pass</t>
        </is>
      </c>
      <c r="J316" s="3" t="inlineStr">
        <is>
          <t>label: string</t>
        </is>
      </c>
      <c r="K316" s="3" t="inlineStr">
        <is>
          <t>NOT DECLARED — the code does not say what it gives back</t>
        </is>
      </c>
      <c r="L316" s="3" t="inlineStr">
        <is>
          <t>—</t>
        </is>
      </c>
      <c r="M316" s="3" t="inlineStr">
        <is>
          <t>None found in this function — anything it assumes comes from the functions it depends on.</t>
        </is>
      </c>
      <c r="N316" s="3" t="inlineStr">
        <is>
          <t>Yes</t>
        </is>
      </c>
      <c r="O316" s="3" t="inlineStr">
        <is>
          <t>1. MK-NW-F-097 LEDGER
2. MK-CF-F-200 LINE</t>
        </is>
      </c>
      <c r="P316" s="3" t="n">
        <v>126</v>
      </c>
      <c r="Q316" s="3" t="inlineStr">
        <is>
          <t>1. MK-NW-F-097 LEDGER
2. MK-CF-F-200 LINE
3. MK-NW-F-096 CLASS_KEY_OF
4. MK-NW-F-095 CLASS_LABEL_OF
5. MK-NW-F-094 ledgerGroups
6. MK-XS-F-180 declareFigures
7. MK-CF-O-006 theCreditLine
8. MK-NW-F-027 accountClassBreakdown
9. MK-CF-F-132 map
10. MK-CF-F-031 creditUtilization
11. MK-CF-F-204 line
12. MK-NW-F-011 assetClassOf
13. MK-CF-F-155 cash
14. MK-ST-F-056 has
15. MK-NW-F-109 holdingClassOf
16. MK-NW-F-067 plural
17. MK-CF-F-203 MONTH
18. MK-NW-F-120 classEvidenceOf
19. MK-XS-F-122 n
20. MK-NW-F-123 holdingNameEvidence
21. MK-NW-F-121 holdingTagClass
22. MK-NW-F-054 reclassifyAccounts
23. MK-CF-O-010 theMonth
24. MK-NW-F-008 incomeBearingClassOf
25. MK-NW-F-009 maturityClass
26. MK-NW-F-053 correctClassOf
27. MK-NW-F-122 holdingTagFor
28. MK-CF-O-002 expenses
29. MK-CF-O-003 thisMonth
30. MK-ST-F-010 nameEvidence
31. MK-NW-F-124 maturityParts
32. MK-CF-F-216 typed
33. MK-CF-F-151 actualSpending
34. MK-CF-F-150 debtPaymentsCountedAsExpenses
35. MK-CF-F-153 radar
36. MK-CF-F-149 recurringDebtPayments
37. MK-CF-F-005 actualMonthFlow
38. MK-CF-F-156 plannedMonthFlow
39. MK-XS-F-147 call
40. MK-CF-F-148 inMonth
41. MK-ST-F-052 toNum
42. MK-CF-F-191 ym
43. MK-CF-F-022 paymentShape
44. MK-CF-F-152 isRadarItem
45. MK-CF-F-023 requiredPayment
46. MK-NW-F-078 ONE
47. MK-CF-F-157 debtPaymentsByDebt
48. MK-CF-F-192 inflowLabel
49. MK-XS-F-027 takeHomeMonthly
50. MK-ST-F-027 accountId
51. MK-XS-F-064 currentIdToken
52. MK-XS-F-112 relayUrl
53. MK-CF-F-021 defaultPaymentType
54. MK-NW-F-077 ALL
55. MK-NW-F-059 currentYield
56. MK-ST-F-049 formatMoney
57. MK-ST-F-053 money
58. MK-NW-O-001 theBonds
59. MK-CF-F-193 inflowSourceWord
60. MK-CF-F-092 incomeMonthlyGrid
61. MK-CF-F-011 savingsByMonth
62. MK-NW-F-112 yearlyInterest
63. MK-ST-F-048 currencySymbol
64. MK-ST-F-039 on
65. MK-NW-F-057 annualCoupon
66. MK-NW-F-056 bondInfo
67. MK-NW-F-064 bondRateSensitivity
68. MK-NW-F-061 bondSummary
69. MK-NW-F-055 isBond
70. MK-NW-F-072 rowOf
71. MK-CF-F-069 benefitActiveMonths
72. MK-CF-F-072 currentRetirementIncomeMonthly
73. MK-CF-F-173 earnerWages
74. MK-CF-F-065 equityVestWeights
75. MK-CF-F-071 extraIncome
76. MK-CF-F-206 householdK401ByMonth
77. MK-CF-F-087 monthlyTaxRates
78. MK-CF-F-073 otherIncomeMonth
79. MK-CF-F-181 rateInForce
80. MK-CF-F-068 rentalNetAnnual
81. MK-CF-F-066 rsuAnnual
82. MK-CF-F-060 salaryGrossByMonth
83. MK-CF-F-077 scholarshipByCalendarMonth
84. MK-CF-F-088 taxableByCalendarMonth
85. MK-CF-F-177 wageGrossByMonth
86. MK-PL-F-012 waterfall
87. MK-CF-F-008 spendByMonth
88. MK-ST-F-047 activeCurrency
89. MK-NW-F-060 approxYTM
90. MK-NW-F-069 priceAtYield
91. MK-NW-F-131 pricedLikeBond
92. MK-NW-F-125 isPastMaturity
93. MK-ST-F-065 isoLocalDate
94. MK-NW-F-126 yearlyInterestNow
95. MK-NW-F-070 accruedInterestCaveat
96. MK-NW-F-058 yearsToMaturity
97. MK-CF-F-075 retirementIncomeMonthly
98. MK-CF-F-172 hasWage
99. MK-CF-F-062 equityRowValue
100. MK-CF-F-070 benefitAnnual
101. MK-CF-F-176 sumMonthsOverEarners
102. MK-CF-F-090 effectiveRate
103. MK-CF-F-180 enteredLandsAnnual
104. MK-CF-F-085 filingStatusOf
105. MK-CF-F-089 over65CountOf
106. MK-CF-F-082 salaryAnnual
107. MK-CF-F-086 stateRateOf
108. MK-CF-F-101 taxOwedFor
109. MK-CF-F-084 taxableAnnual
110. MK-CF-F-067 rentalList
111. MK-CF-F-063 rowVestYear
112. MK-CF-F-130 enteredMonthlyRaw
113. MK-CF-F-166 hasMonthlySalaryTable
114. MK-ST-F-036 reconcile
115. MK-CF-F-167 salaryCalendarYear
116. MK-CF-F-120 pctBaseMonthly
117. MK-CF-F-004 spendBuckets
118. MK-NW-F-119 estimatedAccrued
119. MK-CF-F-100 taxableIncomeFor
120. MK-CF-F-074 tipsAnnual
121. MK-ST-F-085 rentFigure
122. MK-CF-F-165 salaryMonths
123. MK-CF-F-003 categoryMonthly
124. MK-CF-F-099 deductionFor
125. MK-CF-F-081 salaryActiveMonths
126. MK-CF-F-187 seniorDeductionFor</t>
        </is>
      </c>
      <c r="R316" s="3" t="inlineStr">
        <is>
          <t>1. MK-NW-F-096 CLASS_KEY_OF → MK-NW-F-097 LEDGER → MK-NW-F-098 LEDGER_BAND
2. MK-NW-F-095 CLASS_LABEL_OF → MK-NW-F-097 LEDGER → MK-NW-F-098 LEDGER_BAND
3. MK-NW-F-120 classEvidenceOf → MK-NW-F-011 assetClassOf → MK-NW-F-027 accountClassBreakdown → MK-NW-F-094 ledgerGroups → MK-NW-F-097 LEDGER → MK-NW-F-098 LEDGER_BAND
4. MK-XS-F-122 n → MK-CF-F-155 cash → MK-NW-F-027 accountClassBreakdown → MK-NW-F-094 ledgerGroups → MK-NW-F-097 LEDGER → MK-NW-F-098 LEDGER_BAND
5. MK-ST-F-056 has → MK-NW-F-027 accountClassBreakdown → MK-NW-F-094 ledgerGroups → MK-NW-F-097 LEDGER → MK-NW-F-098 LEDGER_BAND
6. MK-NW-F-123 holdingNameEvidence → MK-NW-F-109 holdingClassOf → MK-NW-F-027 accountClassBreakdown → MK-NW-F-094 ledgerGroups → MK-NW-F-097 LEDGER → MK-NW-F-098 LEDGER_BAND
7. MK-NW-F-121 holdingTagClass → MK-NW-F-109 holdingClassOf → MK-NW-F-027 accountClassBreakdown → MK-NW-F-094 ledgerGroups → MK-NW-F-097 LEDGER → MK-NW-F-098 LEDGER_BAND
8. MK-NW-F-054 reclassifyAccounts → MK-NW-F-109 holdingClassOf → MK-NW-F-027 accountClassBreakdown → MK-NW-F-094 ledgerGroups → MK-NW-F-097 LEDGER → MK-NW-F-098 LEDGER_BAND
9. … and 4 more paths</t>
        </is>
      </c>
      <c r="S316" s="3" t="inlineStr">
        <is>
          <t>—</t>
        </is>
      </c>
      <c r="T316" s="3" t="inlineStr">
        <is>
          <t>—</t>
        </is>
      </c>
      <c r="U316" s="3" t="inlineStr">
        <is>
          <t>ACTIVE</t>
        </is>
      </c>
      <c r="V316" s="3" t="inlineStr">
        <is>
          <t>2026-09-30</t>
        </is>
      </c>
      <c r="W316" s="3" t="n"/>
      <c r="X316" s="3" t="n"/>
      <c r="Y316" s="3" t="inlineStr">
        <is>
          <t>NOTHING OPEN</t>
        </is>
      </c>
    </row>
    <row r="317" ht="60" customHeight="1">
      <c r="A317" s="3" t="inlineStr">
        <is>
          <t>MK-NW-F-099</t>
        </is>
      </c>
      <c r="B317" s="3" t="inlineStr">
        <is>
          <t>SNAP</t>
        </is>
      </c>
      <c r="C317" s="3" t="inlineStr">
        <is>
          <t>MoneyKeel/functions/networth-and-performance/net-worth.ts</t>
        </is>
      </c>
      <c r="D317" s="3" t="n">
        <v>724</v>
      </c>
      <c r="E317" s="3" t="inlineStr">
        <is>
          <t>1 · ACTION</t>
        </is>
      </c>
      <c r="F317" s="3" t="inlineStr">
        <is>
          <t>Example only: makes one month's recorded net worth for the worked example of the trend line.</t>
        </is>
      </c>
      <c r="G317" s="11" t="inlineStr">
        <is>
          <t>NOT READ YET — the body is not a shape this can render faithfully, so nothing is claimed rather than something being guessed. It needs reading by hand.</t>
        </is>
      </c>
      <c r="H317" s="3" t="inlineStr">
        <is>
          <t>NOT READ YET — the body is not a shape this can render faithfully, so nothing is claimed rather than something being guessed. It needs reading by hand.</t>
        </is>
      </c>
      <c r="I317" s="3" t="inlineStr">
        <is>
          <t>NOT READ — nothing is claimed rather than something guessed</t>
        </is>
      </c>
      <c r="J317" s="3" t="inlineStr">
        <is>
          <t>1. month: string
2. net: number</t>
        </is>
      </c>
      <c r="K317" s="3" t="inlineStr">
        <is>
          <t>net, gross_assets: net + 242000, gross_debt: 242000 });</t>
        </is>
      </c>
      <c r="L317" s="3" t="inlineStr">
        <is>
          <t>—</t>
        </is>
      </c>
      <c r="M317" s="3" t="inlineStr">
        <is>
          <t>None found in this function — anything it assumes comes from the functions it depends on.</t>
        </is>
      </c>
      <c r="N317" s="3" t="inlineStr">
        <is>
          <t>Yes</t>
        </is>
      </c>
      <c r="O317" s="3" t="inlineStr">
        <is>
          <t>MK-XS-F-005 trendPoints</t>
        </is>
      </c>
      <c r="P317" s="3" t="n">
        <v>8</v>
      </c>
      <c r="Q317" s="3" t="inlineStr">
        <is>
          <t>1. MK-XS-F-005 trendPoints
2. MK-CF-F-132 map
3. MK-XS-F-009 readHistory
4. MK-XS-F-008 normalizeSnapshot
5. MK-ST-F-030 record
6. MK-CF-F-191 ym
7. MK-XS-F-121 isYm
8. MK-XS-F-122 n</t>
        </is>
      </c>
      <c r="R317" s="3" t="inlineStr">
        <is>
          <t>1. MK-CF-F-132 map → MK-XS-F-005 trendPoints → MK-NW-F-099 SNAP
2. MK-CF-F-132 map → MK-XS-F-009 readHistory → MK-XS-F-005 trendPoints → MK-NW-F-099 SNAP
3. MK-XS-F-121 isYm → MK-XS-F-008 normalizeSnapshot → MK-XS-F-009 readHistory → MK-XS-F-005 trendPoints → MK-NW-F-099 SNAP
4. MK-XS-F-122 n → MK-XS-F-008 normalizeSnapshot → MK-XS-F-009 readHistory → MK-XS-F-005 trendPoints → MK-NW-F-099 SNAP
5. MK-CF-F-191 ym → MK-XS-F-008 normalizeSnapshot → MK-XS-F-009 readHistory → MK-XS-F-005 trendPoints → MK-NW-F-099 SNAP
6. MK-ST-F-030 record → MK-XS-F-009 readHistory → MK-XS-F-005 trendPoints → MK-NW-F-099 SNAP
7. MK-CF-F-191 ym → MK-XS-F-009 readHistory → MK-XS-F-005 trendPoints → MK-NW-F-099 SNAP</t>
        </is>
      </c>
      <c r="S317" s="3" t="inlineStr">
        <is>
          <t>—</t>
        </is>
      </c>
      <c r="T317" s="3" t="inlineStr">
        <is>
          <t>—</t>
        </is>
      </c>
      <c r="U317" s="3" t="inlineStr">
        <is>
          <t>ACTIVE</t>
        </is>
      </c>
      <c r="V317" s="3" t="inlineStr">
        <is>
          <t>2026-09-30</t>
        </is>
      </c>
      <c r="W317" s="3" t="n"/>
      <c r="X317" s="3" t="n"/>
      <c r="Y317" s="3" t="inlineStr">
        <is>
          <t>NOTHING OPEN</t>
        </is>
      </c>
    </row>
    <row r="318" ht="60" customHeight="1">
      <c r="A318" s="3" t="inlineStr">
        <is>
          <t>MK-NW-F-100</t>
        </is>
      </c>
      <c r="B318" s="3" t="inlineStr">
        <is>
          <t>TREND</t>
        </is>
      </c>
      <c r="C318" s="3" t="inlineStr">
        <is>
          <t>MoneyKeel/functions/networth-and-performance/net-worth.ts</t>
        </is>
      </c>
      <c r="D318" s="3" t="n">
        <v>749</v>
      </c>
      <c r="E318" s="3" t="inlineStr">
        <is>
          <t>1 · ACTION</t>
        </is>
      </c>
      <c r="F318" s="3" t="inlineStr">
        <is>
          <t>Example only: runs the record's trend points (the function the Net worth screen calls) on four months of recorded net worth and one day after them.</t>
        </is>
      </c>
      <c r="G318" s="11" t="inlineStr">
        <is>
          <t>trend points(</t>
        </is>
      </c>
      <c r="H318" s="3" t="inlineStr">
        <is>
          <t>trend points(</t>
        </is>
      </c>
      <c r="I318" s="3" t="inlineStr">
        <is>
          <t>READ FROM THE CODE — rendered from the expressions the function runs</t>
        </is>
      </c>
      <c r="J318" s="3" t="inlineStr">
        <is>
          <t>Nothing is handed to it</t>
        </is>
      </c>
      <c r="K318" s="3" t="inlineStr">
        <is>
          <t>NOT DECLARED — the code does not say what it gives back</t>
        </is>
      </c>
      <c r="L318" s="3" t="inlineStr">
        <is>
          <t>—</t>
        </is>
      </c>
      <c r="M318" s="3" t="inlineStr">
        <is>
          <t>None found in this function — anything it assumes comes from the functions it depends on.</t>
        </is>
      </c>
      <c r="N318" s="3" t="inlineStr">
        <is>
          <t>Yes</t>
        </is>
      </c>
      <c r="O318" s="3" t="inlineStr">
        <is>
          <t>1. MK-NW-F-099 SNAP
2. MK-XS-F-005 trendPoints</t>
        </is>
      </c>
      <c r="P318" s="3" t="n">
        <v>9</v>
      </c>
      <c r="Q318" s="3" t="inlineStr">
        <is>
          <t>1. MK-NW-F-099 SNAP
2. MK-XS-F-005 trendPoints
3. MK-CF-F-132 map
4. MK-XS-F-009 readHistory
5. MK-XS-F-008 normalizeSnapshot
6. MK-ST-F-030 record
7. MK-CF-F-191 ym
8. MK-XS-F-121 isYm
9. MK-XS-F-122 n</t>
        </is>
      </c>
      <c r="R318" s="3" t="inlineStr">
        <is>
          <t>1. MK-CF-F-132 map → MK-XS-F-005 trendPoints → MK-NW-F-099 SNAP → MK-NW-F-100 TREND
2. MK-CF-F-132 map → MK-XS-F-009 readHistory → MK-XS-F-005 trendPoints → MK-NW-F-099 SNAP → MK-NW-F-100 TREND
3. MK-XS-F-121 isYm → MK-XS-F-008 normalizeSnapshot → MK-XS-F-009 readHistory → MK-XS-F-005 trendPoints → MK-NW-F-099 SNAP → MK-NW-F-100 TREND
4. MK-XS-F-122 n → MK-XS-F-008 normalizeSnapshot → MK-XS-F-009 readHistory → MK-XS-F-005 trendPoints → MK-NW-F-099 SNAP → MK-NW-F-100 TREND
5. MK-CF-F-191 ym → MK-XS-F-008 normalizeSnapshot → MK-XS-F-009 readHistory → MK-XS-F-005 trendPoints → MK-NW-F-099 SNAP → MK-NW-F-100 TREND
6. MK-ST-F-030 record → MK-XS-F-009 readHistory → MK-XS-F-005 trendPoints → MK-NW-F-099 SNAP → MK-NW-F-100 TREND
7. MK-CF-F-191 ym → MK-XS-F-009 readHistory → MK-XS-F-005 trendPoints → MK-NW-F-099 SNAP → MK-NW-F-100 TREND
8. MK-CF-F-132 map → MK-XS-F-005 trendPoints → MK-NW-F-100 TREND
9. … and 4 more paths</t>
        </is>
      </c>
      <c r="S318" s="3" t="inlineStr">
        <is>
          <t>—</t>
        </is>
      </c>
      <c r="T318" s="3" t="inlineStr">
        <is>
          <t>—</t>
        </is>
      </c>
      <c r="U318" s="3" t="inlineStr">
        <is>
          <t>ACTIVE</t>
        </is>
      </c>
      <c r="V318" s="3" t="inlineStr">
        <is>
          <t>2026-10-18</t>
        </is>
      </c>
      <c r="W318" s="3" t="n"/>
      <c r="X318" s="3" t="n"/>
      <c r="Y318" s="3" t="inlineStr">
        <is>
          <t>NOTHING OPEN</t>
        </is>
      </c>
    </row>
    <row r="319" ht="60" customHeight="1">
      <c r="A319" s="3" t="inlineStr">
        <is>
          <t>MK-NW-F-101</t>
        </is>
      </c>
      <c r="B319" s="3" t="inlineStr">
        <is>
          <t>PLAN</t>
        </is>
      </c>
      <c r="C319" s="3" t="inlineStr">
        <is>
          <t>MoneyKeel/functions/networth-and-performance/net-worth.ts</t>
        </is>
      </c>
      <c r="D319" s="3" t="n">
        <v>792</v>
      </c>
      <c r="E319" s="3" t="inlineStr">
        <is>
          <t>2 · DISPLAYED</t>
        </is>
      </c>
      <c r="F319" s="3" t="inlineStr">
        <is>
          <t>Example only: runs the nest-egg projection on the worked example and calculates nothing of its own.</t>
        </is>
      </c>
      <c r="G319" s="11" t="inlineStr">
        <is>
          <t>NOT READ YET — the body is not a shape this can render faithfully, so nothing is claimed rather than something being guessed. It needs reading by hand.</t>
        </is>
      </c>
      <c r="H319" s="3" t="inlineStr">
        <is>
          <t>NOT READ YET — the body is not a shape this can render faithfully, so nothing is claimed rather than something being guessed. It needs reading by hand.</t>
        </is>
      </c>
      <c r="I319" s="3" t="inlineStr">
        <is>
          <t>NOT READ — nothing is claimed rather than something guessed</t>
        </is>
      </c>
      <c r="J319" s="3" t="inlineStr">
        <is>
          <t>Nothing is handed to it</t>
        </is>
      </c>
      <c r="K319" s="3" t="inlineStr">
        <is>
          <t>NOT DECLARED — the code does not say what it gives back</t>
        </is>
      </c>
      <c r="L319" s="3" t="inlineStr">
        <is>
          <t>NOT FOUND — a screen calls it, but the words printed beside its answer could not be traced automatically. Needs reading.</t>
        </is>
      </c>
      <c r="M319" s="3" t="inlineStr">
        <is>
          <t>None found in this function — anything it assumes comes from the functions it depends on.</t>
        </is>
      </c>
      <c r="N319" s="3" t="inlineStr">
        <is>
          <t>Yes</t>
        </is>
      </c>
      <c r="O319" s="3" t="inlineStr">
        <is>
          <t>1. MK-NW-F-097 LEDGER
2. MK-NW-F-098 LEDGER_BAND
3. MK-NW-F-082 NW
4. MK-NW-F-100 TREND
5. MK-CF-F-155 cash
6. MK-XS-F-180 declareFigures
7. MK-ST-F-049 formatMoney
8. MK-CF-F-204 line
9. MK-PL-F-055 projectNestEgg
10. MK-NW-O-003 theNetWorth</t>
        </is>
      </c>
      <c r="P319" s="3" t="n">
        <v>248</v>
      </c>
      <c r="Q319" s="3" t="inlineStr">
        <is>
          <t>1. MK-NW-F-097 LEDGER
2. MK-NW-F-098 LEDGER_BAND
3. MK-NW-F-082 NW
4. MK-NW-F-100 TREND
5. MK-CF-F-155 cash
6. MK-XS-F-180 declareFigures
7. MK-ST-F-049 formatMoney
8. MK-CF-F-204 line
9. MK-PL-F-055 projectNestEgg
10. MK-NW-O-003 theNetWorth
11. MK-NW-F-096 CLASS_KEY_OF
12. MK-NW-F-095 CLASS_LABEL_OF
13. MK-NW-F-094 ledgerGroups
14. MK-CF-F-200 LINE
15. MK-NW-F-099 SNAP
16. MK-XS-F-005 trendPoints
17. MK-XS-F-122 n
18. MK-ST-F-048 currencySymbol
19. MK-ST-F-039 on
20. MK-CF-F-203 MONTH
21. MK-CF-F-132 map
22. MK-PL-F-050 simulate
23. MK-NW-F-078 ONE
24. MK-NW-F-029 assetAllocation
25. MK-NW-F-011 assetClassOf
26. MK-NW-F-039 buildAssetsState
27. MK-ST-F-028 buildDayFromAccounts
28. MK-CF-F-036 buildDebtState
29. MK-NW-F-065 buildNetWorth
30. MK-NW-F-016 cashTotal
31. MK-ST-F-056 has
32. MK-NW-F-022 investableAssets
33. MK-NW-F-021 investmentsTotal
34. MK-NW-F-014 isRealAsset
35. MK-ST-F-065 isoLocalDate
36. MK-NW-F-106 mortgagesByProperty
37. MK-ST-F-082 movementsOf
38. MK-ST-F-030 record
39. MK-CF-F-023 requiredPayment
40. MK-ST-F-081 timeWeightedReturn
41. MK-XS-F-175 uid
42. MK-NW-F-027 accountClassBreakdown
43. MK-CF-O-006 theCreditLine
44. MK-XS-F-009 readHistory
45. MK-ST-F-047 activeCurrency
46. MK-CF-O-010 theMonth
47. MK-CF-O-002 expenses
48. MK-PL-F-074 median
49. MK-PL-F-072 mulberry32
50. MK-PL-F-073 normal
51. MK-PL-F-075 pctOfSorted
52. MK-ST-F-025 rmdStartAgeFromAge
53. MK-NW-F-077 ALL
54. MK-NW-F-059 currentYield
55. MK-ST-F-053 money
56. MK-NW-O-001 theBonds
57. MK-NW-F-120 classEvidenceOf
58. MK-CF-F-026 actualDebtPayment
59. MK-CF-F-025 minimumDebtService
60. MK-CF-F-027 totalDebtBalance
61. MK-NW-F-066 sumWhere
62. MK-NW-F-023 wrapperWord
63. MK-CF-F-022 paymentShape
64. MK-ST-F-027 accountId
65. MK-ST-F-083 accountValuesOn
66. MK-ST-F-080 isDay
67. MK-CF-F-111 applyTransaction
68. MK-NW-F-040 assetsFromOnboarding
69. MK-PF-F-013 benchmarkTicker
70. MK-PF-F-034 closeOnOrBefore
71. MK-CF-F-186 convertTakeHomeMode
72. MK-ST-F-079 dailyWindowStart
73. MK-CF-F-038 debtsFromOnboarding
74. MK-XS-F-083 fetchPriceSeries
75. MK-ST-F-084 fillBetweenObservations
76. MK-PL-F-013 goalsFromOnboarding
77. MK-CF-F-116 inverseOf
78. MK-CF-F-112 makeTransaction
79. MK-CF-F-218 moveOldRentFigure
80. MK-ST-F-043 newEntityId
81. MK-XS-F-006 pruneDaily
82. MK-ST-F-073 rebuildDays
83. MK-NW-F-054 reclassifyAccounts
84. MK-XS-F-174 recomputeBalances
85. MK-CF-F-115 restoreUndo
86. MK-CF-F-109 reviewTransactions
87. MK-ST-F-044 setMoneyFormat
88. MK-NW-O-004 theEmergencyFund
89. MK-CF-F-114 undoSnapshot
90. MK-CF-F-191 ym
91. MK-NW-F-109 holdingClassOf
92. MK-NW-F-067 plural
93. MK-CF-F-031 creditUtilization
94. MK-XS-F-008 normalizeSnapshot
95. MK-CF-O-003 thisMonth
96. MK-CF-F-151 actualSpending
97. MK-CF-F-150 debtPaymentsCountedAsExpenses
98. MK-CF-F-153 radar
99. MK-CF-F-149 recurringDebtPayments
100. MK-ST-F-024 rmdStartAge
101. MK-NW-F-112 yearlyInterest
102. MK-NW-F-057 annualCoupon
103. MK-NW-F-056 bondInfo
104. MK-NW-F-064 bondRateSensitivity
105. MK-NW-F-061 bondSummary
106. MK-NW-F-055 isBond
107. MK-NW-F-124 maturityParts
108. MK-NW-F-072 rowOf
109. MK-NW-F-008 incomeBearingClassOf
110. MK-NW-F-009 maturityClass
111. MK-CF-F-024 totalDebtMonthly
112. MK-CF-F-021 defaultPaymentType
113. MK-CF-F-138 addLot
114. MK-CF-F-136 bumpCash
115. MK-CF-F-137 findPos
116. MK-CF-F-139 removeShares
117. MK-PF-F-001 totalShares
118. MK-ST-F-052 toNum
119. MK-CF-F-085 filingStatusOf
120. MK-CF-F-097 grossFromNet
121. MK-CF-F-185 needsTakeHomeConversion
122. MK-CF-F-089 over65CountOf
123. MK-CF-F-037 inferDebtType
124. MK-CF-F-217 hasOldRentFigure
125. MK-CF-F-216 typed
126. MK-ST-F-069 amountOf
127. MK-CF-F-133 cashOf
128. MK-ST-F-066 isDayKey
129. MK-ST-F-070 isOpening
130. MK-ST-F-071 rebuildableFrom
131. MK-ST-F-068 stepDay
132. MK-ST-F-072 undo
133. MK-NW-F-053 correctClassOf
134. MK-NW-F-123 holdingNameEvidence
135. MK-NW-F-121 holdingTagClass
136. MK-NW-F-122 holdingTagFor
137. MK-PF-F-002 costBasis
138. MK-PF-F-009 latestClose
139. MK-PF-F-004 marketValue
140. MK-XS-F-024 resolveLens
141. MK-ST-F-055 round2
142. MK-CF-F-162 daysApart
143. MK-CF-F-108 isMoneyOut
144. MK-CF-F-131 normPayee
145. MK-CF-F-010 emergencyTest
146. MK-CF-F-190 essentialsMonthly
147. MK-CF-O-004 incomeSummary
148. MK-CF-F-009 monthlyEssentials
149. MK-CF-F-002 plannedMonthlySpend
150. MK-NW-F-117 propertyUseMap
151. MK-ST-F-085 rentFigure
152. MK-CF-O-020 theBudgetCounted
153. MK-CF-F-113 affectedAccountIds
154. MK-XS-F-121 isYm
155. MK-CF-F-005 actualMonthFlow
156. MK-CF-F-156 plannedMonthFlow
157. MK-CF-F-148 inMonth
158. MK-CF-F-152 isRadarItem
159. MK-NW-F-060 approxYTM
160. MK-NW-F-069 priceAtYield
161. MK-NW-F-131 pricedLikeBond
162. MK-NW-F-125 isPastMaturity
163. MK-NW-F-126 yearlyInterestNow
164. MK-NW-F-070 accruedInterestCaveat
165. MK-NW-F-058 yearsToMaturity
166. MK-ST-F-010 nameEvidence
167. MK-CF-F-201 INCOME
168. MK-CF-F-134 usesSleeve
169. MK-CF-F-101 taxOwedFor
170. MK-ST-F-067 utcOfDay
171. MK-ST-F-035 covers
172. MK-PF-F-031 contractMultiplier
173. MK-PF-F-035 unknownFigure
174. MK-CF-F-072 currentRetirementIncomeMonthly
175. MK-CF-F-189 essentialsFromLoggedSpending
176. MK-CF-O-001 basePay
177. MK-CF-F-069 benefitActiveMonths
178. MK-CF-F-173 earnerWages
179. MK-CF-F-179 entryFromWage
180. MK-CF-F-071 extraIncome
181. MK-CF-F-092 incomeMonthlyGrid
182. MK-CF-F-192 inflowLabel
183. MK-CF-F-103 marginalBracketFor
184. MK-CF-F-181 rateInForce
185. MK-CF-F-068 rentalNetAnnual
186. MK-CF-F-082 salaryAnnual
187. MK-CF-F-060 salaryGrossByMonth
188. MK-CF-F-084 taxableAnnual
189. MK-CF-F-120 pctBaseMonthly
190. MK-CF-F-004 spendBuckets
191. MK-XS-F-027 takeHomeMonthly
192. MK-NW-F-116 rentedIdsOf
193. MK-NW-F-107 propertyUses
194. MK-CF-F-157 debtPaymentsByDebt
195. MK-NW-F-119 estimatedAccrued
196. MK-XS-F-147 call
197. MK-CF-F-207 SOURCE
198. MK-CF-F-100 taxableIncomeFor
199. MK-ST-F-034 firstDate
200. MK-CF-F-075 retirementIncomeMonthly
201. MK-CF-F-171 earnerPay
202. MK-HM-F-006 money0
203. MK-CF-F-198 payrollTaxWithheld
204. MK-CF-F-172 hasWage
205. MK-CF-F-165 salaryMonths
206. MK-CF-F-070 benefitAnnual
207. MK-CF-F-065 equityVestWeights
208. MK-CF-F-206 householdK401ByMonth
209. MK-CF-F-087 monthlyTaxRates
210. MK-CF-F-073 otherIncomeMonth
211. MK-CF-F-066 rsuAnnual
212. MK-CF-F-077 scholarshipByCalendarMonth
213. MK-CF-F-088 taxableByCalendarMonth
214. MK-CF-F-177 wageGrossByMonth
215. MK-PL-F-012 waterfall
216. MK-CF-F-193 inflowSourceWord
217. MK-CF-F-180 enteredLandsAnnual
218. MK-CF-F-086 stateRateOf
219. MK-CF-F-067 rentalList
220. MK-CF-F-176 sumMonthsOverEarners
221. MK-CF-F-074 tipsAnnual
222. MK-CF-F-003 categoryMonthly
223. MK-CF-F-011 savingsByMonth
224. MK-NW-F-115 liveRent
225. MK-XS-F-064 currentIdToken
226. MK-XS-F-112 relayUrl
227. MK-CF-O-016 incomeSources
228. MK-CF-F-099 deductionFor
229. MK-CF-F-143 annualisedGross
230. MK-CF-F-145 deductionsFromPay
231. MK-CF-F-128 grossByMonth
232. MK-CF-F-146 payFiguresAgree
233. MK-CF-F-144 takeHomeAsEntered
234. MK-HM-F-005 pctTxt
235. MK-CF-F-062 equityRowValue
236. MK-CF-F-090 effectiveRate
237. MK-CF-F-063 rowVestYear
238. MK-CF-F-130 enteredMonthlyRaw
239. MK-CF-F-166 hasMonthlySalaryTable
240. MK-ST-F-036 reconcile
241. MK-CF-F-167 salaryCalendarYear
242. MK-CF-F-081 salaryActiveMonths
243. MK-CF-F-008 spendByMonth
244. MK-NW-F-114 rentAmount
245. MK-CF-F-187 seniorDeductionFor
246. MK-CF-F-142 monthsOf
247. MK-CF-F-141 perMonth
248. MK-CF-F-140 periodsAYear</t>
        </is>
      </c>
      <c r="R319" s="3" t="inlineStr">
        <is>
          <t>1. MK-NW-F-096 CLASS_KEY_OF → MK-NW-F-097 LEDGER → MK-NW-F-101 PLAN
2. MK-NW-F-095 CLASS_LABEL_OF → MK-NW-F-097 LEDGER → MK-NW-F-101 PLAN
3. MK-NW-F-120 classEvidenceOf → MK-NW-F-011 assetClassOf → MK-NW-F-027 accountClassBreakdown → MK-NW-F-094 ledgerGroups → MK-NW-F-097 LEDGER → MK-NW-F-101 PLAN
4. MK-XS-F-122 n → MK-CF-F-155 cash → MK-NW-F-027 accountClassBreakdown → MK-NW-F-094 ledgerGroups → MK-NW-F-097 LEDGER → MK-NW-F-101 PLAN
5. MK-ST-F-056 has → MK-NW-F-027 accountClassBreakdown → MK-NW-F-094 ledgerGroups → MK-NW-F-097 LEDGER → MK-NW-F-101 PLAN
6. MK-NW-F-123 holdingNameEvidence → MK-NW-F-109 holdingClassOf → MK-NW-F-027 accountClassBreakdown → MK-NW-F-094 ledgerGroups → MK-NW-F-097 LEDGER → MK-NW-F-101 PLAN
7. MK-NW-F-121 holdingTagClass → MK-NW-F-109 holdingClassOf → MK-NW-F-027 accountClassBreakdown → MK-NW-F-094 ledgerGroups → MK-NW-F-097 LEDGER → MK-NW-F-101 PLAN
8. MK-NW-F-054 reclassifyAccounts → MK-NW-F-109 holdingClassOf → MK-NW-F-027 accountClassBreakdown → MK-NW-F-094 ledgerGroups → MK-NW-F-097 LEDGER → MK-NW-F-101 PLAN
9. … and 5 more paths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MK-NW-F-103</t>
        </is>
      </c>
      <c r="B320" s="3" t="inlineStr">
        <is>
          <t>investmentRecordDates</t>
        </is>
      </c>
      <c r="C320" s="3" t="inlineStr">
        <is>
          <t>MoneyKeel/functions/networth-and-performance/performance.ts</t>
        </is>
      </c>
      <c r="D320" s="3" t="n">
        <v>160</v>
      </c>
      <c r="E320" s="3" t="inlineStr">
        <is>
          <t>2 · DISPLAYED</t>
        </is>
      </c>
      <c r="F320" s="3" t="inlineStr">
        <is>
          <t>THE DAYS THE RECORD HOLDS AN INVESTMENT VALUE FOR, oldest first.</t>
        </is>
      </c>
      <c r="G320" s="11" t="inlineStr">
        <is>
          <t>[]   when investment account ids.size is missing</t>
        </is>
      </c>
      <c r="H320" s="3" t="inlineStr">
        <is>
          <t>When investment account ids.size is missing, it answers [].</t>
        </is>
      </c>
      <c r="I320" s="3" t="inlineStr">
        <is>
          <t>READ FROM THE CODE — rendered from the expressions the function runs</t>
        </is>
      </c>
      <c r="J320" s="3" t="inlineStr">
        <is>
          <t>1. snapshotDays: any[]
2. investmentAccountIds: Set&lt;string&gt;</t>
        </is>
      </c>
      <c r="K320" s="3" t="inlineStr">
        <is>
          <t>string[]</t>
        </is>
      </c>
      <c r="L320" s="3" t="inlineStr">
        <is>
          <t>NOT FOUND — a screen calls it, but the words printed beside its answer could not be traced automatically. Needs reading.</t>
        </is>
      </c>
      <c r="M320" s="3" t="inlineStr">
        <is>
          <t>None found in this function — anything it assumes comes from the functions it depends on.</t>
        </is>
      </c>
      <c r="N320" s="3" t="inlineStr">
        <is>
          <t>Yes</t>
        </is>
      </c>
      <c r="O320" s="3" t="inlineStr">
        <is>
          <t>1. MK-CF-F-132 map
2. MK-ST-F-031 valueOn</t>
        </is>
      </c>
      <c r="P320" s="3" t="n">
        <v>6</v>
      </c>
      <c r="Q320" s="3" t="inlineStr">
        <is>
          <t>1. MK-CF-F-132 map
2. MK-ST-F-031 valueOn
3. MK-ST-F-083 accountValuesOn
4. MK-ST-F-056 has
5. MK-ST-F-033 onOrBefore
6. MK-ST-F-027 accountId</t>
        </is>
      </c>
      <c r="R320" s="3" t="inlineStr">
        <is>
          <t>1. MK-CF-F-132 map → MK-NW-F-103 investmentRecordDates
2. MK-ST-F-027 accountId → MK-ST-F-083 accountValuesOn → MK-ST-F-031 valueOn → MK-NW-F-103 investmentRecordDates
3. MK-ST-F-056 has → MK-ST-F-083 accountValuesOn → MK-ST-F-031 valueOn → MK-NW-F-103 investmentRecordDates
4. MK-ST-F-056 has → MK-ST-F-031 valueOn → MK-NW-F-103 investmentRecordDates
5. MK-ST-F-033 onOrBefore → MK-ST-F-031 valueOn → MK-NW-F-103 investmentRecordDates</t>
        </is>
      </c>
      <c r="S320" s="3" t="inlineStr">
        <is>
          <t>—</t>
        </is>
      </c>
      <c r="T320" s="3" t="inlineStr">
        <is>
          <t>—</t>
        </is>
      </c>
      <c r="U320" s="3" t="inlineStr">
        <is>
          <t>ACTIVE</t>
        </is>
      </c>
      <c r="V320" s="3" t="inlineStr">
        <is>
          <t>2026-10-03</t>
        </is>
      </c>
      <c r="W320" s="3" t="n"/>
      <c r="X320" s="3" t="n"/>
      <c r="Y320" s="3" t="inlineStr">
        <is>
          <t>NOTHING OPEN</t>
        </is>
      </c>
    </row>
    <row r="321" ht="60" customHeight="1">
      <c r="A321" s="3" t="inlineStr">
        <is>
          <t>MK-NW-F-104</t>
        </is>
      </c>
      <c r="B321" s="3" t="inlineStr">
        <is>
          <t>closedWith</t>
        </is>
      </c>
      <c r="C321" s="3" t="inlineStr">
        <is>
          <t>MoneyKeel/functions/networth-and-performance/performance.ts</t>
        </is>
      </c>
      <c r="D321" s="3" t="n">
        <v>578</v>
      </c>
      <c r="E321" s="3" t="inlineStr">
        <is>
          <t>3 · DEPENDENT</t>
        </is>
      </c>
      <c r="F321" s="3" t="inlineStr">
        <is>
          <t>The daily record with today added to it, worth what the caller says the measured accounts are worth now.</t>
        </is>
      </c>
      <c r="G321" s="11" t="inlineStr">
        <is>
          <t>last = [...days] where date &lt; today.sort((x, y) =&gt; string(date).locale compare(string(date))).pop()
days   when last is missing
members = [...new set([...(last.holdings ?? []), ...(last.accounts ?? [])].map((r: any) =&gt; string(account id)).filter((id) =&gt; ids.size = 0 or ids.has(id)))]
days   when count of members is missing</t>
        </is>
      </c>
      <c r="H321" s="3" t="inlineStr">
        <is>
          <t>Last is [...days] where date &lt; today.sort((x, y) =&gt; string(date).locale compare(string(date))).pop(). When last is missing, it answers days. Members is [...new set([...(last.holdings ?? []), ...(last.accounts ?? [])].map((r: any) =&gt; string(account id)).filter((id) =&gt; ids.size = 0 or ids.has(id)))]. When how many members is missing there are, it answers days.</t>
        </is>
      </c>
      <c r="I321" s="3" t="inlineStr">
        <is>
          <t>PARTLY READ — some of the code is still showing through; needs a hand pass</t>
        </is>
      </c>
      <c r="J321" s="3" t="inlineStr">
        <is>
          <t>1. days: any[]
2. ids: Set&lt;string&gt;
3. today: string
4. ending: number</t>
        </is>
      </c>
      <c r="K321" s="3" t="inlineStr">
        <is>
          <t>any[]</t>
        </is>
      </c>
      <c r="L321" s="3" t="inlineStr">
        <is>
          <t>—</t>
        </is>
      </c>
      <c r="M321" s="3" t="inlineStr">
        <is>
          <t>None found in this function — anything it assumes comes from the functions it depends on.</t>
        </is>
      </c>
      <c r="N321" s="3" t="inlineStr">
        <is>
          <t>Yes</t>
        </is>
      </c>
      <c r="O321" s="3" t="inlineStr">
        <is>
          <t>1. MK-ST-F-027 accountId
2. MK-ST-F-056 has
3. MK-CF-F-132 map</t>
        </is>
      </c>
      <c r="P321" s="3" t="n">
        <v>3</v>
      </c>
      <c r="Q321" s="3" t="inlineStr">
        <is>
          <t>1. MK-ST-F-027 accountId
2. MK-ST-F-056 has
3. MK-CF-F-132 map</t>
        </is>
      </c>
      <c r="R321" s="3" t="inlineStr">
        <is>
          <t>1. MK-ST-F-027 accountId → MK-NW-F-104 closedWith
2. MK-ST-F-056 has → MK-NW-F-104 closedWith
3. MK-CF-F-132 map → MK-NW-F-104 closedWith</t>
        </is>
      </c>
      <c r="S321" s="3" t="inlineStr">
        <is>
          <t>—</t>
        </is>
      </c>
      <c r="T321" s="3" t="inlineStr">
        <is>
          <t>—</t>
        </is>
      </c>
      <c r="U321" s="3" t="inlineStr">
        <is>
          <t>ACTIVE</t>
        </is>
      </c>
      <c r="V321" s="3" t="inlineStr">
        <is>
          <t>2026-10-04</t>
        </is>
      </c>
      <c r="W321" s="3" t="n"/>
      <c r="X321" s="3" t="n"/>
      <c r="Y321" s="3" t="inlineStr">
        <is>
          <t>NOTHING OPEN</t>
        </is>
      </c>
    </row>
    <row r="322" ht="60" customHeight="1">
      <c r="A322" s="3" t="inlineStr">
        <is>
          <t>MK-NW-F-105</t>
        </is>
      </c>
      <c r="B322" s="3" t="inlineStr">
        <is>
          <t>whyNoReturn</t>
        </is>
      </c>
      <c r="C322" s="3" t="inlineStr">
        <is>
          <t>MoneyKeel/functions/networth-and-performance/performance.ts</t>
        </is>
      </c>
      <c r="D322" s="3" t="n">
        <v>531</v>
      </c>
      <c r="E322" s="3" t="inlineStr">
        <is>
          <t>3 · DEPENDENT</t>
        </is>
      </c>
      <c r="F322" s="3" t="inlineStr">
        <is>
          <t>WHY A RETURN CANNOT BE MEASURED, in words a person reads.</t>
        </is>
      </c>
      <c r="G322" s="11" t="inlineStr">
        <is>
          <t>''   when v is missing (or rate ≠ nothing when missing or zero)
on = date shown(day)   if day
''   otherwise</t>
        </is>
      </c>
      <c r="H322" s="3" t="inlineStr">
        <is>
          <t>When v is missing (or rate is not no answer — when missing or zero), it answers ''. On is date shown(day) — when day; '' — otherwise.</t>
        </is>
      </c>
      <c r="I322" s="3" t="inlineStr">
        <is>
          <t>READ FROM THE CODE — rendered from the expressions the function runs</t>
        </is>
      </c>
      <c r="J322" s="3" t="inlineStr">
        <is>
          <t>v: TimeWeightedVerdict | null</t>
        </is>
      </c>
      <c r="K322" s="3" t="inlineStr">
        <is>
          <t>string</t>
        </is>
      </c>
      <c r="L322" s="3" t="inlineStr">
        <is>
          <t>—</t>
        </is>
      </c>
      <c r="M322" s="3" t="inlineStr">
        <is>
          <t>None found in this function — anything it assumes comes from the functions it depends on.</t>
        </is>
      </c>
      <c r="N322" s="3" t="inlineStr">
        <is>
          <t>Yes</t>
        </is>
      </c>
      <c r="O322" s="3" t="inlineStr">
        <is>
          <t>MK-ST-F-078 dateShown</t>
        </is>
      </c>
      <c r="P322" s="3" t="n">
        <v>2</v>
      </c>
      <c r="Q322" s="3" t="inlineStr">
        <is>
          <t>1. MK-ST-F-078 dateShown
2. MK-CF-F-132 map</t>
        </is>
      </c>
      <c r="R322" s="3" t="inlineStr">
        <is>
          <t>MK-CF-F-132 map → MK-ST-F-078 dateShown → MK-NW-F-105 whyNoReturn</t>
        </is>
      </c>
      <c r="S322" s="3" t="inlineStr">
        <is>
          <t>—</t>
        </is>
      </c>
      <c r="T322" s="3" t="inlineStr">
        <is>
          <t>—</t>
        </is>
      </c>
      <c r="U322" s="3" t="inlineStr">
        <is>
          <t>ACTIVE</t>
        </is>
      </c>
      <c r="V322" s="3" t="inlineStr">
        <is>
          <t>2026-10-04</t>
        </is>
      </c>
      <c r="W322" s="3" t="n"/>
      <c r="X322" s="3" t="n"/>
      <c r="Y322" s="3" t="inlineStr">
        <is>
          <t>NOTHING OPEN</t>
        </is>
      </c>
    </row>
    <row r="323" ht="60" customHeight="1">
      <c r="A323" s="3" t="inlineStr">
        <is>
          <t>MK-NW-F-106</t>
        </is>
      </c>
      <c r="B323" s="3" t="inlineStr">
        <is>
          <t>mortgagesByProperty</t>
        </is>
      </c>
      <c r="C323" s="3" t="inlineStr">
        <is>
          <t>MoneyKeel/functions/networth-and-performance/net-worth.ts</t>
        </is>
      </c>
      <c r="D323" s="3" t="n">
        <v>285</v>
      </c>
      <c r="E323" s="3" t="inlineStr">
        <is>
          <t>3 · DEPENDENT</t>
        </is>
      </c>
      <c r="F323" s="3" t="inlineStr">
        <is>
          <t>Which mortgage is on which property, and which mortgages are on none.</t>
        </is>
      </c>
      <c r="G323" s="11" t="inlineStr">
        <is>
          <t>properties = accounts (or none when missing) where asset class of(each) = 'real_estate'
mortgages = debts (or none when missing) where string(debt type ?? '').to upper case() = 'MORTGAGE'
on = new map&lt;string, any&gt;()
placed = new set&lt;any&gt;()
place = (d: any, property id: string) =&gt; { on.set(property id, d); placed.add(d); }
id = string(property id)   if property id ≠ nothing
''   otherwise
name = string(label ?? '').trim().to lower case()
free = properties where !on.has(string(asset id))
loose = mortgages as any[] where !placed.has(each) and property id = nothing
unmatched = mortgages as any[] where !placed.has(each)for each of : id = string(debt id)
label = string(label ?? 'Mortgage')
d = on.get(string(asset id))
… the first steps only — the rest of the body needs reading by hand.</t>
        </is>
      </c>
      <c r="H323" s="3" t="inlineStr">
        <is>
          <t>Properties is accounts (or none — when missing) where asset class of(each) = 'real_estate'. Mortgages is debts (or none — when missing) where string(debt type ?? '').to upper case() = 'MORTGAGE'. On is new map&lt;string, any&gt;(). Placed is new set&lt;any&gt;(). Place is (d: any, property id: string) =&gt; { on.set(property id, d); placed.add(d); }. Id is string(property id) — when property id is not no answer; '' — otherwise. Name is string(label ?? '').trim().to lower case(). Free is properties where !on.has(string(asset id)). Loose is mortgages as any[] where !placed.has(each) and property id is missing. Unmatched is mortgages as any[] where !placed.has(each)for each of : id = string(debt id); label = string(label ?? 'Mortgage'). D is on.get(string(asset id)). Only the first steps are shown; the rest of the body needs reading by hand.</t>
        </is>
      </c>
      <c r="I323" s="3" t="inlineStr">
        <is>
          <t>PARTLY READ — some of the code is still showing through; needs a hand pass</t>
        </is>
      </c>
      <c r="J323" s="3" t="inlineStr">
        <is>
          <t>1. accounts: AssetAccount[]
2. debts: Debt[]</t>
        </is>
      </c>
      <c r="K323" s="3" t="inlineStr">
        <is>
          <t>MortgageCheck</t>
        </is>
      </c>
      <c r="L323" s="3" t="inlineStr">
        <is>
          <t>—</t>
        </is>
      </c>
      <c r="M323" s="3" t="inlineStr">
        <is>
          <t>None found in this function — anything it assumes comes from the functions it depends on.</t>
        </is>
      </c>
      <c r="N323" s="3" t="inlineStr">
        <is>
          <t>Yes</t>
        </is>
      </c>
      <c r="O323" s="3" t="inlineStr">
        <is>
          <t>1. MK-NW-F-011 assetClassOf
2. MK-ST-F-056 has
3. MK-CF-F-132 map
4. MK-CF-F-023 requiredPayment</t>
        </is>
      </c>
      <c r="P323" s="3" t="n">
        <v>18</v>
      </c>
      <c r="Q323" s="3" t="inlineStr">
        <is>
          <t>1. MK-NW-F-011 assetClassOf
2. MK-ST-F-056 has
3. MK-CF-F-132 map
4. MK-CF-F-023 requiredPayment
5. MK-NW-F-120 classEvidenceOf
6. MK-CF-F-022 paymentShape
7. MK-CF-F-155 cash
8. MK-NW-F-008 incomeBearingClassOf
9. MK-NW-F-009 maturityClass
10. MK-CF-F-021 defaultPaymentType
11. MK-XS-F-122 n
12. MK-ST-F-010 nameEvidence
13. MK-NW-F-124 maturityParts
14. MK-CF-F-216 typed
15. MK-XS-F-147 call
16. MK-ST-F-027 accountId
17. MK-XS-F-064 currentIdToken
18. MK-XS-F-112 relayUrl</t>
        </is>
      </c>
      <c r="R323" s="3" t="inlineStr">
        <is>
          <t>1. MK-XS-F-122 n → MK-CF-F-155 cash → MK-NW-F-120 classEvidenceOf → MK-NW-F-011 assetClassOf → MK-NW-F-106 mortgagesByProperty
2. MK-XS-F-122 n → MK-CF-F-155 cash → MK-NW-F-008 incomeBearingClassOf → MK-NW-F-120 classEvidenceOf → MK-NW-F-011 assetClassOf → MK-NW-F-106 mortgagesByProperty
3. MK-XS-F-147 call → MK-ST-F-010 nameEvidence → MK-NW-F-008 incomeBearingClassOf → MK-NW-F-120 classEvidenceOf → MK-NW-F-011 assetClassOf → MK-NW-F-106 mortgagesByProperty
4. MK-ST-F-056 has → MK-ST-F-010 nameEvidence → MK-NW-F-008 incomeBearingClassOf → MK-NW-F-120 classEvidenceOf → MK-NW-F-011 assetClassOf → MK-NW-F-106 mortgagesByProperty
5. MK-CF-F-132 map → MK-ST-F-010 nameEvidence → MK-NW-F-008 incomeBearingClassOf → MK-NW-F-120 classEvidenceOf → MK-NW-F-011 assetClassOf → MK-NW-F-106 mortgagesByProperty
6. assetClassOf (already above — a loop) → MK-NW-F-009 maturityClass → MK-NW-F-120 classEvidenceOf → MK-NW-F-011 assetClassOf → MK-NW-F-106 mortgagesByProperty
7. maturityClass (already above — a loop) → MK-NW-F-124 maturityParts → MK-NW-F-009 maturityClass → MK-NW-F-120 classEvidenceOf → MK-NW-F-011 assetClassOf → MK-NW-F-106 mortgagesByProperty
8. MK-CF-F-216 typed → MK-NW-F-124 maturityParts → MK-NW-F-009 maturityClass → MK-NW-F-120 classEvidenceOf → MK-NW-F-011 assetClassOf → MK-NW-F-106 mortgagesByProperty
9. … and 4 more paths</t>
        </is>
      </c>
      <c r="S323" s="3" t="inlineStr">
        <is>
          <t>—</t>
        </is>
      </c>
      <c r="T323" s="3" t="inlineStr">
        <is>
          <t>—</t>
        </is>
      </c>
      <c r="U323" s="3" t="inlineStr">
        <is>
          <t>ACTIVE</t>
        </is>
      </c>
      <c r="V323" s="3" t="inlineStr">
        <is>
          <t>2026-10-04</t>
        </is>
      </c>
      <c r="W323" s="3" t="n"/>
      <c r="X323" s="3" t="n"/>
      <c r="Y323" s="3" t="inlineStr">
        <is>
          <t>NOTHING OPEN</t>
        </is>
      </c>
    </row>
    <row r="324" ht="60" customHeight="1">
      <c r="A324" s="3" t="inlineStr">
        <is>
          <t>MK-NW-F-107</t>
        </is>
      </c>
      <c r="B324" s="3" t="inlineStr">
        <is>
          <t>propertyUses</t>
        </is>
      </c>
      <c r="C324" s="3" t="inlineStr">
        <is>
          <t>MoneyKeel/functions/networth-and-performance/net-worth.ts</t>
        </is>
      </c>
      <c r="D324" s="3" t="n">
        <v>369</v>
      </c>
      <c r="E324" s="3" t="inlineStr">
        <is>
          <t>3 · DEPENDENT</t>
        </is>
      </c>
      <c r="F324" s="3" t="inlineStr">
        <is>
          <t>What each property is used for: the home lived in, a rental, or a second or vacation home.</t>
        </is>
      </c>
      <c r="G324" s="11" t="inlineStr">
        <is>
          <t>property use map(accounts, rentals ?? nothing)</t>
        </is>
      </c>
      <c r="H324" s="3" t="inlineStr">
        <is>
          <t>property use map(accounts, rentals ?? no answer).</t>
        </is>
      </c>
      <c r="I324" s="3" t="inlineStr">
        <is>
          <t>PARTLY READ — some of the code is still showing through; needs a hand pass</t>
        </is>
      </c>
      <c r="J324" s="3" t="inlineStr">
        <is>
          <t>1. accounts: AssetAccount[]
2. rentals: { income?: any; expenses?: any; property_id?: any }[] | null | undefined</t>
        </is>
      </c>
      <c r="K324" s="3" t="inlineStr">
        <is>
          <t>Map&lt;string, PropertyUse&gt;</t>
        </is>
      </c>
      <c r="L324" s="3" t="inlineStr">
        <is>
          <t>—</t>
        </is>
      </c>
      <c r="M324" s="3" t="inlineStr">
        <is>
          <t>None found in this function — anything it assumes comes from the functions it depends on.</t>
        </is>
      </c>
      <c r="N324" s="3" t="inlineStr">
        <is>
          <t>Yes</t>
        </is>
      </c>
      <c r="O324" s="3" t="inlineStr">
        <is>
          <t>MK-NW-F-117 propertyUseMap</t>
        </is>
      </c>
      <c r="P324" s="3" t="n">
        <v>32</v>
      </c>
      <c r="Q324" s="3" t="inlineStr">
        <is>
          <t>1. MK-NW-F-117 propertyUseMap
2. MK-NW-F-011 assetClassOf
3. MK-ST-F-056 has
4. MK-NW-F-116 rentedIdsOf
5. MK-NW-F-120 classEvidenceOf
6. MK-NW-F-115 liveRent
7. MK-CF-F-132 map
8. MK-CF-F-155 cash
9. MK-NW-F-008 incomeBearingClassOf
10. MK-NW-F-009 maturityClass
11. MK-CF-O-002 expenses
12. MK-NW-F-114 rentAmount
13. MK-XS-F-122 n
14. MK-ST-F-010 nameEvidence
15. MK-NW-F-124 maturityParts
16. MK-CF-F-216 typed
17. MK-CF-F-151 actualSpending
18. MK-CF-F-150 debtPaymentsCountedAsExpenses
19. MK-CF-F-153 radar
20. MK-CF-F-149 recurringDebtPayments
21. MK-ST-F-085 rentFigure
22. MK-XS-F-147 call
23. MK-CF-F-148 inMonth
24. MK-ST-F-052 toNum
25. MK-CF-F-191 ym
26. MK-CF-F-022 paymentShape
27. MK-CF-F-152 isRadarItem
28. MK-CF-F-023 requiredPayment
29. MK-ST-F-027 accountId
30. MK-XS-F-064 currentIdToken
31. MK-XS-F-112 relayUrl
32. MK-CF-F-021 defaultPaymentType</t>
        </is>
      </c>
      <c r="R324" s="3" t="inlineStr">
        <is>
          <t>1. MK-XS-F-122 n → MK-CF-F-155 cash → MK-NW-F-120 classEvidenceOf → MK-NW-F-011 assetClassOf → MK-NW-F-117 propertyUseMap → MK-NW-F-107 propertyUses
2. MK-CF-F-155 cash → MK-NW-F-008 incomeBearingClassOf → MK-NW-F-120 classEvidenceOf → MK-NW-F-011 assetClassOf → MK-NW-F-117 propertyUseMap → MK-NW-F-107 propertyUses
3. MK-ST-F-010 nameEvidence → MK-NW-F-008 incomeBearingClassOf → MK-NW-F-120 classEvidenceOf → MK-NW-F-011 assetClassOf → MK-NW-F-117 propertyUseMap → MK-NW-F-107 propertyUses
4. assetClassOf (already above — a loop) → MK-NW-F-009 maturityClass → MK-NW-F-120 classEvidenceOf → MK-NW-F-011 assetClassOf → MK-NW-F-117 propertyUseMap → MK-NW-F-107 propertyUses
5. MK-NW-F-124 maturityParts → MK-NW-F-009 maturityClass → MK-NW-F-120 classEvidenceOf → MK-NW-F-011 assetClassOf → MK-NW-F-117 propertyUseMap → MK-NW-F-107 propertyUses
6. MK-CF-F-216 typed → MK-NW-F-009 maturityClass → MK-NW-F-120 classEvidenceOf → MK-NW-F-011 assetClassOf → MK-NW-F-117 propertyUseMap → MK-NW-F-107 propertyUses
7. MK-ST-F-056 has → MK-NW-F-117 propertyUseMap → MK-NW-F-107 propertyUses
8. MK-CF-F-151 actualSpending → MK-CF-O-002 expenses → MK-NW-F-115 liveRent → MK-NW-F-116 rentedIdsOf → MK-NW-F-117 propertyUseMap → MK-NW-F-107 propertyUses
9. … and 4 more paths</t>
        </is>
      </c>
      <c r="S324" s="3" t="inlineStr">
        <is>
          <t>—</t>
        </is>
      </c>
      <c r="T324" s="3" t="inlineStr">
        <is>
          <t>—</t>
        </is>
      </c>
      <c r="U324" s="3" t="inlineStr">
        <is>
          <t>ACTIVE</t>
        </is>
      </c>
      <c r="V324" s="3" t="inlineStr">
        <is>
          <t>2026-10-07</t>
        </is>
      </c>
      <c r="W324" s="3" t="n"/>
      <c r="X324" s="3" t="n"/>
      <c r="Y324" s="3" t="inlineStr">
        <is>
          <t>NOTHING OPEN</t>
        </is>
      </c>
    </row>
    <row r="325" ht="60" customHeight="1">
      <c r="A325" s="3" t="inlineStr">
        <is>
          <t>MK-NW-F-108</t>
        </is>
      </c>
      <c r="B325" s="3" t="inlineStr">
        <is>
          <t>taxWordsOf</t>
        </is>
      </c>
      <c r="C325" s="3" t="inlineStr">
        <is>
          <t>src/domain/assets/index.ts</t>
        </is>
      </c>
      <c r="D325" s="3" t="n">
        <v>689</v>
      </c>
      <c r="E325" s="3" t="inlineStr">
        <is>
          <t>2 · DISPLAYED</t>
        </is>
      </c>
      <c r="F325" s="3" t="inlineStr">
        <is>
          <t>How an account is taxed, in the words a person reads on the account's page.</t>
        </is>
      </c>
      <c r="G325" s="11" t="inlineStr">
        <is>
          <t>'tax − free for education'   when kind = 'college_529'
'pre − tax — tax − free for medical costs'   when kind = 'hsa'
t = tax treatment of(a)
TAX_TYPE_NOT_STATED   when t = 'not_stated'
the answer:
'pre − tax — taxed when it comes out'   if t = 'tax_deferred'
'tax − free (roth)'   if tax bucket = 'ROTH'
'tax − free'   otherwise   if t = 'tax_free'
'taxable'   otherwise   otherwise</t>
        </is>
      </c>
      <c r="H325" s="3" t="inlineStr">
        <is>
          <t>When kind = 'college_529', it answers 'tax minus free for education'. When kind = 'hsa', it answers 'pre minus tax — tax minus free for medical costs'. T is tax treatment of(a). When t = 'not_stated', it answers TAX_TYPE_NOT_STATED. The answer is 'pre minus tax — taxed when it comes out' — when t = 'tax_deferred'; 'tax minus free (roth)' — when tax bucket = 'ROTH'; 'tax minus free' — otherwise — when t = 'tax_free'; 'taxable' — otherwise — otherwise.</t>
        </is>
      </c>
      <c r="I325" s="3" t="inlineStr">
        <is>
          <t>READ FROM THE CODE — rendered from the expressions the function runs</t>
        </is>
      </c>
      <c r="J325" s="3" t="inlineStr">
        <is>
          <t>a: AssetAccount</t>
        </is>
      </c>
      <c r="K325" s="3" t="inlineStr">
        <is>
          <t>string</t>
        </is>
      </c>
      <c r="L325" s="3" t="inlineStr">
        <is>
          <t>NOT FOUND — a screen calls it, but the words printed beside its answer could not be traced automatically. Needs reading.</t>
        </is>
      </c>
      <c r="M325" s="3" t="inlineStr">
        <is>
          <t>None found in this function — anything it assumes comes from the functions it depends on.</t>
        </is>
      </c>
      <c r="N325" s="3" t="inlineStr">
        <is>
          <t>Yes</t>
        </is>
      </c>
      <c r="O325" s="3" t="inlineStr">
        <is>
          <t>1. MK-NW-F-012 taxTreatmentOf
2. MK-CF-F-216 typed</t>
        </is>
      </c>
      <c r="P325" s="3" t="n">
        <v>17</v>
      </c>
      <c r="Q325" s="3" t="inlineStr">
        <is>
          <t>1. MK-NW-F-012 taxTreatmentOf
2. MK-CF-F-216 typed
3. MK-NW-F-007 assetKind
4. MK-NW-F-011 assetClassOf
5. MK-CF-F-155 cash
6. MK-NW-F-120 classEvidenceOf
7. MK-XS-F-122 n
8. MK-NW-F-008 incomeBearingClassOf
9. MK-NW-F-009 maturityClass
10. MK-ST-F-010 nameEvidence
11. MK-NW-F-124 maturityParts
12. MK-XS-F-147 call
13. MK-ST-F-056 has
14. MK-CF-F-132 map
15. MK-ST-F-027 accountId
16. MK-XS-F-064 currentIdToken
17. MK-XS-F-112 relayUrl</t>
        </is>
      </c>
      <c r="R325" s="3" t="inlineStr">
        <is>
          <t>1. MK-CF-F-155 cash → MK-NW-F-120 classEvidenceOf → MK-NW-F-011 assetClassOf → MK-NW-F-007 assetKind → MK-NW-F-012 taxTreatmentOf → MK-NW-F-108 taxWordsOf
2. MK-NW-F-008 incomeBearingClassOf → MK-NW-F-120 classEvidenceOf → MK-NW-F-011 assetClassOf → MK-NW-F-007 assetKind → MK-NW-F-012 taxTreatmentOf → MK-NW-F-108 taxWordsOf
3. MK-NW-F-009 maturityClass → MK-NW-F-120 classEvidenceOf → MK-NW-F-011 assetClassOf → MK-NW-F-007 assetKind → MK-NW-F-012 taxTreatmentOf → MK-NW-F-108 taxWordsOf
4. MK-XS-F-122 n → MK-CF-F-155 cash → MK-NW-F-007 assetKind → MK-NW-F-012 taxTreatmentOf → MK-NW-F-108 taxWordsOf
5. MK-CF-F-216 typed → MK-NW-F-108 taxWordsOf</t>
        </is>
      </c>
      <c r="S325" s="3" t="inlineStr">
        <is>
          <t>—</t>
        </is>
      </c>
      <c r="T325" s="3" t="inlineStr">
        <is>
          <t>—</t>
        </is>
      </c>
      <c r="U325" s="3" t="inlineStr">
        <is>
          <t>ACTIVE</t>
        </is>
      </c>
      <c r="V325" s="3" t="inlineStr">
        <is>
          <t>2026-10-10</t>
        </is>
      </c>
      <c r="W325" s="3" t="n"/>
      <c r="X325" s="3" t="n"/>
      <c r="Y325" s="3" t="inlineStr">
        <is>
          <t>NOTHING OPEN</t>
        </is>
      </c>
    </row>
    <row r="326" ht="60" customHeight="1">
      <c r="A326" s="3" t="inlineStr">
        <is>
          <t>MK-NW-F-109</t>
        </is>
      </c>
      <c r="B326" s="3" t="inlineStr">
        <is>
          <t>holdingClassOf</t>
        </is>
      </c>
      <c r="C326" s="3" t="inlineStr">
        <is>
          <t>src/domain/assets/index.ts</t>
        </is>
      </c>
      <c r="D326" s="3" t="n">
        <v>1388</v>
      </c>
      <c r="E326" s="3" t="inlineStr">
        <is>
          <t>2 · DISPLAYED</t>
        </is>
      </c>
      <c r="F326" s="3" t="inlineStr">
        <is>
          <t>What one holding inside an account is, by the one rule the split, the words under it and the account's page all use.</t>
        </is>
      </c>
      <c r="G326" s="11" t="inlineStr">
        <is>
          <t>tag = asset class
by kind = KIND_TO_CLASS[kind]   if kind
undefined   otherwise
stored (or 'mixed' when missing)   when class source = 'user'
'mixed'   when class asked
by name = holding name evidence(p)
by name   when by name and by name ! = 'cash'
the answer:
stored (or 'cash'   if by name = 'cash'
'mixed'   otherwise when missing)</t>
        </is>
      </c>
      <c r="H326" s="3" t="inlineStr">
        <is>
          <t>Tag is asset class. By kind is KIND_TO_CLASS[kind] — when kind; undefined — otherwise. When class source = 'user', it answers stored (or 'mixed' — when missing). When class asked, it answers 'mixed'. By name is holding name evidence(p). When by name and by name ! = 'cash', it answers by name. The answer is stored (or 'cash' — when by name = 'cash'; 'mixed' — otherwise — when missing).</t>
        </is>
      </c>
      <c r="I326" s="3" t="inlineStr">
        <is>
          <t>PARTLY READ — some of the code is still showing through; needs a hand pass</t>
        </is>
      </c>
      <c r="J326" s="3" t="inlineStr">
        <is>
          <t>p: any</t>
        </is>
      </c>
      <c r="K326" s="3" t="inlineStr">
        <is>
          <t>AssetClass</t>
        </is>
      </c>
      <c r="L326" s="3" t="inlineStr">
        <is>
          <t>NOT FOUND — a screen calls it, but the words printed beside its answer could not be traced automatically. Needs reading.</t>
        </is>
      </c>
      <c r="M326" s="3" t="inlineStr">
        <is>
          <t>None found in this function — anything it assumes comes from the functions it depends on.</t>
        </is>
      </c>
      <c r="N326" s="3" t="inlineStr">
        <is>
          <t>Yes</t>
        </is>
      </c>
      <c r="O326" s="3" t="inlineStr">
        <is>
          <t>1. MK-NW-F-123 holdingNameEvidence
2. MK-NW-F-121 holdingTagClass
3. MK-NW-F-054 reclassifyAccounts</t>
        </is>
      </c>
      <c r="P326" s="3" t="n">
        <v>20</v>
      </c>
      <c r="Q326" s="3" t="inlineStr">
        <is>
          <t>1. MK-NW-F-123 holdingNameEvidence
2. MK-NW-F-121 holdingTagClass
3. MK-NW-F-054 reclassifyAccounts
4. MK-CF-F-155 cash
5. MK-NW-F-008 incomeBearingClassOf
6. MK-NW-F-053 correctClassOf
7. MK-NW-F-122 holdingTagFor
8. MK-CF-F-132 map
9. MK-XS-F-122 n
10. MK-ST-F-010 nameEvidence
11. MK-NW-F-120 classEvidenceOf
12. MK-XS-F-147 call
13. MK-ST-F-056 has
14. MK-NW-F-009 maturityClass
15. MK-ST-F-027 accountId
16. MK-XS-F-064 currentIdToken
17. MK-XS-F-112 relayUrl
18. MK-NW-F-011 assetClassOf
19. MK-NW-F-124 maturityParts
20. MK-CF-F-216 typed</t>
        </is>
      </c>
      <c r="R326" s="3" t="inlineStr">
        <is>
          <t>1. MK-XS-F-122 n → MK-CF-F-155 cash → MK-NW-F-123 holdingNameEvidence → MK-NW-F-109 holdingClassOf
2. MK-XS-F-122 n → MK-CF-F-155 cash → MK-NW-F-008 incomeBearingClassOf → MK-NW-F-123 holdingNameEvidence → MK-NW-F-109 holdingClassOf
3. MK-ST-F-027 accountId → MK-XS-F-147 call → MK-ST-F-010 nameEvidence → MK-NW-F-008 incomeBearingClassOf → MK-NW-F-123 holdingNameEvidence → MK-NW-F-109 holdingClassOf
4. MK-XS-F-064 currentIdToken → MK-XS-F-147 call → MK-ST-F-010 nameEvidence → MK-NW-F-008 incomeBearingClassOf → MK-NW-F-123 holdingNameEvidence → MK-NW-F-109 holdingClassOf
5. MK-XS-F-112 relayUrl → MK-XS-F-147 call → MK-ST-F-010 nameEvidence → MK-NW-F-008 incomeBearingClassOf → MK-NW-F-123 holdingNameEvidence → MK-NW-F-109 holdingClassOf
6. MK-ST-F-056 has → MK-ST-F-010 nameEvidence → MK-NW-F-008 incomeBearingClassOf → MK-NW-F-123 holdingNameEvidence → MK-NW-F-109 holdingClassOf
7. MK-CF-F-132 map → MK-ST-F-010 nameEvidence → MK-NW-F-008 incomeBearingClassOf → MK-NW-F-123 holdingNameEvidence → MK-NW-F-109 holdingClassOf
8. MK-NW-F-121 holdingTagClass → MK-NW-F-109 holdingClassOf
9. … and 4 more paths</t>
        </is>
      </c>
      <c r="S326" s="3" t="inlineStr">
        <is>
          <t>—</t>
        </is>
      </c>
      <c r="T326" s="3" t="inlineStr">
        <is>
          <t>—</t>
        </is>
      </c>
      <c r="U326" s="3" t="inlineStr">
        <is>
          <t>ACTIVE</t>
        </is>
      </c>
      <c r="V326" s="3" t="inlineStr">
        <is>
          <t>2026-10-09</t>
        </is>
      </c>
      <c r="W326" s="3" t="n"/>
      <c r="X326" s="3" t="n"/>
      <c r="Y326" s="3" t="inlineStr">
        <is>
          <t>NOTHING OPEN</t>
        </is>
      </c>
    </row>
    <row r="327" ht="60" customHeight="1">
      <c r="A327" s="3" t="inlineStr">
        <is>
          <t>MK-NW-F-110</t>
        </is>
      </c>
      <c r="B327" s="3" t="inlineStr">
        <is>
          <t>primaryHomeIdOf</t>
        </is>
      </c>
      <c r="C327" s="3" t="inlineStr">
        <is>
          <t>src/domain/assets/index.ts</t>
        </is>
      </c>
      <c r="D327" s="3" t="n">
        <v>900</v>
      </c>
      <c r="E327" s="3" t="inlineStr">
        <is>
          <t>2 · DISPLAYED</t>
        </is>
      </c>
      <c r="F327" s="3" t="inlineStr">
        <is>
          <t>Which property is the home lived in: the one marked so; with none marked and no use stated on any, the one entered first; otherwise none.</t>
        </is>
      </c>
      <c r="G327" s="11" t="inlineStr">
        <is>
          <t>nothing
[LOOP — the answer is found inside a loop the extractor cannot render; the steps above are the ones before it. Read by hand.]</t>
        </is>
      </c>
      <c r="H327" s="3" t="inlineStr">
        <is>
          <t>no answer. The answer is found inside a loop that cannot be rendered here; read the code by hand.</t>
        </is>
      </c>
      <c r="I327" s="3" t="inlineStr">
        <is>
          <t>PARTLY READ — the body has a loop the extractor cannot render; the steps shown are the ones before it. Needs a hand pass (G23).</t>
        </is>
      </c>
      <c r="J327" s="3" t="inlineStr">
        <is>
          <t>1. accounts: AssetAccount[]
2. rentals?: RentEntry[] | null</t>
        </is>
      </c>
      <c r="K327" s="3" t="inlineStr">
        <is>
          <t>string | null</t>
        </is>
      </c>
      <c r="L327" s="3" t="inlineStr">
        <is>
          <t>"What counts toward retirement?" — on the Retirement cockpit screen</t>
        </is>
      </c>
      <c r="M327" s="3" t="inlineStr">
        <is>
          <t>None found in this function — anything it assumes comes from the functions it depends on.</t>
        </is>
      </c>
      <c r="N327" s="3" t="inlineStr">
        <is>
          <t>Yes</t>
        </is>
      </c>
      <c r="O327" s="3" t="inlineStr">
        <is>
          <t>1. MK-NW-F-030 earmarkDefault
2. MK-NW-F-117 propertyUseMap</t>
        </is>
      </c>
      <c r="P327" s="3" t="n">
        <v>33</v>
      </c>
      <c r="Q327" s="3" t="inlineStr">
        <is>
          <t>1. MK-NW-F-030 earmarkDefault
2. MK-NW-F-117 propertyUseMap
3. MK-NW-F-011 assetClassOf
4. MK-ST-F-056 has
5. MK-NW-F-116 rentedIdsOf
6. MK-NW-F-120 classEvidenceOf
7. MK-NW-F-115 liveRent
8. MK-CF-F-132 map
9. MK-CF-F-155 cash
10. MK-NW-F-008 incomeBearingClassOf
11. MK-NW-F-009 maturityClass
12. MK-CF-O-002 expenses
13. MK-NW-F-114 rentAmount
14. MK-XS-F-122 n
15. MK-ST-F-010 nameEvidence
16. MK-NW-F-124 maturityParts
17. MK-CF-F-216 typed
18. MK-CF-F-151 actualSpending
19. MK-CF-F-150 debtPaymentsCountedAsExpenses
20. MK-CF-F-153 radar
21. MK-CF-F-149 recurringDebtPayments
22. MK-ST-F-085 rentFigure
23. MK-XS-F-147 call
24. MK-CF-F-148 inMonth
25. MK-ST-F-052 toNum
26. MK-CF-F-191 ym
27. MK-CF-F-022 paymentShape
28. MK-CF-F-152 isRadarItem
29. MK-CF-F-023 requiredPayment
30. MK-ST-F-027 accountId
31. MK-XS-F-064 currentIdToken
32. MK-XS-F-112 relayUrl
33. MK-CF-F-021 defaultPaymentType</t>
        </is>
      </c>
      <c r="R327" s="3" t="inlineStr">
        <is>
          <t>1. MK-XS-F-122 n → MK-CF-F-155 cash → MK-NW-F-120 classEvidenceOf → MK-NW-F-011 assetClassOf → MK-NW-F-030 earmarkDefault → MK-NW-F-110 primaryHomeIdOf
2. MK-CF-F-155 cash → MK-NW-F-008 incomeBearingClassOf → MK-NW-F-120 classEvidenceOf → MK-NW-F-011 assetClassOf → MK-NW-F-030 earmarkDefault → MK-NW-F-110 primaryHomeIdOf
3. MK-ST-F-010 nameEvidence → MK-NW-F-008 incomeBearingClassOf → MK-NW-F-120 classEvidenceOf → MK-NW-F-011 assetClassOf → MK-NW-F-030 earmarkDefault → MK-NW-F-110 primaryHomeIdOf
4. assetClassOf (already above — a loop) → MK-NW-F-009 maturityClass → MK-NW-F-120 classEvidenceOf → MK-NW-F-011 assetClassOf → MK-NW-F-030 earmarkDefault → MK-NW-F-110 primaryHomeIdOf
5. MK-NW-F-124 maturityParts → MK-NW-F-009 maturityClass → MK-NW-F-120 classEvidenceOf → MK-NW-F-011 assetClassOf → MK-NW-F-030 earmarkDefault → MK-NW-F-110 primaryHomeIdOf
6. MK-CF-F-216 typed → MK-NW-F-009 maturityClass → MK-NW-F-120 classEvidenceOf → MK-NW-F-011 assetClassOf → MK-NW-F-030 earmarkDefault → MK-NW-F-110 primaryHomeIdOf
7. MK-XS-F-122 n → MK-CF-F-155 cash → MK-NW-F-120 classEvidenceOf → MK-NW-F-011 assetClassOf → MK-NW-F-117 propertyUseMap → MK-NW-F-110 primaryHomeIdOf
8. MK-CF-F-155 cash → MK-NW-F-008 incomeBearingClassOf → MK-NW-F-120 classEvidenceOf → MK-NW-F-011 assetClassOf → MK-NW-F-117 propertyUseMap → MK-NW-F-110 primaryHomeIdOf
9. … and 4 more paths</t>
        </is>
      </c>
      <c r="S327" s="3" t="inlineStr">
        <is>
          <t>—</t>
        </is>
      </c>
      <c r="T327" s="3" t="inlineStr">
        <is>
          <t>—</t>
        </is>
      </c>
      <c r="U327" s="3" t="inlineStr">
        <is>
          <t>ACTIVE</t>
        </is>
      </c>
      <c r="V327" s="3" t="inlineStr">
        <is>
          <t>2026-10-07</t>
        </is>
      </c>
      <c r="W327" s="3" t="n"/>
      <c r="X327" s="3" t="n"/>
      <c r="Y327" s="3" t="inlineStr">
        <is>
          <t>NOTHING OPEN</t>
        </is>
      </c>
    </row>
    <row r="328" ht="60" customHeight="1">
      <c r="A328" s="3" t="inlineStr">
        <is>
          <t>MK-NW-F-112</t>
        </is>
      </c>
      <c r="B328" s="3" t="inlineStr">
        <is>
          <t>yearlyInterest</t>
        </is>
      </c>
      <c r="C328" s="3" t="inlineStr">
        <is>
          <t>src/domain/bonds/index.ts</t>
        </is>
      </c>
      <c r="D328" s="3" t="n">
        <v>230</v>
      </c>
      <c r="E328" s="3" t="inlineStr">
        <is>
          <t>3 · DEPENDENT</t>
        </is>
      </c>
      <c r="F328" s="3" t="inlineStr">
        <is>
          <t>A year's interest from one bond or CD, by the one rule both income figures use: face × rate; with no face entered, today's value × rate (a CD typed by its balance); with no rate, nothing (owner A46: counted as $0, said so).</t>
        </is>
      </c>
      <c r="G328" s="11" t="inlineStr">
        <is>
          <t>nothing   when coupon rate = nothing
face × coupon rate   if face ≠ nothing
value × coupon rate   otherwise</t>
        </is>
      </c>
      <c r="H328" s="3" t="inlineStr">
        <is>
          <t>When coupon rate is missing, it answers no answer. face times coupon rate — when face is not no answer; value times coupon rate — otherwise.</t>
        </is>
      </c>
      <c r="I328" s="3" t="inlineStr">
        <is>
          <t>READ FROM THE CODE — rendered from the expressions the function runs</t>
        </is>
      </c>
      <c r="J328" s="3" t="inlineStr">
        <is>
          <t>b: BondInfo</t>
        </is>
      </c>
      <c r="K328" s="3" t="inlineStr">
        <is>
          <t>number | null</t>
        </is>
      </c>
      <c r="L328" s="3" t="inlineStr">
        <is>
          <t>—</t>
        </is>
      </c>
      <c r="M328" s="3" t="inlineStr">
        <is>
          <t>None found in this function — anything it assumes comes from the functions it depends on.</t>
        </is>
      </c>
      <c r="N328" s="3" t="inlineStr">
        <is>
          <t>Yes</t>
        </is>
      </c>
      <c r="O328" s="3" t="inlineStr">
        <is>
          <t>—</t>
        </is>
      </c>
      <c r="P328" s="3" t="n">
        <v>0</v>
      </c>
      <c r="Q328" s="3" t="inlineStr">
        <is>
          <t>None — no dependent function stands behind it</t>
        </is>
      </c>
      <c r="R328" s="3" t="inlineStr">
        <is>
          <t>No dependent function — it reads its inputs and answers</t>
        </is>
      </c>
      <c r="S328" s="3" t="inlineStr">
        <is>
          <t>—</t>
        </is>
      </c>
      <c r="T328" s="3" t="inlineStr">
        <is>
          <t>—</t>
        </is>
      </c>
      <c r="U328" s="3" t="inlineStr">
        <is>
          <t>ACTIVE</t>
        </is>
      </c>
      <c r="V328" s="3" t="inlineStr">
        <is>
          <t>2026-10-07</t>
        </is>
      </c>
      <c r="W328" s="3" t="n"/>
      <c r="X328" s="3" t="n"/>
      <c r="Y328" s="3" t="inlineStr">
        <is>
          <t>NOTHING OPEN</t>
        </is>
      </c>
    </row>
    <row r="329" ht="60" customHeight="1">
      <c r="A329" s="3" t="inlineStr">
        <is>
          <t>MK-NW-F-113</t>
        </is>
      </c>
      <c r="B329" s="3" t="inlineStr">
        <is>
          <t>altPartsOf</t>
        </is>
      </c>
      <c r="C329" s="3" t="inlineStr">
        <is>
          <t>src/domain/alternatives/index.ts</t>
        </is>
      </c>
      <c r="D329" s="3" t="n">
        <v>142</v>
      </c>
      <c r="E329" s="3" t="inlineStr">
        <is>
          <t>3 · DEPENDENT</t>
        </is>
      </c>
      <c r="F329" s="3" t="inlineStr">
        <is>
          <t>The alternatives inside one account, each with the kind its yearly rate is read from.</t>
        </is>
      </c>
      <c r="G329" s="11" t="inlineStr">
        <is>
          <t>split = account class breakdown(a)
v = split.alternatives   if split
balance (or 0 when missing or zero)   otherwise
the answer = [{ value: v, kind: kind }]
[]   when split is missing (or split.alternatives is missing when missing or zero)
out = []
sh = (lots ?? []).reduce((t: number, l: any) =&gt; t + (shares or 0), 0)
name = `${ticker ?? ''} ${name ?? label ?? ''}`
rest = Σ over split.alternatives − out of (value)</t>
        </is>
      </c>
      <c r="H329" s="3" t="inlineStr">
        <is>
          <t>Split is account class breakdown(a). V is split.alternatives — when split; balance (or 0 — when missing or zero) — otherwise. The answer is [{ value: v, kind: kind }]. When split is missing (or split.alternatives is missing — when missing or zero), it answers []. Out is []. Sh is (lots ?? []).reduce((t: number, l: any) =&gt; t plus (shares or 0), 0). Name is `${ticker ?? ''} ${name ?? label ?? ''}`. Rest: the value added up across split.alternatives minus out.</t>
        </is>
      </c>
      <c r="I329" s="3" t="inlineStr">
        <is>
          <t>PARTLY READ — some of the code is still showing through; needs a hand pass</t>
        </is>
      </c>
      <c r="J329" s="3" t="inlineStr">
        <is>
          <t>a: AssetAccount</t>
        </is>
      </c>
      <c r="K329" s="3" t="inlineStr">
        <is>
          <t>AltPart[]</t>
        </is>
      </c>
      <c r="L329" s="3" t="inlineStr">
        <is>
          <t>—</t>
        </is>
      </c>
      <c r="M329" s="3" t="inlineStr">
        <is>
          <t>1. If balance is missing it counts as zero, so nothing recorded and a real zero look the same.
2. If shares is missing it counts as zero, so nothing recorded and a real zero look the same.</t>
        </is>
      </c>
      <c r="N329" s="3" t="inlineStr">
        <is>
          <t>Yes</t>
        </is>
      </c>
      <c r="O329" s="3" t="inlineStr">
        <is>
          <t>1. MK-NW-F-027 accountClassBreakdown
2. MK-NW-F-109 holdingClassOf
3. MK-NW-F-001 isAlternative</t>
        </is>
      </c>
      <c r="P329" s="3" t="n">
        <v>24</v>
      </c>
      <c r="Q329" s="3" t="inlineStr">
        <is>
          <t>1. MK-NW-F-027 accountClassBreakdown
2. MK-NW-F-109 holdingClassOf
3. MK-NW-F-001 isAlternative
4. MK-NW-F-011 assetClassOf
5. MK-CF-F-155 cash
6. MK-ST-F-056 has
7. MK-CF-F-132 map
8. MK-NW-F-067 plural
9. MK-NW-F-123 holdingNameEvidence
10. MK-NW-F-121 holdingTagClass
11. MK-NW-F-054 reclassifyAccounts
12. MK-NW-F-120 classEvidenceOf
13. MK-XS-F-122 n
14. MK-NW-F-008 incomeBearingClassOf
15. MK-NW-F-053 correctClassOf
16. MK-NW-F-122 holdingTagFor
17. MK-NW-F-009 maturityClass
18. MK-ST-F-010 nameEvidence
19. MK-NW-F-124 maturityParts
20. MK-CF-F-216 typed
21. MK-XS-F-147 call
22. MK-ST-F-027 accountId
23. MK-XS-F-064 currentIdToken
24. MK-XS-F-112 relayUrl</t>
        </is>
      </c>
      <c r="R329" s="3" t="inlineStr">
        <is>
          <t>1. MK-XS-F-122 n → MK-CF-F-155 cash → MK-NW-F-120 classEvidenceOf → MK-NW-F-011 assetClassOf → MK-NW-F-027 accountClassBreakdown → MK-NW-F-113 altPartsOf
2. MK-CF-F-155 cash → MK-NW-F-008 incomeBearingClassOf → MK-NW-F-120 classEvidenceOf → MK-NW-F-011 assetClassOf → MK-NW-F-027 accountClassBreakdown → MK-NW-F-113 altPartsOf
3. MK-ST-F-010 nameEvidence → MK-NW-F-008 incomeBearingClassOf → MK-NW-F-120 classEvidenceOf → MK-NW-F-011 assetClassOf → MK-NW-F-027 accountClassBreakdown → MK-NW-F-113 altPartsOf
4. assetClassOf (already above — a loop) → MK-NW-F-009 maturityClass → MK-NW-F-120 classEvidenceOf → MK-NW-F-011 assetClassOf → MK-NW-F-027 accountClassBreakdown → MK-NW-F-113 altPartsOf
5. MK-NW-F-124 maturityParts → MK-NW-F-009 maturityClass → MK-NW-F-120 classEvidenceOf → MK-NW-F-011 assetClassOf → MK-NW-F-027 accountClassBreakdown → MK-NW-F-113 altPartsOf
6. MK-CF-F-216 typed → MK-NW-F-009 maturityClass → MK-NW-F-120 classEvidenceOf → MK-NW-F-011 assetClassOf → MK-NW-F-027 accountClassBreakdown → MK-NW-F-113 altPartsOf
7. MK-XS-F-122 n → MK-CF-F-155 cash → MK-NW-F-027 accountClassBreakdown → MK-NW-F-113 altPartsOf
8. MK-ST-F-056 has → MK-NW-F-027 accountClassBreakdown → MK-NW-F-113 altPartsOf
9. … and 5 more paths</t>
        </is>
      </c>
      <c r="S329" s="3" t="inlineStr">
        <is>
          <t>—</t>
        </is>
      </c>
      <c r="T329" s="3" t="inlineStr">
        <is>
          <t>—</t>
        </is>
      </c>
      <c r="U329" s="3" t="inlineStr">
        <is>
          <t>ACTIVE</t>
        </is>
      </c>
      <c r="V329" s="3" t="inlineStr">
        <is>
          <t>2026-10-07</t>
        </is>
      </c>
      <c r="W329" s="3" t="n"/>
      <c r="X329" s="3" t="n"/>
      <c r="Y329" s="3" t="inlineStr">
        <is>
          <t>NOTHING OPEN</t>
        </is>
      </c>
    </row>
    <row r="330" ht="60" customHeight="1">
      <c r="A330" s="3" t="inlineStr">
        <is>
          <t>MK-NW-F-114</t>
        </is>
      </c>
      <c r="B330" s="3" t="inlineStr">
        <is>
          <t>rentAmount</t>
        </is>
      </c>
      <c r="C330" s="3" t="inlineStr">
        <is>
          <t>src/domain/assets/index.ts</t>
        </is>
      </c>
      <c r="D330" s="3" t="n">
        <v>732</v>
      </c>
      <c r="E330" s="3" t="inlineStr">
        <is>
          <t>1 · ACTION</t>
        </is>
      </c>
      <c r="F330" s="3" t="inlineStr">
        <is>
          <t>DEC-3768c (2026-10-10): a rent figure with words in it is not read — it counts as not entered, never as the digits inside it ("about 2k" was $2 and made the property a rental).</t>
        </is>
      </c>
      <c r="G330" s="11" t="inlineStr">
        <is>
          <t>rent figure(v) (or 0 when missing)</t>
        </is>
      </c>
      <c r="H330" s="3" t="inlineStr">
        <is>
          <t>rent figure(v) (or 0 — when missing)</t>
        </is>
      </c>
      <c r="I330" s="3" t="inlineStr">
        <is>
          <t>READ FROM THE CODE — rendered from the expressions the function runs</t>
        </is>
      </c>
      <c r="J330" s="3" t="inlineStr">
        <is>
          <t>v: any</t>
        </is>
      </c>
      <c r="K330" s="3" t="inlineStr">
        <is>
          <t>NOT DECLARED — the code does not say what it gives back</t>
        </is>
      </c>
      <c r="L330" s="3" t="inlineStr">
        <is>
          <t>—</t>
        </is>
      </c>
      <c r="M330" s="3" t="inlineStr">
        <is>
          <t>None found in this function — anything it assumes comes from the functions it depends on.</t>
        </is>
      </c>
      <c r="N330" s="3" t="inlineStr">
        <is>
          <t>Yes</t>
        </is>
      </c>
      <c r="O330" s="3" t="inlineStr">
        <is>
          <t>MK-ST-F-085 rentFigure</t>
        </is>
      </c>
      <c r="P330" s="3" t="n">
        <v>2</v>
      </c>
      <c r="Q330" s="3" t="inlineStr">
        <is>
          <t>1. MK-ST-F-085 rentFigure
2. MK-XS-F-122 n</t>
        </is>
      </c>
      <c r="R330" s="3" t="inlineStr">
        <is>
          <t>MK-XS-F-122 n → MK-ST-F-085 rentFigure → MK-NW-F-114 rentAmount</t>
        </is>
      </c>
      <c r="S330" s="3" t="inlineStr">
        <is>
          <t>—</t>
        </is>
      </c>
      <c r="T330" s="3" t="inlineStr">
        <is>
          <t>—</t>
        </is>
      </c>
      <c r="U330" s="3" t="inlineStr">
        <is>
          <t>ACTIVE</t>
        </is>
      </c>
      <c r="V330" s="3" t="inlineStr">
        <is>
          <t>2026-10-10</t>
        </is>
      </c>
      <c r="W330" s="3" t="n"/>
      <c r="X330" s="3" t="n"/>
      <c r="Y330" s="3" t="inlineStr">
        <is>
          <t>NOTHING OPEN</t>
        </is>
      </c>
    </row>
    <row r="331" ht="60" customHeight="1">
      <c r="A331" s="3" t="inlineStr">
        <is>
          <t>MK-NW-F-115</t>
        </is>
      </c>
      <c r="B331" s="3" t="inlineStr">
        <is>
          <t>liveRent</t>
        </is>
      </c>
      <c r="C331" s="3" t="inlineStr">
        <is>
          <t>src/domain/assets/index.ts</t>
        </is>
      </c>
      <c r="D331" s="3" t="n">
        <v>763</v>
      </c>
      <c r="E331" s="3" t="inlineStr">
        <is>
          <t>1 · ACTION</t>
        </is>
      </c>
      <c r="F331" s="3" t="inlineStr">
        <is>
          <t>The rent entries that carry a figure and name their property: rent coming in or costs going out above zero.</t>
        </is>
      </c>
      <c r="G331" s="11" t="inlineStr">
        <is>
          <t>rentals (or none when missing) where property id ≠ nothing and string(property id).trim() ! = ''</t>
        </is>
      </c>
      <c r="H331" s="3" t="inlineStr">
        <is>
          <t>rentals (or none — when missing) where property id is not no answer and string(property id).trim() ! = ''</t>
        </is>
      </c>
      <c r="I331" s="3" t="inlineStr">
        <is>
          <t>PARTLY READ — some of the code is still showing through; needs a hand pass</t>
        </is>
      </c>
      <c r="J331" s="3" t="inlineStr">
        <is>
          <t>rentals: RentEntry[] | null | undefined</t>
        </is>
      </c>
      <c r="K331" s="3" t="inlineStr">
        <is>
          <t>NOT DECLARED — the code does not say what it gives back</t>
        </is>
      </c>
      <c r="L331" s="3" t="inlineStr">
        <is>
          <t>—</t>
        </is>
      </c>
      <c r="M331" s="3" t="inlineStr">
        <is>
          <t>None found in this function — anything it assumes comes from the functions it depends on.</t>
        </is>
      </c>
      <c r="N331" s="3" t="inlineStr">
        <is>
          <t>Yes</t>
        </is>
      </c>
      <c r="O331" s="3" t="inlineStr">
        <is>
          <t>1. MK-CF-O-002 expenses
2. MK-NW-F-114 rentAmount</t>
        </is>
      </c>
      <c r="P331" s="3" t="n">
        <v>17</v>
      </c>
      <c r="Q331" s="3" t="inlineStr">
        <is>
          <t>1. MK-CF-O-002 expenses
2. MK-NW-F-114 rentAmount
3. MK-CF-F-151 actualSpending
4. MK-CF-F-150 debtPaymentsCountedAsExpenses
5. MK-CF-F-153 radar
6. MK-CF-F-149 recurringDebtPayments
7. MK-ST-F-085 rentFigure
8. MK-CF-F-148 inMonth
9. MK-ST-F-052 toNum
10. MK-CF-F-191 ym
11. MK-ST-F-056 has
12. MK-CF-F-022 paymentShape
13. MK-CF-F-152 isRadarItem
14. MK-CF-F-023 requiredPayment
15. MK-CF-F-132 map
16. MK-XS-F-122 n
17. MK-CF-F-021 defaultPaymentType</t>
        </is>
      </c>
      <c r="R331" s="3" t="inlineStr">
        <is>
          <t>1. MK-CF-F-191 ym → MK-CF-F-148 inMonth → MK-CF-F-151 actualSpending → MK-CF-O-002 expenses → MK-NW-F-115 liveRent
2. MK-XS-F-122 n → MK-ST-F-052 toNum → MK-CF-F-151 actualSpending → MK-CF-O-002 expenses → MK-NW-F-115 liveRent
3. MK-CF-F-191 ym → MK-CF-F-151 actualSpending → MK-CF-O-002 expenses → MK-NW-F-115 liveRent
4. MK-ST-F-056 has → MK-CF-F-150 debtPaymentsCountedAsExpenses → MK-CF-O-002 expenses → MK-NW-F-115 liveRent
5. MK-CF-F-191 ym → MK-CF-F-148 inMonth → MK-CF-F-150 debtPaymentsCountedAsExpenses → MK-CF-O-002 expenses → MK-NW-F-115 liveRent
6. MK-CF-F-021 defaultPaymentType → MK-CF-F-022 paymentShape → MK-CF-F-150 debtPaymentsCountedAsExpenses → MK-CF-O-002 expenses → MK-NW-F-115 liveRent
7. MK-XS-F-122 n → MK-ST-F-052 toNum → MK-CF-F-150 debtPaymentsCountedAsExpenses → MK-CF-O-002 expenses → MK-NW-F-115 liveRent
8. MK-CF-F-191 ym → MK-CF-F-150 debtPaymentsCountedAsExpenses → MK-CF-O-002 expenses → MK-NW-F-115 liveRent
9. … and 5 more paths</t>
        </is>
      </c>
      <c r="S331" s="3" t="inlineStr">
        <is>
          <t>—</t>
        </is>
      </c>
      <c r="T331" s="3" t="inlineStr">
        <is>
          <t>—</t>
        </is>
      </c>
      <c r="U331" s="3" t="inlineStr">
        <is>
          <t>ACTIVE</t>
        </is>
      </c>
      <c r="V331" s="3" t="inlineStr">
        <is>
          <t>2026-10-10</t>
        </is>
      </c>
      <c r="W331" s="3" t="n"/>
      <c r="X331" s="3" t="n"/>
      <c r="Y331" s="3" t="inlineStr">
        <is>
          <t>NOTHING OPEN</t>
        </is>
      </c>
    </row>
    <row r="332" ht="60" customHeight="1">
      <c r="A332" s="3" t="inlineStr">
        <is>
          <t>MK-NW-F-116</t>
        </is>
      </c>
      <c r="B332" s="3" t="inlineStr">
        <is>
          <t>rentedIdsOf</t>
        </is>
      </c>
      <c r="C332" s="3" t="inlineStr">
        <is>
          <t>src/domain/assets/index.ts</t>
        </is>
      </c>
      <c r="D332" s="3" t="n">
        <v>793</v>
      </c>
      <c r="E332" s="3" t="inlineStr">
        <is>
          <t>1 · ACTION</t>
        </is>
      </c>
      <c r="F332" s="3" t="inlineStr">
        <is>
          <t>Which properties the rent entries name, by their identifiers.</t>
        </is>
      </c>
      <c r="G332" s="11" t="inlineStr">
        <is>
          <t>NOT READ YET — the body is not a shape this can render faithfully, so nothing is claimed rather than something being guessed. It needs reading by hand.</t>
        </is>
      </c>
      <c r="H332" s="3" t="inlineStr">
        <is>
          <t>NOT READ YET — the body is not a shape this can render faithfully, so nothing is claimed rather than something being guessed. It needs reading by hand.</t>
        </is>
      </c>
      <c r="I332" s="3" t="inlineStr">
        <is>
          <t>NOT READ — nothing is claimed rather than something guessed</t>
        </is>
      </c>
      <c r="J332" s="3" t="inlineStr">
        <is>
          <t>rentals: RentEntry[] | null | undefined</t>
        </is>
      </c>
      <c r="K332" s="3" t="inlineStr">
        <is>
          <t>NOT DECLARED — the code does not say what it gives back</t>
        </is>
      </c>
      <c r="L332" s="3" t="inlineStr">
        <is>
          <t>—</t>
        </is>
      </c>
      <c r="M332" s="3" t="inlineStr">
        <is>
          <t>None found in this function — anything it assumes comes from the functions it depends on.</t>
        </is>
      </c>
      <c r="N332" s="3" t="inlineStr">
        <is>
          <t>Yes</t>
        </is>
      </c>
      <c r="O332" s="3" t="inlineStr">
        <is>
          <t>1. MK-NW-F-115 liveRent
2. MK-CF-F-132 map</t>
        </is>
      </c>
      <c r="P332" s="3" t="n">
        <v>18</v>
      </c>
      <c r="Q332" s="3" t="inlineStr">
        <is>
          <t>1. MK-NW-F-115 liveRent
2. MK-CF-F-132 map
3. MK-CF-O-002 expenses
4. MK-NW-F-114 rentAmount
5. MK-CF-F-151 actualSpending
6. MK-CF-F-150 debtPaymentsCountedAsExpenses
7. MK-CF-F-153 radar
8. MK-CF-F-149 recurringDebtPayments
9. MK-ST-F-085 rentFigure
10. MK-CF-F-148 inMonth
11. MK-ST-F-052 toNum
12. MK-CF-F-191 ym
13. MK-ST-F-056 has
14. MK-CF-F-022 paymentShape
15. MK-CF-F-152 isRadarItem
16. MK-CF-F-023 requiredPayment
17. MK-XS-F-122 n
18. MK-CF-F-021 defaultPaymentType</t>
        </is>
      </c>
      <c r="R332" s="3" t="inlineStr">
        <is>
          <t>1. MK-CF-F-191 ym → MK-CF-F-148 inMonth → MK-CF-F-151 actualSpending → MK-CF-O-002 expenses → MK-NW-F-115 liveRent → MK-NW-F-116 rentedIdsOf
2. MK-XS-F-122 n → MK-ST-F-052 toNum → MK-CF-F-151 actualSpending → MK-CF-O-002 expenses → MK-NW-F-115 liveRent → MK-NW-F-116 rentedIdsOf
3. MK-CF-F-191 ym → MK-CF-F-151 actualSpending → MK-CF-O-002 expenses → MK-NW-F-115 liveRent → MK-NW-F-116 rentedIdsOf
4. MK-ST-F-056 has → MK-CF-F-150 debtPaymentsCountedAsExpenses → MK-CF-O-002 expenses → MK-NW-F-115 liveRent → MK-NW-F-116 rentedIdsOf
5. MK-CF-F-191 ym → MK-CF-F-148 inMonth → MK-CF-F-150 debtPaymentsCountedAsExpenses → MK-CF-O-002 expenses → MK-NW-F-115 liveRent → MK-NW-F-116 rentedIdsOf
6. MK-CF-F-021 defaultPaymentType → MK-CF-F-022 paymentShape → MK-CF-F-150 debtPaymentsCountedAsExpenses → MK-CF-O-002 expenses → MK-NW-F-115 liveRent → MK-NW-F-116 rentedIdsOf
7. MK-XS-F-122 n → MK-ST-F-052 toNum → MK-CF-F-150 debtPaymentsCountedAsExpenses → MK-CF-O-002 expenses → MK-NW-F-115 liveRent → MK-NW-F-116 rentedIdsOf
8. MK-CF-F-191 ym → MK-CF-F-150 debtPaymentsCountedAsExpenses → MK-CF-O-002 expenses → MK-NW-F-115 liveRent → MK-NW-F-116 rentedIdsOf
9. … and 5 more paths</t>
        </is>
      </c>
      <c r="S332" s="3" t="inlineStr">
        <is>
          <t>—</t>
        </is>
      </c>
      <c r="T332" s="3" t="inlineStr">
        <is>
          <t>—</t>
        </is>
      </c>
      <c r="U332" s="3" t="inlineStr">
        <is>
          <t>ACTIVE</t>
        </is>
      </c>
      <c r="V332" s="3" t="inlineStr">
        <is>
          <t>2026-10-07</t>
        </is>
      </c>
      <c r="W332" s="3" t="n"/>
      <c r="X332" s="3" t="n"/>
      <c r="Y332" s="3" t="inlineStr">
        <is>
          <t>NOTHING OPEN</t>
        </is>
      </c>
    </row>
    <row r="333" ht="60" customHeight="1">
      <c r="A333" s="3" t="inlineStr">
        <is>
          <t>MK-NW-F-117</t>
        </is>
      </c>
      <c r="B333" s="3" t="inlineStr">
        <is>
          <t>propertyUseMap</t>
        </is>
      </c>
      <c r="C333" s="3" t="inlineStr">
        <is>
          <t>src/domain/assets/index.ts</t>
        </is>
      </c>
      <c r="D333" s="3" t="n">
        <v>837</v>
      </c>
      <c r="E333" s="3" t="inlineStr">
        <is>
          <t>3 · DEPENDENT</t>
        </is>
      </c>
      <c r="F333" s="3" t="inlineStr">
        <is>
          <t>What each property is for — the home lived in, a rental, or a second home — by his rule DEC-1926: a rental only when a rent entry on the Income screen names it; the one marked as the home is the home; with none marked and no use stated on any, the one entered first; every other property is a second home.</t>
        </is>
      </c>
      <c r="G333" s="11" t="inlineStr">
        <is>
          <t>told = array.is array(rentals)
properties = accounts (or none when missing) where asset class of(each) = 'real_estate'
named = rented ids of(rentals)
out = new map&lt;string, 'home' | 'rental' | 'second'&gt;()
rest = properties where !out.has(string(asset id))
marked = rest.find((a) =&gt; re use = 'primary')
candidates = rest where re use ! = 'rental'
other use stated = properties.some((a) =&gt; re use ≠ nothing and re use ! = 'rental')
home = marked (or undefined   if other use stated
candidates[candidates.length − 1]   otherwise when missing)
others = rest where each ! = home
[LOOP — the answer is found inside a loop the extractor cannot render; the steps above are the ones before it. Read by hand.]
… the first steps only — the rest of the body needs reading by hand.</t>
        </is>
      </c>
      <c r="H333" s="3" t="inlineStr">
        <is>
          <t>Told is array.is array(rentals). Properties is accounts (or none — when missing) where asset class of(each) = 'real_estate'. Named is rented ids of(rentals). Out is new map&lt;string, 'home' | 'rental' | 'second'&gt;(). Rest is properties where !out.has(string(asset id)). Marked is rest.find((a) =&gt; re use = 'primary'). Candidates is rest where re use ! = 'rental'. Other use stated is properties.some((a) =&gt; re use is not no answer and re use ! = 'rental'). Home is marked (or undefined — when other use stated; candidates[candidates.length minus 1] — otherwise — when missing). Others is rest where each ! = home. The answer is out. The answer is found inside a loop that cannot be rendered here; read the code by hand. Only the first steps are shown; the rest of the body needs reading by hand.</t>
        </is>
      </c>
      <c r="I333" s="3" t="inlineStr">
        <is>
          <t>PARTLY READ — the body has a loop the extractor cannot render; the steps shown are the ones before it. Needs a hand pass (G23).</t>
        </is>
      </c>
      <c r="J333" s="3" t="inlineStr">
        <is>
          <t>1. accounts: AssetAccount[]
2. rentals?: RentEntry[] | null</t>
        </is>
      </c>
      <c r="K333" s="3" t="inlineStr">
        <is>
          <t>Map&lt;string, 'home' | 'rental' | 'second'&gt;</t>
        </is>
      </c>
      <c r="L333" s="3" t="inlineStr">
        <is>
          <t>—</t>
        </is>
      </c>
      <c r="M333" s="3" t="inlineStr">
        <is>
          <t>None found in this function — anything it assumes comes from the functions it depends on.</t>
        </is>
      </c>
      <c r="N333" s="3" t="inlineStr">
        <is>
          <t>Yes</t>
        </is>
      </c>
      <c r="O333" s="3" t="inlineStr">
        <is>
          <t>1. MK-NW-F-011 assetClassOf
2. MK-ST-F-056 has
3. MK-NW-F-116 rentedIdsOf</t>
        </is>
      </c>
      <c r="P333" s="3" t="n">
        <v>31</v>
      </c>
      <c r="Q333" s="3" t="inlineStr">
        <is>
          <t>1. MK-NW-F-011 assetClassOf
2. MK-ST-F-056 has
3. MK-NW-F-116 rentedIdsOf
4. MK-NW-F-120 classEvidenceOf
5. MK-NW-F-115 liveRent
6. MK-CF-F-132 map
7. MK-CF-F-155 cash
8. MK-NW-F-008 incomeBearingClassOf
9. MK-NW-F-009 maturityClass
10. MK-CF-O-002 expenses
11. MK-NW-F-114 rentAmount
12. MK-XS-F-122 n
13. MK-ST-F-010 nameEvidence
14. MK-NW-F-124 maturityParts
15. MK-CF-F-216 typed
16. MK-CF-F-151 actualSpending
17. MK-CF-F-150 debtPaymentsCountedAsExpenses
18. MK-CF-F-153 radar
19. MK-CF-F-149 recurringDebtPayments
20. MK-ST-F-085 rentFigure
21. MK-XS-F-147 call
22. MK-CF-F-148 inMonth
23. MK-ST-F-052 toNum
24. MK-CF-F-191 ym
25. MK-CF-F-022 paymentShape
26. MK-CF-F-152 isRadarItem
27. MK-CF-F-023 requiredPayment
28. MK-ST-F-027 accountId
29. MK-XS-F-064 currentIdToken
30. MK-XS-F-112 relayUrl
31. MK-CF-F-021 defaultPaymentType</t>
        </is>
      </c>
      <c r="R333" s="3" t="inlineStr">
        <is>
          <t>1. MK-XS-F-122 n → MK-CF-F-155 cash → MK-NW-F-120 classEvidenceOf → MK-NW-F-011 assetClassOf → MK-NW-F-117 propertyUseMap
2. MK-XS-F-122 n → MK-CF-F-155 cash → MK-NW-F-008 incomeBearingClassOf → MK-NW-F-120 classEvidenceOf → MK-NW-F-011 assetClassOf → MK-NW-F-117 propertyUseMap
3. MK-XS-F-147 call → MK-ST-F-010 nameEvidence → MK-NW-F-008 incomeBearingClassOf → MK-NW-F-120 classEvidenceOf → MK-NW-F-011 assetClassOf → MK-NW-F-117 propertyUseMap
4. MK-ST-F-056 has → MK-ST-F-010 nameEvidence → MK-NW-F-008 incomeBearingClassOf → MK-NW-F-120 classEvidenceOf → MK-NW-F-011 assetClassOf → MK-NW-F-117 propertyUseMap
5. MK-CF-F-132 map → MK-ST-F-010 nameEvidence → MK-NW-F-008 incomeBearingClassOf → MK-NW-F-120 classEvidenceOf → MK-NW-F-011 assetClassOf → MK-NW-F-117 propertyUseMap
6. assetClassOf (already above — a loop) → MK-NW-F-009 maturityClass → MK-NW-F-120 classEvidenceOf → MK-NW-F-011 assetClassOf → MK-NW-F-117 propertyUseMap
7. maturityClass (already above — a loop) → MK-NW-F-124 maturityParts → MK-NW-F-009 maturityClass → MK-NW-F-120 classEvidenceOf → MK-NW-F-011 assetClassOf → MK-NW-F-117 propertyUseMap
8. MK-CF-F-216 typed → MK-NW-F-124 maturityParts → MK-NW-F-009 maturityClass → MK-NW-F-120 classEvidenceOf → MK-NW-F-011 assetClassOf → MK-NW-F-117 propertyUseMap
9. … and 4 more paths</t>
        </is>
      </c>
      <c r="S333" s="3" t="inlineStr">
        <is>
          <t>—</t>
        </is>
      </c>
      <c r="T333" s="3" t="inlineStr">
        <is>
          <t>—</t>
        </is>
      </c>
      <c r="U333" s="3" t="inlineStr">
        <is>
          <t>ACTIVE</t>
        </is>
      </c>
      <c r="V333" s="3" t="inlineStr">
        <is>
          <t>2026-10-13</t>
        </is>
      </c>
      <c r="W333" s="3" t="n"/>
      <c r="X333" s="3" t="n"/>
      <c r="Y333" s="3" t="inlineStr">
        <is>
          <t>NOTHING OPEN</t>
        </is>
      </c>
    </row>
    <row r="334" ht="60" customHeight="1">
      <c r="A334" s="3" t="inlineStr">
        <is>
          <t>MK-NW-F-118</t>
        </is>
      </c>
      <c r="B334" s="3" t="inlineStr">
        <is>
          <t>itemizeMissingCount</t>
        </is>
      </c>
      <c r="C334" s="3" t="inlineStr">
        <is>
          <t>src/domain/assets/itemize.ts</t>
        </is>
      </c>
      <c r="D334" s="3" t="n">
        <v>77</v>
      </c>
      <c r="E334" s="3" t="inlineStr">
        <is>
          <t>1 · ACTION</t>
        </is>
      </c>
      <c r="F334" s="3" t="inlineStr">
        <is>
          <t>How many listed holdings have no value — so a remainder is said to be not final, never presented as complete.</t>
        </is>
      </c>
      <c r="G334" s="11" t="inlineStr">
        <is>
          <t>NOT READ YET — the body is not a shape this can render faithfully, so nothing is claimed rather than something being guessed. It needs reading by hand.</t>
        </is>
      </c>
      <c r="H334" s="3" t="inlineStr">
        <is>
          <t>NOT READ YET — the body is not a shape this can render faithfully, so nothing is claimed rather than something being guessed. It needs reading by hand.</t>
        </is>
      </c>
      <c r="I334" s="3" t="inlineStr">
        <is>
          <t>NOT READ — nothing is claimed rather than something guessed</t>
        </is>
      </c>
      <c r="J334" s="3" t="inlineStr">
        <is>
          <t>items: ItemHolding[]</t>
        </is>
      </c>
      <c r="K334" s="3" t="inlineStr">
        <is>
          <t>number</t>
        </is>
      </c>
      <c r="L334" s="3" t="inlineStr">
        <is>
          <t>—</t>
        </is>
      </c>
      <c r="M334" s="3" t="inlineStr">
        <is>
          <t>None found in this function — anything it assumes comes from the functions it depends on.</t>
        </is>
      </c>
      <c r="N334" s="3" t="inlineStr">
        <is>
          <t>Yes</t>
        </is>
      </c>
      <c r="O334" s="3" t="inlineStr">
        <is>
          <t>—</t>
        </is>
      </c>
      <c r="P334" s="3" t="n">
        <v>0</v>
      </c>
      <c r="Q334" s="3" t="inlineStr">
        <is>
          <t>None — no dependent function stands behind it</t>
        </is>
      </c>
      <c r="R334" s="3" t="inlineStr">
        <is>
          <t>No dependent function — it reads its inputs and answers</t>
        </is>
      </c>
      <c r="S334" s="3" t="inlineStr">
        <is>
          <t>—</t>
        </is>
      </c>
      <c r="T334" s="3" t="inlineStr">
        <is>
          <t>—</t>
        </is>
      </c>
      <c r="U334" s="3" t="inlineStr">
        <is>
          <t>ACTIVE</t>
        </is>
      </c>
      <c r="V334" s="3" t="inlineStr">
        <is>
          <t>2026-10-08</t>
        </is>
      </c>
      <c r="W334" s="3" t="n"/>
      <c r="X334" s="3" t="n"/>
      <c r="Y334" s="3" t="inlineStr">
        <is>
          <t>NOTHING OPEN</t>
        </is>
      </c>
    </row>
    <row r="335" ht="60" customHeight="1">
      <c r="A335" s="3" t="inlineStr">
        <is>
          <t>MK-NW-F-119</t>
        </is>
      </c>
      <c r="B335" s="3" t="inlineStr">
        <is>
          <t>estimatedAccrued</t>
        </is>
      </c>
      <c r="C335" s="3" t="inlineStr">
        <is>
          <t>src/domain/bonds/index.ts</t>
        </is>
      </c>
      <c r="D335" s="3" t="n">
        <v>511</v>
      </c>
      <c r="E335" s="3" t="inlineStr">
        <is>
          <t>3 · DEPENDENT</t>
        </is>
      </c>
      <c r="F335" s="3" t="inlineStr">
        <is>
          <t>The interest a bond has earned since its last yearly coupon, estimated from the coupon schedule — face × rate × days since the last coupon ÷ days in that coupon year; nothing for a bank CD, a matured or undated bond, or one with no face or rate.</t>
        </is>
      </c>
      <c r="G335" s="11" t="inlineStr">
        <is>
          <t>nothing   when !priced like bond(b) (or face = nothing (or not (coupon rate ≠ nothing and coupon rate &gt; 0) (or maturity is missing when missing or zero) when missing or zero) when missing or zero)
parts = maturity parts(maturity)
nothing   when parts = nothing
today = date.UTC(now.get full year(), now.get month(), now.get date())
at = (yy: number) =&gt; date.UTC(yy, (m or 1) − 1, d or 1)
nothing   when at(y) ≤ today
n = 0
next = at(y − n), last = at(y − n − 1)
nothing   when next = today
days = round((today − last) ÷ 86400000)
year days = round((next − last) ÷ 86400000)
[LOOP — the answer is found inside a loop the extractor cannot render; the steps above are the ones before it. Read by hand.]
… the first steps only — the rest of the body needs reading by hand.</t>
        </is>
      </c>
      <c r="H335" s="3" t="inlineStr">
        <is>
          <t>When !priced like bond(b) (or face is missing (or not (coupon rate is not no answer and coupon rate &gt; 0) (or maturity is missing — when missing or zero) — when missing or zero) — when missing or zero), it answers no answer. Parts is maturity parts(maturity). When parts is missing, it answers no answer. Today is date.UTC(now.get full year(), now.get month(), now.get date()). At is (yy: number) =&gt; date.UTC(yy, (m or 1) minus 1, d or 1). When at(y) is at most today, it answers no answer. N is 0. Next is at(y minus n), last = at(y minus n minus 1). When next = today, it answers no answer. Days is (today minus last, to a whole number divided by 86400000). Year days is (next minus last, to a whole number divided by 86400000). The answer is found inside a loop that cannot be rendered here; read the code by hand. Only the first steps are shown; the rest of the body needs reading by hand.</t>
        </is>
      </c>
      <c r="I335" s="3" t="inlineStr">
        <is>
          <t>PARTLY READ — the body has a loop the extractor cannot render; the steps shown are the ones before it. Needs a hand pass (G23).</t>
        </is>
      </c>
      <c r="J335" s="3" t="inlineStr">
        <is>
          <t>1. b: BondInfo
2. now: Date = new Date()</t>
        </is>
      </c>
      <c r="K335" s="3" t="inlineStr">
        <is>
          <t>NOT DECLARED — the code does not say what it gives back</t>
        </is>
      </c>
      <c r="L335" s="3" t="inlineStr">
        <is>
          <t>—</t>
        </is>
      </c>
      <c r="M335" s="3" t="inlineStr">
        <is>
          <t>1. Uses today's date from the device clock, so the answer changes by itself overnight.
2. Rounds the answer to a whole number.</t>
        </is>
      </c>
      <c r="N335" s="3" t="inlineStr">
        <is>
          <t>Yes</t>
        </is>
      </c>
      <c r="O335" s="3" t="inlineStr">
        <is>
          <t>1. MK-NW-F-124 maturityParts
2. MK-XS-F-122 n
3. MK-NW-F-131 pricedLikeBond</t>
        </is>
      </c>
      <c r="P335" s="3" t="n">
        <v>16</v>
      </c>
      <c r="Q335" s="3" t="inlineStr">
        <is>
          <t>1. MK-NW-F-124 maturityParts
2. MK-XS-F-122 n
3. MK-NW-F-131 pricedLikeBond
4. MK-NW-F-009 maturityClass
5. MK-CF-F-216 typed
6. MK-CF-F-155 cash
7. MK-NW-F-011 assetClassOf
8. MK-NW-F-120 classEvidenceOf
9. MK-NW-F-008 incomeBearingClassOf
10. MK-ST-F-010 nameEvidence
11. MK-XS-F-147 call
12. MK-ST-F-056 has
13. MK-CF-F-132 map
14. MK-ST-F-027 accountId
15. MK-XS-F-064 currentIdToken
16. MK-XS-F-112 relayUrl</t>
        </is>
      </c>
      <c r="R335" s="3" t="inlineStr">
        <is>
          <t>1. MK-CF-F-155 cash → MK-NW-F-120 classEvidenceOf → MK-NW-F-011 assetClassOf → MK-NW-F-009 maturityClass → MK-NW-F-124 maturityParts → MK-NW-F-119 estimatedAccrued
2. MK-NW-F-008 incomeBearingClassOf → MK-NW-F-120 classEvidenceOf → MK-NW-F-011 assetClassOf → MK-NW-F-009 maturityClass → MK-NW-F-124 maturityParts → MK-NW-F-119 estimatedAccrued
3. maturityClass (already above — a loop) → MK-NW-F-120 classEvidenceOf → MK-NW-F-011 assetClassOf → MK-NW-F-009 maturityClass → MK-NW-F-124 maturityParts → MK-NW-F-119 estimatedAccrued
4. maturityParts (already above — a loop) → MK-NW-F-009 maturityClass → MK-NW-F-124 maturityParts → MK-NW-F-119 estimatedAccrued
5. MK-CF-F-216 typed → MK-NW-F-009 maturityClass → MK-NW-F-124 maturityParts → MK-NW-F-119 estimatedAccrued
6. MK-CF-F-216 typed → MK-NW-F-124 maturityParts → MK-NW-F-119 estimatedAccrued
7. MK-XS-F-122 n → MK-NW-F-119 estimatedAccrued
8. MK-XS-F-122 n → MK-CF-F-155 cash → MK-NW-F-131 pricedLikeBond → MK-NW-F-119 estimatedAccrued</t>
        </is>
      </c>
      <c r="S335" s="3" t="inlineStr">
        <is>
          <t>—</t>
        </is>
      </c>
      <c r="T335" s="3" t="inlineStr">
        <is>
          <t>—</t>
        </is>
      </c>
      <c r="U335" s="3" t="inlineStr">
        <is>
          <t>ACTIVE</t>
        </is>
      </c>
      <c r="V335" s="3" t="inlineStr">
        <is>
          <t>2026-10-10</t>
        </is>
      </c>
      <c r="W335" s="3" t="n"/>
      <c r="X335" s="3" t="n"/>
      <c r="Y335" s="3" t="inlineStr">
        <is>
          <t>NOTHING OPEN</t>
        </is>
      </c>
    </row>
    <row r="336" ht="60" customHeight="1">
      <c r="A336" s="3" t="inlineStr">
        <is>
          <t>MK-NW-F-120</t>
        </is>
      </c>
      <c r="B336" s="3" t="inlineStr">
        <is>
          <t>classEvidenceOf</t>
        </is>
      </c>
      <c r="C336" s="3" t="inlineStr">
        <is>
          <t>src/domain/assets/index.ts</t>
        </is>
      </c>
      <c r="D336" s="3" t="n">
        <v>513</v>
      </c>
      <c r="E336" s="3" t="inlineStr">
        <is>
          <t>3 · DEPENDENT</t>
        </is>
      </c>
      <c r="F336" s="3" t="inlineStr">
        <is>
          <t>What an account's own facts say its class is, before its kind is read: a maturity date first, then its name — never a property's name.</t>
        </is>
      </c>
      <c r="G336" s="11" t="inlineStr">
        <is>
          <t>'bonds'   when maturity class(maturity date) = 'bonds'
is property = tax bucket = 'PROPERTY' (or kind = 'home' (or kind = 'real_estate' (or kind = 'vehicle' when missing or zero) when missing or zero) when missing or zero)
the answer:
nothing   if is property
income bearing class of(label)   otherwise</t>
        </is>
      </c>
      <c r="H336" s="3" t="inlineStr">
        <is>
          <t>When maturity class(maturity date) = 'bonds', it answers 'bonds'. Is property is tax bucket = 'PROPERTY' (or kind = 'home' (or kind = 'real_estate' (or kind = 'vehicle' — when missing or zero) — when missing or zero) — when missing or zero). The answer is no answer — when is property; income bearing class of(label) — otherwise.</t>
        </is>
      </c>
      <c r="I336" s="3" t="inlineStr">
        <is>
          <t>READ FROM THE CODE — rendered from the expressions the function runs</t>
        </is>
      </c>
      <c r="J336" s="3" t="inlineStr">
        <is>
          <t>a: AssetAccount</t>
        </is>
      </c>
      <c r="K336" s="3" t="inlineStr">
        <is>
          <t>AssetClass | null</t>
        </is>
      </c>
      <c r="L336" s="3" t="inlineStr">
        <is>
          <t>—</t>
        </is>
      </c>
      <c r="M336" s="3" t="inlineStr">
        <is>
          <t>None found in this function — anything it assumes comes from the functions it depends on.</t>
        </is>
      </c>
      <c r="N336" s="3" t="inlineStr">
        <is>
          <t>Yes</t>
        </is>
      </c>
      <c r="O336" s="3" t="inlineStr">
        <is>
          <t>1. MK-CF-F-155 cash
2. MK-NW-F-008 incomeBearingClassOf
3. MK-NW-F-009 maturityClass</t>
        </is>
      </c>
      <c r="P336" s="3" t="n">
        <v>14</v>
      </c>
      <c r="Q336" s="3" t="inlineStr">
        <is>
          <t>1. MK-CF-F-155 cash
2. MK-NW-F-008 incomeBearingClassOf
3. MK-NW-F-009 maturityClass
4. MK-XS-F-122 n
5. MK-ST-F-010 nameEvidence
6. MK-NW-F-011 assetClassOf
7. MK-NW-F-124 maturityParts
8. MK-CF-F-216 typed
9. MK-XS-F-147 call
10. MK-ST-F-056 has
11. MK-CF-F-132 map
12. MK-ST-F-027 accountId
13. MK-XS-F-064 currentIdToken
14. MK-XS-F-112 relayUrl</t>
        </is>
      </c>
      <c r="R336" s="3" t="inlineStr">
        <is>
          <t>1. MK-XS-F-122 n → MK-CF-F-155 cash → MK-NW-F-120 classEvidenceOf
2. MK-XS-F-122 n → MK-CF-F-155 cash → MK-NW-F-008 incomeBearingClassOf → MK-NW-F-120 classEvidenceOf
3. MK-ST-F-027 accountId → MK-XS-F-147 call → MK-ST-F-010 nameEvidence → MK-NW-F-008 incomeBearingClassOf → MK-NW-F-120 classEvidenceOf
4. MK-XS-F-064 currentIdToken → MK-XS-F-147 call → MK-ST-F-010 nameEvidence → MK-NW-F-008 incomeBearingClassOf → MK-NW-F-120 classEvidenceOf
5. MK-XS-F-112 relayUrl → MK-XS-F-147 call → MK-ST-F-010 nameEvidence → MK-NW-F-008 incomeBearingClassOf → MK-NW-F-120 classEvidenceOf
6. MK-ST-F-056 has → MK-ST-F-010 nameEvidence → MK-NW-F-008 incomeBearingClassOf → MK-NW-F-120 classEvidenceOf
7. MK-CF-F-132 map → MK-ST-F-010 nameEvidence → MK-NW-F-008 incomeBearingClassOf → MK-NW-F-120 classEvidenceOf
8. classEvidenceOf (already above — a loop) → MK-NW-F-011 assetClassOf → MK-NW-F-009 maturityClass → MK-NW-F-120 classEvidenceOf
9. … and 3 more paths</t>
        </is>
      </c>
      <c r="S336" s="3" t="inlineStr">
        <is>
          <t>—</t>
        </is>
      </c>
      <c r="T336" s="3" t="inlineStr">
        <is>
          <t>—</t>
        </is>
      </c>
      <c r="U336" s="3" t="inlineStr">
        <is>
          <t>ACTIVE</t>
        </is>
      </c>
      <c r="V336" s="3" t="inlineStr">
        <is>
          <t>2026-10-10</t>
        </is>
      </c>
      <c r="W336" s="3" t="n"/>
      <c r="X336" s="3" t="n"/>
      <c r="Y336" s="3" t="inlineStr">
        <is>
          <t>NOTHING OPEN</t>
        </is>
      </c>
    </row>
    <row r="337" ht="60" customHeight="1">
      <c r="A337" s="3" t="inlineStr">
        <is>
          <t>MK-NW-F-121</t>
        </is>
      </c>
      <c r="B337" s="3" t="inlineStr">
        <is>
          <t>holdingTagClass</t>
        </is>
      </c>
      <c r="C337" s="3" t="inlineStr">
        <is>
          <t>src/domain/assets/index.ts</t>
        </is>
      </c>
      <c r="D337" s="3" t="n">
        <v>1438</v>
      </c>
      <c r="E337" s="3" t="inlineStr">
        <is>
          <t>3 · DEPENDENT</t>
        </is>
      </c>
      <c r="F337" s="3" t="inlineStr">
        <is>
          <t>The class a holding's stored tag stands for — 'bond' Bonds &amp; CDs, 'other' Alternatives, 'cash' Cash, any other tag Stocks / Funds — or null when nothing is stored.</t>
        </is>
      </c>
      <c r="G337" s="11" t="inlineStr">
        <is>
          <t>'bonds'   if tag = 'bond'
'alternatives'   if tag = 'other'
'cash'   if tag = 'cash'
'stocks_etf'   if tag
nothing   otherwise   otherwise   otherwise   otherwise</t>
        </is>
      </c>
      <c r="H337" s="3" t="inlineStr">
        <is>
          <t>'bonds' — when tag = 'bond'; 'alternatives' — when tag = 'other'; 'cash' — when tag = 'cash'; 'stocks_etf' — when tag; no answer — otherwise — otherwise — otherwise — otherwise.</t>
        </is>
      </c>
      <c r="I337" s="3" t="inlineStr">
        <is>
          <t>READ FROM THE CODE — rendered from the expressions the function runs</t>
        </is>
      </c>
      <c r="J337" s="3" t="inlineStr">
        <is>
          <t>tag?: string | null</t>
        </is>
      </c>
      <c r="K337" s="3" t="inlineStr">
        <is>
          <t>AssetClass | null</t>
        </is>
      </c>
      <c r="L337" s="3" t="inlineStr">
        <is>
          <t>—</t>
        </is>
      </c>
      <c r="M337" s="3" t="inlineStr">
        <is>
          <t>None found in this function — anything it assumes comes from the functions it depends on.</t>
        </is>
      </c>
      <c r="N337" s="3" t="inlineStr">
        <is>
          <t>Yes</t>
        </is>
      </c>
      <c r="O337" s="3" t="inlineStr">
        <is>
          <t>—</t>
        </is>
      </c>
      <c r="P337" s="3" t="n">
        <v>0</v>
      </c>
      <c r="Q337" s="3" t="inlineStr">
        <is>
          <t>None — no dependent function stands behind it</t>
        </is>
      </c>
      <c r="R337" s="3" t="inlineStr">
        <is>
          <t>No dependent function — it reads its inputs and answers</t>
        </is>
      </c>
      <c r="S337" s="3" t="inlineStr">
        <is>
          <t>—</t>
        </is>
      </c>
      <c r="T337" s="3" t="inlineStr">
        <is>
          <t>—</t>
        </is>
      </c>
      <c r="U337" s="3" t="inlineStr">
        <is>
          <t>ACTIVE</t>
        </is>
      </c>
      <c r="V337" s="3" t="inlineStr">
        <is>
          <t>2026-10-09</t>
        </is>
      </c>
      <c r="W337" s="3" t="n"/>
      <c r="X337" s="3" t="n"/>
      <c r="Y337" s="3" t="inlineStr">
        <is>
          <t>NOTHING OPEN</t>
        </is>
      </c>
    </row>
    <row r="338" ht="60" customHeight="1">
      <c r="A338" s="3" t="inlineStr">
        <is>
          <t>MK-NW-F-122</t>
        </is>
      </c>
      <c r="B338" s="3" t="inlineStr">
        <is>
          <t>holdingTagFor</t>
        </is>
      </c>
      <c r="C338" s="3" t="inlineStr">
        <is>
          <t>src/domain/assets/index.ts</t>
        </is>
      </c>
      <c r="D338" s="3" t="n">
        <v>1474</v>
      </c>
      <c r="E338" s="3" t="inlineStr">
        <is>
          <t>3 · DEPENDENT</t>
        </is>
      </c>
      <c r="F338" s="3" t="inlineStr">
        <is>
          <t>The tag a holding is stored under for a class — the reverse of holdingTagClass.</t>
        </is>
      </c>
      <c r="G338" s="11" t="inlineStr">
        <is>
          <t>'bond'   if cls = 'bonds'
'other'   if cls = 'alternatives'
'cash'   if cls = 'cash'
'stock_etf'   if cls = 'stocks_etf'
nothing   otherwise   otherwise   otherwise   otherwise</t>
        </is>
      </c>
      <c r="H338" s="3" t="inlineStr">
        <is>
          <t>'bond' — when cls = 'bonds'; 'other' — when cls = 'alternatives'; 'cash' — when cls = 'cash'; 'stock_etf' — when cls = 'stocks_etf'; no answer — otherwise — otherwise — otherwise — otherwise.</t>
        </is>
      </c>
      <c r="I338" s="3" t="inlineStr">
        <is>
          <t>READ FROM THE CODE — rendered from the expressions the function runs</t>
        </is>
      </c>
      <c r="J338" s="3" t="inlineStr">
        <is>
          <t>cls: AssetClass</t>
        </is>
      </c>
      <c r="K338" s="3" t="inlineStr">
        <is>
          <t>'bond' | 'other' | 'cash' | 'stock_etf' | null</t>
        </is>
      </c>
      <c r="L338" s="3" t="inlineStr">
        <is>
          <t>—</t>
        </is>
      </c>
      <c r="M338" s="3" t="inlineStr">
        <is>
          <t>None found in this function — anything it assumes comes from the functions it depends on.</t>
        </is>
      </c>
      <c r="N338" s="3" t="inlineStr">
        <is>
          <t>Yes</t>
        </is>
      </c>
      <c r="O338" s="3" t="inlineStr">
        <is>
          <t>—</t>
        </is>
      </c>
      <c r="P338" s="3" t="n">
        <v>0</v>
      </c>
      <c r="Q338" s="3" t="inlineStr">
        <is>
          <t>None — no dependent function stands behind it</t>
        </is>
      </c>
      <c r="R338" s="3" t="inlineStr">
        <is>
          <t>No dependent function — it reads its inputs and answers</t>
        </is>
      </c>
      <c r="S338" s="3" t="inlineStr">
        <is>
          <t>—</t>
        </is>
      </c>
      <c r="T338" s="3" t="inlineStr">
        <is>
          <t>—</t>
        </is>
      </c>
      <c r="U338" s="3" t="inlineStr">
        <is>
          <t>ACTIVE</t>
        </is>
      </c>
      <c r="V338" s="3" t="inlineStr">
        <is>
          <t>2026-10-09</t>
        </is>
      </c>
      <c r="W338" s="3" t="n"/>
      <c r="X338" s="3" t="n"/>
      <c r="Y338" s="3" t="inlineStr">
        <is>
          <t>NOTHING OPEN</t>
        </is>
      </c>
    </row>
    <row r="339" ht="60" customHeight="1">
      <c r="A339" s="3" t="inlineStr">
        <is>
          <t>MK-NW-F-123</t>
        </is>
      </c>
      <c r="B339" s="3" t="inlineStr">
        <is>
          <t>holdingNameEvidence</t>
        </is>
      </c>
      <c r="C339" s="3" t="inlineStr">
        <is>
          <t>src/domain/assets/index.ts</t>
        </is>
      </c>
      <c r="D339" s="3" t="n">
        <v>1506</v>
      </c>
      <c r="E339" s="3" t="inlineStr">
        <is>
          <t>3 · DEPENDENT</t>
        </is>
      </c>
      <c r="F339" s="3" t="inlineStr">
        <is>
          <t>What a holding's name (ticker and description together) is evidence for, or null.</t>
        </is>
      </c>
      <c r="G339" s="11" t="inlineStr">
        <is>
          <t>income bearing class of(`${ticker ?? ''} ${name ?? description ?? label ?? ''}`)</t>
        </is>
      </c>
      <c r="H339" s="3" t="inlineStr">
        <is>
          <t>income bearing class of(`${ticker ?? ''} ${name ?? description ?? label ?? ''}`).</t>
        </is>
      </c>
      <c r="I339" s="3" t="inlineStr">
        <is>
          <t>PARTLY READ — some of the code is still showing through; needs a hand pass</t>
        </is>
      </c>
      <c r="J339" s="3" t="inlineStr">
        <is>
          <t>p: any</t>
        </is>
      </c>
      <c r="K339" s="3" t="inlineStr">
        <is>
          <t>AssetClass | null</t>
        </is>
      </c>
      <c r="L339" s="3" t="inlineStr">
        <is>
          <t>—</t>
        </is>
      </c>
      <c r="M339" s="3" t="inlineStr">
        <is>
          <t>None found in this function — anything it assumes comes from the functions it depends on.</t>
        </is>
      </c>
      <c r="N339" s="3" t="inlineStr">
        <is>
          <t>Yes</t>
        </is>
      </c>
      <c r="O339" s="3" t="inlineStr">
        <is>
          <t>1. MK-CF-F-155 cash
2. MK-NW-F-008 incomeBearingClassOf</t>
        </is>
      </c>
      <c r="P339" s="3" t="n">
        <v>10</v>
      </c>
      <c r="Q339" s="3" t="inlineStr">
        <is>
          <t>1. MK-CF-F-155 cash
2. MK-NW-F-008 incomeBearingClassOf
3. MK-XS-F-122 n
4. MK-ST-F-010 nameEvidence
5. MK-XS-F-147 call
6. MK-ST-F-056 has
7. MK-CF-F-132 map
8. MK-ST-F-027 accountId
9. MK-XS-F-064 currentIdToken
10. MK-XS-F-112 relayUrl</t>
        </is>
      </c>
      <c r="R339" s="3" t="inlineStr">
        <is>
          <t>1. MK-XS-F-122 n → MK-CF-F-155 cash → MK-NW-F-123 holdingNameEvidence
2. MK-XS-F-122 n → MK-CF-F-155 cash → MK-NW-F-008 incomeBearingClassOf → MK-NW-F-123 holdingNameEvidence
3. MK-ST-F-027 accountId → MK-XS-F-147 call → MK-ST-F-010 nameEvidence → MK-NW-F-008 incomeBearingClassOf → MK-NW-F-123 holdingNameEvidence
4. MK-XS-F-064 currentIdToken → MK-XS-F-147 call → MK-ST-F-010 nameEvidence → MK-NW-F-008 incomeBearingClassOf → MK-NW-F-123 holdingNameEvidence
5. MK-XS-F-112 relayUrl → MK-XS-F-147 call → MK-ST-F-010 nameEvidence → MK-NW-F-008 incomeBearingClassOf → MK-NW-F-123 holdingNameEvidence
6. MK-ST-F-056 has → MK-ST-F-010 nameEvidence → MK-NW-F-008 incomeBearingClassOf → MK-NW-F-123 holdingNameEvidence
7. MK-CF-F-132 map → MK-ST-F-010 nameEvidence → MK-NW-F-008 incomeBearingClassOf → MK-NW-F-123 holdingNameEvidence</t>
        </is>
      </c>
      <c r="S339" s="3" t="inlineStr">
        <is>
          <t>—</t>
        </is>
      </c>
      <c r="T339" s="3" t="inlineStr">
        <is>
          <t>—</t>
        </is>
      </c>
      <c r="U339" s="3" t="inlineStr">
        <is>
          <t>ACTIVE</t>
        </is>
      </c>
      <c r="V339" s="3" t="inlineStr">
        <is>
          <t>2026-10-09</t>
        </is>
      </c>
      <c r="W339" s="3" t="n"/>
      <c r="X339" s="3" t="n"/>
      <c r="Y339" s="3" t="inlineStr">
        <is>
          <t>NOTHING OPEN</t>
        </is>
      </c>
    </row>
    <row r="340" ht="60" customHeight="1">
      <c r="A340" s="3" t="inlineStr">
        <is>
          <t>MK-NW-F-124</t>
        </is>
      </c>
      <c r="B340" s="3" t="inlineStr">
        <is>
          <t>maturityParts</t>
        </is>
      </c>
      <c r="C340" s="3" t="inlineStr">
        <is>
          <t>src/domain/_shared/dates.ts</t>
        </is>
      </c>
      <c r="D340" s="3" t="n">
        <v>116</v>
      </c>
      <c r="E340" s="3" t="inlineStr">
        <is>
          <t>2 · DISPLAYED</t>
        </is>
      </c>
      <c r="F340" s="3" t="inlineStr">
        <is>
          <t>A maturity date read as a real calendar day (year, month, day), or nothing when it is missing, written another way, or impossible.</t>
        </is>
      </c>
      <c r="G340" s="11" t="inlineStr">
        <is>
          <t>m = ÷ ^(\d{4}) − (\d{2})(?:-(\d{2}))?$ ÷ .exec(string(maturity ?? '').trim())
nothing   when m is missing
y = m[1]), mo = number(m[2]), d = m[3] = nothing ? 1 : number(m[3] read as a number
nothing   when mo &lt; 1 (or mo &gt; 12 (or d &lt; 1 (or d &gt; new date(date.UTC(y, mo, 0)).get utcdate() when missing or zero) when missing or zero) when missing or zero)
the answer = [y, mo, d]</t>
        </is>
      </c>
      <c r="H340" s="3" t="inlineStr">
        <is>
          <t>M is ÷ ^(\d{4}) minus (\d{2})(?:-(\d{2}))?$ divided by .exec(string(maturity ?? '').trim()). When m is missing, it answers no answer. Y is m[1]), mo = number(m[2]), d = m[3] is missing ? 1 : number(m[3] read as a number. When mo &lt; 1 (or mo &gt; 12 (or d &lt; 1 (or d &gt; new date(date.UTC(y, mo, 0)).get utcdate() — when missing or zero) — when missing or zero) — when missing or zero), it answers no answer. The answer is [y, mo, d].</t>
        </is>
      </c>
      <c r="I340" s="3" t="inlineStr">
        <is>
          <t>PARTLY READ — some of the code is still showing through; needs a hand pass</t>
        </is>
      </c>
      <c r="J340" s="3" t="inlineStr">
        <is>
          <t>maturity?: string | null</t>
        </is>
      </c>
      <c r="K340" s="3" t="inlineStr">
        <is>
          <t>[number, number, number] | null</t>
        </is>
      </c>
      <c r="L340" s="3" t="inlineStr">
        <is>
          <t>"Maturity date" — on the Bonds screen</t>
        </is>
      </c>
      <c r="M340" s="3" t="inlineStr">
        <is>
          <t>None found in this function — anything it assumes comes from the functions it depends on.</t>
        </is>
      </c>
      <c r="N340" s="3" t="inlineStr">
        <is>
          <t>Yes</t>
        </is>
      </c>
      <c r="O340" s="3" t="inlineStr">
        <is>
          <t>1. MK-NW-F-009 maturityClass
2. MK-CF-F-216 typed</t>
        </is>
      </c>
      <c r="P340" s="3" t="n">
        <v>14</v>
      </c>
      <c r="Q340" s="3" t="inlineStr">
        <is>
          <t>1. MK-NW-F-009 maturityClass
2. MK-CF-F-216 typed
3. MK-NW-F-011 assetClassOf
4. MK-NW-F-120 classEvidenceOf
5. MK-CF-F-155 cash
6. MK-NW-F-008 incomeBearingClassOf
7. MK-XS-F-122 n
8. MK-ST-F-010 nameEvidence
9. MK-XS-F-147 call
10. MK-ST-F-056 has
11. MK-CF-F-132 map
12. MK-ST-F-027 accountId
13. MK-XS-F-064 currentIdToken
14. MK-XS-F-112 relayUrl</t>
        </is>
      </c>
      <c r="R340" s="3" t="inlineStr">
        <is>
          <t>1. MK-XS-F-122 n → MK-CF-F-155 cash → MK-NW-F-120 classEvidenceOf → MK-NW-F-011 assetClassOf → MK-NW-F-009 maturityClass → MK-NW-F-124 maturityParts
2. MK-CF-F-155 cash → MK-NW-F-008 incomeBearingClassOf → MK-NW-F-120 classEvidenceOf → MK-NW-F-011 assetClassOf → MK-NW-F-009 maturityClass → MK-NW-F-124 maturityParts
3. MK-ST-F-010 nameEvidence → MK-NW-F-008 incomeBearingClassOf → MK-NW-F-120 classEvidenceOf → MK-NW-F-011 assetClassOf → MK-NW-F-009 maturityClass → MK-NW-F-124 maturityParts
4. maturityClass (already above — a loop) → MK-NW-F-120 classEvidenceOf → MK-NW-F-011 assetClassOf → MK-NW-F-009 maturityClass → MK-NW-F-124 maturityParts
5. maturityParts (already above — a loop) → MK-NW-F-009 maturityClass → MK-NW-F-124 maturityParts
6. MK-CF-F-216 typed → MK-NW-F-009 maturityClass → MK-NW-F-124 maturityParts
7. MK-CF-F-216 typed → MK-NW-F-124 maturityParts</t>
        </is>
      </c>
      <c r="S340" s="3" t="inlineStr">
        <is>
          <t>—</t>
        </is>
      </c>
      <c r="T340" s="3" t="inlineStr">
        <is>
          <t>—</t>
        </is>
      </c>
      <c r="U340" s="3" t="inlineStr">
        <is>
          <t>ACTIVE</t>
        </is>
      </c>
      <c r="V340" s="3" t="inlineStr">
        <is>
          <t>2026-10-13</t>
        </is>
      </c>
      <c r="W340" s="3" t="n"/>
      <c r="X340" s="3" t="n"/>
      <c r="Y340" s="3" t="inlineStr">
        <is>
          <t>NOTHING OPEN</t>
        </is>
      </c>
    </row>
    <row r="341" ht="60" customHeight="1">
      <c r="A341" s="3" t="inlineStr">
        <is>
          <t>MK-NW-F-125</t>
        </is>
      </c>
      <c r="B341" s="3" t="inlineStr">
        <is>
          <t>isPastMaturity</t>
        </is>
      </c>
      <c r="C341" s="3" t="inlineStr">
        <is>
          <t>src/domain/bonds/index.ts</t>
        </is>
      </c>
      <c r="D341" s="3" t="n">
        <v>269</v>
      </c>
      <c r="E341" s="3" t="inlineStr">
        <is>
          <t>3 · DEPENDENT</t>
        </is>
      </c>
      <c r="F341" s="3" t="inlineStr">
        <is>
          <t>Whether a bond or CD is past its maturity date — the day after it, by the calendar.</t>
        </is>
      </c>
      <c r="G341" s="11" t="inlineStr">
        <is>
          <t>p = maturity parts(maturity)
false   when p = nothing
iso = `${p[0]}-${string(p[1]).pad start(2, '0')}-${string(p[2]).pad start(2, '0')}`
the answer = iso &lt; iso local date(now)</t>
        </is>
      </c>
      <c r="H341" s="3" t="inlineStr">
        <is>
          <t>P is maturity parts(maturity). When p is missing, it answers false. Iso is `${p[0]}-${string(p[1]).pad start(2, '0')}-${string(p[2]).pad start(2, '0')}`. The answer is iso &lt; iso local date(now).</t>
        </is>
      </c>
      <c r="I341" s="3" t="inlineStr">
        <is>
          <t>PARTLY READ — some of the code is still showing through; needs a hand pass</t>
        </is>
      </c>
      <c r="J341" s="3" t="inlineStr">
        <is>
          <t>1. maturity: string
2. now: Date = new Date()</t>
        </is>
      </c>
      <c r="K341" s="3" t="inlineStr">
        <is>
          <t>boolean</t>
        </is>
      </c>
      <c r="L341" s="3" t="inlineStr">
        <is>
          <t>—</t>
        </is>
      </c>
      <c r="M341" s="3" t="inlineStr">
        <is>
          <t>· Uses today's date from the device clock, so the answer changes by itself overnight.</t>
        </is>
      </c>
      <c r="N341" s="3" t="inlineStr">
        <is>
          <t>Yes</t>
        </is>
      </c>
      <c r="O341" s="3" t="inlineStr">
        <is>
          <t>1. MK-ST-F-065 isoLocalDate
2. MK-NW-F-124 maturityParts</t>
        </is>
      </c>
      <c r="P341" s="3" t="n">
        <v>16</v>
      </c>
      <c r="Q341" s="3" t="inlineStr">
        <is>
          <t>1. MK-ST-F-065 isoLocalDate
2. MK-NW-F-124 maturityParts
3. MK-NW-F-009 maturityClass
4. MK-CF-F-216 typed
5. MK-NW-F-011 assetClassOf
6. MK-NW-F-120 classEvidenceOf
7. MK-CF-F-155 cash
8. MK-NW-F-008 incomeBearingClassOf
9. MK-XS-F-122 n
10. MK-ST-F-010 nameEvidence
11. MK-XS-F-147 call
12. MK-ST-F-056 has
13. MK-CF-F-132 map
14. MK-ST-F-027 accountId
15. MK-XS-F-064 currentIdToken
16. MK-XS-F-112 relayUrl</t>
        </is>
      </c>
      <c r="R341" s="3" t="inlineStr">
        <is>
          <t>1. MK-ST-F-065 isoLocalDate → MK-NW-F-125 isPastMaturity
2. MK-CF-F-155 cash → MK-NW-F-120 classEvidenceOf → MK-NW-F-011 assetClassOf → MK-NW-F-009 maturityClass → MK-NW-F-124 maturityParts → MK-NW-F-125 isPastMaturity
3. MK-NW-F-008 incomeBearingClassOf → MK-NW-F-120 classEvidenceOf → MK-NW-F-011 assetClassOf → MK-NW-F-009 maturityClass → MK-NW-F-124 maturityParts → MK-NW-F-125 isPastMaturity
4. maturityClass (already above — a loop) → MK-NW-F-120 classEvidenceOf → MK-NW-F-011 assetClassOf → MK-NW-F-009 maturityClass → MK-NW-F-124 maturityParts → MK-NW-F-125 isPastMaturity
5. maturityParts (already above — a loop) → MK-NW-F-009 maturityClass → MK-NW-F-124 maturityParts → MK-NW-F-125 isPastMaturity
6. MK-CF-F-216 typed → MK-NW-F-009 maturityClass → MK-NW-F-124 maturityParts → MK-NW-F-125 isPastMaturity
7. MK-CF-F-216 typed → MK-NW-F-124 maturityParts → MK-NW-F-125 isPastMaturity</t>
        </is>
      </c>
      <c r="S341" s="3" t="inlineStr">
        <is>
          <t>—</t>
        </is>
      </c>
      <c r="T341" s="3" t="inlineStr">
        <is>
          <t>—</t>
        </is>
      </c>
      <c r="U341" s="3" t="inlineStr">
        <is>
          <t>ACTIVE</t>
        </is>
      </c>
      <c r="V341" s="3" t="inlineStr">
        <is>
          <t>2026-10-09</t>
        </is>
      </c>
      <c r="W341" s="3" t="n"/>
      <c r="X341" s="3" t="n"/>
      <c r="Y341" s="3" t="inlineStr">
        <is>
          <t>NOTHING OPEN</t>
        </is>
      </c>
    </row>
    <row r="342" ht="60" customHeight="1">
      <c r="A342" s="3" t="inlineStr">
        <is>
          <t>MK-NW-F-126</t>
        </is>
      </c>
      <c r="B342" s="3" t="inlineStr">
        <is>
          <t>yearlyInterestNow</t>
        </is>
      </c>
      <c r="C342" s="3" t="inlineStr">
        <is>
          <t>src/domain/bonds/index.ts</t>
        </is>
      </c>
      <c r="D342" s="3" t="n">
        <v>312</v>
      </c>
      <c r="E342" s="3" t="inlineStr">
        <is>
          <t>3 · DEPENDENT</t>
        </is>
      </c>
      <c r="F342" s="3" t="inlineStr">
        <is>
          <t>A year's interest from one bond or CD as it pays today: its yearly interest, and $0 once it is past its maturity date.</t>
        </is>
      </c>
      <c r="G342" s="11" t="inlineStr">
        <is>
          <t>0   if is past maturity(maturity, now)
yearly interest(b)   otherwise</t>
        </is>
      </c>
      <c r="H342" s="3" t="inlineStr">
        <is>
          <t>0 — when is past maturity(maturity, now); yearly interest(b) — otherwise.</t>
        </is>
      </c>
      <c r="I342" s="3" t="inlineStr">
        <is>
          <t>READ FROM THE CODE — rendered from the expressions the function runs</t>
        </is>
      </c>
      <c r="J342" s="3" t="inlineStr">
        <is>
          <t>1. b: BondInfo
2. now: Date = new Date()</t>
        </is>
      </c>
      <c r="K342" s="3" t="inlineStr">
        <is>
          <t>number | null</t>
        </is>
      </c>
      <c r="L342" s="3" t="inlineStr">
        <is>
          <t>—</t>
        </is>
      </c>
      <c r="M342" s="3" t="inlineStr">
        <is>
          <t>· Uses today's date from the device clock, so the answer changes by itself overnight.</t>
        </is>
      </c>
      <c r="N342" s="3" t="inlineStr">
        <is>
          <t>Yes</t>
        </is>
      </c>
      <c r="O342" s="3" t="inlineStr">
        <is>
          <t>1. MK-NW-F-125 isPastMaturity
2. MK-NW-F-112 yearlyInterest</t>
        </is>
      </c>
      <c r="P342" s="3" t="n">
        <v>18</v>
      </c>
      <c r="Q342" s="3" t="inlineStr">
        <is>
          <t>1. MK-NW-F-125 isPastMaturity
2. MK-NW-F-112 yearlyInterest
3. MK-ST-F-065 isoLocalDate
4. MK-NW-F-124 maturityParts
5. MK-NW-F-009 maturityClass
6. MK-CF-F-216 typed
7. MK-NW-F-011 assetClassOf
8. MK-NW-F-120 classEvidenceOf
9. MK-CF-F-155 cash
10. MK-NW-F-008 incomeBearingClassOf
11. MK-XS-F-122 n
12. MK-ST-F-010 nameEvidence
13. MK-XS-F-147 call
14. MK-ST-F-056 has
15. MK-CF-F-132 map
16. MK-ST-F-027 accountId
17. MK-XS-F-064 currentIdToken
18. MK-XS-F-112 relayUrl</t>
        </is>
      </c>
      <c r="R342" s="3" t="inlineStr">
        <is>
          <t>1. MK-ST-F-065 isoLocalDate → MK-NW-F-125 isPastMaturity → MK-NW-F-126 yearlyInterestNow
2. MK-NW-F-120 classEvidenceOf → MK-NW-F-011 assetClassOf → MK-NW-F-009 maturityClass → MK-NW-F-124 maturityParts → MK-NW-F-125 isPastMaturity → MK-NW-F-126 yearlyInterestNow
3. maturityParts (already above — a loop) → MK-NW-F-009 maturityClass → MK-NW-F-124 maturityParts → MK-NW-F-125 isPastMaturity → MK-NW-F-126 yearlyInterestNow
4. MK-CF-F-216 typed → MK-NW-F-009 maturityClass → MK-NW-F-124 maturityParts → MK-NW-F-125 isPastMaturity → MK-NW-F-126 yearlyInterestNow
5. MK-CF-F-216 typed → MK-NW-F-124 maturityParts → MK-NW-F-125 isPastMaturity → MK-NW-F-126 yearlyInterestNow
6. MK-NW-F-112 yearlyInterest → MK-NW-F-126 yearlyInterestNow</t>
        </is>
      </c>
      <c r="S342" s="3" t="inlineStr">
        <is>
          <t>—</t>
        </is>
      </c>
      <c r="T342" s="3" t="inlineStr">
        <is>
          <t>—</t>
        </is>
      </c>
      <c r="U342" s="3" t="inlineStr">
        <is>
          <t>ACTIVE</t>
        </is>
      </c>
      <c r="V342" s="3" t="inlineStr">
        <is>
          <t>2026-10-09</t>
        </is>
      </c>
      <c r="W342" s="3" t="n"/>
      <c r="X342" s="3" t="n"/>
      <c r="Y342" s="3" t="inlineStr">
        <is>
          <t>NOTHING OPEN</t>
        </is>
      </c>
    </row>
    <row r="343" ht="60" customHeight="1">
      <c r="A343" s="3" t="inlineStr">
        <is>
          <t>MK-NW-F-127</t>
        </is>
      </c>
      <c r="B343" s="3" t="inlineStr">
        <is>
          <t>gainOfRow</t>
        </is>
      </c>
      <c r="C343" s="3" t="inlineStr">
        <is>
          <t>MoneyKeel/functions/networth-and-performance/performance.ts</t>
        </is>
      </c>
      <c r="D343" s="3" t="n">
        <v>276</v>
      </c>
      <c r="E343" s="3" t="inlineStr">
        <is>
          <t>3 · DEPENDENT</t>
        </is>
      </c>
      <c r="F343" s="3" t="inlineStr">
        <is>
          <t>THE ONE RULE FOR WHAT A HOLDING GAINED OVER THE WINDOW (DEC-3656, 2026-10-09), or null when it cannot be known.</t>
        </is>
      </c>
      <c r="G343" s="11" t="inlineStr">
        <is>
          <t>gain (or 0 when missing)   when capped since
mv = market value (or 0 when missing)
pr = window total(period return, period total, years)
mv × (1 − 1 ÷ (1 + pr))   if mv &gt; 0
0   otherwise   when pr ≠ nothing
mv × (1 − 1 ÷ math.pow(1 + coupon rate, years))   if mv &gt; 0
0   otherwise   when coupon rate ≠ nothing and number.is finite(coupon rate) and coupon rate ≥ 0
0   when position.asset class = 'cash'
the answer:
0   if held value of(r) = 0
nothing   otherwise</t>
        </is>
      </c>
      <c r="H343" s="3" t="inlineStr">
        <is>
          <t>When capped since, it answers gain (or 0 — when missing). Mv is market value (or 0 — when missing). Pr is window total(period return, period total, years). When pr is not no answer, it answers mv times (1 minus 1 divided by (1 plus pr)) — when mv &gt; 0; 0 — otherwise. When coupon rate is not no answer and number.is finite(coupon rate) and coupon rate is at least 0, it answers mv times (1 minus 1 divided by math.pow(1 plus coupon rate, years)) — when mv &gt; 0; 0 — otherwise. When position.asset class = 'cash', it answers 0. The answer is 0 — when held value of(r) = 0; no answer — otherwise.</t>
        </is>
      </c>
      <c r="I343" s="3" t="inlineStr">
        <is>
          <t>PARTLY READ — some of the code is still showing through; needs a hand pass</t>
        </is>
      </c>
      <c r="J343" s="3" t="inlineStr">
        <is>
          <t>1. r: GainRow
2. years: number</t>
        </is>
      </c>
      <c r="K343" s="3" t="inlineStr">
        <is>
          <t>number | null</t>
        </is>
      </c>
      <c r="L343" s="3" t="inlineStr">
        <is>
          <t>—</t>
        </is>
      </c>
      <c r="M343" s="3" t="inlineStr">
        <is>
          <t>1. If gain is missing it uses 0.
2. If market value is missing it uses 0.</t>
        </is>
      </c>
      <c r="N343" s="3" t="inlineStr">
        <is>
          <t>Yes</t>
        </is>
      </c>
      <c r="O343" s="3" t="inlineStr">
        <is>
          <t>1. MK-NW-F-128 heldValueOf
2. MK-PF-F-010 periodReturn
3. MK-PF-F-042 windowTotal</t>
        </is>
      </c>
      <c r="P343" s="3" t="n">
        <v>12</v>
      </c>
      <c r="Q343" s="3" t="inlineStr">
        <is>
          <t>1. MK-NW-F-128 heldValueOf
2. MK-PF-F-010 periodReturn
3. MK-PF-F-042 windowTotal
4. MK-PF-F-031 contractMultiplier
5. MK-PF-F-001 totalShares
6. MK-PF-F-039 periodReturnParts
7. MK-PF-F-029 closeAsOf
8. MK-PF-F-037 dayBefore
9. MK-PF-F-009 latestClose
10. MK-ST-F-030 record
11. MK-PF-F-008 startDateFor
12. MK-PF-F-036 monthsBefore</t>
        </is>
      </c>
      <c r="R343" s="3" t="inlineStr">
        <is>
          <t>1. MK-PF-F-031 contractMultiplier → MK-NW-F-128 heldValueOf → MK-NW-F-127 gainOfRow
2. MK-PF-F-001 totalShares → MK-NW-F-128 heldValueOf → MK-NW-F-127 gainOfRow
3. MK-PF-F-029 closeAsOf → MK-PF-F-039 periodReturnParts → MK-PF-F-010 periodReturn → MK-NW-F-127 gainOfRow
4. MK-PF-F-037 dayBefore → MK-PF-F-039 periodReturnParts → MK-PF-F-010 periodReturn → MK-NW-F-127 gainOfRow
5. MK-PF-F-009 latestClose → MK-PF-F-039 periodReturnParts → MK-PF-F-010 periodReturn → MK-NW-F-127 gainOfRow
6. MK-ST-F-030 record → MK-PF-F-039 periodReturnParts → MK-PF-F-010 periodReturn → MK-NW-F-127 gainOfRow
7. MK-PF-F-036 monthsBefore → MK-PF-F-008 startDateFor → MK-PF-F-039 periodReturnParts → MK-PF-F-010 periodReturn → MK-NW-F-127 gainOfRow
8. MK-PF-F-042 windowTotal → MK-NW-F-127 gainOfRow</t>
        </is>
      </c>
      <c r="S343" s="3" t="inlineStr">
        <is>
          <t>—</t>
        </is>
      </c>
      <c r="T343" s="3" t="inlineStr">
        <is>
          <t>—</t>
        </is>
      </c>
      <c r="U343" s="3" t="inlineStr">
        <is>
          <t>ACTIVE</t>
        </is>
      </c>
      <c r="V343" s="3" t="inlineStr">
        <is>
          <t>2026-10-13</t>
        </is>
      </c>
      <c r="W343" s="3" t="n"/>
      <c r="X343" s="3" t="n"/>
      <c r="Y343" s="3" t="inlineStr">
        <is>
          <t>NOTHING OPEN</t>
        </is>
      </c>
    </row>
    <row r="344" ht="60" customHeight="1">
      <c r="A344" s="3" t="inlineStr">
        <is>
          <t>MK-NW-F-128</t>
        </is>
      </c>
      <c r="B344" s="3" t="inlineStr">
        <is>
          <t>heldValueOf</t>
        </is>
      </c>
      <c r="C344" s="3" t="inlineStr">
        <is>
          <t>MoneyKeel/functions/networth-and-performance/performance.ts</t>
        </is>
      </c>
      <c r="D344" s="3" t="n">
        <v>332</v>
      </c>
      <c r="E344" s="3" t="inlineStr">
        <is>
          <t>3 · DEPENDENT</t>
        </is>
      </c>
      <c r="F344" s="3" t="inlineStr">
        <is>
          <t>What a holding is worth when no price series prices it: the broker's last mark × shares, or the value it was built at by hand.</t>
        </is>
      </c>
      <c r="G344" s="11" t="inlineStr">
        <is>
          <t>market value as number   when (market value ?? 0) &gt; 0
p = position
0   when p is missing
shares = total shares({ lots: lots ?? [] } as any)
nothing   if shares = nothing
shares × last price × contract multiplier(p)   otherwise   when last price ≠ nothing
value now   when value now ≠ nothing
the answer:
0   if shares = 0
nothing   otherwise</t>
        </is>
      </c>
      <c r="H344" s="3" t="inlineStr">
        <is>
          <t>When (market value ?? 0) &gt; 0, it answers market value as number. P is position. When p is missing, it answers 0. Shares is total shares({ lots: lots ?? [] } as any). When last price is not no answer, it answers no answer — when shares is missing; shares times last price times contract multiplier(p) — otherwise. When value now is not no answer, it answers value now. The answer is 0 — when shares = 0; no answer — otherwise.</t>
        </is>
      </c>
      <c r="I344" s="3" t="inlineStr">
        <is>
          <t>PARTLY READ — some of the code is still showing through; needs a hand pass</t>
        </is>
      </c>
      <c r="J344" s="3" t="inlineStr">
        <is>
          <t>r: GainRow</t>
        </is>
      </c>
      <c r="K344" s="3" t="inlineStr">
        <is>
          <t>number | null</t>
        </is>
      </c>
      <c r="L344" s="3" t="inlineStr">
        <is>
          <t>—</t>
        </is>
      </c>
      <c r="M344" s="3" t="inlineStr">
        <is>
          <t>· If market value is missing it uses 0.</t>
        </is>
      </c>
      <c r="N344" s="3" t="inlineStr">
        <is>
          <t>Yes</t>
        </is>
      </c>
      <c r="O344" s="3" t="inlineStr">
        <is>
          <t>1. MK-PF-F-031 contractMultiplier
2. MK-PF-F-001 totalShares</t>
        </is>
      </c>
      <c r="P344" s="3" t="n">
        <v>2</v>
      </c>
      <c r="Q344" s="3" t="inlineStr">
        <is>
          <t>1. MK-PF-F-031 contractMultiplier
2. MK-PF-F-001 totalShares</t>
        </is>
      </c>
      <c r="R344" s="3" t="inlineStr">
        <is>
          <t>1. MK-PF-F-031 contractMultiplier → MK-NW-F-128 heldValueOf
2. MK-PF-F-001 totalShares → MK-NW-F-128 heldValueOf</t>
        </is>
      </c>
      <c r="S344" s="3" t="inlineStr">
        <is>
          <t>—</t>
        </is>
      </c>
      <c r="T344" s="3" t="inlineStr">
        <is>
          <t>—</t>
        </is>
      </c>
      <c r="U344" s="3" t="inlineStr">
        <is>
          <t>ACTIVE</t>
        </is>
      </c>
      <c r="V344" s="3" t="inlineStr">
        <is>
          <t>2026-10-11</t>
        </is>
      </c>
      <c r="W344" s="3" t="n"/>
      <c r="X344" s="3" t="n"/>
      <c r="Y344" s="3" t="inlineStr">
        <is>
          <t>NOTHING OPEN</t>
        </is>
      </c>
    </row>
    <row r="345" ht="60" customHeight="1">
      <c r="A345" s="3" t="inlineStr">
        <is>
          <t>MK-NW-F-129</t>
        </is>
      </c>
      <c r="B345" s="3" t="inlineStr">
        <is>
          <t>gainRowName</t>
        </is>
      </c>
      <c r="C345" s="3" t="inlineStr">
        <is>
          <t>MoneyKeel/functions/networth-and-performance/performance.ts</t>
        </is>
      </c>
      <c r="D345" s="3" t="n">
        <v>374</v>
      </c>
      <c r="E345" s="3" t="inlineStr">
        <is>
          <t>3 · DEPENDENT (feeds an action only)</t>
        </is>
      </c>
      <c r="F345" s="3" t="inlineStr">
        <is>
          <t>What the sentence calls a holding: its own name, else its ticker — a CUSIP-shaped ticker gives way to the security's name.</t>
        </is>
      </c>
      <c r="G345" s="11" t="inlineStr">
        <is>
          <t>name   when name
t = (position.ticker ?? '').trim()
nm = (position.label ?? position.name ?? '').trim()
the answer:
nm   if ÷ ^[0 − 9A − Z]{9}$ ÷ test(t) and ÷ \d ÷ .test(t) and nm
t (or nm (or 'a holding' when missing or zero) when missing or zero)   otherwise</t>
        </is>
      </c>
      <c r="H345" s="3" t="inlineStr">
        <is>
          <t>When name, it answers name. T is (position.ticker ?? '').trim(). Nm is (position.label ?? position.name ?? '').trim(). The answer is nm — when divided by ^[0 minus 9A minus Z]{9}$ divided by test(t) and divided by \d divided by .test(t) and nm; t (or nm (or 'a holding' — when missing or zero) — when missing or zero) — otherwise.</t>
        </is>
      </c>
      <c r="I345" s="3" t="inlineStr">
        <is>
          <t>PARTLY READ — some of the code is still showing through; needs a hand pass</t>
        </is>
      </c>
      <c r="J345" s="3" t="inlineStr">
        <is>
          <t>r: GainRow</t>
        </is>
      </c>
      <c r="K345" s="3" t="inlineStr">
        <is>
          <t>string</t>
        </is>
      </c>
      <c r="L345" s="3" t="inlineStr">
        <is>
          <t>—</t>
        </is>
      </c>
      <c r="M345" s="3" t="inlineStr">
        <is>
          <t>None found in this function — anything it assumes comes from the functions it depends on.</t>
        </is>
      </c>
      <c r="N345" s="3" t="inlineStr">
        <is>
          <t>No</t>
        </is>
      </c>
      <c r="O345" s="3" t="inlineStr">
        <is>
          <t>—</t>
        </is>
      </c>
      <c r="P345" s="3" t="n">
        <v>0</v>
      </c>
      <c r="Q345" s="3" t="inlineStr">
        <is>
          <t>None — no dependent function stands behind it</t>
        </is>
      </c>
      <c r="R345" s="3" t="inlineStr">
        <is>
          <t>No dependent function — it reads its inputs and answers</t>
        </is>
      </c>
      <c r="S345" s="3" t="inlineStr">
        <is>
          <t>—</t>
        </is>
      </c>
      <c r="T345" s="3" t="inlineStr">
        <is>
          <t>—</t>
        </is>
      </c>
      <c r="U345" s="3" t="inlineStr">
        <is>
          <t>ACTIVE</t>
        </is>
      </c>
      <c r="V345" s="3" t="inlineStr">
        <is>
          <t>2026-10-11</t>
        </is>
      </c>
      <c r="W345" s="3" t="n"/>
      <c r="X345" s="3" t="n"/>
      <c r="Y345" s="3" t="inlineStr">
        <is>
          <t>NOTHING OPEN</t>
        </is>
      </c>
    </row>
    <row r="346" ht="60" customHeight="1">
      <c r="A346" s="3" t="inlineStr">
        <is>
          <t>MK-NW-F-130</t>
        </is>
      </c>
      <c r="B346" s="3" t="inlineStr">
        <is>
          <t>notIncludedSentence</t>
        </is>
      </c>
      <c r="C346" s="3" t="inlineStr">
        <is>
          <t>MoneyKeel/functions/networth-and-performance/performance.ts</t>
        </is>
      </c>
      <c r="D346" s="3" t="n">
        <v>408</v>
      </c>
      <c r="E346" s="3" t="inlineStr">
        <is>
          <t>3 · DEPENDENT</t>
        </is>
      </c>
      <c r="F346" s="3" t="inlineStr">
        <is>
          <t>THE SENTENCE where a holding with no price history is left out of Wealth generated and Return (DEC-5068, 2026-10-13, his wording with the holding's name in place of "treasury").</t>
        </is>
      </c>
      <c r="G346" s="11" t="inlineStr">
        <is>
          <t>once = [...new set(names.map((n) =&gt; string(n ?? '').trim()).filter((n) =&gt; n ! = ''))]
many = once.length &gt; 1
whose = `the gains of ${list}`   if many
`${list}'s gains`   otherwise
the answer = `wealth generated and return do not include ${whose}, as ${plural(many ? 2 : 1, 'has', many ? 'they' : 'it')} no price history.`</t>
        </is>
      </c>
      <c r="H346" s="3" t="inlineStr">
        <is>
          <t>Once is [...new set(names.map((n) =&gt; string(n ?? '').trim()).filter((n) =&gt; n ! = ''))]. Many is once.length &gt; 1. Whose is `the gains of ${list}` — when many; `${list}'s gains` — otherwise. The answer is `wealth generated and return do include is missing ${whose}, as ${plural(many ? 2 : 1, 'has', many ? 'they' : 'it')} no price history.`.</t>
        </is>
      </c>
      <c r="I346" s="3" t="inlineStr">
        <is>
          <t>PARTLY READ — some of the code is still showing through; needs a hand pass</t>
        </is>
      </c>
      <c r="J346" s="3" t="inlineStr">
        <is>
          <t>names: string[]</t>
        </is>
      </c>
      <c r="K346" s="3" t="inlineStr">
        <is>
          <t>string</t>
        </is>
      </c>
      <c r="L346" s="3" t="inlineStr">
        <is>
          <t>—</t>
        </is>
      </c>
      <c r="M346" s="3" t="inlineStr">
        <is>
          <t>None found in this function — anything it assumes comes from the functions it depends on.</t>
        </is>
      </c>
      <c r="N346" s="3" t="inlineStr">
        <is>
          <t>Yes</t>
        </is>
      </c>
      <c r="O346" s="3" t="inlineStr">
        <is>
          <t>1. MK-CF-F-132 map
2. MK-XS-F-122 n
3. MK-NW-F-067 plural</t>
        </is>
      </c>
      <c r="P346" s="3" t="n">
        <v>3</v>
      </c>
      <c r="Q346" s="3" t="inlineStr">
        <is>
          <t>1. MK-CF-F-132 map
2. MK-XS-F-122 n
3. MK-NW-F-067 plural</t>
        </is>
      </c>
      <c r="R346" s="3" t="inlineStr">
        <is>
          <t>1. MK-CF-F-132 map → MK-NW-F-130 notIncludedSentence
2. MK-XS-F-122 n → MK-NW-F-130 notIncludedSentence
3. MK-XS-F-122 n → MK-NW-F-067 plural → MK-NW-F-130 notIncludedSentence</t>
        </is>
      </c>
      <c r="S346" s="3" t="inlineStr">
        <is>
          <t>—</t>
        </is>
      </c>
      <c r="T346" s="3" t="inlineStr">
        <is>
          <t>—</t>
        </is>
      </c>
      <c r="U346" s="3" t="inlineStr">
        <is>
          <t>ACTIVE</t>
        </is>
      </c>
      <c r="V346" s="3" t="inlineStr">
        <is>
          <t>2026-10-13</t>
        </is>
      </c>
      <c r="W346" s="3" t="n"/>
      <c r="X346" s="3" t="n"/>
      <c r="Y346" s="3" t="inlineStr">
        <is>
          <t>NOTHING OPEN</t>
        </is>
      </c>
    </row>
    <row r="347" ht="60" customHeight="1">
      <c r="A347" s="3" t="inlineStr">
        <is>
          <t>MK-NW-F-131</t>
        </is>
      </c>
      <c r="B347" s="3" t="inlineStr">
        <is>
          <t>pricedLikeBond</t>
        </is>
      </c>
      <c r="C347" s="3" t="inlineStr">
        <is>
          <t>src/domain/bonds/index.ts</t>
        </is>
      </c>
      <c r="D347" s="3" t="n">
        <v>58</v>
      </c>
      <c r="E347" s="3" t="inlineStr">
        <is>
          <t>3 · DEPENDENT</t>
        </is>
      </c>
      <c r="F347" s="3" t="inlineStr">
        <is>
          <t>(DEC-3837, 2026-10-10) THE ONE TEST of whether a holding is priced like a bond: every bond is, and a CD only when it was bought through a broker.</t>
        </is>
      </c>
      <c r="G347" s="11" t="inlineStr">
        <is>
          <t>is cd is missing (or cd bought = 'broker' when missing or zero)</t>
        </is>
      </c>
      <c r="H347" s="3" t="inlineStr">
        <is>
          <t>is cd is missing (or cd bought = 'broker' — when missing or zero).</t>
        </is>
      </c>
      <c r="I347" s="3" t="inlineStr">
        <is>
          <t>READ FROM THE CODE — rendered from the expressions the function runs</t>
        </is>
      </c>
      <c r="J347" s="3" t="inlineStr">
        <is>
          <t>b: BondInfo</t>
        </is>
      </c>
      <c r="K347" s="3" t="inlineStr">
        <is>
          <t>boolean</t>
        </is>
      </c>
      <c r="L347" s="3" t="inlineStr">
        <is>
          <t>—</t>
        </is>
      </c>
      <c r="M347" s="3" t="inlineStr">
        <is>
          <t>None found in this function — anything it assumes comes from the functions it depends on.</t>
        </is>
      </c>
      <c r="N347" s="3" t="inlineStr">
        <is>
          <t>Yes</t>
        </is>
      </c>
      <c r="O347" s="3" t="inlineStr">
        <is>
          <t>MK-CF-F-155 cash</t>
        </is>
      </c>
      <c r="P347" s="3" t="n">
        <v>2</v>
      </c>
      <c r="Q347" s="3" t="inlineStr">
        <is>
          <t>1. MK-CF-F-155 cash
2. MK-XS-F-122 n</t>
        </is>
      </c>
      <c r="R347" s="3" t="inlineStr">
        <is>
          <t>MK-XS-F-122 n → MK-CF-F-155 cash → MK-NW-F-131 pricedLikeBond</t>
        </is>
      </c>
      <c r="S347" s="3" t="inlineStr">
        <is>
          <t>—</t>
        </is>
      </c>
      <c r="T347" s="3" t="inlineStr">
        <is>
          <t>—</t>
        </is>
      </c>
      <c r="U347" s="3" t="inlineStr">
        <is>
          <t>ACTIVE</t>
        </is>
      </c>
      <c r="V347" s="3" t="inlineStr">
        <is>
          <t>2026-10-10</t>
        </is>
      </c>
      <c r="W347" s="3" t="n"/>
      <c r="X347" s="3" t="n"/>
      <c r="Y347" s="3" t="inlineStr">
        <is>
          <t>NOTHING OPEN</t>
        </is>
      </c>
    </row>
    <row r="348" ht="60" customHeight="1">
      <c r="A348" s="3" t="inlineStr">
        <is>
          <t>MK-NW-F-132</t>
        </is>
      </c>
      <c r="B348" s="3" t="inlineStr">
        <is>
          <t>notClassifiedWords</t>
        </is>
      </c>
      <c r="C348" s="3" t="inlineStr">
        <is>
          <t>MoneyKeel/functions/networth-and-performance/alternatives-outlook.ts</t>
        </is>
      </c>
      <c r="D348" s="3" t="n">
        <v>145</v>
      </c>
      <c r="E348" s="3" t="inlineStr">
        <is>
          <t>3 · DEPENDENT</t>
        </is>
      </c>
      <c r="F348" s="3" t="inlineStr">
        <is>
          <t>(DEC-4036h, 2026-10-10) His wording for money no priced holding explains: "&lt;amount&gt; asset type not classified".</t>
        </is>
      </c>
      <c r="G348" s="11" t="inlineStr">
        <is>
          <t>`${format money(amount)} asset type not classified`</t>
        </is>
      </c>
      <c r="H348" s="3" t="inlineStr">
        <is>
          <t>`${format money(amount)} asset type classified is missing`.</t>
        </is>
      </c>
      <c r="I348" s="3" t="inlineStr">
        <is>
          <t>PARTLY READ — some of the code is still showing through; needs a hand pass</t>
        </is>
      </c>
      <c r="J348" s="3" t="inlineStr">
        <is>
          <t>amount: number</t>
        </is>
      </c>
      <c r="K348" s="3" t="inlineStr">
        <is>
          <t>string</t>
        </is>
      </c>
      <c r="L348" s="3" t="inlineStr">
        <is>
          <t>—</t>
        </is>
      </c>
      <c r="M348" s="3" t="inlineStr">
        <is>
          <t>None found in this function — anything it assumes comes from the functions it depends on.</t>
        </is>
      </c>
      <c r="N348" s="3" t="inlineStr">
        <is>
          <t>Yes</t>
        </is>
      </c>
      <c r="O348" s="3" t="inlineStr">
        <is>
          <t>MK-ST-F-049 formatMoney</t>
        </is>
      </c>
      <c r="P348" s="3" t="n">
        <v>5</v>
      </c>
      <c r="Q348" s="3" t="inlineStr">
        <is>
          <t>1. MK-ST-F-049 formatMoney
2. MK-ST-F-048 currencySymbol
3. MK-XS-F-122 n
4. MK-ST-F-039 on
5. MK-ST-F-047 activeCurrency</t>
        </is>
      </c>
      <c r="R348" s="3" t="inlineStr">
        <is>
          <t>1. MK-ST-F-047 activeCurrency → MK-ST-F-048 currencySymbol → MK-ST-F-049 formatMoney → MK-NW-F-132 notClassifiedWords
2. MK-XS-F-122 n → MK-ST-F-049 formatMoney → MK-NW-F-132 notClassifiedWords
3. MK-ST-F-039 on → MK-ST-F-049 formatMoney → MK-NW-F-132 notClassifiedWords</t>
        </is>
      </c>
      <c r="S348" s="3" t="inlineStr">
        <is>
          <t>—</t>
        </is>
      </c>
      <c r="T348" s="3" t="inlineStr">
        <is>
          <t>—</t>
        </is>
      </c>
      <c r="U348" s="3" t="inlineStr">
        <is>
          <t>ACTIVE</t>
        </is>
      </c>
      <c r="V348" s="3" t="inlineStr">
        <is>
          <t>2026-10-10</t>
        </is>
      </c>
      <c r="W348" s="3" t="n"/>
      <c r="X348" s="3" t="n"/>
      <c r="Y348" s="3" t="inlineStr">
        <is>
          <t>NOTHING OPEN</t>
        </is>
      </c>
    </row>
    <row r="349" ht="45" customHeight="1">
      <c r="A349" s="3" t="inlineStr">
        <is>
          <t>MK-NW-F-133</t>
        </is>
      </c>
      <c r="B349" s="3" t="inlineStr">
        <is>
          <t>valueEntered</t>
        </is>
      </c>
      <c r="C349" s="3" t="inlineStr">
        <is>
          <t>src/domain/assets/index.ts</t>
        </is>
      </c>
      <c r="D349" s="3" t="n">
        <v>1961</v>
      </c>
      <c r="E349" s="3" t="inlineStr">
        <is>
          <t>1 · ACTION</t>
        </is>
      </c>
      <c r="F349" s="3" t="inlineStr">
        <is>
          <t>(DEC-4036j/k, 2026-10-10) Whether an account's value was entered at all — a $0 typed is entered; nothing is not.</t>
        </is>
      </c>
      <c r="G349" s="11" t="inlineStr">
        <is>
          <t>balance ≠ nothing and number.is finite(balance)</t>
        </is>
      </c>
      <c r="H349" s="3" t="inlineStr">
        <is>
          <t>balance is not no answer and number.is finite(balance)</t>
        </is>
      </c>
      <c r="I349" s="3" t="inlineStr">
        <is>
          <t>PARTLY READ — some of the code is still showing through; needs a hand pass</t>
        </is>
      </c>
      <c r="J349" s="3" t="inlineStr">
        <is>
          <t>a: AssetAccount</t>
        </is>
      </c>
      <c r="K349" s="3" t="inlineStr">
        <is>
          <t>boolean</t>
        </is>
      </c>
      <c r="L349" s="3" t="inlineStr">
        <is>
          <t>—</t>
        </is>
      </c>
      <c r="M349" s="3" t="inlineStr">
        <is>
          <t>None found in this function — anything it assumes comes from the functions it depends on.</t>
        </is>
      </c>
      <c r="N349" s="3" t="inlineStr">
        <is>
          <t>Yes</t>
        </is>
      </c>
      <c r="O349" s="3" t="inlineStr">
        <is>
          <t>—</t>
        </is>
      </c>
      <c r="P349" s="3" t="n">
        <v>0</v>
      </c>
      <c r="Q349" s="3" t="inlineStr">
        <is>
          <t>None — no dependent function stands behind it</t>
        </is>
      </c>
      <c r="R349" s="3" t="inlineStr">
        <is>
          <t>No dependent function — it reads its inputs and answers</t>
        </is>
      </c>
      <c r="S349" s="3" t="inlineStr">
        <is>
          <t>—</t>
        </is>
      </c>
      <c r="T349" s="3" t="inlineStr">
        <is>
          <t>—</t>
        </is>
      </c>
      <c r="U349" s="3" t="inlineStr">
        <is>
          <t>ACTIVE</t>
        </is>
      </c>
      <c r="V349" s="3" t="inlineStr">
        <is>
          <t>2026-10-10</t>
        </is>
      </c>
      <c r="W349" s="3" t="n"/>
      <c r="X349" s="3" t="n"/>
      <c r="Y349" s="3" t="inlineStr">
        <is>
          <t>NOTHING OPEN</t>
        </is>
      </c>
    </row>
    <row r="350" ht="60" customHeight="1">
      <c r="A350" s="3" t="inlineStr">
        <is>
          <t>MK-NW-F-134</t>
        </is>
      </c>
      <c r="B350" s="3" t="inlineStr">
        <is>
          <t>carValueNotEnteredNotes</t>
        </is>
      </c>
      <c r="C350" s="3" t="inlineStr">
        <is>
          <t>src/domain/assets/index.ts</t>
        </is>
      </c>
      <c r="D350" s="3" t="n">
        <v>1994</v>
      </c>
      <c r="E350" s="3" t="inlineStr">
        <is>
          <t>2 · DISPLAYED</t>
        </is>
      </c>
      <c r="F350" s="3" t="inlineStr">
        <is>
          <t>(DEC-4036j, 2026-10-10) The line the screen showing the car you drive adds for each vehicle whose value is not entered and that was not picked: "&lt;vehicle name&gt;'s value not entered — it may be the car you drive."</t>
        </is>
      </c>
      <c r="G350" s="11" t="inlineStr">
        <is>
          <t>car = primary car id of(accounts)</t>
        </is>
      </c>
      <c r="H350" s="3" t="inlineStr">
        <is>
          <t>Car is primary car id of(accounts).</t>
        </is>
      </c>
      <c r="I350" s="3" t="inlineStr">
        <is>
          <t>READ FROM THE CODE — rendered from the expressions the function runs</t>
        </is>
      </c>
      <c r="J350" s="3" t="inlineStr">
        <is>
          <t>1. accounts: AssetAccount[]
2. names?: Map&lt;string, string&gt;</t>
        </is>
      </c>
      <c r="K350" s="3" t="inlineStr">
        <is>
          <t>string[]</t>
        </is>
      </c>
      <c r="L350" s="3" t="inlineStr">
        <is>
          <t>"WHAT COUNTS TOWARD RETIREMENT" — on a card used on more than one screen (PlanInputs), under "WHAT COUNTS TOWARD RETIREMENT"</t>
        </is>
      </c>
      <c r="M350" s="3" t="inlineStr">
        <is>
          <t>None found in this function — anything it assumes comes from the functions it depends on.</t>
        </is>
      </c>
      <c r="N350" s="3" t="inlineStr">
        <is>
          <t>Yes</t>
        </is>
      </c>
      <c r="O350" s="3" t="inlineStr">
        <is>
          <t>1. MK-CF-F-132 map
2. MK-ST-F-053 money
3. MK-NW-F-031 primaryCarIdOf
4. MK-NW-F-033 retirementEarmarkedValue
5. MK-NW-F-133 valueEntered</t>
        </is>
      </c>
      <c r="P350" s="3" t="n">
        <v>43</v>
      </c>
      <c r="Q350" s="3" t="inlineStr">
        <is>
          <t>1. MK-CF-F-132 map
2. MK-ST-F-053 money
3. MK-NW-F-031 primaryCarIdOf
4. MK-NW-F-033 retirementEarmarkedValue
5. MK-NW-F-133 valueEntered
6. MK-ST-F-049 formatMoney
7. MK-XS-F-122 n
8. MK-NW-F-032 earmarkedAmount
9. MK-NW-F-110 primaryHomeIdOf
10. MK-ST-F-048 currencySymbol
11. MK-ST-F-039 on
12. MK-NW-F-030 earmarkDefault
13. MK-NW-F-117 propertyUseMap
14. MK-ST-F-047 activeCurrency
15. MK-NW-F-011 assetClassOf
16. MK-ST-F-056 has
17. MK-NW-F-116 rentedIdsOf
18. MK-NW-F-120 classEvidenceOf
19. MK-NW-F-115 liveRent
20. MK-CF-F-155 cash
21. MK-NW-F-008 incomeBearingClassOf
22. MK-NW-F-009 maturityClass
23. MK-CF-O-002 expenses
24. MK-NW-F-114 rentAmount
25. MK-ST-F-010 nameEvidence
26. MK-NW-F-124 maturityParts
27. MK-CF-F-216 typed
28. MK-CF-F-151 actualSpending
29. MK-CF-F-150 debtPaymentsCountedAsExpenses
30. MK-CF-F-153 radar
31. MK-CF-F-149 recurringDebtPayments
32. MK-ST-F-085 rentFigure
33. MK-XS-F-147 call
34. MK-CF-F-148 inMonth
35. MK-ST-F-052 toNum
36. MK-CF-F-191 ym
37. MK-CF-F-022 paymentShape
38. MK-CF-F-152 isRadarItem
39. MK-CF-F-023 requiredPayment
40. MK-ST-F-027 accountId
41. MK-XS-F-064 currentIdToken
42. MK-XS-F-112 relayUrl
43. MK-CF-F-021 defaultPaymentType</t>
        </is>
      </c>
      <c r="R350" s="3" t="inlineStr">
        <is>
          <t>1. MK-CF-F-132 map → MK-NW-F-134 carValueNotEnteredNotes
2. MK-ST-F-047 activeCurrency → MK-ST-F-048 currencySymbol → MK-ST-F-049 formatMoney → MK-ST-F-053 money → MK-NW-F-134 carValueNotEnteredNotes
3. MK-XS-F-122 n → MK-ST-F-049 formatMoney → MK-ST-F-053 money → MK-NW-F-134 carValueNotEnteredNotes
4. MK-ST-F-039 on → MK-ST-F-049 formatMoney → MK-ST-F-053 money → MK-NW-F-134 carValueNotEnteredNotes
5. MK-XS-F-122 n → MK-ST-F-053 money → MK-NW-F-134 carValueNotEnteredNotes
6. carValueNotEnteredNotes (already above — a loop) → MK-NW-F-031 primaryCarIdOf → MK-NW-F-134 carValueNotEnteredNotes
7. MK-NW-F-133 valueEntered → MK-NW-F-031 primaryCarIdOf → MK-NW-F-134 carValueNotEnteredNotes
8. MK-NW-F-120 classEvidenceOf → MK-NW-F-011 assetClassOf → MK-NW-F-030 earmarkDefault → MK-NW-F-032 earmarkedAmount → MK-NW-F-033 retirementEarmarkedValue → MK-NW-F-134 carValueNotEnteredNotes
9. … and 5 more paths</t>
        </is>
      </c>
      <c r="S350" s="3" t="inlineStr">
        <is>
          <t>—</t>
        </is>
      </c>
      <c r="T350" s="3" t="inlineStr">
        <is>
          <t>—</t>
        </is>
      </c>
      <c r="U350" s="3" t="inlineStr">
        <is>
          <t>ACTIVE</t>
        </is>
      </c>
      <c r="V350" s="3" t="inlineStr">
        <is>
          <t>2026-10-10</t>
        </is>
      </c>
      <c r="W350" s="3" t="n"/>
      <c r="X350" s="3" t="n"/>
      <c r="Y350" s="3" t="inlineStr">
        <is>
          <t>NOTHING OPEN</t>
        </is>
      </c>
    </row>
    <row r="351" ht="60" customHeight="1">
      <c r="A351" s="3" t="inlineStr">
        <is>
          <t>MK-NW-F-135</t>
        </is>
      </c>
      <c r="B351" s="3" t="inlineStr">
        <is>
          <t>earmarkLeavesOut</t>
        </is>
      </c>
      <c r="C351" s="3" t="inlineStr">
        <is>
          <t>src/domain/assets/index.ts</t>
        </is>
      </c>
      <c r="D351" s="3" t="n">
        <v>2022</v>
      </c>
      <c r="E351" s="3" t="inlineStr">
        <is>
          <t>3 · DEPENDENT</t>
        </is>
      </c>
      <c r="F351" s="3" t="inlineStr">
        <is>
          <t>(DEC-4036k, 2026-10-10) The accounts the retirement money (MK-NW-F-033 retirementEarmarkedValue) leaves out because their value is not entered, though their share would count: each by its name.</t>
        </is>
      </c>
      <c r="G351" s="11" t="inlineStr">
        <is>
          <t>car = primary car id of(accounts), home = primary home id of(accounts, rentals)</t>
        </is>
      </c>
      <c r="H351" s="3" t="inlineStr">
        <is>
          <t>Car is primary car id of(accounts), home = primary home id of(accounts, rentals).</t>
        </is>
      </c>
      <c r="I351" s="3" t="inlineStr">
        <is>
          <t>READ FROM THE CODE — rendered from the expressions the function runs</t>
        </is>
      </c>
      <c r="J351" s="3" t="inlineStr">
        <is>
          <t>1. accounts: AssetAccount[]
2. names?: Map&lt;string, string&gt;
3. rentals?: RentEntry[] | null</t>
        </is>
      </c>
      <c r="K351" s="3" t="inlineStr">
        <is>
          <t>string[]</t>
        </is>
      </c>
      <c r="L351" s="3" t="inlineStr">
        <is>
          <t>—</t>
        </is>
      </c>
      <c r="M351" s="3" t="inlineStr">
        <is>
          <t>None found in this function — anything it assumes comes from the functions it depends on.</t>
        </is>
      </c>
      <c r="N351" s="3" t="inlineStr">
        <is>
          <t>Yes</t>
        </is>
      </c>
      <c r="O351" s="3" t="inlineStr">
        <is>
          <t>1. MK-NW-F-030 earmarkDefault
2. MK-CF-F-132 map
3. MK-NW-F-031 primaryCarIdOf
4. MK-NW-F-110 primaryHomeIdOf
5. MK-NW-F-133 valueEntered</t>
        </is>
      </c>
      <c r="P351" s="3" t="n">
        <v>44</v>
      </c>
      <c r="Q351" s="3" t="inlineStr">
        <is>
          <t>1. MK-NW-F-030 earmarkDefault
2. MK-CF-F-132 map
3. MK-NW-F-031 primaryCarIdOf
4. MK-NW-F-110 primaryHomeIdOf
5. MK-NW-F-133 valueEntered
6. MK-NW-F-011 assetClassOf
7. MK-NW-F-134 carValueNotEnteredNotes
8. MK-NW-F-117 propertyUseMap
9. MK-NW-F-120 classEvidenceOf
10. MK-ST-F-053 money
11. MK-NW-F-033 retirementEarmarkedValue
12. MK-ST-F-056 has
13. MK-NW-F-116 rentedIdsOf
14. MK-CF-F-155 cash
15. MK-NW-F-008 incomeBearingClassOf
16. MK-NW-F-009 maturityClass
17. MK-ST-F-049 formatMoney
18. MK-XS-F-122 n
19. MK-NW-F-032 earmarkedAmount
20. MK-NW-F-115 liveRent
21. MK-ST-F-010 nameEvidence
22. MK-NW-F-124 maturityParts
23. MK-CF-F-216 typed
24. MK-ST-F-048 currencySymbol
25. MK-ST-F-039 on
26. MK-CF-O-002 expenses
27. MK-NW-F-114 rentAmount
28. MK-XS-F-147 call
29. MK-ST-F-047 activeCurrency
30. MK-CF-F-151 actualSpending
31. MK-CF-F-150 debtPaymentsCountedAsExpenses
32. MK-CF-F-153 radar
33. MK-CF-F-149 recurringDebtPayments
34. MK-ST-F-085 rentFigure
35. MK-ST-F-027 accountId
36. MK-XS-F-064 currentIdToken
37. MK-XS-F-112 relayUrl
38. MK-CF-F-148 inMonth
39. MK-ST-F-052 toNum
40. MK-CF-F-191 ym
41. MK-CF-F-022 paymentShape
42. MK-CF-F-152 isRadarItem
43. MK-CF-F-023 requiredPayment
44. MK-CF-F-021 defaultPaymentType</t>
        </is>
      </c>
      <c r="R351" s="3" t="inlineStr">
        <is>
          <t>1. MK-XS-F-122 n → MK-CF-F-155 cash → MK-NW-F-120 classEvidenceOf → MK-NW-F-011 assetClassOf → MK-NW-F-030 earmarkDefault → MK-NW-F-135 earmarkLeavesOut
2. MK-CF-F-155 cash → MK-NW-F-008 incomeBearingClassOf → MK-NW-F-120 classEvidenceOf → MK-NW-F-011 assetClassOf → MK-NW-F-030 earmarkDefault → MK-NW-F-135 earmarkLeavesOut
3. MK-ST-F-010 nameEvidence → MK-NW-F-008 incomeBearingClassOf → MK-NW-F-120 classEvidenceOf → MK-NW-F-011 assetClassOf → MK-NW-F-030 earmarkDefault → MK-NW-F-135 earmarkLeavesOut
4. assetClassOf (already above — a loop) → MK-NW-F-009 maturityClass → MK-NW-F-120 classEvidenceOf → MK-NW-F-011 assetClassOf → MK-NW-F-030 earmarkDefault → MK-NW-F-135 earmarkLeavesOut
5. MK-NW-F-124 maturityParts → MK-NW-F-009 maturityClass → MK-NW-F-120 classEvidenceOf → MK-NW-F-011 assetClassOf → MK-NW-F-030 earmarkDefault → MK-NW-F-135 earmarkLeavesOut
6. MK-CF-F-216 typed → MK-NW-F-009 maturityClass → MK-NW-F-120 classEvidenceOf → MK-NW-F-011 assetClassOf → MK-NW-F-030 earmarkDefault → MK-NW-F-135 earmarkLeavesOut
7. MK-CF-F-132 map → MK-NW-F-135 earmarkLeavesOut
8. MK-CF-F-132 map → MK-NW-F-134 carValueNotEnteredNotes → MK-NW-F-031 primaryCarIdOf → MK-NW-F-135 earmarkLeavesOut
9. … and 5 more paths</t>
        </is>
      </c>
      <c r="S351" s="3" t="inlineStr">
        <is>
          <t>—</t>
        </is>
      </c>
      <c r="T351" s="3" t="inlineStr">
        <is>
          <t>—</t>
        </is>
      </c>
      <c r="U351" s="3" t="inlineStr">
        <is>
          <t>ACTIVE</t>
        </is>
      </c>
      <c r="V351" s="3" t="inlineStr">
        <is>
          <t>2026-10-13</t>
        </is>
      </c>
      <c r="W351" s="3" t="n"/>
      <c r="X351" s="3" t="n"/>
      <c r="Y351" s="3" t="inlineStr">
        <is>
          <t>NOTHING OPEN</t>
        </is>
      </c>
    </row>
    <row r="352" ht="60" customHeight="1">
      <c r="A352" s="3" t="inlineStr">
        <is>
          <t>MK-NW-F-136</t>
        </is>
      </c>
      <c r="B352" s="3" t="inlineStr">
        <is>
          <t>earmarkLeavesOutWords</t>
        </is>
      </c>
      <c r="C352" s="3" t="inlineStr">
        <is>
          <t>src/domain/assets/index.ts</t>
        </is>
      </c>
      <c r="D352" s="3" t="n">
        <v>2049</v>
      </c>
      <c r="E352" s="3" t="inlineStr">
        <is>
          <t>2 · DISPLAYED</t>
        </is>
      </c>
      <c r="F352" s="3" t="inlineStr">
        <is>
          <t>(DEC-4036k, 2026-10-10) What the retirement money says under it: "leaves out &lt;account name&gt; — Value not entered" (the DEC-3657 words).</t>
        </is>
      </c>
      <c r="G352" s="11" t="inlineStr">
        <is>
          <t>out = earmark leaves out(accounts, names, rentals)
the answer:
`leaves out ${out.join(', ')} — value not entered`   if count of out
nothing   otherwise</t>
        </is>
      </c>
      <c r="H352" s="3" t="inlineStr">
        <is>
          <t>Out is earmark leaves out(accounts, names, rentals). The answer is `leaves out ${out.join(', ')} — value entered is missing` — when how many out there are; no answer — otherwise.</t>
        </is>
      </c>
      <c r="I352" s="3" t="inlineStr">
        <is>
          <t>PARTLY READ — some of the code is still showing through; needs a hand pass</t>
        </is>
      </c>
      <c r="J352" s="3" t="inlineStr">
        <is>
          <t>1. accounts: AssetAccount[]
2. names?: Map&lt;string, string&gt;
3. rentals?: RentEntry[] | null</t>
        </is>
      </c>
      <c r="K352" s="3" t="inlineStr">
        <is>
          <t>string | null</t>
        </is>
      </c>
      <c r="L352" s="3" t="inlineStr">
        <is>
          <t>1. "Nest egg today" — on the Retirement cockpit screen, under "scRetired ?"
2. "WHAT COUNTS TOWARD RETIREMENT" — on a card used on more than one screen (PlanInputs), under "WHAT COUNTS TOWARD RETIREMENT"</t>
        </is>
      </c>
      <c r="M352" s="3" t="inlineStr">
        <is>
          <t>None found in this function — anything it assumes comes from the functions it depends on.</t>
        </is>
      </c>
      <c r="N352" s="3" t="inlineStr">
        <is>
          <t>Yes</t>
        </is>
      </c>
      <c r="O352" s="3" t="inlineStr">
        <is>
          <t>MK-NW-F-135 earmarkLeavesOut</t>
        </is>
      </c>
      <c r="P352" s="3" t="n">
        <v>45</v>
      </c>
      <c r="Q352" s="3" t="inlineStr">
        <is>
          <t>1. MK-NW-F-135 earmarkLeavesOut
2. MK-NW-F-030 earmarkDefault
3. MK-CF-F-132 map
4. MK-NW-F-031 primaryCarIdOf
5. MK-NW-F-110 primaryHomeIdOf
6. MK-NW-F-133 valueEntered
7. MK-NW-F-011 assetClassOf
8. MK-NW-F-134 carValueNotEnteredNotes
9. MK-NW-F-117 propertyUseMap
10. MK-NW-F-120 classEvidenceOf
11. MK-ST-F-053 money
12. MK-NW-F-033 retirementEarmarkedValue
13. MK-ST-F-056 has
14. MK-NW-F-116 rentedIdsOf
15. MK-CF-F-155 cash
16. MK-NW-F-008 incomeBearingClassOf
17. MK-NW-F-009 maturityClass
18. MK-ST-F-049 formatMoney
19. MK-XS-F-122 n
20. MK-NW-F-032 earmarkedAmount
21. MK-NW-F-115 liveRent
22. MK-ST-F-010 nameEvidence
23. MK-NW-F-124 maturityParts
24. MK-CF-F-216 typed
25. MK-ST-F-048 currencySymbol
26. MK-ST-F-039 on
27. MK-CF-O-002 expenses
28. MK-NW-F-114 rentAmount
29. MK-XS-F-147 call
30. MK-ST-F-047 activeCurrency
31. MK-CF-F-151 actualSpending
32. MK-CF-F-150 debtPaymentsCountedAsExpenses
33. MK-CF-F-153 radar
34. MK-CF-F-149 recurringDebtPayments
35. MK-ST-F-085 rentFigure
36. MK-ST-F-027 accountId
37. MK-XS-F-064 currentIdToken
38. MK-XS-F-112 relayUrl
39. MK-CF-F-148 inMonth
40. MK-ST-F-052 toNum
41. MK-CF-F-191 ym
42. MK-CF-F-022 paymentShape
43. MK-CF-F-152 isRadarItem
44. MK-CF-F-023 requiredPayment
45. MK-CF-F-021 defaultPaymentType</t>
        </is>
      </c>
      <c r="R352" s="3" t="inlineStr">
        <is>
          <t>1. MK-CF-F-155 cash → MK-NW-F-120 classEvidenceOf → MK-NW-F-011 assetClassOf → MK-NW-F-030 earmarkDefault → MK-NW-F-135 earmarkLeavesOut → MK-NW-F-136 earmarkLeavesOutWords
2. MK-NW-F-008 incomeBearingClassOf → MK-NW-F-120 classEvidenceOf → MK-NW-F-011 assetClassOf → MK-NW-F-030 earmarkDefault → MK-NW-F-135 earmarkLeavesOut → MK-NW-F-136 earmarkLeavesOutWords
3. MK-NW-F-009 maturityClass → MK-NW-F-120 classEvidenceOf → MK-NW-F-011 assetClassOf → MK-NW-F-030 earmarkDefault → MK-NW-F-135 earmarkLeavesOut → MK-NW-F-136 earmarkLeavesOutWords
4. MK-CF-F-132 map → MK-NW-F-135 earmarkLeavesOut → MK-NW-F-136 earmarkLeavesOutWords
5. MK-CF-F-132 map → MK-NW-F-134 carValueNotEnteredNotes → MK-NW-F-031 primaryCarIdOf → MK-NW-F-135 earmarkLeavesOut → MK-NW-F-136 earmarkLeavesOutWords
6. MK-ST-F-049 formatMoney → MK-ST-F-053 money → MK-NW-F-134 carValueNotEnteredNotes → MK-NW-F-031 primaryCarIdOf → MK-NW-F-135 earmarkLeavesOut → MK-NW-F-136 earmarkLeavesOutWords
7. MK-XS-F-122 n → MK-ST-F-053 money → MK-NW-F-134 carValueNotEnteredNotes → MK-NW-F-031 primaryCarIdOf → MK-NW-F-135 earmarkLeavesOut → MK-NW-F-136 earmarkLeavesOutWords
8. primaryCarIdOf (already above — a loop) → MK-NW-F-134 carValueNotEnteredNotes → MK-NW-F-031 primaryCarIdOf → MK-NW-F-135 earmarkLeavesOut → MK-NW-F-136 earmarkLeavesOutWords
9. … and 4 more paths</t>
        </is>
      </c>
      <c r="S352" s="3" t="inlineStr">
        <is>
          <t>—</t>
        </is>
      </c>
      <c r="T352" s="3" t="inlineStr">
        <is>
          <t>—</t>
        </is>
      </c>
      <c r="U352" s="3" t="inlineStr">
        <is>
          <t>ACTIVE</t>
        </is>
      </c>
      <c r="V352" s="3" t="inlineStr">
        <is>
          <t>2026-10-13</t>
        </is>
      </c>
      <c r="W352" s="3" t="n"/>
      <c r="X352" s="3" t="n"/>
      <c r="Y352" s="3" t="inlineStr">
        <is>
          <t>NOTHING OPEN</t>
        </is>
      </c>
    </row>
    <row r="353" ht="60" customHeight="1">
      <c r="A353" s="3" t="inlineStr">
        <is>
          <t>MK-NW-F-137</t>
        </is>
      </c>
      <c r="B353" s="3" t="inlineStr">
        <is>
          <t>asksCashOrInvestments</t>
        </is>
      </c>
      <c r="C353" s="3" t="inlineStr">
        <is>
          <t>src/domain/assets/index.ts</t>
        </is>
      </c>
      <c r="D353" s="3" t="n">
        <v>2499</v>
      </c>
      <c r="E353" s="3" t="inlineStr">
        <is>
          <t>1 · ACTION</t>
        </is>
      </c>
      <c r="F353" s="3" t="inlineStr">
        <is>
          <t>(DEC-4036g, 2026-10-10) Whether an account still carries that question: marked by sign-up, and still Unclassified.</t>
        </is>
      </c>
      <c r="G353" s="11" t="inlineStr">
        <is>
          <t>class question = 'cash_or_investments' and asset class of(a) = 'mixed'</t>
        </is>
      </c>
      <c r="H353" s="3" t="inlineStr">
        <is>
          <t>class question = 'cash_or_investments' and asset class of(a) = 'mixed'</t>
        </is>
      </c>
      <c r="I353" s="3" t="inlineStr">
        <is>
          <t>READ FROM THE CODE — rendered from the expressions the function runs</t>
        </is>
      </c>
      <c r="J353" s="3" t="inlineStr">
        <is>
          <t>a: AssetAccount</t>
        </is>
      </c>
      <c r="K353" s="3" t="inlineStr">
        <is>
          <t>boolean</t>
        </is>
      </c>
      <c r="L353" s="3" t="inlineStr">
        <is>
          <t>—</t>
        </is>
      </c>
      <c r="M353" s="3" t="inlineStr">
        <is>
          <t>None found in this function — anything it assumes comes from the functions it depends on.</t>
        </is>
      </c>
      <c r="N353" s="3" t="inlineStr">
        <is>
          <t>Yes</t>
        </is>
      </c>
      <c r="O353" s="3" t="inlineStr">
        <is>
          <t>MK-NW-F-011 assetClassOf</t>
        </is>
      </c>
      <c r="P353" s="3" t="n">
        <v>15</v>
      </c>
      <c r="Q353" s="3" t="inlineStr">
        <is>
          <t>1. MK-NW-F-011 assetClassOf
2. MK-NW-F-120 classEvidenceOf
3. MK-CF-F-155 cash
4. MK-NW-F-008 incomeBearingClassOf
5. MK-NW-F-009 maturityClass
6. MK-XS-F-122 n
7. MK-ST-F-010 nameEvidence
8. MK-NW-F-124 maturityParts
9. MK-CF-F-216 typed
10. MK-XS-F-147 call
11. MK-ST-F-056 has
12. MK-CF-F-132 map
13. MK-ST-F-027 accountId
14. MK-XS-F-064 currentIdToken
15. MK-XS-F-112 relayUrl</t>
        </is>
      </c>
      <c r="R353" s="3" t="inlineStr">
        <is>
          <t>1. MK-XS-F-122 n → MK-CF-F-155 cash → MK-NW-F-120 classEvidenceOf → MK-NW-F-011 assetClassOf → MK-NW-F-137 asksCashOrInvestments
2. MK-XS-F-122 n → MK-CF-F-155 cash → MK-NW-F-008 incomeBearingClassOf → MK-NW-F-120 classEvidenceOf → MK-NW-F-011 assetClassOf → MK-NW-F-137 asksCashOrInvestments
3. MK-XS-F-147 call → MK-ST-F-010 nameEvidence → MK-NW-F-008 incomeBearingClassOf → MK-NW-F-120 classEvidenceOf → MK-NW-F-011 assetClassOf → MK-NW-F-137 asksCashOrInvestments
4. MK-ST-F-056 has → MK-ST-F-010 nameEvidence → MK-NW-F-008 incomeBearingClassOf → MK-NW-F-120 classEvidenceOf → MK-NW-F-011 assetClassOf → MK-NW-F-137 asksCashOrInvestments
5. MK-CF-F-132 map → MK-ST-F-010 nameEvidence → MK-NW-F-008 incomeBearingClassOf → MK-NW-F-120 classEvidenceOf → MK-NW-F-011 assetClassOf → MK-NW-F-137 asksCashOrInvestments
6. assetClassOf (already above — a loop) → MK-NW-F-009 maturityClass → MK-NW-F-120 classEvidenceOf → MK-NW-F-011 assetClassOf → MK-NW-F-137 asksCashOrInvestments
7. maturityClass (already above — a loop) → MK-NW-F-124 maturityParts → MK-NW-F-009 maturityClass → MK-NW-F-120 classEvidenceOf → MK-NW-F-011 assetClassOf → MK-NW-F-137 asksCashOrInvestments
8. MK-CF-F-216 typed → MK-NW-F-124 maturityParts → MK-NW-F-009 maturityClass → MK-NW-F-120 classEvidenceOf → MK-NW-F-011 assetClassOf → MK-NW-F-137 asksCashOrInvestments
9. … and 1 more paths</t>
        </is>
      </c>
      <c r="S353" s="3" t="inlineStr">
        <is>
          <t>—</t>
        </is>
      </c>
      <c r="T353" s="3" t="inlineStr">
        <is>
          <t>—</t>
        </is>
      </c>
      <c r="U353" s="3" t="inlineStr">
        <is>
          <t>ACTIVE</t>
        </is>
      </c>
      <c r="V353" s="3" t="inlineStr">
        <is>
          <t>2026-10-10</t>
        </is>
      </c>
      <c r="W353" s="3" t="n"/>
      <c r="X353" s="3" t="n"/>
      <c r="Y353" s="3" t="inlineStr">
        <is>
          <t>NOTHING OPEN</t>
        </is>
      </c>
    </row>
    <row r="354" ht="60" customHeight="1">
      <c r="A354" s="3" t="inlineStr">
        <is>
          <t>MK-NW-F-138</t>
        </is>
      </c>
      <c r="B354" s="3" t="inlineStr">
        <is>
          <t>knownHoldingsReturn</t>
        </is>
      </c>
      <c r="C354" s="3" t="inlineStr">
        <is>
          <t>MoneyKeel/functions/networth-and-performance/performance.ts</t>
        </is>
      </c>
      <c r="D354" s="3" t="n">
        <v>487</v>
      </c>
      <c r="E354" s="3" t="inlineStr">
        <is>
          <t>3 · DEPENDENT</t>
        </is>
      </c>
      <c r="F354" s="3" t="inlineStr">
        <is>
          <t>THE RETURN OF THE HOLDINGS WHOSE GROWTH IS KNOWN, where the beginning is worked back from today (DEC-5068, 2026-10-13: "Wealth Generated and Return should be calculated and displayed for every asset with history").</t>
        </is>
      </c>
      <c r="G354" s="11" t="inlineStr">
        <is>
          <t>now = 0, start = 0
mv = market value (or 0 when missing)
pr = window total(period return, period total, years)
nothing   when not (now &gt; 0) or !(start &gt; 0)
the answer = now ÷ start − 1</t>
        </is>
      </c>
      <c r="H354" s="3" t="inlineStr">
        <is>
          <t>Now is 0, start = 0. Mv is market value (or 0 — when missing). Pr is window total(period return, period total, years). When not (now &gt; 0) or !(start &gt; 0), it answers no answer. The answer is now divided by start minus 1.</t>
        </is>
      </c>
      <c r="I354" s="3" t="inlineStr">
        <is>
          <t>READ FROM THE CODE — rendered from the expressions the function runs</t>
        </is>
      </c>
      <c r="J354" s="3" t="inlineStr">
        <is>
          <t>1. rows: GainRow[]
2. years = 0</t>
        </is>
      </c>
      <c r="K354" s="3" t="inlineStr">
        <is>
          <t>number | null</t>
        </is>
      </c>
      <c r="L354" s="3" t="inlineStr">
        <is>
          <t>—</t>
        </is>
      </c>
      <c r="M354" s="3" t="inlineStr">
        <is>
          <t>· If market value is missing it uses 0.</t>
        </is>
      </c>
      <c r="N354" s="3" t="inlineStr">
        <is>
          <t>Yes</t>
        </is>
      </c>
      <c r="O354" s="3" t="inlineStr">
        <is>
          <t>1. MK-PF-F-010 periodReturn
2. MK-PF-F-042 windowTotal</t>
        </is>
      </c>
      <c r="P354" s="3" t="n">
        <v>9</v>
      </c>
      <c r="Q354" s="3" t="inlineStr">
        <is>
          <t>1. MK-PF-F-010 periodReturn
2. MK-PF-F-042 windowTotal
3. MK-PF-F-039 periodReturnParts
4. MK-PF-F-029 closeAsOf
5. MK-PF-F-037 dayBefore
6. MK-PF-F-009 latestClose
7. MK-ST-F-030 record
8. MK-PF-F-008 startDateFor
9. MK-PF-F-036 monthsBefore</t>
        </is>
      </c>
      <c r="R354" s="3" t="inlineStr">
        <is>
          <t>1. MK-PF-F-029 closeAsOf → MK-PF-F-039 periodReturnParts → MK-PF-F-010 periodReturn → MK-NW-F-138 knownHoldingsReturn
2. MK-PF-F-037 dayBefore → MK-PF-F-039 periodReturnParts → MK-PF-F-010 periodReturn → MK-NW-F-138 knownHoldingsReturn
3. MK-PF-F-009 latestClose → MK-PF-F-039 periodReturnParts → MK-PF-F-010 periodReturn → MK-NW-F-138 knownHoldingsReturn
4. MK-ST-F-030 record → MK-PF-F-039 periodReturnParts → MK-PF-F-010 periodReturn → MK-NW-F-138 knownHoldingsReturn
5. MK-PF-F-036 monthsBefore → MK-PF-F-008 startDateFor → MK-PF-F-039 periodReturnParts → MK-PF-F-010 periodReturn → MK-NW-F-138 knownHoldingsReturn
6. MK-PF-F-042 windowTotal → MK-NW-F-138 knownHoldingsReturn</t>
        </is>
      </c>
      <c r="S354" s="3" t="inlineStr">
        <is>
          <t>—</t>
        </is>
      </c>
      <c r="T354" s="3" t="inlineStr">
        <is>
          <t>—</t>
        </is>
      </c>
      <c r="U354" s="3" t="inlineStr">
        <is>
          <t>ACTIVE</t>
        </is>
      </c>
      <c r="V354" s="3" t="inlineStr">
        <is>
          <t>2026-10-13</t>
        </is>
      </c>
      <c r="W354" s="3" t="n"/>
      <c r="X354" s="3" t="n"/>
      <c r="Y354" s="3" t="inlineStr">
        <is>
          <t>NOTHING OPEN</t>
        </is>
      </c>
    </row>
    <row r="355" ht="60" customHeight="1">
      <c r="A355" s="3" t="inlineStr">
        <is>
          <t>MK-NW-O-001</t>
        </is>
      </c>
      <c r="B355" s="3" t="inlineStr">
        <is>
          <t>theBonds</t>
        </is>
      </c>
      <c r="C355" s="3" t="inlineStr">
        <is>
          <t>MoneyKeel/functions/networth-and-performance/bonds.ts</t>
        </is>
      </c>
      <c r="D355" s="3" t="n">
        <v>228</v>
      </c>
      <c r="E355" s="3" t="inlineStr">
        <is>
          <t>2 · DISPLAYED</t>
        </is>
      </c>
      <c r="F355" s="3" t="inlineStr">
        <is>
          <t>What bonds and CDs do I hold, what do they pay, and when do they mature?</t>
        </is>
      </c>
      <c r="G355" s="11" t="inlineStr">
        <is>
          <t>now = input.today (or new date() when missing)
held = input.accounts (or none when missing) where is bond
maturity day = (m: string) =&gt; { const p = maturity parts(m); return p ? date.UTC(p[0], p[1] − 1, p[2]) : infinity; }
sum = bond summary(held.map(bond info), now)
one = nothing
b = bond info(opened)
row = row of(opened, now)
matured today = row.years left = 0</t>
        </is>
      </c>
      <c r="H355" s="3" t="inlineStr">
        <is>
          <t>Now is input.today (or new date() — when missing). Held is input.accounts (or none — when missing) where is bond. Maturity day is (m: string) =&gt; { const p = maturity parts(m); return p ? date.UTC(p[0], p[1] minus 1, p[2]) : infinity; }. Sum is bond summary(held.map(bond info), now). One is no answer. B is bond info(opened). Row is row of(opened, now). Matured today is row.years left = 0.</t>
        </is>
      </c>
      <c r="I355" s="3" t="inlineStr">
        <is>
          <t>PARTLY READ — some of the code is still showing through; needs a hand pass</t>
        </is>
      </c>
      <c r="J355" s="3" t="inlineStr">
        <is>
          <t>input: BondsInput</t>
        </is>
      </c>
      <c r="K355" s="3" t="inlineStr">
        <is>
          <t>Bonds</t>
        </is>
      </c>
      <c r="L355" s="3" t="inlineStr">
        <is>
          <t>NOT FOUND — a screen calls it, but the words printed beside its answer could not be traced automatically. Needs reading.</t>
        </is>
      </c>
      <c r="M355" s="3" t="inlineStr">
        <is>
          <t>· Uses today's date from the device clock, so the answer changes by itself overnight.</t>
        </is>
      </c>
      <c r="N355" s="3" t="inlineStr">
        <is>
          <t>Yes</t>
        </is>
      </c>
      <c r="O355" s="3" t="inlineStr">
        <is>
          <t>1. MK-ST-F-027 accountId
2. MK-NW-F-057 annualCoupon
3. MK-NW-F-056 bondInfo
4. MK-NW-F-064 bondRateSensitivity
5. MK-NW-F-061 bondSummary
6. MK-NW-F-055 isBond
7. MK-CF-F-132 map
8. MK-NW-F-124 maturityParts
9. MK-NW-F-072 rowOf
10. MK-NW-F-112 yearlyInterest</t>
        </is>
      </c>
      <c r="P355" s="3" t="n">
        <v>33</v>
      </c>
      <c r="Q355" s="3" t="inlineStr">
        <is>
          <t>1. MK-ST-F-027 accountId
2. MK-NW-F-057 annualCoupon
3. MK-NW-F-056 bondInfo
4. MK-NW-F-064 bondRateSensitivity
5. MK-NW-F-061 bondSummary
6. MK-NW-F-055 isBond
7. MK-CF-F-132 map
8. MK-NW-F-124 maturityParts
9. MK-NW-F-072 rowOf
10. MK-NW-F-112 yearlyInterest
11. MK-CF-F-155 cash
12. MK-NW-F-060 approxYTM
13. MK-NW-F-069 priceAtYield
14. MK-NW-F-131 pricedLikeBond
15. MK-NW-F-125 isPastMaturity
16. MK-ST-F-065 isoLocalDate
17. MK-NW-F-126 yearlyInterestNow
18. MK-NW-F-011 assetClassOf
19. MK-NW-F-009 maturityClass
20. MK-CF-F-216 typed
21. MK-NW-F-070 accruedInterestCaveat
22. MK-NW-F-059 currentYield
23. MK-NW-F-058 yearsToMaturity
24. MK-XS-F-122 n
25. MK-NW-F-119 estimatedAccrued
26. MK-NW-F-120 classEvidenceOf
27. MK-NW-F-067 plural
28. MK-NW-F-008 incomeBearingClassOf
29. MK-ST-F-010 nameEvidence
30. MK-XS-F-147 call
31. MK-ST-F-056 has
32. MK-XS-F-064 currentIdToken
33. MK-XS-F-112 relayUrl</t>
        </is>
      </c>
      <c r="R355" s="3" t="inlineStr">
        <is>
          <t>1. MK-ST-F-027 accountId → MK-NW-O-001 theBonds
2. MK-NW-F-057 annualCoupon → MK-NW-O-001 theBonds
3. MK-XS-F-122 n → MK-CF-F-155 cash → MK-NW-F-056 bondInfo → MK-NW-O-001 theBonds
4. MK-NW-F-120 classEvidenceOf → MK-NW-F-011 assetClassOf → MK-NW-F-009 maturityClass → MK-NW-F-124 maturityParts → MK-NW-F-056 bondInfo → MK-NW-O-001 theBonds
5. maturityParts (already above — a loop) → MK-NW-F-009 maturityClass → MK-NW-F-124 maturityParts → MK-NW-F-056 bondInfo → MK-NW-O-001 theBonds
6. MK-CF-F-216 typed → MK-NW-F-009 maturityClass → MK-NW-F-124 maturityParts → MK-NW-F-056 bondInfo → MK-NW-O-001 theBonds
7. MK-CF-F-216 typed → MK-NW-F-124 maturityParts → MK-NW-F-056 bondInfo → MK-NW-O-001 theBonds
8. MK-NW-F-009 maturityClass → MK-NW-F-124 maturityParts → MK-NW-F-119 estimatedAccrued → MK-NW-F-060 approxYTM → MK-NW-F-064 bondRateSensitivity → MK-NW-O-001 theBonds
9. … and 5 more paths</t>
        </is>
      </c>
      <c r="S355" s="3" t="inlineStr">
        <is>
          <t>MK-NW-M-023 · MK-NW-M-024 · MK-NW-M-025 · MK-NW-M-026 · MK-NW-M-027 · MK-NW-M-041 · MK-NW-M-042 · MK-NW-M-043 · MK-NW-M-044 · MK-NW-M-045 · MK-NW-M-053 · MK-NW-M-054 · MK-NW-M-055 · MK-NW-M-056 · MK-NW-M-057 · MK-NW-M-058</t>
        </is>
      </c>
      <c r="T355" s="3" t="inlineStr">
        <is>
          <t>—</t>
        </is>
      </c>
      <c r="U355" s="3" t="inlineStr">
        <is>
          <t>ACTIVE</t>
        </is>
      </c>
      <c r="V355" s="3" t="inlineStr">
        <is>
          <t>2026-10-13</t>
        </is>
      </c>
      <c r="W355" s="3" t="n"/>
      <c r="X355" s="3" t="n"/>
      <c r="Y355" s="3" t="inlineStr">
        <is>
          <t>NOTHING OPEN</t>
        </is>
      </c>
    </row>
    <row r="356" ht="60" customHeight="1">
      <c r="A356" s="3" t="inlineStr">
        <is>
          <t>MK-NW-O-002</t>
        </is>
      </c>
      <c r="B356" s="3" t="inlineStr">
        <is>
          <t>theAccount</t>
        </is>
      </c>
      <c r="C356" s="3" t="inlineStr">
        <is>
          <t>MoneyKeel/functions/networth-and-performance/account.ts</t>
        </is>
      </c>
      <c r="D356" s="3" t="n">
        <v>102</v>
      </c>
      <c r="E356" s="3" t="inlineStr">
        <is>
          <t>2 · DISPLAYED</t>
        </is>
      </c>
      <c r="F356" s="3" t="inlineStr">
        <is>
          <t>What is in this one account: what it is worth, what it holds, what each holding has paid, and its activity?</t>
        </is>
      </c>
      <c r="G356" s="11" t="inlineStr">
        <is>
          <t>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56" s="3" t="inlineStr">
        <is>
          <t>Id is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56" s="3" t="inlineStr">
        <is>
          <t>PARTLY READ — some of the code is still showing through; needs a hand pass</t>
        </is>
      </c>
      <c r="J356" s="3" t="inlineStr">
        <is>
          <t>Nothing is handed to it</t>
        </is>
      </c>
      <c r="K356" s="3" t="inlineStr">
        <is>
          <t>NOT DECLARED — the code does not say what it gives back</t>
        </is>
      </c>
      <c r="L356" s="3" t="inlineStr">
        <is>
          <t>NOT FOUND — a screen calls it, but the words printed beside its answer could not be traced automatically. Needs reading.</t>
        </is>
      </c>
      <c r="M356" s="3" t="inlineStr">
        <is>
          <t>1. If balance is missing it counts as zero, so nothing recorded and a real zero look the same.
2. If amount is missing it counts as zero, so nothing recorded and a real zero look the same.
3. Rounds the answer to a whole number.</t>
        </is>
      </c>
      <c r="N356" s="3" t="inlineStr">
        <is>
          <t>Yes</t>
        </is>
      </c>
      <c r="O356" s="3" t="inlineStr">
        <is>
          <t>1. MK-NW-F-027 accountClassBreakdown
2. MK-CF-F-118 cashEffect
3. MK-CF-F-132 map
4. MK-ST-F-013 personalFlowTotals
5. MK-ST-F-030 record
6. MK-ST-F-021 toNumber</t>
        </is>
      </c>
      <c r="P356" s="3" t="n">
        <v>27</v>
      </c>
      <c r="Q356" s="3" t="inlineStr">
        <is>
          <t>1. MK-NW-F-027 accountClassBreakdown
2. MK-CF-F-118 cashEffect
3. MK-CF-F-132 map
4. MK-ST-F-013 personalFlowTotals
5. MK-ST-F-030 record
6. MK-ST-F-021 toNumber
7. MK-NW-F-011 assetClassOf
8. MK-CF-F-155 cash
9. MK-ST-F-056 has
10. MK-NW-F-109 holdingClassOf
11. MK-NW-F-067 plural
12. MK-XS-F-122 n
13. MK-NW-F-120 classEvidenceOf
14. MK-NW-F-123 holdingNameEvidence
15. MK-NW-F-121 holdingTagClass
16. MK-NW-F-054 reclassifyAccounts
17. MK-NW-F-008 incomeBearingClassOf
18. MK-NW-F-009 maturityClass
19. MK-NW-F-053 correctClassOf
20. MK-NW-F-122 holdingTagFor
21. MK-ST-F-010 nameEvidence
22. MK-NW-F-124 maturityParts
23. MK-CF-F-216 typed
24. MK-XS-F-147 call
25. MK-ST-F-027 accountId
26. MK-XS-F-064 currentIdToken
27. MK-XS-F-112 relayUrl</t>
        </is>
      </c>
      <c r="R356" s="3" t="inlineStr">
        <is>
          <t>1. MK-XS-F-122 n → MK-CF-F-155 cash → MK-NW-F-120 classEvidenceOf → MK-NW-F-011 assetClassOf → MK-NW-F-027 accountClassBreakdown → MK-NW-O-002 theAccount
2. MK-CF-F-155 cash → MK-NW-F-008 incomeBearingClassOf → MK-NW-F-120 classEvidenceOf → MK-NW-F-011 assetClassOf → MK-NW-F-027 accountClassBreakdown → MK-NW-O-002 theAccount
3. MK-ST-F-010 nameEvidence → MK-NW-F-008 incomeBearingClassOf → MK-NW-F-120 classEvidenceOf → MK-NW-F-011 assetClassOf → MK-NW-F-027 accountClassBreakdown → MK-NW-O-002 theAccount
4. assetClassOf (already above — a loop) → MK-NW-F-009 maturityClass → MK-NW-F-120 classEvidenceOf → MK-NW-F-011 assetClassOf → MK-NW-F-027 accountClassBreakdown → MK-NW-O-002 theAccount
5. MK-NW-F-124 maturityParts → MK-NW-F-009 maturityClass → MK-NW-F-120 classEvidenceOf → MK-NW-F-011 assetClassOf → MK-NW-F-027 accountClassBreakdown → MK-NW-O-002 theAccount
6. MK-CF-F-216 typed → MK-NW-F-009 maturityClass → MK-NW-F-120 classEvidenceOf → MK-NW-F-011 assetClassOf → MK-NW-F-027 accountClassBreakdown → MK-NW-O-002 theAccount
7. MK-XS-F-122 n → MK-CF-F-155 cash → MK-NW-F-027 accountClassBreakdown → MK-NW-O-002 theAccount
8. MK-ST-F-056 has → MK-NW-F-027 accountClassBreakdown → MK-NW-O-002 theAccount
9. … and 5 more paths</t>
        </is>
      </c>
      <c r="S356" s="3" t="inlineStr">
        <is>
          <t>MK-NW-M-019 · MK-NW-M-020 · MK-NW-M-021 · MK-NW-M-038 · MK-NW-M-039 · MK-NW-M-040 · MK-NW-M-062</t>
        </is>
      </c>
      <c r="T356" s="3" t="inlineStr">
        <is>
          <t>—</t>
        </is>
      </c>
      <c r="U356" s="3" t="inlineStr">
        <is>
          <t>ACTIVE</t>
        </is>
      </c>
      <c r="V356" s="3" t="inlineStr">
        <is>
          <t>2026-10-07</t>
        </is>
      </c>
      <c r="W356" s="3" t="n"/>
      <c r="X356" s="3" t="n"/>
      <c r="Y356" s="3" t="inlineStr">
        <is>
          <t>NOTHING OPEN</t>
        </is>
      </c>
    </row>
    <row r="357" ht="60" customHeight="1">
      <c r="A357" s="3" t="inlineStr">
        <is>
          <t>MK-NW-O-003</t>
        </is>
      </c>
      <c r="B357" s="3" t="inlineStr">
        <is>
          <t>theNetWorth</t>
        </is>
      </c>
      <c r="C357" s="3" t="inlineStr">
        <is>
          <t>MoneyKeel/functions/networth-and-performance/net-worth.ts</t>
        </is>
      </c>
      <c r="D357" s="3" t="n">
        <v>127</v>
      </c>
      <c r="E357" s="3" t="inlineStr">
        <is>
          <t>2 · DISPLAYED</t>
        </is>
      </c>
      <c r="F357" s="3" t="inlineStr">
        <is>
          <t>What am I worth: everything I own, less everything I owe, and how each breaks down?</t>
        </is>
      </c>
      <c r="G357"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the answer = { unclassed, unclassed sentence }
nothing   when input.since is missing
today = input.today (or iso local date(new date()) when missing)
start = `${input.since}-01`   if input.since.length = 7
input.since   otherwise
… the first steps only — the rest of the body needs reading by hand.</t>
        </is>
      </c>
      <c r="H357"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The answer is { unclassed, unclassed sentence }. When input.since is missing, it answers no answer. Today is input.today (or iso local date(new date()) — when missing). Start is `${input.since}-01` — when input.since.length = 7; input.since — otherwise. Only the first steps are shown; the rest of the body needs reading by hand.</t>
        </is>
      </c>
      <c r="I357" s="3" t="inlineStr">
        <is>
          <t>PARTLY READ — some of the code is still showing through; needs a hand pass</t>
        </is>
      </c>
      <c r="J357" s="3" t="inlineStr">
        <is>
          <t>Nothing is handed to it</t>
        </is>
      </c>
      <c r="K357" s="3" t="inlineStr">
        <is>
          <t>NOT DECLARED — the code does not say what it gives back</t>
        </is>
      </c>
      <c r="L357" s="3" t="inlineStr">
        <is>
          <t>1. "Monthly debt payments" — on the Net worth screen, under "💳  DEBTS"
2. "Net worth so far" — on the Net worth screen, under "EMERGENCY FUND"
3. "Net worth" — on the Home screen</t>
        </is>
      </c>
      <c r="M357" s="3" t="inlineStr">
        <is>
          <t>1. If alternatives is missing it uses 0.
2. If remaining balance is missing it counts as zero, so nothing recorded and a real zero look the same.
3. Uses today's date from the device clock, so the answer changes by itself overnight.</t>
        </is>
      </c>
      <c r="N357" s="3" t="inlineStr">
        <is>
          <t>Yes</t>
        </is>
      </c>
      <c r="O357" s="3" t="inlineStr">
        <is>
          <t>1. MK-NW-F-078 ONE
2. MK-NW-F-029 assetAllocation
3. MK-NW-F-011 assetClassOf
4. MK-NW-F-039 buildAssetsState
5. MK-ST-F-028 buildDayFromAccounts
6. MK-CF-F-036 buildDebtState
7. MK-NW-F-065 buildNetWorth
8. MK-NW-F-016 cashTotal
9. MK-ST-F-056 has
10. MK-NW-F-022 investableAssets
11. MK-NW-F-021 investmentsTotal
12. MK-NW-F-014 isRealAsset
13. MK-ST-F-065 isoLocalDate
14. MK-CF-F-204 line
15. MK-CF-F-132 map
16. MK-NW-F-106 mortgagesByProperty
17. MK-ST-F-082 movementsOf
18. MK-ST-F-039 on
19. MK-ST-F-030 record
20. MK-CF-F-023 requiredPayment
21. MK-ST-F-081 timeWeightedReturn
22. MK-XS-F-175 uid</t>
        </is>
      </c>
      <c r="P357" s="3" t="n">
        <v>225</v>
      </c>
      <c r="Q357" s="3" t="inlineStr">
        <is>
          <t>1. MK-NW-F-078 ONE
2. MK-NW-F-029 assetAllocation
3. MK-NW-F-011 assetClassOf
4. MK-NW-F-039 buildAssetsState
5. MK-ST-F-028 buildDayFromAccounts
6. MK-CF-F-036 buildDebtState
7. MK-NW-F-065 buildNetWorth
8. MK-NW-F-016 cashTotal
9. MK-ST-F-056 has
10. MK-NW-F-022 investableAssets
11. MK-NW-F-021 investmentsTotal
12. MK-NW-F-014 isRealAsset
13. MK-ST-F-065 isoLocalDate
14. MK-CF-F-204 line
15. MK-CF-F-132 map
16. MK-NW-F-106 mortgagesByProperty
17. MK-ST-F-082 movementsOf
18. MK-ST-F-039 on
19. MK-ST-F-030 record
20. MK-CF-F-023 requiredPayment
21. MK-ST-F-081 timeWeightedReturn
22. MK-XS-F-175 uid
23. MK-NW-F-077 ALL
24. MK-NW-F-059 currentYield
25. MK-XS-F-180 declareFigures
26. MK-ST-F-049 formatMoney
27. MK-ST-F-053 money
28. MK-NW-O-001 theBonds
29. MK-NW-F-027 accountClassBreakdown
30. MK-NW-F-120 classEvidenceOf
31. MK-CF-F-026 actualDebtPayment
32. MK-CF-F-025 minimumDebtService
33. MK-CF-F-027 totalDebtBalance
34. MK-NW-F-066 sumWhere
35. MK-NW-F-023 wrapperWord
36. MK-CF-F-155 cash
37. MK-CF-F-203 MONTH
38. MK-CF-F-022 paymentShape
39. MK-ST-F-027 accountId
40. MK-ST-F-083 accountValuesOn
41. MK-ST-F-080 isDay
42. MK-CF-F-111 applyTransaction
43. MK-NW-F-040 assetsFromOnboarding
44. MK-PF-F-013 benchmarkTicker
45. MK-PF-F-034 closeOnOrBefore
46. MK-CF-F-186 convertTakeHomeMode
47. MK-ST-F-079 dailyWindowStart
48. MK-CF-F-038 debtsFromOnboarding
49. MK-XS-F-083 fetchPriceSeries
50. MK-ST-F-084 fillBetweenObservations
51. MK-PL-F-013 goalsFromOnboarding
52. MK-CF-F-116 inverseOf
53. MK-CF-F-112 makeTransaction
54. MK-CF-F-218 moveOldRentFigure
55. MK-XS-F-122 n
56. MK-ST-F-043 newEntityId
57. MK-XS-F-006 pruneDaily
58. MK-ST-F-073 rebuildDays
59. MK-NW-F-054 reclassifyAccounts
60. MK-XS-F-174 recomputeBalances
61. MK-CF-F-115 restoreUndo
62. MK-CF-F-109 reviewTransactions
63. MK-ST-F-044 setMoneyFormat
64. MK-NW-O-004 theEmergencyFund
65. MK-CF-F-114 undoSnapshot
66. MK-CF-F-191 ym
67. MK-NW-F-112 yearlyInterest
68. MK-ST-F-048 currencySymbol
69. MK-NW-F-057 annualCoupon
70. MK-NW-F-056 bondInfo
71. MK-NW-F-064 bondRateSensitivity
72. MK-NW-F-061 bondSummary
73. MK-NW-F-055 isBond
74. MK-NW-F-124 maturityParts
75. MK-NW-F-072 rowOf
76. MK-NW-F-109 holdingClassOf
77. MK-NW-F-067 plural
78. MK-NW-F-008 incomeBearingClassOf
79. MK-NW-F-009 maturityClass
80. MK-CF-F-024 totalDebtMonthly
81. MK-CF-O-010 theMonth
82. MK-CF-F-021 defaultPaymentType
83. MK-CF-F-138 addLot
84. MK-CF-F-136 bumpCash
85. MK-CF-F-137 findPos
86. MK-CF-F-139 removeShares
87. MK-PF-F-001 totalShares
88. MK-ST-F-052 toNum
89. MK-CF-F-085 filingStatusOf
90. MK-CF-F-097 grossFromNet
91. MK-CF-F-185 needsTakeHomeConversion
92. MK-CF-F-089 over65CountOf
93. MK-CF-F-037 inferDebtType
94. MK-CF-F-217 hasOldRentFigure
95. MK-CF-F-216 typed
96. MK-ST-F-069 amountOf
97. MK-CF-F-133 cashOf
98. MK-ST-F-066 isDayKey
99. MK-ST-F-070 isOpening
100. MK-ST-F-071 rebuildableFrom
101. MK-ST-F-068 stepDay
102. MK-ST-F-072 undo
103. MK-NW-F-053 correctClassOf
104. MK-NW-F-123 holdingNameEvidence
105. MK-NW-F-121 holdingTagClass
106. MK-NW-F-122 holdingTagFor
107. MK-PF-F-002 costBasis
108. MK-PF-F-009 latestClose
109. MK-PF-F-004 marketValue
110. MK-XS-F-024 resolveLens
111. MK-ST-F-055 round2
112. MK-CF-F-162 daysApart
113. MK-CF-F-108 isMoneyOut
114. MK-PL-F-074 median
115. MK-CF-F-131 normPayee
116. MK-CF-F-010 emergencyTest
117. MK-CF-F-190 essentialsMonthly
118. MK-CF-O-004 incomeSummary
119. MK-CF-F-009 monthlyEssentials
120. MK-CF-F-002 plannedMonthlySpend
121. MK-NW-F-117 propertyUseMap
122. MK-ST-F-085 rentFigure
123. MK-CF-O-020 theBudgetCounted
124. MK-CF-F-113 affectedAccountIds
125. MK-ST-F-047 activeCurrency
126. MK-NW-F-060 approxYTM
127. MK-NW-F-069 priceAtYield
128. MK-NW-F-131 pricedLikeBond
129. MK-NW-F-125 isPastMaturity
130. MK-NW-F-126 yearlyInterestNow
131. MK-NW-F-070 accruedInterestCaveat
132. MK-NW-F-058 yearsToMaturity
133. MK-ST-F-010 nameEvidence
134. MK-CF-F-201 INCOME
135. MK-CF-O-002 expenses
136. MK-CF-O-003 thisMonth
137. MK-CF-F-134 usesSleeve
138. MK-CF-F-101 taxOwedFor
139. MK-ST-F-067 utcOfDay
140. MK-ST-F-035 covers
141. MK-PF-F-031 contractMultiplier
142. MK-PF-F-035 unknownFigure
143. MK-CF-F-072 currentRetirementIncomeMonthly
144. MK-CF-F-189 essentialsFromLoggedSpending
145. MK-CF-O-001 basePay
146. MK-CF-F-069 benefitActiveMonths
147. MK-CF-F-173 earnerWages
148. MK-CF-F-179 entryFromWage
149. MK-CF-F-071 extraIncome
150. MK-CF-F-092 incomeMonthlyGrid
151. MK-CF-F-192 inflowLabel
152. MK-CF-F-103 marginalBracketFor
153. MK-CF-F-181 rateInForce
154. MK-CF-F-068 rentalNetAnnual
155. MK-CF-F-082 salaryAnnual
156. MK-CF-F-060 salaryGrossByMonth
157. MK-CF-F-084 taxableAnnual
158. MK-CF-F-120 pctBaseMonthly
159. MK-CF-F-004 spendBuckets
160. MK-XS-F-027 takeHomeMonthly
161. MK-NW-F-116 rentedIdsOf
162. MK-NW-F-107 propertyUses
163. MK-NW-F-119 estimatedAccrued
164. MK-XS-F-147 call
165. MK-CF-F-207 SOURCE
166. MK-CF-F-151 actualSpending
167. MK-CF-F-150 debtPaymentsCountedAsExpenses
168. MK-CF-F-153 radar
169. MK-CF-F-149 recurringDebtPayments
170. MK-CF-F-005 actualMonthFlow
171. MK-CF-F-156 plannedMonthFlow
172. MK-CF-F-100 taxableIncomeFor
173. MK-ST-F-034 firstDate
174. MK-CF-F-075 retirementIncomeMonthly
175. MK-CF-F-171 earnerPay
176. MK-HM-F-006 money0
177. MK-CF-F-198 payrollTaxWithheld
178. MK-CF-F-172 hasWage
179. MK-CF-F-165 salaryMonths
180. MK-CF-F-070 benefitAnnual
181. MK-CF-F-065 equityVestWeights
182. MK-CF-F-206 householdK401ByMonth
183. MK-CF-F-087 monthlyTaxRates
184. MK-CF-F-073 otherIncomeMonth
185. MK-CF-F-066 rsuAnnual
186. MK-CF-F-077 scholarshipByCalendarMonth
187. MK-CF-F-088 taxableByCalendarMonth
188. MK-CF-F-177 wageGrossByMonth
189. MK-PL-F-012 waterfall
190. MK-CF-F-193 inflowSourceWord
191. MK-CF-F-180 enteredLandsAnnual
192. MK-CF-F-086 stateRateOf
193. MK-CF-F-067 rentalList
194. MK-CF-F-176 sumMonthsOverEarners
195. MK-CF-F-074 tipsAnnual
196. MK-CF-F-003 categoryMonthly
197. MK-CF-F-011 savingsByMonth
198. MK-NW-F-115 liveRent
199. MK-XS-F-064 currentIdToken
200. MK-XS-F-112 relayUrl
201. MK-CF-O-016 incomeSources
202. MK-CF-F-148 inMonth
203. MK-CF-F-152 isRadarItem
204. MK-CF-F-157 debtPaymentsByDebt
205. MK-CF-F-099 deductionFor
206. MK-CF-F-143 annualisedGross
207. MK-CF-F-145 deductionsFromPay
208. MK-CF-F-128 grossByMonth
209. MK-CF-F-146 payFiguresAgree
210. MK-CF-F-144 takeHomeAsEntered
211. MK-HM-F-005 pctTxt
212. MK-CF-F-062 equityRowValue
213. MK-CF-F-090 effectiveRate
214. MK-CF-F-063 rowVestYear
215. MK-CF-F-130 enteredMonthlyRaw
216. MK-CF-F-166 hasMonthlySalaryTable
217. MK-ST-F-036 reconcile
218. MK-CF-F-167 salaryCalendarYear
219. MK-CF-F-081 salaryActiveMonths
220. MK-CF-F-008 spendByMonth
221. MK-NW-F-114 rentAmount
222. MK-CF-F-187 seniorDeductionFor
223. MK-CF-F-142 monthsOf
224. MK-CF-F-141 perMonth
225. MK-CF-F-140 periodsAYear</t>
        </is>
      </c>
      <c r="R357"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MK-NW-F-124 maturityParts → MK-NW-F-056 bondInfo → MK-NW-O-001 theBonds → MK-NW-F-077 ALL → MK-NW-F-078 ONE → MK-NW-O-003 theNetWorth
5. MK-NW-F-060 approxYTM → MK-NW-F-064 bondRateSensitivity → MK-NW-O-001 theBonds → MK-NW-F-077 ALL → MK-NW-F-078 ONE → MK-NW-O-003 theNetWorth
6. MK-NW-F-069 priceAtYield → MK-NW-F-064 bondRateSensitivity → MK-NW-O-001 theBonds → MK-NW-F-077 ALL → MK-NW-F-078 ONE → MK-NW-O-003 theNetWorth
7. MK-NW-F-131 pricedLikeBond → MK-NW-F-064 bondRateSensitivity → MK-NW-O-001 theBonds → MK-NW-F-077 ALL → MK-NW-F-078 ONE → MK-NW-O-003 theNetWorth
8. MK-NW-F-125 isPastMaturity → MK-NW-F-061 bondSummary → MK-NW-O-001 theBonds → MK-NW-F-077 ALL → MK-NW-F-078 ONE → MK-NW-O-003 theNetWorth
9. … and 5 more paths</t>
        </is>
      </c>
      <c r="S357" s="3" t="inlineStr">
        <is>
          <t>MK-MN-M-016 · MK-NW-M-001 · MK-NW-M-002 · MK-NW-M-004 · MK-NW-M-005 · MK-NW-M-006 · MK-NW-M-007 · MK-NW-M-008 · MK-NW-M-009 · MK-NW-M-011 · MK-NW-M-015 · MK-NW-M-016 · MK-NW-M-017 · MK-NW-M-049 · MK-NW-M-063 · MK-XS-M-001 · MK-XS-M-003</t>
        </is>
      </c>
      <c r="T357" s="3" t="inlineStr">
        <is>
          <t>—</t>
        </is>
      </c>
      <c r="U357" s="3" t="inlineStr">
        <is>
          <t>ACTIVE</t>
        </is>
      </c>
      <c r="V357" s="3" t="inlineStr">
        <is>
          <t>2026-10-05</t>
        </is>
      </c>
      <c r="W357" s="3" t="n"/>
      <c r="X357" s="3" t="n"/>
      <c r="Y357" s="3" t="inlineStr">
        <is>
          <t>NOTHING OPEN</t>
        </is>
      </c>
    </row>
    <row r="358" ht="60" customHeight="1">
      <c r="A358" s="3" t="inlineStr">
        <is>
          <t>MK-NW-O-004</t>
        </is>
      </c>
      <c r="B358" s="3" t="inlineStr">
        <is>
          <t>theEmergencyFund</t>
        </is>
      </c>
      <c r="C358" s="3" t="inlineStr">
        <is>
          <t>MoneyKeel/functions/networth-and-performance/emergency-fund.ts</t>
        </is>
      </c>
      <c r="D358" s="3" t="n">
        <v>127</v>
      </c>
      <c r="E358" s="3" t="inlineStr">
        <is>
          <t>2 · DISPLAYED</t>
        </is>
      </c>
      <c r="F358" s="3" t="inlineStr">
        <is>
          <t>How many months of essential expenses would my cash cover?</t>
        </is>
      </c>
      <c r="G358" s="11" t="inlineStr">
        <is>
          <t>cash = input.cash override   if input.cash override ≠ nothing
cash total(input.accounts ?? [])   otherwise
debts = input.debts (or none when missing)
budget = the budget counted({ profile: input.profile, accounts: input.accounts ?? [], debts })
profile = budget.profile
minimum of = (d: any) =&gt; (payment shape(d) = 'due_in_full' ? 0 : math.max(0, number(minimum monthly payment) or 0))
debt minimums = debts.reduce((t: number, d: any) =&gt; t + minimum of(d), 0)
named = a list with no repeats of for each of debts: string(label)
ess = essentials monthly(counted, monthly essentials(profile))
planned = planned monthly spend(profile) + debt minimums
rent = max(0, income summary(input.profile ?? {}).lands.rent monthly)
from cash = max(0, monthly − rent)
… the first steps only — the rest of the body needs reading by hand.</t>
        </is>
      </c>
      <c r="H358" s="3" t="inlineStr">
        <is>
          <t>Cash is input.cash override — when input.cash override is not no answer; cash total(input.accounts ?? []) — otherwise. Debts is input.debts (or none — when missing). Budget: the budget counted({ profile: input.profile, accounts: input.accounts ?? [], debts }). Profile is budget.profile. Minimum of is (d: any) =&gt; (payment shape(d) = 'due_in_full' ? 0 : math.number(minimum monthly payment, never below zero or 0)). Debt minimums is debts.reduce((t: number, d: any) =&gt; t plus minimum of(d), 0). Named is a list with no repeats of for each of debts: string(label). Ess is essentials monthly(counted, monthly essentials(profile)). Planned is planned monthly spend(profile) plus debt minimums. Rent is income summary(input.profile ?? {}, never below zero.lands.rent monthly). From cash is monthly minus rent, never below zero. Only the first steps are shown; the rest of the body needs reading by hand.</t>
        </is>
      </c>
      <c r="I358" s="3" t="inlineStr">
        <is>
          <t>PARTLY READ — some of the code is still showing through; needs a hand pass</t>
        </is>
      </c>
      <c r="J358" s="3" t="inlineStr">
        <is>
          <t>Nothing is handed to it</t>
        </is>
      </c>
      <c r="K358" s="3" t="inlineStr">
        <is>
          <t>NOT DECLARED — the code does not say what it gives back</t>
        </is>
      </c>
      <c r="L358" s="3" t="inlineStr">
        <is>
          <t>1. "Enter rent to include." — on the Job safety screen, under "covered ?"
2. "Enter rent to include." — on the Stress test screen</t>
        </is>
      </c>
      <c r="M358" s="3" t="inlineStr">
        <is>
          <t>1. If monthly is missing it uses 0.
2. Never lets cash after fall below 0.</t>
        </is>
      </c>
      <c r="N358" s="3" t="inlineStr">
        <is>
          <t>Yes</t>
        </is>
      </c>
      <c r="O358" s="3" t="inlineStr">
        <is>
          <t>1. MK-CF-F-155 cash
2. MK-NW-F-016 cashTotal
3. MK-CF-F-010 emergencyTest
4. MK-CF-F-190 essentialsMonthly
5. MK-ST-F-056 has
6. MK-CF-O-004 incomeSummary
7. MK-CF-F-132 map
8. MK-CF-F-009 monthlyEssentials
9. MK-CF-F-022 paymentShape
10. MK-CF-F-002 plannedMonthlySpend
11. MK-NW-F-117 propertyUseMap
12. MK-ST-F-085 rentFigure
13. MK-CF-O-020 theBudgetCounted</t>
        </is>
      </c>
      <c r="P358" s="3" t="n">
        <v>151</v>
      </c>
      <c r="Q358" s="3" t="inlineStr">
        <is>
          <t>1. MK-CF-F-155 cash
2. MK-NW-F-016 cashTotal
3. MK-CF-F-010 emergencyTest
4. MK-CF-F-190 essentialsMonthly
5. MK-ST-F-056 has
6. MK-CF-O-004 incomeSummary
7. MK-CF-F-132 map
8. MK-CF-F-009 monthlyEssentials
9. MK-CF-F-022 paymentShape
10. MK-CF-F-002 plannedMonthlySpend
11. MK-NW-F-117 propertyUseMap
12. MK-ST-F-085 rentFigure
13. MK-CF-O-020 theBudgetCounted
14. MK-XS-F-122 n
15. MK-NW-F-027 accountClassBreakdown
16. MK-NW-F-029 assetAllocation
17. MK-NW-F-011 assetClassOf
18. MK-CF-F-189 essentialsFromLoggedSpending
19. MK-CF-O-002 expenses
20. MK-CF-F-216 typed
21. MK-CF-F-203 MONTH
22. MK-CF-O-001 basePay
23. MK-CF-F-069 benefitActiveMonths
24. MK-CF-F-072 currentRetirementIncomeMonthly
25. MK-CF-F-173 earnerWages
26. MK-CF-F-179 entryFromWage
27. MK-CF-F-071 extraIncome
28. MK-CF-F-085 filingStatusOf
29. MK-CF-F-092 incomeMonthlyGrid
30. MK-CF-F-192 inflowLabel
31. MK-CF-F-103 marginalBracketFor
32. MK-CF-F-089 over65CountOf
33. MK-CF-F-181 rateInForce
34. MK-CF-F-068 rentalNetAnnual
35. MK-CF-F-082 salaryAnnual
36. MK-CF-F-060 salaryGrossByMonth
37. MK-CF-F-084 taxableAnnual
38. MK-ST-F-052 toNum
39. MK-CF-F-120 pctBaseMonthly
40. MK-CF-F-004 spendBuckets
41. MK-CF-F-021 defaultPaymentType
42. MK-XS-F-027 takeHomeMonthly
43. MK-NW-F-116 rentedIdsOf
44. MK-NW-F-106 mortgagesByProperty
45. MK-NW-F-107 propertyUses
46. MK-NW-F-109 holdingClassOf
47. MK-NW-F-067 plural
48. MK-NW-F-120 classEvidenceOf
49. MK-CF-F-191 ym
50. MK-CF-F-151 actualSpending
51. MK-CF-F-150 debtPaymentsCountedAsExpenses
52. MK-CF-F-153 radar
53. MK-CF-F-149 recurringDebtPayments
54. MK-CF-O-010 theMonth
55. MK-ST-F-035 covers
56. MK-CF-F-171 earnerPay
57. MK-CF-F-204 line
58. MK-ST-F-053 money
59. MK-HM-F-006 money0
60. MK-CF-F-198 payrollTaxWithheld
61. MK-CF-F-075 retirementIncomeMonthly
62. MK-CF-F-172 hasWage
63. MK-CF-F-165 salaryMonths
64. MK-CF-F-070 benefitAnnual
65. MK-ST-F-039 on
66. MK-CF-F-065 equityVestWeights
67. MK-CF-F-206 householdK401ByMonth
68. MK-CF-F-087 monthlyTaxRates
69. MK-CF-F-073 otherIncomeMonth
70. MK-CF-F-066 rsuAnnual
71. MK-CF-F-077 scholarshipByCalendarMonth
72. MK-CF-F-088 taxableByCalendarMonth
73. MK-CF-F-177 wageGrossByMonth
74. MK-PL-F-012 waterfall
75. MK-CF-F-193 inflowSourceWord
76. MK-CF-F-100 taxableIncomeFor
77. MK-CF-F-180 enteredLandsAnnual
78. MK-CF-F-086 stateRateOf
79. MK-CF-F-101 taxOwedFor
80. MK-CF-F-067 rentalList
81. MK-CF-F-176 sumMonthsOverEarners
82. MK-CF-F-074 tipsAnnual
83. MK-CF-F-003 categoryMonthly
84. MK-CF-F-011 savingsByMonth
85. MK-NW-F-115 liveRent
86. MK-CF-F-023 requiredPayment
87. MK-NW-F-123 holdingNameEvidence
88. MK-NW-F-121 holdingTagClass
89. MK-NW-F-054 reclassifyAccounts
90. MK-NW-F-008 incomeBearingClassOf
91. MK-NW-F-009 maturityClass
92. MK-CF-F-148 inMonth
93. MK-CF-F-152 isRadarItem
94. MK-CF-O-003 thisMonth
95. MK-ST-F-034 firstDate
96. MK-CF-F-143 annualisedGross
97. MK-CF-F-145 deductionsFromPay
98. MK-CF-F-128 grossByMonth
99. MK-CF-F-146 payFiguresAgree
100. MK-CF-F-144 takeHomeAsEntered
101. MK-XS-F-180 declareFigures
102. MK-ST-F-049 formatMoney
103. MK-HM-F-005 pctTxt
104. MK-CF-F-062 equityRowValue
105. MK-CF-F-090 effectiveRate
106. MK-CF-F-063 rowVestYear
107. MK-CF-F-130 enteredMonthlyRaw
108. MK-CF-F-166 hasMonthlySalaryTable
109. MK-ST-F-036 reconcile
110. MK-CF-F-167 salaryCalendarYear
111. MK-CF-F-099 deductionFor
112. MK-CF-F-081 salaryActiveMonths
113. MK-CF-F-008 spendByMonth
114. MK-NW-F-114 rentAmount
115. MK-NW-F-053 correctClassOf
116. MK-NW-F-122 holdingTagFor
117. MK-ST-F-010 nameEvidence
118. MK-NW-F-124 maturityParts
119. MK-CF-F-005 actualMonthFlow
120. MK-CF-F-156 plannedMonthFlow
121. MK-CF-F-142 monthsOf
122. MK-CF-F-141 perMonth
123. MK-ST-F-048 currencySymbol
124. MK-CF-F-187 seniorDeductionFor
125. MK-XS-F-147 call
126. MK-NW-F-078 ONE
127. MK-CF-F-157 debtPaymentsByDebt
128. MK-CF-F-140 periodsAYear
129. MK-ST-F-047 activeCurrency
130. MK-ST-F-027 accountId
131. MK-XS-F-064 currentIdToken
132. MK-XS-F-112 relayUrl
133. MK-NW-F-077 ALL
134. MK-NW-F-059 currentYield
135. MK-NW-O-001 theBonds
136. MK-NW-F-112 yearlyInterest
137. MK-NW-F-057 annualCoupon
138. MK-NW-F-056 bondInfo
139. MK-NW-F-064 bondRateSensitivity
140. MK-NW-F-061 bondSummary
141. MK-NW-F-055 isBond
142. MK-NW-F-072 rowOf
143. MK-NW-F-060 approxYTM
144. MK-NW-F-069 priceAtYield
145. MK-NW-F-131 pricedLikeBond
146. MK-NW-F-125 isPastMaturity
147. MK-ST-F-065 isoLocalDate
148. MK-NW-F-126 yearlyInterestNow
149. MK-NW-F-070 accruedInterestCaveat
150. MK-NW-F-058 yearsToMaturity
151. MK-NW-F-119 estimatedAccrued</t>
        </is>
      </c>
      <c r="R358" s="3" t="inlineStr">
        <is>
          <t>1. MK-XS-F-122 n → MK-CF-F-155 cash → MK-NW-O-004 theEmergencyFund
2. MK-CF-F-155 cash → MK-NW-F-120 classEvidenceOf → MK-NW-F-011 assetClassOf → MK-NW-F-027 accountClassBreakdown → MK-NW-F-016 cashTotal → MK-NW-O-004 theEmergencyFund
3. MK-NW-F-008 incomeBearingClassOf → MK-NW-F-120 classEvidenceOf → MK-NW-F-011 assetClassOf → MK-NW-F-027 accountClassBreakdown → MK-NW-F-016 cashTotal → MK-NW-O-004 theEmergencyFund
4. MK-NW-F-009 maturityClass → MK-NW-F-120 classEvidenceOf → MK-NW-F-011 assetClassOf → MK-NW-F-027 accountClassBreakdown → MK-NW-F-016 cashTotal → MK-NW-O-004 theEmergencyFund
5. MK-XS-F-122 n → MK-CF-F-155 cash → MK-NW-F-027 accountClassBreakdown → MK-NW-F-016 cashTotal → MK-NW-O-004 theEmergencyFund
6. MK-ST-F-056 has → MK-NW-F-027 accountClassBreakdown → MK-NW-F-016 cashTotal → MK-NW-O-004 theEmergencyFund
7. MK-CF-F-155 cash → MK-NW-F-123 holdingNameEvidence → MK-NW-F-109 holdingClassOf → MK-NW-F-027 accountClassBreakdown → MK-NW-F-016 cashTotal → MK-NW-O-004 theEmergencyFund
8. MK-NW-F-008 incomeBearingClassOf → MK-NW-F-123 holdingNameEvidence → MK-NW-F-109 holdingClassOf → MK-NW-F-027 accountClassBreakdown → MK-NW-F-016 cashTotal → MK-NW-O-004 theEmergencyFund
9. … and 5 more paths</t>
        </is>
      </c>
      <c r="S358" s="3" t="inlineStr">
        <is>
          <t>MK-NW-M-046 · MK-NW-M-047 · MK-NW-M-048 · MK-NW-M-064</t>
        </is>
      </c>
      <c r="T358" s="3" t="inlineStr">
        <is>
          <t>—</t>
        </is>
      </c>
      <c r="U358" s="3" t="inlineStr">
        <is>
          <t>DECOMMISSIONED 2026-09-28 — it was here and is not any more. Kept so the number is never reused and earlier work can still be traced.</t>
        </is>
      </c>
      <c r="V358" s="3" t="inlineStr">
        <is>
          <t>2026-10-05</t>
        </is>
      </c>
      <c r="W358" s="3" t="n"/>
      <c r="X358" s="3" t="n"/>
      <c r="Y358" s="3" t="inlineStr">
        <is>
          <t>NOTHING OPEN</t>
        </is>
      </c>
    </row>
    <row r="359" ht="60" customHeight="1">
      <c r="A359" s="3" t="inlineStr">
        <is>
          <t>MK-NW-O-005</t>
        </is>
      </c>
      <c r="B359" s="3" t="inlineStr">
        <is>
          <t>theAlternativesOutlook</t>
        </is>
      </c>
      <c r="C359" s="3" t="inlineStr">
        <is>
          <t>MoneyKeel/functions/networth-and-performance/alternatives-outlook.ts</t>
        </is>
      </c>
      <c r="D359" s="3" t="n">
        <v>82</v>
      </c>
      <c r="E359" s="3" t="inlineStr">
        <is>
          <t>2 · DISPLAYED</t>
        </is>
      </c>
      <c r="F359" s="3" t="inlineStr">
        <is>
          <t>What might my alternative investments earn in a year: the expected rate, and the money it comes to?</t>
        </is>
      </c>
      <c r="G359" s="11" t="inlineStr">
        <is>
          <t>accounts = input.accounts (or none when missing)
s = alternatives summary(accounts)</t>
        </is>
      </c>
      <c r="H359" s="3" t="inlineStr">
        <is>
          <t>Accounts is input.accounts (or none — when missing). S is alternatives summary(accounts).</t>
        </is>
      </c>
      <c r="I359" s="3" t="inlineStr">
        <is>
          <t>PARTLY READ — some of the code is still showing through; needs a hand pass</t>
        </is>
      </c>
      <c r="J359" s="3" t="inlineStr">
        <is>
          <t>input: { accounts: AssetAccount[] }</t>
        </is>
      </c>
      <c r="K359" s="3" t="inlineStr">
        <is>
          <t>AlternativesOutlook</t>
        </is>
      </c>
      <c r="L359" s="3" t="inlineStr">
        <is>
          <t>1. "EST. GROWTH /year" — on the Other investments screen, under "ALTERNATIVES"
2. "EXP. RETURN" — on the Other investments screen, under "ALTERNATIVES"</t>
        </is>
      </c>
      <c r="M359" s="3" t="inlineStr">
        <is>
          <t>None found in this function — anything it assumes comes from the functions it depends on.</t>
        </is>
      </c>
      <c r="N359" s="3" t="inlineStr">
        <is>
          <t>Yes</t>
        </is>
      </c>
      <c r="O359" s="3" t="inlineStr">
        <is>
          <t>1. MK-NW-F-113 altPartsOf
2. MK-NW-F-002 alternativesSummary
3. MK-NW-F-034 benchmarkReturn
4. MK-NW-F-037 blendedReturn
5. MK-NW-F-028 classPortionLabel
6. MK-NW-F-001 isAlternative
7. MK-CF-F-132 map
8. MK-NW-F-132 notClassifiedWords</t>
        </is>
      </c>
      <c r="P359" s="3" t="n">
        <v>142</v>
      </c>
      <c r="Q359" s="3" t="inlineStr">
        <is>
          <t>1. MK-NW-F-113 altPartsOf
2. MK-NW-F-002 alternativesSummary
3. MK-NW-F-034 benchmarkReturn
4. MK-NW-F-037 blendedReturn
5. MK-NW-F-028 classPortionLabel
6. MK-NW-F-001 isAlternative
7. MK-CF-F-132 map
8. MK-NW-F-132 notClassifiedWords
9. MK-NW-F-027 accountClassBreakdown
10. MK-NW-F-109 holdingClassOf
11. MK-CF-F-200 LINE
12. MK-CF-F-204 line
13. MK-NW-F-007 assetKind
14. MK-NW-F-032 earmarkedAmount
15. MK-NW-F-031 primaryCarIdOf
16. MK-NW-F-110 primaryHomeIdOf
17. MK-XS-F-120 nameOf
18. MK-NW-F-067 plural
19. MK-NW-F-011 assetClassOf
20. MK-ST-F-049 formatMoney
21. MK-CF-F-155 cash
22. MK-ST-F-056 has
23. MK-NW-F-123 holdingNameEvidence
24. MK-NW-F-121 holdingTagClass
25. MK-NW-F-054 reclassifyAccounts
26. MK-XS-F-180 declareFigures
27. MK-CF-O-006 theCreditLine
28. MK-CF-F-203 MONTH
29. MK-NW-F-030 earmarkDefault
30. MK-NW-F-134 carValueNotEnteredNotes
31. MK-NW-F-133 valueEntered
32. MK-NW-F-117 propertyUseMap
33. MK-XS-F-122 n
34. MK-NW-F-120 classEvidenceOf
35. MK-ST-F-048 currencySymbol
36. MK-ST-F-039 on
37. MK-NW-F-008 incomeBearingClassOf
38. MK-NW-F-053 correctClassOf
39. MK-NW-F-122 holdingTagFor
40. MK-CF-F-031 creditUtilization
41. MK-CF-O-010 theMonth
42. MK-ST-F-053 money
43. MK-NW-F-033 retirementEarmarkedValue
44. MK-NW-F-116 rentedIdsOf
45. MK-NW-F-009 maturityClass
46. MK-ST-F-047 activeCurrency
47. MK-ST-F-010 nameEvidence
48. MK-CF-O-002 expenses
49. MK-CF-O-003 thisMonth
50. MK-NW-F-115 liveRent
51. MK-NW-F-124 maturityParts
52. MK-CF-F-216 typed
53. MK-XS-F-147 call
54. MK-CF-F-151 actualSpending
55. MK-CF-F-150 debtPaymentsCountedAsExpenses
56. MK-CF-F-153 radar
57. MK-CF-F-149 recurringDebtPayments
58. MK-CF-F-005 actualMonthFlow
59. MK-CF-F-156 plannedMonthFlow
60. MK-NW-F-114 rentAmount
61. MK-ST-F-027 accountId
62. MK-XS-F-064 currentIdToken
63. MK-XS-F-112 relayUrl
64. MK-CF-F-148 inMonth
65. MK-ST-F-052 toNum
66. MK-CF-F-191 ym
67. MK-CF-F-022 paymentShape
68. MK-CF-F-152 isRadarItem
69. MK-CF-F-023 requiredPayment
70. MK-NW-F-078 ONE
71. MK-CF-F-157 debtPaymentsByDebt
72. MK-CF-F-192 inflowLabel
73. MK-XS-F-027 takeHomeMonthly
74. MK-ST-F-085 rentFigure
75. MK-CF-F-021 defaultPaymentType
76. MK-NW-F-077 ALL
77. MK-NW-F-059 currentYield
78. MK-NW-O-001 theBonds
79. MK-CF-F-193 inflowSourceWord
80. MK-CF-F-092 incomeMonthlyGrid
81. MK-CF-F-011 savingsByMonth
82. MK-NW-F-112 yearlyInterest
83. MK-NW-F-057 annualCoupon
84. MK-NW-F-056 bondInfo
85. MK-NW-F-064 bondRateSensitivity
86. MK-NW-F-061 bondSummary
87. MK-NW-F-055 isBond
88. MK-NW-F-072 rowOf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MK-NW-F-060 approxYTM
107. MK-NW-F-069 priceAtYield
108. MK-NW-F-131 pricedLikeBond
109. MK-NW-F-125 isPastMaturity
110. MK-ST-F-065 isoLocalDate
111. MK-NW-F-126 yearlyInterestNow
112. MK-NW-F-070 accruedInterestCaveat
113. MK-NW-F-058 yearsToMaturity
114. MK-CF-F-075 retirementIncomeMonthly
115. MK-CF-F-172 hasWage
116. MK-CF-F-062 equityRowValue
117. MK-CF-F-070 benefitAnnual
118. MK-CF-F-176 sumMonthsOverEarners
119. MK-CF-F-090 effectiveRate
120. MK-CF-F-180 enteredLandsAnnual
121. MK-CF-F-085 filingStatusOf
122. MK-CF-F-089 over65CountOf
123. MK-CF-F-082 salaryAnnual
124. MK-CF-F-086 stateRateOf
125. MK-CF-F-101 taxOwedFor
126. MK-CF-F-084 taxableAnnual
127. MK-CF-F-067 rentalList
128. MK-CF-F-063 rowVestYear
129. MK-CF-F-130 enteredMonthlyRaw
130. MK-CF-F-166 hasMonthlySalaryTable
131. MK-ST-F-036 reconcile
132. MK-CF-F-167 salaryCalendarYear
133. MK-CF-F-120 pctBaseMonthly
134. MK-CF-F-004 spendBuckets
135. MK-NW-F-119 estimatedAccrued
136. MK-CF-F-100 taxableIncomeFor
137. MK-CF-F-074 tipsAnnual
138. MK-CF-F-165 salaryMonths
139. MK-CF-F-003 categoryMonthly
140. MK-CF-F-099 deductionFor
141. MK-CF-F-081 salaryActiveMonths
142. MK-CF-F-187 seniorDeductionFor</t>
        </is>
      </c>
      <c r="R359" s="3" t="inlineStr">
        <is>
          <t>1. MK-CF-F-155 cash → MK-NW-F-120 classEvidenceOf → MK-NW-F-011 assetClassOf → MK-NW-F-027 accountClassBreakdown → MK-NW-F-113 altPartsOf → MK-NW-O-005 theAlternativesOutlook
2. MK-NW-F-008 incomeBearingClassOf → MK-NW-F-120 classEvidenceOf → MK-NW-F-011 assetClassOf → MK-NW-F-027 accountClassBreakdown → MK-NW-F-113 altPartsOf → MK-NW-O-005 theAlternativesOutlook
3. MK-NW-F-009 maturityClass → MK-NW-F-120 classEvidenceOf → MK-NW-F-011 assetClassOf → MK-NW-F-027 accountClassBreakdown → MK-NW-F-113 altPartsOf → MK-NW-O-005 theAlternativesOutlook
4. MK-XS-F-122 n → MK-CF-F-155 cash → MK-NW-F-027 accountClassBreakdown → MK-NW-F-113 altPartsOf → MK-NW-O-005 theAlternativesOutlook
5. MK-ST-F-056 has → MK-NW-F-027 accountClassBreakdown → MK-NW-F-113 altPartsOf → MK-NW-O-005 theAlternativesOutlook
6. MK-CF-F-155 cash → MK-NW-F-123 holdingNameEvidence → MK-NW-F-109 holdingClassOf → MK-NW-F-027 accountClassBreakdown → MK-NW-F-113 altPartsOf → MK-NW-O-005 theAlternativesOutlook
7. MK-NW-F-008 incomeBearingClassOf → MK-NW-F-123 holdingNameEvidence → MK-NW-F-109 holdingClassOf → MK-NW-F-027 accountClassBreakdown → MK-NW-F-113 altPartsOf → MK-NW-O-005 theAlternativesOutlook
8. MK-NW-F-121 holdingTagClass → MK-NW-F-109 holdingClassOf → MK-NW-F-027 accountClassBreakdown → MK-NW-F-113 altPartsOf → MK-NW-O-005 theAlternativesOutlook
9. … and 5 more paths</t>
        </is>
      </c>
      <c r="S359" s="3" t="inlineStr">
        <is>
          <t>MK-NW-M-050 · MK-NW-M-051 · MK-NW-M-052</t>
        </is>
      </c>
      <c r="T359" s="3" t="inlineStr">
        <is>
          <t>—</t>
        </is>
      </c>
      <c r="U359" s="3" t="inlineStr">
        <is>
          <t>ACTIVE</t>
        </is>
      </c>
      <c r="V359" s="3" t="inlineStr">
        <is>
          <t>2026-10-01</t>
        </is>
      </c>
      <c r="W359" s="3" t="n"/>
      <c r="X359" s="3" t="n"/>
      <c r="Y359" s="3" t="inlineStr">
        <is>
          <t>NOTHING OPEN</t>
        </is>
      </c>
    </row>
    <row r="360" ht="60" customHeight="1">
      <c r="A360" s="3" t="inlineStr">
        <is>
          <t>MK-NW-O-006</t>
        </is>
      </c>
      <c r="B360" s="3" t="inlineStr">
        <is>
          <t>theHolding</t>
        </is>
      </c>
      <c r="C360" s="3" t="inlineStr">
        <is>
          <t>MoneyKeel/functions/networth-and-performance/holding.ts</t>
        </is>
      </c>
      <c r="D360" s="3" t="n">
        <v>109</v>
      </c>
      <c r="E360" s="3" t="inlineStr">
        <is>
          <t>2 · DISPLAYED</t>
        </is>
      </c>
      <c r="F360" s="3" t="inlineStr">
        <is>
          <t>How is this one holding doing: its value, its cost, and its gains realised and not yet realised?</t>
        </is>
      </c>
      <c r="G360"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60"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60" s="3" t="inlineStr">
        <is>
          <t>PARTLY READ — some of the code is still showing through; needs a hand pass</t>
        </is>
      </c>
      <c r="J360" s="3" t="inlineStr">
        <is>
          <t>Nothing is handed to it</t>
        </is>
      </c>
      <c r="K360" s="3" t="inlineStr">
        <is>
          <t>NOT DECLARED — the code does not say what it gives back</t>
        </is>
      </c>
      <c r="L360" s="3" t="inlineStr">
        <is>
          <t>NOT FOUND — a screen calls it, but the words printed beside its answer could not be traced automatically. Needs reading.</t>
        </is>
      </c>
      <c r="M360"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60" s="3" t="inlineStr">
        <is>
          <t>Yes</t>
        </is>
      </c>
      <c r="O360" s="3" t="inlineStr">
        <is>
          <t>1. MK-ST-F-027 accountId
2. MK-PF-F-006 capGains
3. MK-PF-F-031 contractMultiplier
4. MK-PF-F-002 costBasis
5. MK-CF-F-132 map
6. MK-PF-F-004 marketValue
7. MK-PF-F-028 realizedFromLedger
8. MK-PF-F-001 totalShares</t>
        </is>
      </c>
      <c r="P360" s="3" t="n">
        <v>10</v>
      </c>
      <c r="Q360" s="3" t="inlineStr">
        <is>
          <t>1. MK-ST-F-027 accountId
2. MK-PF-F-006 capGains
3. MK-PF-F-031 contractMultiplier
4. MK-PF-F-002 costBasis
5. MK-CF-F-132 map
6. MK-PF-F-004 marketValue
7. MK-PF-F-028 realizedFromLedger
8. MK-PF-F-001 totalShares
9. MK-XS-F-122 n
10. MK-PF-F-035 unknownFigure</t>
        </is>
      </c>
      <c r="R360" s="3" t="inlineStr">
        <is>
          <t>1. MK-ST-F-027 accountId → MK-NW-O-006 theHolding
2. MK-PF-F-031 contractMultiplier → MK-PF-F-006 capGains → MK-NW-O-006 theHolding
3. MK-XS-F-122 n → MK-PF-F-006 capGains → MK-NW-O-006 theHolding
4. MK-PF-F-035 unknownFigure → MK-PF-F-006 capGains → MK-NW-O-006 theHolding
5. MK-PF-F-031 contractMultiplier → MK-NW-O-006 theHolding
6. MK-PF-F-031 contractMultiplier → MK-PF-F-002 costBasis → MK-NW-O-006 theHolding
7. MK-PF-F-035 unknownFigure → MK-PF-F-002 costBasis → MK-NW-O-006 theHolding
8. MK-CF-F-132 map → MK-NW-O-006 theHolding
9. … and 4 more paths</t>
        </is>
      </c>
      <c r="S360" s="3" t="inlineStr">
        <is>
          <t>MK-NW-M-029 · MK-NW-M-030 · MK-NW-M-031 · MK-NW-M-032 · MK-NW-M-033 · MK-NW-M-034 · MK-NW-M-035 · MK-NW-M-036 · MK-NW-M-037 · MK-NW-M-059 · MK-NW-M-060 · MK-NW-M-061</t>
        </is>
      </c>
      <c r="T360" s="3" t="inlineStr">
        <is>
          <t>—</t>
        </is>
      </c>
      <c r="U360" s="3" t="inlineStr">
        <is>
          <t>ACTIVE</t>
        </is>
      </c>
      <c r="V360" s="3" t="inlineStr">
        <is>
          <t>2026-10-01</t>
        </is>
      </c>
      <c r="W360" s="3" t="n"/>
      <c r="X360" s="3" t="n"/>
      <c r="Y360" s="3" t="inlineStr">
        <is>
          <t>NOTHING OPEN</t>
        </is>
      </c>
    </row>
    <row r="361" ht="60" customHeight="1">
      <c r="A361" s="3" t="inlineStr">
        <is>
          <t>MK-NW-O-007</t>
        </is>
      </c>
      <c r="B361" s="3" t="inlineStr">
        <is>
          <t>theLookBack</t>
        </is>
      </c>
      <c r="C361" s="3" t="inlineStr">
        <is>
          <t>MoneyKeel/functions/networth-and-performance/look-back.ts</t>
        </is>
      </c>
      <c r="D361" s="3" t="n">
        <v>44</v>
      </c>
      <c r="E361" s="3" t="inlineStr">
        <is>
          <t>2 · DISPLAYED</t>
        </is>
      </c>
      <c r="F361" s="3" t="inlineStr">
        <is>
          <t>What would this holding be worth today had I put the same money into something else on the same days?</t>
        </is>
      </c>
      <c r="G361" s="11" t="inlineStr">
        <is>
          <t>look back(input.amount, input.from series, input.to series, input.months, input.now ?? new date())</t>
        </is>
      </c>
      <c r="H361" s="3" t="inlineStr">
        <is>
          <t>look back(input.amount, input.from series, input.to series, input.months, input.now ?? new date()).</t>
        </is>
      </c>
      <c r="I361" s="3" t="inlineStr">
        <is>
          <t>PARTLY READ — some of the code is still showing through; needs a hand pass</t>
        </is>
      </c>
      <c r="J361" s="3" t="inlineStr">
        <is>
          <t>Nothing is handed to it</t>
        </is>
      </c>
      <c r="K361" s="3" t="inlineStr">
        <is>
          <t>NOT DECLARED — the code does not say what it gives back</t>
        </is>
      </c>
      <c r="L361" s="3" t="inlineStr">
        <is>
          <t>NOT FOUND — a screen calls it, but the words printed beside its answer could not be traced automatically. Needs reading.</t>
        </is>
      </c>
      <c r="M361" s="3" t="inlineStr">
        <is>
          <t>· Uses today's date from the device clock, so the answer changes by itself overnight.</t>
        </is>
      </c>
      <c r="N361" s="3" t="inlineStr">
        <is>
          <t>Yes</t>
        </is>
      </c>
      <c r="O361" s="3" t="inlineStr">
        <is>
          <t>MK-PF-F-023 lookBack</t>
        </is>
      </c>
      <c r="P361" s="3" t="n">
        <v>4</v>
      </c>
      <c r="Q361" s="3" t="inlineStr">
        <is>
          <t>1. MK-PF-F-023 lookBack
2. MK-PF-F-022 factorOverMonths
3. MK-ST-F-065 isoLocalDate
4. MK-PF-F-036 monthsBefore</t>
        </is>
      </c>
      <c r="R361" s="3" t="inlineStr">
        <is>
          <t>1. MK-ST-F-065 isoLocalDate → MK-PF-F-022 factorOverMonths → MK-PF-F-023 lookBack → MK-NW-O-007 theLookBack
2. MK-PF-F-036 monthsBefore → MK-PF-F-022 factorOverMonths → MK-PF-F-023 lookBack → MK-NW-O-007 theLookBack</t>
        </is>
      </c>
      <c r="S361" s="3" t="inlineStr">
        <is>
          <t>MK-PF-M-010 · MK-PF-M-011 · MK-PF-M-012</t>
        </is>
      </c>
      <c r="T361" s="3" t="inlineStr">
        <is>
          <t>—</t>
        </is>
      </c>
      <c r="U361" s="3" t="inlineStr">
        <is>
          <t>ACTIVE</t>
        </is>
      </c>
      <c r="V361" s="3" t="inlineStr">
        <is>
          <t>2026-09-28</t>
        </is>
      </c>
      <c r="W361" s="3" t="n"/>
      <c r="X361" s="3" t="n"/>
      <c r="Y361" s="3" t="inlineStr">
        <is>
          <t>NOTHING OPEN</t>
        </is>
      </c>
    </row>
    <row r="362" ht="60" customHeight="1">
      <c r="A362" s="3" t="inlineStr">
        <is>
          <t>MK-NW-O-008</t>
        </is>
      </c>
      <c r="B362" s="3" t="inlineStr">
        <is>
          <t>thePerformance</t>
        </is>
      </c>
      <c r="C362" s="3" t="inlineStr">
        <is>
          <t>MoneyKeel/functions/networth-and-performance/performance.ts</t>
        </is>
      </c>
      <c r="D362" s="3" t="n">
        <v>648</v>
      </c>
      <c r="E362" s="3" t="inlineStr">
        <is>
          <t>2 · DISPLAYED</t>
        </is>
      </c>
      <c r="F362" s="3" t="inlineStr">
        <is>
          <t>How are my investments doing over a period: where they started, what I put in and took out, what they made, where they ended, and the return?</t>
        </is>
      </c>
      <c r="G362" s="11" t="inlineStr">
        <is>
          <t>bounds = window bounds(window start, today)   if window start
nothing   otherwise
days = input.snapshot days (or none when missing)
joined = new map&lt;string, { date: string; value: number }&gt;()
seen = new set&lt;string&gt;()
j = joined.get(string(account id ?? ''))
the answer = the first 10) ≤ date of not (j and string(date ?? '')
flows = personal flow totals(counted)
transferred in = 0, transferred out = 0
net = Σ over movements of([t], input.investment account ids).flows of (amount)
joined value = Σ over [...joined.values()] of (value)
contributions = flows.contributions.to number(2) + transferred in + joined value
… the first steps only — the rest of the body needs reading by hand.</t>
        </is>
      </c>
      <c r="H362" s="3" t="inlineStr">
        <is>
          <t>Bounds is window bounds(window start, today) — when window start; no answer — otherwise. Days is input.snapshot days (or none — when missing). Joined is new map&lt;string, { date: string; value: number }&gt;(). Seen is new set&lt;string&gt;(). J is joined.get(string(account id ?? '')). The answer: the first 10) is at most date of not (j and string(date ?? ''). Flows is personal flow totals(counted). Transferred in is 0, transferred out = 0. Net: the amount added up across movements of([t], input.investment account ids).flows. Joined value: the value added up across [...joined.values()]. Contributions is flows.contributions.to number(2) plus transferred in plus joined value. Only the first steps are shown; the rest of the body needs reading by hand.</t>
        </is>
      </c>
      <c r="I362" s="3" t="inlineStr">
        <is>
          <t>PARTLY READ — some of the code is still showing through; needs a hand pass</t>
        </is>
      </c>
      <c r="J362" s="3" t="inlineStr">
        <is>
          <t>Nothing is handed to it</t>
        </is>
      </c>
      <c r="K362" s="3" t="inlineStr">
        <is>
          <t>NOT DECLARED — the code does not say what it gives back</t>
        </is>
      </c>
      <c r="L362" s="3" t="inlineStr">
        <is>
          <t>1. "Return" — on the Performance screen
2. "Wealth generated" — on the Performance screen, under "SUMMARY
3. $"</t>
        </is>
      </c>
      <c r="M362" s="3" t="inlineStr">
        <is>
          <t>1. If ending is missing it uses 0.
2. If g is missing it uses 0.
3. If priced gain is missing it uses 0.
4. If balance is missing it counts as zero, so nothing recorded and a real zero look the same.
5. Treats a year as 365 days.</t>
        </is>
      </c>
      <c r="N362" s="3" t="inlineStr">
        <is>
          <t>Yes</t>
        </is>
      </c>
      <c r="O362" s="3" t="inlineStr">
        <is>
          <t>1. MK-NW-F-026 accountDisplayNames
2. MK-ST-F-083 accountValuesOn
3. MK-XS-F-011 buildChangeWalk
4. MK-ST-F-028 buildDayFromAccounts
5. MK-PF-F-014 buildPerformance
6. MK-CF-F-155 cash
7. MK-NW-F-104 closedWith
8. MK-ST-F-078 dateShown
9. MK-NW-F-127 gainOfRow
10. MK-NW-F-129 gainRowName
11. MK-ST-F-056 has
12. MK-NW-F-071 isCertificateOfDeposit
13. MK-NW-F-138 knownHoldingsReturn
14. MK-CF-F-132 map
15. MK-ST-F-082 movementsOf
16. MK-NW-F-130 notIncludedSentence
17. MK-PF-F-010 periodReturn
18. MK-ST-F-013 personalFlowTotals
19. MK-NW-F-091 pricedGainOf
20. MK-ST-F-030 record
21. MK-ST-F-081 timeWeightedReturn
22. MK-ST-F-021 toNumber
23. MK-ST-F-031 valueOn
24. MK-ST-F-060 verdict
25. MK-NW-F-105 whyNoReturn
26. MK-ST-F-038 windowBounds
27. MK-NW-F-090 windowStartKey
28. MK-PF-F-042 windowTotal</t>
        </is>
      </c>
      <c r="P362" s="3" t="n">
        <v>167</v>
      </c>
      <c r="Q362" s="3" t="inlineStr">
        <is>
          <t>1. MK-NW-F-026 accountDisplayNames
2. MK-ST-F-083 accountValuesOn
3. MK-XS-F-011 buildChangeWalk
4. MK-ST-F-028 buildDayFromAccounts
5. MK-PF-F-014 buildPerformance
6. MK-CF-F-155 cash
7. MK-NW-F-104 closedWith
8. MK-ST-F-078 dateShown
9. MK-NW-F-127 gainOfRow
10. MK-NW-F-129 gainRowName
11. MK-ST-F-056 has
12. MK-NW-F-071 isCertificateOfDeposit
13. MK-NW-F-138 knownHoldingsReturn
14. MK-CF-F-132 map
15. MK-ST-F-082 movementsOf
16. MK-NW-F-130 notIncludedSentence
17. MK-PF-F-010 periodReturn
18. MK-ST-F-013 personalFlowTotals
19. MK-NW-F-091 pricedGainOf
20. MK-ST-F-030 record
21. MK-ST-F-081 timeWeightedReturn
22. MK-ST-F-021 toNumber
23. MK-ST-F-031 valueOn
24. MK-ST-F-060 verdict
25. MK-NW-F-105 whyNoReturn
26. MK-ST-F-038 windowBounds
27. MK-NW-F-090 windowStartKey
28. MK-PF-F-042 windowTotal
29. MK-NW-F-025 accountDisplayName
30. MK-XS-F-122 n
31. MK-ST-F-027 accountId
32. MK-PF-F-013 benchmarkTicker
33. MK-PF-F-002 costBasis
34. MK-PF-F-037 dayBefore
35. MK-PF-F-012 earliestPurchaseDate
36. MK-PF-F-041 isoDay
37. MK-PF-F-009 latestClose
38. MK-PF-F-004 marketValue
39. MK-PF-F-039 periodReturnParts
40. MK-PF-F-011 periodReturnSince
41. MK-PF-F-038 periodTotalReturn
42. MK-PF-F-040 returnSincePurchases
43. MK-PF-F-008 startDateFor
44. MK-PF-F-007 totalROI
45. MK-PF-F-005 unrealizedGain
46. MK-NW-F-128 heldValueOf
47. MK-NW-F-056 bondInfo
48. MK-NW-F-067 plural
49. MK-ST-F-080 isDay
50. MK-CF-F-204 line
51. MK-ST-F-039 on
52. MK-ST-F-033 onOrBefore
53. MK-ST-F-063 shiftDay
54. MK-ST-F-062 toUtc
55. MK-ST-F-065 isoLocalDate
56. MK-NW-F-024 accountLastFour
57. MK-NW-F-012 taxTreatmentOf
58. MK-NW-F-023 wrapperWord
59. MK-ST-F-053 money
60. MK-PF-F-031 contractMultiplier
61. MK-PF-F-035 unknownFigure
62. MK-PF-F-001 totalShares
63. MK-PF-F-029 closeAsOf
64. MK-PF-F-034 closeOnOrBefore
65. MK-PF-F-036 monthsBefore
66. MK-NW-F-124 maturityParts
67. MK-CF-F-203 MONTH
68. MK-XS-F-180 declareFigures
69. MK-NW-F-007 assetKind
70. MK-ST-F-049 formatMoney
71. MK-NW-F-009 maturityClass
72. MK-CF-F-216 typed
73. MK-CF-O-010 theMonth
74. MK-NW-F-011 assetClassOf
75. MK-ST-F-048 currencySymbol
76. MK-CF-O-002 expenses
77. MK-CF-O-003 thisMonth
78. MK-NW-F-120 classEvidenceOf
79. MK-ST-F-047 activeCurrency
80. MK-CF-F-151 actualSpending
81. MK-CF-F-150 debtPaymentsCountedAsExpenses
82. MK-CF-F-153 radar
83. MK-CF-F-149 recurringDebtPayments
84. MK-CF-F-005 actualMonthFlow
85. MK-CF-F-156 plannedMonthFlow
86. MK-NW-F-008 incomeBearingClassOf
87. MK-CF-F-148 inMonth
88. MK-ST-F-052 toNum
89. MK-CF-F-191 ym
90. MK-CF-F-022 paymentShape
91. MK-CF-F-152 isRadarItem
92. MK-CF-F-023 requiredPayment
93. MK-NW-F-078 ONE
94. MK-CF-F-157 debtPaymentsByDebt
95. MK-CF-F-192 inflowLabel
96. MK-XS-F-027 takeHomeMonthly
97. MK-ST-F-010 nameEvidence
98. MK-CF-F-021 defaultPaymentType
99. MK-NW-F-077 ALL
100. MK-NW-F-059 currentYield
101. MK-NW-O-001 theBonds
102. MK-CF-F-193 inflowSourceWord
103. MK-CF-F-092 incomeMonthlyGrid
104. MK-CF-F-011 savingsByMonth
105. MK-XS-F-147 call
106. MK-NW-F-112 yearlyInterest
107. MK-NW-F-057 annualCoupon
108. MK-NW-F-064 bondRateSensitivity
109. MK-NW-F-061 bondSummary
110. MK-NW-F-055 isBond
111. MK-NW-F-072 rowOf
112. MK-CF-F-069 benefitActiveMonths
113. MK-CF-F-072 currentRetirementIncomeMonthly
114. MK-CF-F-173 earnerWages
115. MK-CF-F-065 equityVestWeights
116. MK-CF-F-071 extraIncome
117. MK-CF-F-206 householdK401ByMonth
118. MK-CF-F-087 monthlyTaxRates
119. MK-CF-F-073 otherIncomeMonth
120. MK-CF-F-181 rateInForce
121. MK-CF-F-068 rentalNetAnnual
122. MK-CF-F-066 rsuAnnual
123. MK-CF-F-060 salaryGrossByMonth
124. MK-CF-F-077 scholarshipByCalendarMonth
125. MK-CF-F-088 taxableByCalendarMonth
126. MK-CF-F-177 wageGrossByMonth
127. MK-PL-F-012 waterfall
128. MK-CF-F-008 spendByMonth
129. MK-XS-F-064 currentIdToken
130. MK-XS-F-112 relayUrl
131. MK-NW-F-060 approxYTM
132. MK-NW-F-069 priceAtYield
133. MK-NW-F-131 pricedLikeBond
134. MK-NW-F-125 isPastMaturity
135. MK-NW-F-126 yearlyInterestNow
136. MK-NW-F-070 accruedInterestCaveat
137. MK-NW-F-058 yearsToMaturity
138. MK-CF-F-075 retirementIncomeMonthly
139. MK-CF-F-172 hasWage
140. MK-CF-F-062 equityRowValue
141. MK-CF-F-070 benefitAnnual
142. MK-CF-F-176 sumMonthsOverEarners
143. MK-CF-F-090 effectiveRate
144. MK-CF-F-180 enteredLandsAnnual
145. MK-CF-F-085 filingStatusOf
146. MK-CF-F-089 over65CountOf
147. MK-CF-F-082 salaryAnnual
148. MK-CF-F-086 stateRateOf
149. MK-CF-F-101 taxOwedFor
150. MK-CF-F-084 taxableAnnual
151. MK-CF-F-067 rentalList
152. MK-CF-F-063 rowVestYear
153. MK-CF-F-130 enteredMonthlyRaw
154. MK-CF-F-166 hasMonthlySalaryTable
155. MK-ST-F-036 reconcile
156. MK-CF-F-167 salaryCalendarYear
157. MK-CF-F-120 pctBaseMonthly
158. MK-CF-F-004 spendBuckets
159. MK-NW-F-119 estimatedAccrued
160. MK-CF-F-100 taxableIncomeFor
161. MK-CF-F-074 tipsAnnual
162. MK-ST-F-085 rentFigure
163. MK-CF-F-165 salaryMonths
164. MK-CF-F-003 categoryMonthly
165. MK-CF-F-099 deductionFor
166. MK-CF-F-081 salaryActiveMonths
167. MK-CF-F-187 seniorDeductionFor</t>
        </is>
      </c>
      <c r="R362" s="3" t="inlineStr">
        <is>
          <t>1. accountDisplayNames (already above — a loop) → MK-NW-F-025 accountDisplayName → MK-NW-F-026 accountDisplayNames → MK-NW-O-008 thePerformance
2. MK-NW-F-024 accountLastFour → MK-NW-F-025 accountDisplayName → MK-NW-F-026 accountDisplayNames → MK-NW-O-008 thePerformance
3. MK-ST-F-039 on → MK-NW-F-025 accountDisplayName → MK-NW-F-026 accountDisplayNames → MK-NW-O-008 thePerformance
4. MK-NW-F-011 assetClassOf → MK-NW-F-007 assetKind → MK-NW-F-012 taxTreatmentOf → MK-NW-F-025 accountDisplayName → MK-NW-F-026 accountDisplayNames → MK-NW-O-008 thePerformance
5. MK-CF-F-155 cash → MK-NW-F-007 assetKind → MK-NW-F-012 taxTreatmentOf → MK-NW-F-025 accountDisplayName → MK-NW-F-026 accountDisplayNames → MK-NW-O-008 thePerformance
6. MK-NW-F-023 wrapperWord → MK-NW-F-025 accountDisplayName → MK-NW-F-026 accountDisplayNames → MK-NW-O-008 thePerformance
7. MK-ST-F-056 has → MK-NW-F-026 accountDisplayNames → MK-NW-O-008 thePerformance
8. MK-CF-F-132 map → MK-NW-F-026 accountDisplayNames → MK-NW-O-008 thePerformance
9. … and 5 more paths</t>
        </is>
      </c>
      <c r="S362" s="3" t="inlineStr">
        <is>
          <t>MK-PF-M-002 · MK-PF-M-003 · MK-PF-M-005 · MK-PF-M-006 · MK-PF-M-007 · MK-PF-M-008 · MK-PF-M-013 · MK-PF-M-014 · MK-PF-M-015 · MK-PF-M-016 · MK-PF-M-017 · MK-PF-M-018 · MK-PF-M-019 · MK-PF-M-020 · MK-XS-M-004</t>
        </is>
      </c>
      <c r="T362" s="3" t="inlineStr">
        <is>
          <t>—</t>
        </is>
      </c>
      <c r="U362" s="3" t="inlineStr">
        <is>
          <t>ACTIVE</t>
        </is>
      </c>
      <c r="V362" s="3" t="inlineStr">
        <is>
          <t>2026-10-04</t>
        </is>
      </c>
      <c r="W362" s="3" t="n"/>
      <c r="X362" s="3" t="n"/>
      <c r="Y362" s="3" t="inlineStr">
        <is>
          <t>NOTHING OPEN</t>
        </is>
      </c>
    </row>
    <row r="363" ht="45" customHeight="1">
      <c r="A363" s="3" t="inlineStr">
        <is>
          <t>MK-PF-F-001</t>
        </is>
      </c>
      <c r="B363" s="3" t="inlineStr">
        <is>
          <t>totalShares</t>
        </is>
      </c>
      <c r="C363" s="3" t="inlineStr">
        <is>
          <t>src/domain/performance/index.ts</t>
        </is>
      </c>
      <c r="D363" s="3" t="n">
        <v>198</v>
      </c>
      <c r="E363" s="3" t="inlineStr">
        <is>
          <t>2 · DISPLAYED</t>
        </is>
      </c>
      <c r="F363" s="3" t="inlineStr">
        <is>
          <t>How many shares of a holding are held, added up across every purchase.</t>
        </is>
      </c>
      <c r="G363" s="11" t="inlineStr">
        <is>
          <t>total shares(holding) = Σ over every lot of (shares, or 0 when missing)</t>
        </is>
      </c>
      <c r="H363" s="3" t="inlineStr">
        <is>
          <t>Adds the share count of every lot. A lot with no share count counts as zero, so "nothing recorded" and "a real zero" give the same answer.</t>
        </is>
      </c>
      <c r="I363" s="3" t="inlineStr">
        <is>
          <t>READ BY HAND 2026-08-26 — checked line by line against the code</t>
        </is>
      </c>
      <c r="J363" s="3" t="inlineStr">
        <is>
          <t>p: Position</t>
        </is>
      </c>
      <c r="K363" s="3" t="inlineStr">
        <is>
          <t>number | null</t>
        </is>
      </c>
      <c r="L363" s="3" t="inlineStr">
        <is>
          <t>NOT FOUND — a screen calls it, but the words printed beside its answer could not be traced automatically. Needs reading.</t>
        </is>
      </c>
      <c r="M363" s="3" t="inlineStr">
        <is>
          <t>None found in this function — anything it assumes comes from the functions it depends on.</t>
        </is>
      </c>
      <c r="N363" s="3" t="inlineStr">
        <is>
          <t>Yes</t>
        </is>
      </c>
      <c r="O363" s="3" t="inlineStr">
        <is>
          <t>—</t>
        </is>
      </c>
      <c r="P363" s="3" t="n">
        <v>0</v>
      </c>
      <c r="Q363" s="3" t="inlineStr">
        <is>
          <t>None — no dependent function stands behind it</t>
        </is>
      </c>
      <c r="R363" s="3" t="inlineStr">
        <is>
          <t>No dependent function — it reads its inputs and answers</t>
        </is>
      </c>
      <c r="S363" s="3" t="inlineStr">
        <is>
          <t>—</t>
        </is>
      </c>
      <c r="T363" s="3" t="inlineStr">
        <is>
          <t>HOLDING_SHARES</t>
        </is>
      </c>
      <c r="U363" s="3" t="inlineStr">
        <is>
          <t>ACTIVE</t>
        </is>
      </c>
      <c r="V363" s="3" t="inlineStr">
        <is>
          <t>2026-08-27</t>
        </is>
      </c>
      <c r="W363" s="3" t="inlineStr">
        <is>
          <t>[from MK-NW-M-031, typed Q07/Q09] 8 decimals for coins; always capture units.</t>
        </is>
      </c>
      <c r="X363" s="6" t="inlineStr">
        <is>
          <t>Sums raw numbers with no unit and no rounding. Fix: a unit on the position; coin quantities to 8 decimals — see MK-NW-M-031.</t>
        </is>
      </c>
      <c r="Y363" s="6" t="inlineStr">
        <is>
          <t>WAITING ON YOU — answer to read</t>
        </is>
      </c>
    </row>
    <row r="364" ht="60" customHeight="1">
      <c r="A364" s="3" t="inlineStr">
        <is>
          <t>MK-PF-F-002</t>
        </is>
      </c>
      <c r="B364" s="3" t="inlineStr">
        <is>
          <t>costBasis</t>
        </is>
      </c>
      <c r="C364" s="3" t="inlineStr">
        <is>
          <t>src/domain/performance/index.ts</t>
        </is>
      </c>
      <c r="D364" s="3" t="n">
        <v>272</v>
      </c>
      <c r="E364" s="3" t="inlineStr">
        <is>
          <t>2 · DISPLAYED</t>
        </is>
      </c>
      <c r="F364" s="3" t="inlineStr">
        <is>
          <t>What did I pay for this in total?</t>
        </is>
      </c>
      <c r="G364" s="11" t="inlineStr">
        <is>
          <t>cost basis(holding) = Σ over every lot of (shares × cost per share)</t>
        </is>
      </c>
      <c r="H364" s="3" t="inlineStr">
        <is>
          <t>What was paid, added across the lots. A lot with no cost per share contributes nothing, so a holding with neither a price nor a cost lands at $0 and quietly leaves net worth.</t>
        </is>
      </c>
      <c r="I364" s="3" t="inlineStr">
        <is>
          <t>READ BY HAND 2026-08-26 — checked line by line against the code</t>
        </is>
      </c>
      <c r="J364" s="3" t="inlineStr">
        <is>
          <t>p: Position</t>
        </is>
      </c>
      <c r="K364" s="3" t="inlineStr">
        <is>
          <t>number | null</t>
        </is>
      </c>
      <c r="L364" s="3" t="inlineStr">
        <is>
          <t>NOT FOUND — a screen calls it, but the words printed beside its answer could not be traced automatically. Needs reading.</t>
        </is>
      </c>
      <c r="M364" s="3" t="inlineStr">
        <is>
          <t>None found in this function — anything it assumes comes from the functions it depends on.</t>
        </is>
      </c>
      <c r="N364" s="3" t="inlineStr">
        <is>
          <t>Yes</t>
        </is>
      </c>
      <c r="O364" s="3" t="inlineStr">
        <is>
          <t>1. MK-PF-F-031 contractMultiplier
2. MK-PF-F-035 unknownFigure</t>
        </is>
      </c>
      <c r="P364" s="3" t="n">
        <v>2</v>
      </c>
      <c r="Q364" s="3" t="inlineStr">
        <is>
          <t>1. MK-PF-F-031 contractMultiplier
2. MK-PF-F-035 unknownFigure</t>
        </is>
      </c>
      <c r="R364" s="3" t="inlineStr">
        <is>
          <t>1. MK-PF-F-031 contractMultiplier → MK-PF-F-002 costBasis
2. MK-PF-F-035 unknownFigure → MK-PF-F-002 costBasis</t>
        </is>
      </c>
      <c r="S364" s="3" t="inlineStr">
        <is>
          <t>—</t>
        </is>
      </c>
      <c r="T364" s="3" t="inlineStr">
        <is>
          <t>HOLDING_COST_BASIS</t>
        </is>
      </c>
      <c r="U364" s="3" t="inlineStr">
        <is>
          <t>ACTIVE</t>
        </is>
      </c>
      <c r="V364" s="3" t="inlineStr">
        <is>
          <t>2026-09-09</t>
        </is>
      </c>
      <c r="W364" s="3" t="inlineStr">
        <is>
          <t>[from MK-NW-M-032 / M-033] Average price must not divide by shares whose cost is missing or zero; Total paid vs Price paid (average) — two things or one?</t>
        </is>
      </c>
      <c r="X364"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64" s="6" t="inlineStr">
        <is>
          <t>WAITING ON YOU — answer to read · TESTED, NOT VERIFIED (Q06)</t>
        </is>
      </c>
    </row>
    <row r="365" ht="60" customHeight="1">
      <c r="A365" s="3" t="inlineStr">
        <is>
          <t>MK-PF-F-004</t>
        </is>
      </c>
      <c r="B365" s="3" t="inlineStr">
        <is>
          <t>marketValue</t>
        </is>
      </c>
      <c r="C365" s="3" t="inlineStr">
        <is>
          <t>src/domain/performance/index.ts</t>
        </is>
      </c>
      <c r="D365" s="3" t="n">
        <v>318</v>
      </c>
      <c r="E365" s="3" t="inlineStr">
        <is>
          <t>3 · DEPENDENT</t>
        </is>
      </c>
      <c r="F365" s="3" t="inlineStr">
        <is>
          <t>What is this holding worth right now?</t>
        </is>
      </c>
      <c r="G365" s="11" t="inlineStr">
        <is>
          <t>market value(holding) = round(total shares × price, 2 dp)
                      = 0   when no price came back</t>
        </is>
      </c>
      <c r="H365"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65" s="3" t="inlineStr">
        <is>
          <t>READ BY HAND 2026-08-26 — checked line by line against the code</t>
        </is>
      </c>
      <c r="J365" s="3" t="inlineStr">
        <is>
          <t>1. p: Position
2. price: number | null | undefined</t>
        </is>
      </c>
      <c r="K365" s="3" t="inlineStr">
        <is>
          <t>number | null</t>
        </is>
      </c>
      <c r="L365" s="3" t="inlineStr">
        <is>
          <t>—</t>
        </is>
      </c>
      <c r="M365" s="3" t="inlineStr">
        <is>
          <t>None found in this function — anything it assumes comes from the functions it depends on.</t>
        </is>
      </c>
      <c r="N365" s="3" t="inlineStr">
        <is>
          <t>Yes</t>
        </is>
      </c>
      <c r="O365" s="3" t="inlineStr">
        <is>
          <t>1. MK-PF-F-031 contractMultiplier
2. MK-PF-F-001 totalShares</t>
        </is>
      </c>
      <c r="P365" s="3" t="n">
        <v>2</v>
      </c>
      <c r="Q365" s="3" t="inlineStr">
        <is>
          <t>1. MK-PF-F-031 contractMultiplier
2. MK-PF-F-001 totalShares</t>
        </is>
      </c>
      <c r="R365" s="3" t="inlineStr">
        <is>
          <t>1. MK-PF-F-031 contractMultiplier → MK-PF-F-004 marketValue
2. MK-PF-F-001 totalShares → MK-PF-F-004 marketValue</t>
        </is>
      </c>
      <c r="S365" s="3" t="inlineStr">
        <is>
          <t>—</t>
        </is>
      </c>
      <c r="T365" s="3" t="inlineStr">
        <is>
          <t>HOLDING_MARKET_VALUE</t>
        </is>
      </c>
      <c r="U365" s="3" t="inlineStr">
        <is>
          <t>ACTIVE</t>
        </is>
      </c>
      <c r="V365" s="3" t="inlineStr">
        <is>
          <t>2026-08-27</t>
        </is>
      </c>
      <c r="W365" s="3" t="inlineStr">
        <is>
          <t>[from MK-NW-M-030, typed Q06] value is contracts * 100 * price unless stated otherwise by broker or user.</t>
        </is>
      </c>
      <c r="X365" s="6" t="inlineStr">
        <is>
          <t>NOT APPLIED here: market value = units × price, no multiplier. Fix: multiply by the position's multiplier (100 for a contract unless the feed or the person states another) — Q42 on MK-NW-M-030.</t>
        </is>
      </c>
      <c r="Y365" s="6" t="inlineStr">
        <is>
          <t>WAITING ON YOU — answer to read · TESTED, NOT VERIFIED (Q06)</t>
        </is>
      </c>
    </row>
    <row r="366" ht="60" customHeight="1">
      <c r="A366" s="3" t="inlineStr">
        <is>
          <t>MK-PF-F-005</t>
        </is>
      </c>
      <c r="B366" s="3" t="inlineStr">
        <is>
          <t>unrealizedGain</t>
        </is>
      </c>
      <c r="C366" s="3" t="inlineStr">
        <is>
          <t>src/domain/performance/index.ts</t>
        </is>
      </c>
      <c r="D366" s="3" t="n">
        <v>354</v>
      </c>
      <c r="E366" s="3" t="inlineStr">
        <is>
          <t>3 · DEPENDENT</t>
        </is>
      </c>
      <c r="F366" s="3" t="inlineStr">
        <is>
          <t>Unrealized gain = market value − cost basis (unknown when either is unknown — no price is no gain to state).</t>
        </is>
      </c>
      <c r="G366" s="11" t="inlineStr">
        <is>
          <t>mv = nothing   if price = nothing
market value(p, price)   otherwise
basis = cost basis(p)
the answer:
nothing   if mv = nothing (or basis = nothing when missing or zero)
mv − basis   otherwise</t>
        </is>
      </c>
      <c r="H366" s="3" t="inlineStr">
        <is>
          <t>Mv is no answer — when price is missing; market value(p, price) — otherwise. Basis is cost basis(p). The answer is no answer — when mv is missing (or basis is missing when missing or zero); mv minus basis — otherwise.</t>
        </is>
      </c>
      <c r="I366" s="3" t="inlineStr">
        <is>
          <t>READ FROM THE CODE — rendered from the expressions the function runs</t>
        </is>
      </c>
      <c r="J366" s="3" t="inlineStr">
        <is>
          <t>1. p: Position
2. price: number | null | undefined</t>
        </is>
      </c>
      <c r="K366" s="3" t="inlineStr">
        <is>
          <t>number | null</t>
        </is>
      </c>
      <c r="L366" s="3" t="inlineStr">
        <is>
          <t>—</t>
        </is>
      </c>
      <c r="M366" s="3" t="inlineStr">
        <is>
          <t>None found in this function — anything it assumes comes from the functions it depends on.</t>
        </is>
      </c>
      <c r="N366" s="3" t="inlineStr">
        <is>
          <t>Yes</t>
        </is>
      </c>
      <c r="O366" s="3" t="inlineStr">
        <is>
          <t>1. MK-PF-F-002 costBasis
2. MK-CF-F-204 line
3. MK-PF-F-004 marketValue</t>
        </is>
      </c>
      <c r="P366" s="3" t="n">
        <v>117</v>
      </c>
      <c r="Q366" s="3" t="inlineStr">
        <is>
          <t>1. MK-PF-F-002 costBasis
2. MK-CF-F-204 line
3. MK-PF-F-004 marketValue
4. MK-PF-F-031 contractMultiplier
5. MK-PF-F-035 unknownFigure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MK-NW-F-112 yearlyInterest
42. MK-ST-F-048 currencySymbol
43. MK-ST-F-039 on
44. MK-ST-F-027 accountId
45. MK-NW-F-057 annualCoupon
46. MK-NW-F-056 bondInfo
47. MK-NW-F-064 bondRateSensitivity
48. MK-NW-F-061 bondSummary
49. MK-NW-F-055 isBond
50. MK-NW-F-124 maturityParts
51. MK-NW-F-072 rowOf
52. MK-CF-F-069 benefitActiveMonths
53. MK-CF-F-072 currentRetirementIncomeMonthly
54. MK-CF-F-173 earnerWages
55. MK-CF-F-065 equityVestWeights
56. MK-CF-F-071 extraIncome
57. MK-CF-F-206 householdK401ByMonth
58. MK-CF-F-087 monthlyTaxRates
59. MK-CF-F-073 otherIncomeMonth
60. MK-CF-F-181 rateInForce
61. MK-CF-F-068 rentalNetAnnual
62. MK-CF-F-066 rsuAnnual
63. MK-CF-F-060 salaryGrossByMonth
64. MK-CF-F-077 scholarshipByCalendarMonth
65. MK-CF-F-088 taxableByCalendarMonth
66. MK-CF-F-177 wageGrossByMonth
67. MK-PL-F-012 waterfall
68. MK-CF-F-008 spendByMonth
69. MK-ST-F-047 activeCurrency
70. MK-NW-F-060 approxYTM
71. MK-NW-F-069 priceAtYield
72. MK-NW-F-131 pricedLikeBond
73. MK-NW-F-125 isPastMaturity
74. MK-ST-F-065 isoLocalDate
75. MK-NW-F-126 yearlyInterestNow
76. MK-NW-F-011 assetClassOf
77. MK-NW-F-009 maturityClass
78. MK-CF-F-216 typed
79. MK-NW-F-070 accruedInterestCaveat
80. MK-NW-F-058 yearsToMaturity
81. MK-CF-F-075 retirementIncomeMonthly
82. MK-CF-F-172 hasWage
83. MK-CF-F-062 equityRowValue
84. MK-CF-F-070 benefitAnnual
85. MK-CF-F-176 sumMonthsOverEarners
86. MK-CF-F-090 effectiveRate
87. MK-CF-F-180 enteredLandsAnnual
88. MK-CF-F-085 filingStatusOf
89. MK-CF-F-089 over65CountOf
90. MK-CF-F-082 salaryAnnual
91. MK-CF-F-086 stateRateOf
92. MK-CF-F-101 taxOwedFor
93. MK-CF-F-084 taxableAnnual
94. MK-CF-F-067 rentalList
95. MK-CF-F-063 rowVestYear
96. MK-CF-F-130 enteredMonthlyRaw
97. MK-CF-F-166 hasMonthlySalaryTable
98. MK-ST-F-036 reconcile
99. MK-CF-F-167 salaryCalendarYear
100. MK-CF-F-120 pctBaseMonthly
101. MK-CF-F-004 spendBuckets
102. MK-NW-F-119 estimatedAccrued
103. MK-NW-F-120 classEvidenceOf
104. MK-NW-F-067 plural
105. MK-CF-F-100 taxableIncomeFor
106. MK-CF-F-074 tipsAnnual
107. MK-ST-F-085 rentFigure
108. MK-CF-F-165 salaryMonths
109. MK-CF-F-003 categoryMonthly
110. MK-NW-F-008 incomeBearingClassOf
111. MK-CF-F-099 deductionFor
112. MK-CF-F-081 salaryActiveMonths
113. MK-ST-F-010 nameEvidence
114. MK-CF-F-187 seniorDeductionFor
115. MK-XS-F-147 call
116. MK-XS-F-064 currentIdToken
117. MK-XS-F-112 relayUrl</t>
        </is>
      </c>
      <c r="R366" s="3" t="inlineStr">
        <is>
          <t>1. MK-PF-F-031 contractMultiplier → MK-PF-F-002 costBasis → MK-PF-F-005 unrealizedGain
2. MK-PF-F-035 unknownFigure → MK-PF-F-002 costBasis → MK-PF-F-005 unrealizedGain
3. MONTH (already above — a loop) → MK-CF-O-010 theMonth → MK-CF-F-203 MONTH → MK-CF-F-204 line → MK-PF-F-005 unrealizedGain
4. MK-XS-F-122 n → MK-CF-F-155 cash → MK-CF-O-010 theMonth → MK-CF-F-203 MONTH → MK-CF-F-204 line → MK-PF-F-005 unrealizedGain
5. MK-CF-F-151 actualSpending → MK-CF-O-002 expenses → MK-CF-O-010 theMonth → MK-CF-F-203 MONTH → MK-CF-F-204 line → MK-PF-F-005 unrealizedGain
6. MK-CF-F-150 debtPaymentsCountedAsExpenses → MK-CF-O-002 expenses → MK-CF-O-010 theMonth → MK-CF-F-203 MONTH → MK-CF-F-204 line → MK-PF-F-005 unrealizedGain
7. MK-CF-F-153 radar → MK-CF-O-002 expenses → MK-CF-O-010 theMonth → MK-CF-F-203 MONTH → MK-CF-F-204 line → MK-PF-F-005 unrealizedGain
8. MK-CF-F-149 recurringDebtPayments → MK-CF-O-002 expenses → MK-CF-O-010 theMonth → MK-CF-F-203 MONTH → MK-CF-F-204 line → MK-PF-F-005 unrealizedGain
9. … and 4 more paths</t>
        </is>
      </c>
      <c r="S366" s="3" t="inlineStr">
        <is>
          <t>—</t>
        </is>
      </c>
      <c r="T366" s="3" t="inlineStr">
        <is>
          <t>HOLDING_UNREALISED_GAIN</t>
        </is>
      </c>
      <c r="U366" s="3" t="inlineStr">
        <is>
          <t>ACTIVE</t>
        </is>
      </c>
      <c r="V366" s="3" t="inlineStr">
        <is>
          <t>2026-10-11</t>
        </is>
      </c>
      <c r="W366" s="3" t="n"/>
      <c r="X366" s="3" t="n"/>
      <c r="Y366" s="3" t="inlineStr">
        <is>
          <t>NOTHING OPEN</t>
        </is>
      </c>
    </row>
    <row r="367" ht="60" customHeight="1">
      <c r="A367" s="3" t="inlineStr">
        <is>
          <t>MK-PF-F-006</t>
        </is>
      </c>
      <c r="B367" s="3" t="inlineStr">
        <is>
          <t>capGains</t>
        </is>
      </c>
      <c r="C367" s="3" t="inlineStr">
        <is>
          <t>src/domain/performance/index.ts</t>
        </is>
      </c>
      <c r="D367" s="3" t="n">
        <v>395</v>
      </c>
      <c r="E367" s="3" t="inlineStr">
        <is>
          <t>3 · DEPENDENT</t>
        </is>
      </c>
      <c r="F367" s="3" t="inlineStr">
        <is>
          <t>If I sold this today, how much of the gain is long-term and how much short-term?</t>
        </is>
      </c>
      <c r="G367" s="11" t="inlineStr">
        <is>
          <t>per lot:  gain = shares × (price − cost per share)
long-term when today is LATER than the first anniversary of the purchase
short-term otherwise, and a lot with no cost recorded is skipped entirely</t>
        </is>
      </c>
      <c r="H367"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67" s="3" t="inlineStr">
        <is>
          <t>READ BY HAND 2026-08-26 — checked line by line against the code</t>
        </is>
      </c>
      <c r="J367" s="3" t="inlineStr">
        <is>
          <t>1. p: Position
2. price: number | null | undefined
3. now: Date = new Date()</t>
        </is>
      </c>
      <c r="K367" s="3" t="inlineStr">
        <is>
          <t>CapGains</t>
        </is>
      </c>
      <c r="L367" s="3" t="inlineStr">
        <is>
          <t>—</t>
        </is>
      </c>
      <c r="M367" s="3" t="inlineStr">
        <is>
          <t>· Uses today's date from the device clock, so the answer changes by itself overnight.</t>
        </is>
      </c>
      <c r="N367" s="3" t="inlineStr">
        <is>
          <t>Yes</t>
        </is>
      </c>
      <c r="O367" s="3" t="inlineStr">
        <is>
          <t>1. MK-PF-F-031 contractMultiplier
2. MK-XS-F-122 n
3. MK-PF-F-035 unknownFigure</t>
        </is>
      </c>
      <c r="P367" s="3" t="n">
        <v>3</v>
      </c>
      <c r="Q367" s="3" t="inlineStr">
        <is>
          <t>1. MK-PF-F-031 contractMultiplier
2. MK-XS-F-122 n
3. MK-PF-F-035 unknownFigure</t>
        </is>
      </c>
      <c r="R367" s="3" t="inlineStr">
        <is>
          <t>1. MK-PF-F-031 contractMultiplier → MK-PF-F-006 capGains
2. MK-XS-F-122 n → MK-PF-F-006 capGains
3. MK-PF-F-035 unknownFigure → MK-PF-F-006 capGains</t>
        </is>
      </c>
      <c r="S367" s="3" t="inlineStr">
        <is>
          <t>—</t>
        </is>
      </c>
      <c r="T367" s="3" t="inlineStr">
        <is>
          <t>HOLDING_CAP_GAINS</t>
        </is>
      </c>
      <c r="U367" s="3" t="inlineStr">
        <is>
          <t>ACTIVE</t>
        </is>
      </c>
      <c r="V367" s="3" t="inlineStr">
        <is>
          <t>2026-09-28</t>
        </is>
      </c>
      <c r="W367" s="3" t="n"/>
      <c r="X367" s="3" t="n"/>
      <c r="Y367" s="6" t="inlineStr">
        <is>
          <t>TESTED, NOT VERIFIED (G2)</t>
        </is>
      </c>
    </row>
    <row r="368" ht="60" customHeight="1">
      <c r="A368" s="3" t="inlineStr">
        <is>
          <t>MK-PF-F-007</t>
        </is>
      </c>
      <c r="B368" s="3" t="inlineStr">
        <is>
          <t>totalROI</t>
        </is>
      </c>
      <c r="C368" s="3" t="inlineStr">
        <is>
          <t>src/domain/performance/index.ts</t>
        </is>
      </c>
      <c r="D368" s="3" t="n">
        <v>457</v>
      </c>
      <c r="E368" s="3" t="inlineStr">
        <is>
          <t>3 · DEPENDENT</t>
        </is>
      </c>
      <c r="F368" s="3" t="inlineStr">
        <is>
          <t>Total return since purchase = gain / cost basis (decimal).</t>
        </is>
      </c>
      <c r="G368" s="11" t="inlineStr">
        <is>
          <t>basis = cost basis(p)
gain = unrealized gain(p, price)
nothing   when price = nothing (or basis = nothing (or basis ≤ 0 (or gain = nothing when missing or zero) when missing or zero) when missing or zero)
the answer = gain ÷ basis</t>
        </is>
      </c>
      <c r="H368" s="3" t="inlineStr">
        <is>
          <t>Basis is cost basis(p). Gain is unrealized gain(p, price). When price is missing (or basis is missing (or basis is at most 0 (or gain is missing — when missing or zero) — when missing or zero) — when missing or zero), it answers no answer. The answer is gain divided by basis.</t>
        </is>
      </c>
      <c r="I368" s="3" t="inlineStr">
        <is>
          <t>READ FROM THE CODE — rendered from the expressions the function runs</t>
        </is>
      </c>
      <c r="J368" s="3" t="inlineStr">
        <is>
          <t>1. p: Position
2. price: number | null | undefined</t>
        </is>
      </c>
      <c r="K368" s="3" t="inlineStr">
        <is>
          <t>number | null</t>
        </is>
      </c>
      <c r="L368" s="3" t="inlineStr">
        <is>
          <t>—</t>
        </is>
      </c>
      <c r="M368" s="3" t="inlineStr">
        <is>
          <t>None found in this function — anything it assumes comes from the functions it depends on.</t>
        </is>
      </c>
      <c r="N368" s="3" t="inlineStr">
        <is>
          <t>Yes</t>
        </is>
      </c>
      <c r="O368" s="3" t="inlineStr">
        <is>
          <t>1. MK-PF-F-002 costBasis
2. MK-PF-F-005 unrealizedGain</t>
        </is>
      </c>
      <c r="P368" s="3" t="n">
        <v>118</v>
      </c>
      <c r="Q368" s="3" t="inlineStr">
        <is>
          <t>1. MK-PF-F-002 costBasis
2. MK-PF-F-005 unrealizedGain
3. MK-PF-F-031 contractMultiplier
4. MK-PF-F-035 unknownFigure
5. MK-CF-F-204 line
6. MK-PF-F-004 marketValue
7. MK-CF-F-203 MONTH
8. MK-XS-F-180 declareFigures
9. MK-PF-F-001 totalShares
10. MK-CF-O-010 theMonth
11. MK-CF-F-155 cash
12. MK-CF-O-002 expenses
13. MK-CF-O-003 thisMonth
14. MK-XS-F-122 n
15. MK-CF-F-151 actualSpending
16. MK-CF-F-150 debtPaymentsCountedAsExpenses
17. MK-CF-F-153 radar
18. MK-CF-F-149 recurringDebtPayments
19. MK-CF-F-005 actualMonthFlow
20. MK-CF-F-156 plannedMonthFlow
21. MK-CF-F-148 inMonth
22. MK-ST-F-052 toNum
23. MK-CF-F-191 ym
24. MK-ST-F-056 has
25. MK-CF-F-022 paymentShape
26. MK-CF-F-152 isRadarItem
27. MK-CF-F-023 requiredPayment
28. MK-CF-F-132 map
29. MK-NW-F-078 ONE
30. MK-CF-F-157 debtPaymentsByDebt
31. MK-CF-F-192 inflowLabel
32. MK-XS-F-027 takeHomeMonthly
33. MK-CF-F-021 defaultPaymentType
34. MK-NW-F-077 ALL
35. MK-NW-F-059 currentYield
36. MK-ST-F-049 formatMoney
37. MK-ST-F-053 money
38. MK-NW-O-001 theBonds
39. MK-CF-F-193 inflowSourceWord
40. MK-CF-F-092 incomeMonthlyGrid
41. MK-CF-F-011 savingsByMonth
42. MK-NW-F-112 yearlyInterest
43. MK-ST-F-048 currencySymbol
44. MK-ST-F-039 on
45. MK-ST-F-027 accountId
46. MK-NW-F-057 annualCoupon
47. MK-NW-F-056 bondInfo
48. MK-NW-F-064 bondRateSensitivity
49. MK-NW-F-061 bondSummary
50. MK-NW-F-055 isBond
51. MK-NW-F-124 maturityParts
52. MK-NW-F-072 rowOf
53. MK-CF-F-069 benefitActiveMonths
54. MK-CF-F-072 currentRetirementIncomeMonthly
55. MK-CF-F-173 earnerWages
56. MK-CF-F-065 equityVestWeights
57. MK-CF-F-071 extraIncome
58. MK-CF-F-206 householdK401ByMonth
59. MK-CF-F-087 monthlyTaxRates
60. MK-CF-F-073 otherIncomeMonth
61. MK-CF-F-181 rateInForce
62. MK-CF-F-068 rentalNetAnnual
63. MK-CF-F-066 rsuAnnual
64. MK-CF-F-060 salaryGrossByMonth
65. MK-CF-F-077 scholarshipByCalendarMonth
66. MK-CF-F-088 taxableByCalendarMonth
67. MK-CF-F-177 wageGrossByMonth
68. MK-PL-F-012 waterfall
69. MK-CF-F-008 spendByMonth
70. MK-ST-F-047 activeCurrency
71. MK-NW-F-060 approxYTM
72. MK-NW-F-069 priceAtYield
73. MK-NW-F-131 pricedLikeBond
74. MK-NW-F-125 isPastMaturity
75. MK-ST-F-065 isoLocalDate
76. MK-NW-F-126 yearlyInterestNow
77. MK-NW-F-011 assetClassOf
78. MK-NW-F-009 maturityClass
79. MK-CF-F-216 typed
80. MK-NW-F-070 accruedInterestCaveat
81. MK-NW-F-058 yearsToMaturity
82. MK-CF-F-075 retirementIncomeMonthly
83. MK-CF-F-172 hasWage
84. MK-CF-F-062 equityRowValue
85. MK-CF-F-070 benefitAnnual
86. MK-CF-F-176 sumMonthsOverEarners
87. MK-CF-F-090 effectiveRate
88. MK-CF-F-180 enteredLandsAnnual
89. MK-CF-F-085 filingStatusOf
90. MK-CF-F-089 over65CountOf
91. MK-CF-F-082 salaryAnnual
92. MK-CF-F-086 stateRateOf
93. MK-CF-F-101 taxOwedFor
94. MK-CF-F-084 taxableAnnual
95. MK-CF-F-067 rentalList
96. MK-CF-F-063 rowVestYear
97. MK-CF-F-130 enteredMonthlyRaw
98. MK-CF-F-166 hasMonthlySalaryTable
99. MK-ST-F-036 reconcile
100. MK-CF-F-167 salaryCalendarYear
101. MK-CF-F-120 pctBaseMonthly
102. MK-CF-F-004 spendBuckets
103. MK-NW-F-119 estimatedAccrued
104. MK-NW-F-120 classEvidenceOf
105. MK-NW-F-067 plural
106. MK-CF-F-100 taxableIncomeFor
107. MK-CF-F-074 tipsAnnual
108. MK-ST-F-085 rentFigure
109. MK-CF-F-165 salaryMonths
110. MK-CF-F-003 categoryMonthly
111. MK-NW-F-008 incomeBearingClassOf
112. MK-CF-F-099 deductionFor
113. MK-CF-F-081 salaryActiveMonths
114. MK-ST-F-010 nameEvidence
115. MK-CF-F-187 seniorDeductionFor
116. MK-XS-F-147 call
117. MK-XS-F-064 currentIdToken
118. MK-XS-F-112 relayUrl</t>
        </is>
      </c>
      <c r="R368" s="3" t="inlineStr">
        <is>
          <t>1. MK-PF-F-031 contractMultiplier → MK-PF-F-002 costBasis → MK-PF-F-007 totalROI
2. MK-PF-F-035 unknownFigure → MK-PF-F-002 costBasis → MK-PF-F-007 totalROI
3. MK-PF-F-031 contractMultiplier → MK-PF-F-002 costBasis → MK-PF-F-005 unrealizedGain → MK-PF-F-007 totalROI
4. MK-PF-F-035 unknownFigure → MK-PF-F-002 costBasis → MK-PF-F-005 unrealizedGain → MK-PF-F-007 totalROI
5. MONTH (already above — a loop) → MK-CF-O-010 theMonth → MK-CF-F-203 MONTH → MK-CF-F-204 line → MK-PF-F-005 unrealizedGain → MK-PF-F-007 totalROI
6. MK-CF-F-155 cash → MK-CF-O-010 theMonth → MK-CF-F-203 MONTH → MK-CF-F-204 line → MK-PF-F-005 unrealizedGain → MK-PF-F-007 totalROI
7. MK-CF-O-002 expenses → MK-CF-O-010 theMonth → MK-CF-F-203 MONTH → MK-CF-F-204 line → MK-PF-F-005 unrealizedGain → MK-PF-F-007 totalROI
8. MK-CF-O-003 thisMonth → MK-CF-O-010 theMonth → MK-CF-F-203 MONTH → MK-CF-F-204 line → MK-PF-F-005 unrealizedGain → MK-PF-F-007 totalROI
9. … and 3 more paths</t>
        </is>
      </c>
      <c r="S368" s="3" t="inlineStr">
        <is>
          <t>—</t>
        </is>
      </c>
      <c r="T368" s="3" t="inlineStr">
        <is>
          <t>HOLDING_TOTAL_ROI</t>
        </is>
      </c>
      <c r="U368" s="3" t="inlineStr">
        <is>
          <t>ACTIVE</t>
        </is>
      </c>
      <c r="V368" s="3" t="inlineStr">
        <is>
          <t>2026-10-11</t>
        </is>
      </c>
      <c r="W368" s="3" t="n"/>
      <c r="X368" s="3" t="n"/>
      <c r="Y368" s="3" t="inlineStr">
        <is>
          <t>NOTHING OPEN</t>
        </is>
      </c>
    </row>
    <row r="369" ht="60" customHeight="1">
      <c r="A369" s="3" t="inlineStr">
        <is>
          <t>MK-PF-F-008</t>
        </is>
      </c>
      <c r="B369" s="3" t="inlineStr">
        <is>
          <t>startDateFor</t>
        </is>
      </c>
      <c r="C369" s="3" t="inlineStr">
        <is>
          <t>src/domain/performance/index.ts</t>
        </is>
      </c>
      <c r="D369" s="3" t="n">
        <v>498</v>
      </c>
      <c r="E369" s="3" t="inlineStr">
        <is>
          <t>3 · DEPENDENT</t>
        </is>
      </c>
      <c r="F369" s="3" t="inlineStr">
        <is>
          <t>The date a period starts from, counted back from today: one, three or six months, the start of this year, one year or two years.</t>
        </is>
      </c>
      <c r="G369" s="11" t="inlineStr">
        <is>
          <t>the date now.get full year(), 0, 1   when period = 'YTD'
back = WINDOW_MONTHS[period]
nothing   when back = nothing
the answer = months before(now, back)</t>
        </is>
      </c>
      <c r="H369" s="3" t="inlineStr">
        <is>
          <t>When period = 'YTD', it answers the date now.get full year(), 0, 1. Back is WINDOW_MONTHS[period]. When back is missing, it answers no answer. The answer is months before(now, back).</t>
        </is>
      </c>
      <c r="I369" s="3" t="inlineStr">
        <is>
          <t>PARTLY READ — some of the code is still showing through; needs a hand pass</t>
        </is>
      </c>
      <c r="J369" s="3" t="inlineStr">
        <is>
          <t>1. period: Period
2. now: Date</t>
        </is>
      </c>
      <c r="K369" s="3" t="inlineStr">
        <is>
          <t>Date | null</t>
        </is>
      </c>
      <c r="L369" s="3" t="inlineStr">
        <is>
          <t>—</t>
        </is>
      </c>
      <c r="M369" s="3" t="inlineStr">
        <is>
          <t>None found in this function — anything it assumes comes from the functions it depends on.</t>
        </is>
      </c>
      <c r="N369" s="3" t="inlineStr">
        <is>
          <t>Yes</t>
        </is>
      </c>
      <c r="O369" s="3" t="inlineStr">
        <is>
          <t>MK-PF-F-036 monthsBefore</t>
        </is>
      </c>
      <c r="P369" s="3" t="n">
        <v>1</v>
      </c>
      <c r="Q369" s="3" t="inlineStr">
        <is>
          <t>MK-PF-F-036 monthsBefore</t>
        </is>
      </c>
      <c r="R369" s="3" t="inlineStr">
        <is>
          <t>MK-PF-F-036 monthsBefore → MK-PF-F-008 startDateFor</t>
        </is>
      </c>
      <c r="S369" s="3" t="inlineStr">
        <is>
          <t>—</t>
        </is>
      </c>
      <c r="T369" s="3" t="inlineStr">
        <is>
          <t>PERIOD_START_DATE</t>
        </is>
      </c>
      <c r="U369" s="3" t="inlineStr">
        <is>
          <t>ACTIVE</t>
        </is>
      </c>
      <c r="V369" s="3" t="inlineStr">
        <is>
          <t>2026-10-12</t>
        </is>
      </c>
      <c r="W369" s="3" t="n"/>
      <c r="X369" s="3" t="n"/>
      <c r="Y369" s="3" t="inlineStr">
        <is>
          <t>NOTHING OPEN</t>
        </is>
      </c>
    </row>
    <row r="370" ht="60" customHeight="1">
      <c r="A370" s="3" t="inlineStr">
        <is>
          <t>MK-PF-F-009</t>
        </is>
      </c>
      <c r="B370" s="3" t="inlineStr">
        <is>
          <t>latestClose</t>
        </is>
      </c>
      <c r="C370" s="3" t="inlineStr">
        <is>
          <t>src/domain/performance/index.ts</t>
        </is>
      </c>
      <c r="D370" s="3" t="n">
        <v>761</v>
      </c>
      <c r="E370" s="3" t="inlineStr">
        <is>
          <t>2 · DISPLAYED</t>
        </is>
      </c>
      <c r="F370" s="3" t="inlineStr">
        <is>
          <t>What is the most recent price we hold for this?</t>
        </is>
      </c>
      <c r="G370" s="11" t="inlineStr">
        <is>
          <t>latest close = the last point in the price series
             = nothing   when the series is empty</t>
        </is>
      </c>
      <c r="H370" s="3" t="inlineStr">
        <is>
          <t>The most recent closing price held for a ticker. It carries no date with it, so nothing downstream can tell a price from this morning from one three weeks old.</t>
        </is>
      </c>
      <c r="I370" s="3" t="inlineStr">
        <is>
          <t>READ BY HAND 2026-08-26 — checked line by line against the code</t>
        </is>
      </c>
      <c r="J370" s="3" t="inlineStr">
        <is>
          <t>series: PriceSeries | null | undefined</t>
        </is>
      </c>
      <c r="K370" s="3" t="inlineStr">
        <is>
          <t>number | null</t>
        </is>
      </c>
      <c r="L370" s="3" t="inlineStr">
        <is>
          <t>NOT FOUND — a screen calls it, but the words printed beside its answer could not be traced automatically. Needs reading.</t>
        </is>
      </c>
      <c r="M370" s="3" t="inlineStr">
        <is>
          <t>None found in this function — anything it assumes comes from the functions it depends on.</t>
        </is>
      </c>
      <c r="N370" s="3" t="inlineStr">
        <is>
          <t>Yes</t>
        </is>
      </c>
      <c r="O370" s="3" t="inlineStr">
        <is>
          <t>—</t>
        </is>
      </c>
      <c r="P370" s="3" t="n">
        <v>0</v>
      </c>
      <c r="Q370" s="3" t="inlineStr">
        <is>
          <t>None — no dependent function stands behind it</t>
        </is>
      </c>
      <c r="R370" s="3" t="inlineStr">
        <is>
          <t>No dependent function — it reads its inputs and answers</t>
        </is>
      </c>
      <c r="S370" s="3" t="inlineStr">
        <is>
          <t>—</t>
        </is>
      </c>
      <c r="T370" s="3" t="inlineStr">
        <is>
          <t>PRICE_LATEST</t>
        </is>
      </c>
      <c r="U370" s="3" t="inlineStr">
        <is>
          <t>ACTIVE</t>
        </is>
      </c>
      <c r="V370" s="3" t="inlineStr">
        <is>
          <t>2026-09-08</t>
        </is>
      </c>
      <c r="W370" s="3" t="n"/>
      <c r="X370" s="3" t="n"/>
      <c r="Y370" s="3" t="inlineStr">
        <is>
          <t>NOTHING OPEN</t>
        </is>
      </c>
    </row>
    <row r="371" ht="60" customHeight="1">
      <c r="A371" s="3" t="inlineStr">
        <is>
          <t>MK-PF-F-010</t>
        </is>
      </c>
      <c r="B371" s="3" t="inlineStr">
        <is>
          <t>periodReturn</t>
        </is>
      </c>
      <c r="C371" s="3" t="inlineStr">
        <is>
          <t>src/domain/performance/index.ts</t>
        </is>
      </c>
      <c r="D371" s="3" t="n">
        <v>801</v>
      </c>
      <c r="E371" s="3" t="inlineStr">
        <is>
          <t>3 · DEPENDENT</t>
        </is>
      </c>
      <c r="F371" s="3" t="inlineStr">
        <is>
          <t>Price return of a ticker over a period (decimal).</t>
        </is>
      </c>
      <c r="G371" s="11" t="inlineStr">
        <is>
          <t>p = period return parts(series, period, now)
nothing   when p is missing
the answer:
(1 + total)^(1 ÷ years) − 1   if years &gt; 1
total   otherwise</t>
        </is>
      </c>
      <c r="H371" s="3" t="inlineStr">
        <is>
          <t>P is period return parts(series, period, now). When p is missing, it answers no answer. The answer is (1 plus total)^(1 divided by years) minus 1 — when years &gt; 1; total — otherwise.</t>
        </is>
      </c>
      <c r="I371" s="3" t="inlineStr">
        <is>
          <t>READ FROM THE CODE — rendered from the expressions the function runs</t>
        </is>
      </c>
      <c r="J371" s="3" t="inlineStr">
        <is>
          <t>1. series: PriceSeries | null | undefined
2. period: Period
3. now = new Date()</t>
        </is>
      </c>
      <c r="K371" s="3" t="inlineStr">
        <is>
          <t>number | null</t>
        </is>
      </c>
      <c r="L371" s="3" t="inlineStr">
        <is>
          <t>—</t>
        </is>
      </c>
      <c r="M371" s="3" t="inlineStr">
        <is>
          <t>· Uses today's date from the device clock, so the answer changes by itself overnight.</t>
        </is>
      </c>
      <c r="N371" s="3" t="inlineStr">
        <is>
          <t>Yes</t>
        </is>
      </c>
      <c r="O371" s="3" t="inlineStr">
        <is>
          <t>MK-PF-F-039 periodReturnParts</t>
        </is>
      </c>
      <c r="P371" s="3" t="n">
        <v>7</v>
      </c>
      <c r="Q371" s="3" t="inlineStr">
        <is>
          <t>1. MK-PF-F-039 periodReturnParts
2. MK-PF-F-029 closeAsOf
3. MK-PF-F-037 dayBefore
4. MK-PF-F-009 latestClose
5. MK-ST-F-030 record
6. MK-PF-F-008 startDateFor
7. MK-PF-F-036 monthsBefore</t>
        </is>
      </c>
      <c r="R371" s="3" t="inlineStr">
        <is>
          <t>1. MK-PF-F-029 closeAsOf → MK-PF-F-039 periodReturnParts → MK-PF-F-010 periodReturn
2. MK-PF-F-037 dayBefore → MK-PF-F-039 periodReturnParts → MK-PF-F-010 periodReturn
3. MK-PF-F-009 latestClose → MK-PF-F-039 periodReturnParts → MK-PF-F-010 periodReturn
4. MK-ST-F-030 record → MK-PF-F-039 periodReturnParts → MK-PF-F-010 periodReturn
5. MK-PF-F-036 monthsBefore → MK-PF-F-008 startDateFor → MK-PF-F-039 periodReturnParts → MK-PF-F-010 periodReturn</t>
        </is>
      </c>
      <c r="S371" s="3" t="inlineStr">
        <is>
          <t>—</t>
        </is>
      </c>
      <c r="T371" s="3" t="inlineStr">
        <is>
          <t>PERIOD_RETURN</t>
        </is>
      </c>
      <c r="U371" s="3" t="inlineStr">
        <is>
          <t>ACTIVE</t>
        </is>
      </c>
      <c r="V371" s="3" t="inlineStr">
        <is>
          <t>2026-10-11</t>
        </is>
      </c>
      <c r="W371" s="3" t="n"/>
      <c r="X371" s="3" t="n"/>
      <c r="Y371" s="3" t="inlineStr">
        <is>
          <t>NOTHING OPEN</t>
        </is>
      </c>
    </row>
    <row r="372" ht="60" customHeight="1">
      <c r="A372" s="3" t="inlineStr">
        <is>
          <t>MK-PF-F-011</t>
        </is>
      </c>
      <c r="B372" s="3" t="inlineStr">
        <is>
          <t>periodReturnSince</t>
        </is>
      </c>
      <c r="C372" s="3" t="inlineStr">
        <is>
          <t>src/domain/performance/index.ts</t>
        </is>
      </c>
      <c r="D372" s="3" t="n">
        <v>936</v>
      </c>
      <c r="E372" s="3" t="inlineStr">
        <is>
          <t>2 · DISPLAYED</t>
        </is>
      </c>
      <c r="F372" s="3" t="inlineStr">
        <is>
          <t>Price return from an explicit start DATE to now (for purchase-capped windows).</t>
        </is>
      </c>
      <c r="G372"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72"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72" s="3" t="inlineStr">
        <is>
          <t>PARTLY READ — some of the code is still showing through; needs a hand pass</t>
        </is>
      </c>
      <c r="J372" s="3" t="inlineStr">
        <is>
          <t>1. series: PriceSeries | null | undefined
2. sinceISO: string
3. now = new Date()</t>
        </is>
      </c>
      <c r="K372" s="3" t="inlineStr">
        <is>
          <t>number | null</t>
        </is>
      </c>
      <c r="L372" s="3" t="inlineStr">
        <is>
          <t>NOT FOUND — a screen calls it, but the words printed beside its answer could not be traced automatically. Needs reading.</t>
        </is>
      </c>
      <c r="M372" s="3" t="inlineStr">
        <is>
          <t>· Uses today's date from the device clock, so the answer changes by itself overnight.</t>
        </is>
      </c>
      <c r="N372" s="3" t="inlineStr">
        <is>
          <t>Yes</t>
        </is>
      </c>
      <c r="O372" s="3" t="inlineStr">
        <is>
          <t>1. MK-PF-F-029 closeAsOf
2. MK-PF-F-009 latestClose</t>
        </is>
      </c>
      <c r="P372" s="3" t="n">
        <v>2</v>
      </c>
      <c r="Q372" s="3" t="inlineStr">
        <is>
          <t>1. MK-PF-F-029 closeAsOf
2. MK-PF-F-009 latestClose</t>
        </is>
      </c>
      <c r="R372" s="3" t="inlineStr">
        <is>
          <t>1. MK-PF-F-029 closeAsOf → MK-PF-F-011 periodReturnSince
2. MK-PF-F-009 latestClose → MK-PF-F-011 periodReturnSince</t>
        </is>
      </c>
      <c r="S372" s="3" t="inlineStr">
        <is>
          <t>—</t>
        </is>
      </c>
      <c r="T372" s="3" t="inlineStr">
        <is>
          <t>RETURN_SINCE_A_DATE</t>
        </is>
      </c>
      <c r="U372" s="3" t="inlineStr">
        <is>
          <t>ACTIVE</t>
        </is>
      </c>
      <c r="V372" s="3" t="inlineStr">
        <is>
          <t>2026-09-26</t>
        </is>
      </c>
      <c r="W372" s="3" t="n"/>
      <c r="X372" s="3" t="n"/>
      <c r="Y372" s="3" t="inlineStr">
        <is>
          <t>NOTHING OPEN</t>
        </is>
      </c>
    </row>
    <row r="373" ht="60" customHeight="1">
      <c r="A373" s="3" t="inlineStr">
        <is>
          <t>MK-PF-F-012</t>
        </is>
      </c>
      <c r="B373" s="3" t="inlineStr">
        <is>
          <t>earliestPurchaseDate</t>
        </is>
      </c>
      <c r="C373" s="3" t="inlineStr">
        <is>
          <t>src/domain/performance/index.ts</t>
        </is>
      </c>
      <c r="D373" s="3" t="n">
        <v>969</v>
      </c>
      <c r="E373" s="3" t="inlineStr">
        <is>
          <t>3 · DEPENDENT</t>
        </is>
      </c>
      <c r="F373" s="3" t="inlineStr">
        <is>
          <t>Earliest dated lot — the day this holding became YOUR money.</t>
        </is>
      </c>
      <c r="G373" s="11" t="inlineStr">
        <is>
          <t>dates = for each of lots (or none when missing): purchase date where ÷ ^\each{4}-\each{2}-\each{2} ÷ .test(each ?? '')
the answer:
the first 10 of dates.sort()[0]!   if count of dates
nothing   otherwise</t>
        </is>
      </c>
      <c r="H373" s="3" t="inlineStr">
        <is>
          <t>Dates is for each of lots (or none — when missing): purchase date where divided by ^\each{4}-\each{2}-\each{2} divided by .test(each ?? ''). The answer: the first 10 of dates.sort()[0]! — when how many dates there are; no answer — otherwise.</t>
        </is>
      </c>
      <c r="I373" s="3" t="inlineStr">
        <is>
          <t>PARTLY READ — some of the code is still showing through; needs a hand pass</t>
        </is>
      </c>
      <c r="J373" s="3" t="inlineStr">
        <is>
          <t>p: Position</t>
        </is>
      </c>
      <c r="K373" s="3" t="inlineStr">
        <is>
          <t>string | null</t>
        </is>
      </c>
      <c r="L373" s="3" t="inlineStr">
        <is>
          <t>—</t>
        </is>
      </c>
      <c r="M373" s="3" t="inlineStr">
        <is>
          <t>None found in this function — anything it assumes comes from the functions it depends on.</t>
        </is>
      </c>
      <c r="N373" s="3" t="inlineStr">
        <is>
          <t>Yes</t>
        </is>
      </c>
      <c r="O373" s="3" t="inlineStr">
        <is>
          <t>MK-CF-F-132 map</t>
        </is>
      </c>
      <c r="P373" s="3" t="n">
        <v>1</v>
      </c>
      <c r="Q373" s="3" t="inlineStr">
        <is>
          <t>MK-CF-F-132 map</t>
        </is>
      </c>
      <c r="R373" s="3" t="inlineStr">
        <is>
          <t>MK-CF-F-132 map → MK-PF-F-012 earliestPurchaseDate</t>
        </is>
      </c>
      <c r="S373" s="3" t="inlineStr">
        <is>
          <t>—</t>
        </is>
      </c>
      <c r="T373" s="3" t="inlineStr">
        <is>
          <t>HOLDING_FIRST_BOUGHT</t>
        </is>
      </c>
      <c r="U373" s="3" t="inlineStr">
        <is>
          <t>ACTIVE</t>
        </is>
      </c>
      <c r="V373" s="3" t="inlineStr">
        <is>
          <t>2026-08-27</t>
        </is>
      </c>
      <c r="W373" s="3" t="n"/>
      <c r="X373" s="3" t="n"/>
      <c r="Y373" s="3" t="inlineStr">
        <is>
          <t>NOTHING OPEN</t>
        </is>
      </c>
    </row>
    <row r="374" ht="60" customHeight="1">
      <c r="A374" s="3" t="inlineStr">
        <is>
          <t>MK-PF-F-013</t>
        </is>
      </c>
      <c r="B374" s="3" t="inlineStr">
        <is>
          <t>benchmarkTicker</t>
        </is>
      </c>
      <c r="C374" s="3" t="inlineStr">
        <is>
          <t>src/domain/performance/index.ts</t>
        </is>
      </c>
      <c r="D374" s="3" t="n">
        <v>1030</v>
      </c>
      <c r="E374" s="3" t="inlineStr">
        <is>
          <t>2 · DISPLAYED</t>
        </is>
      </c>
      <c r="F374" s="3" t="inlineStr">
        <is>
          <t>What should this holding be compared against?</t>
        </is>
      </c>
      <c r="G374" s="11" t="inlineStr">
        <is>
          <t>h = { kind: of ?? undefined } as pick&lt;position, 'kind' | 'asset_class' | 'class_source'&gt;   if of is a string (or of = nothing when missing or zero)
of   otherwise
kind = kind (or undefined when missing or zero)
by class = 'AGG'   if asset class = 'bond'
'SPY'   if asset class = 'stock_etf'
nothing   otherwise   otherwise
by class   when by class and (class source = 'user' or !kind or !BENCHMARK_TICKER[kind])
BENCHMARK_TICKER[kind]   when kind and BENCHMARK_TICKER[kind]
'SPY'   when kind (or asset class when missing or zero)
the answer = nothing</t>
        </is>
      </c>
      <c r="H374" s="3" t="inlineStr">
        <is>
          <t>H is { kind: of ?? undefined } as pick&lt;position, 'kind' | 'asset_class' | 'class_source'&gt; — when of is a string (or of is missing when missing or zero); of — otherwise. Kind is kind (or undefined — when missing or zero). By class is 'AGG' — when asset class = 'bond'; 'SPY' — when asset class = 'stock_etf'; no answer — otherwise — otherwise. When by class and (class source = 'user' or !kind or !BENCHMARK_TICKER[kind]), it answers by class. When kind and BENCHMARK_TICKER[kind], it answers BENCHMARK_TICKER[kind]. When kind (or asset class — when missing or zero), it answers 'SPY'. The answer is no answer.</t>
        </is>
      </c>
      <c r="I374" s="3" t="inlineStr">
        <is>
          <t>PARTLY READ — some of the code is still showing through; needs a hand pass</t>
        </is>
      </c>
      <c r="J374" s="3" t="inlineStr">
        <is>
          <t>of?: string | Pick&lt;Position, 'kind' | 'asset_class' | 'class_source'&gt;</t>
        </is>
      </c>
      <c r="K374" s="3" t="inlineStr">
        <is>
          <t>string | null</t>
        </is>
      </c>
      <c r="L374" s="3" t="inlineStr">
        <is>
          <t>1. "Name (optional)" — on the Performance screen
2. "You are" — on the Holding detail screen, under "VS THE STOCK MARKET
3. SAME DATES"</t>
        </is>
      </c>
      <c r="M374" s="3" t="inlineStr">
        <is>
          <t>None found in this function — anything it assumes comes from the functions it depends on.</t>
        </is>
      </c>
      <c r="N374" s="3" t="inlineStr">
        <is>
          <t>Yes</t>
        </is>
      </c>
      <c r="O374" s="3" t="inlineStr">
        <is>
          <t>MK-ST-F-053 money</t>
        </is>
      </c>
      <c r="P374" s="3" t="n">
        <v>6</v>
      </c>
      <c r="Q374" s="3" t="inlineStr">
        <is>
          <t>1. MK-ST-F-053 money
2. MK-ST-F-049 formatMoney
3. MK-XS-F-122 n
4. MK-ST-F-048 currencySymbol
5. MK-ST-F-039 on
6. MK-ST-F-047 activeCurrency</t>
        </is>
      </c>
      <c r="R374"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74" s="3" t="inlineStr">
        <is>
          <t>—</t>
        </is>
      </c>
      <c r="T374" s="3" t="inlineStr">
        <is>
          <t>BENCHMARK_FOR_KIND</t>
        </is>
      </c>
      <c r="U374" s="3" t="inlineStr">
        <is>
          <t>ACTIVE</t>
        </is>
      </c>
      <c r="V374" s="3" t="inlineStr">
        <is>
          <t>2026-10-11</t>
        </is>
      </c>
      <c r="W374" s="3" t="n"/>
      <c r="X374" s="3" t="n"/>
      <c r="Y374" s="3" t="inlineStr">
        <is>
          <t>NOTHING OPEN</t>
        </is>
      </c>
    </row>
    <row r="375" ht="60" customHeight="1">
      <c r="A375" s="3" t="inlineStr">
        <is>
          <t>MK-PF-F-014</t>
        </is>
      </c>
      <c r="B375" s="3" t="inlineStr">
        <is>
          <t>buildPerformance</t>
        </is>
      </c>
      <c r="C375" s="3" t="inlineStr">
        <is>
          <t>src/domain/performance/index.ts</t>
        </is>
      </c>
      <c r="D375" s="3" t="n">
        <v>1115</v>
      </c>
      <c r="E375" s="3" t="inlineStr">
        <is>
          <t>2 · DISPLAYED</t>
        </is>
      </c>
      <c r="F375" s="3" t="inlineStr">
        <is>
          <t>Build the per-holding rows for a period from positions + a price-series lookup.</t>
        </is>
      </c>
      <c r="G375" s="11" t="inlineStr">
        <is>
          <t>given = window start   if window start ≠ nothing and ÷ ^\d{4}-\d{2}-\d{2}$ ÷ .test(window start)
nothing   otherwise
opens = the date `${given}T12:00:00`   if given
start date for(period, now)   otherwise
period start = nothing   if opens = nothing
iso day(opens)   otherwise
begin iso = nothing   if opens = nothing
iso day(day before(opens))   otherwise
ret = period return since(s, begin iso, now)   if begin iso
nothing   otherwise   if (s: price series | nothing | undefined) =&gt; given
period return(s, period, now)   otherwise
total = period return since(s, begin iso, now)   if begin iso
nothing   otherwise   if (s: price series | nothing | undefined) =&gt; given
period total return(s, period, now)   otherwise
series = price of(ticker)
price = latest close(series)
lot date = earliest purchase date(p)
bought = lot date (or purchase date of.(p) (or nothing when missing) when missing)
capped = bought ≠ nothing and period start ≠ nothing and (given and lot date = nothing ? bought &gt; period start : bought ≥ period start)
… the first steps only — the rest of the body needs reading by hand.</t>
        </is>
      </c>
      <c r="H375" s="3" t="inlineStr">
        <is>
          <t>Given is window start — when window start is not no answer and divided by ^\d{4}-\d{2}-\d{2}$ divided by .test(window start); no answer — otherwise. Opens: the date `${given}T12:00:00` — when given; start date for(period, now) — otherwise. Period start is no answer — when opens is missing; iso day(opens) — otherwise. Begin iso is no answer — when opens is missing; iso day(day before(opens)) — otherwise. Ret is period return since(s, begin iso, now) — when begin iso; no answer — otherwise — when (s: price series | no answer | undefined) =&gt; given; period return(s, period, now) — otherwise. Total is period return since(s, begin iso, now) — when begin iso; no answer — otherwise — when (s: price series | no answer | undefined) =&gt; given; period total return(s, period, now) — otherwise. Series is price of(ticker). Price is latest close(series). Lot date is earliest purchase date(p). Bought is lot date (or purchase date of.(p) (or no answer — when missing) — when missing). Capped is bought is not no answer and period start is not no answer and (given and lot date is missing ? bought &gt; period start : bought is at least period start). Only the first steps are shown; the rest of the body needs reading by hand.</t>
        </is>
      </c>
      <c r="I375" s="3" t="inlineStr">
        <is>
          <t>PARTLY READ — some of the code is still showing through; needs a hand pass</t>
        </is>
      </c>
      <c r="J375" s="3" t="inlineStr">
        <is>
          <t>Nothing is handed to it</t>
        </is>
      </c>
      <c r="K375" s="3" t="inlineStr">
        <is>
          <t>NOT DECLARED — the code does not say what it gives back</t>
        </is>
      </c>
      <c r="L375" s="3" t="inlineStr">
        <is>
          <t>NOT FOUND — a screen calls it, but the words printed beside its answer could not be traced automatically. Needs reading.</t>
        </is>
      </c>
      <c r="M375" s="3" t="inlineStr">
        <is>
          <t>· Uses today's date from the device clock, so the answer changes by itself overnight.</t>
        </is>
      </c>
      <c r="N375" s="3" t="inlineStr">
        <is>
          <t>Yes</t>
        </is>
      </c>
      <c r="O375" s="3" t="inlineStr">
        <is>
          <t>1. MK-PF-F-013 benchmarkTicker
2. MK-PF-F-002 costBasis
3. MK-PF-F-037 dayBefore
4. MK-PF-F-012 earliestPurchaseDate
5. MK-PF-F-041 isoDay
6. MK-PF-F-009 latestClose
7. MK-CF-F-132 map
8. MK-PF-F-004 marketValue
9. MK-PF-F-010 periodReturn
10. MK-PF-F-039 periodReturnParts
11. MK-PF-F-011 periodReturnSince
12. MK-PF-F-038 periodTotalReturn
13. MK-ST-F-030 record
14. MK-PF-F-040 returnSincePurchases
15. MK-PF-F-008 startDateFor
16. MK-PF-F-007 totalROI
17. MK-PF-F-005 unrealizedGain</t>
        </is>
      </c>
      <c r="P375" s="3" t="n">
        <v>134</v>
      </c>
      <c r="Q375" s="3" t="inlineStr">
        <is>
          <t>1. MK-PF-F-013 benchmarkTicker
2. MK-PF-F-002 costBasis
3. MK-PF-F-037 dayBefore
4. MK-PF-F-012 earliestPurchaseDate
5. MK-PF-F-041 isoDay
6. MK-PF-F-009 latestClose
7. MK-CF-F-132 map
8. MK-PF-F-004 marketValue
9. MK-PF-F-010 periodReturn
10. MK-PF-F-039 periodReturnParts
11. MK-PF-F-011 periodReturnSince
12. MK-PF-F-038 periodTotalReturn
13. MK-ST-F-030 record
14. MK-PF-F-040 returnSincePurchases
15. MK-PF-F-008 startDateFor
16. MK-PF-F-007 totalROI
17. MK-PF-F-005 unrealizedGain
18. MK-ST-F-053 money
19. MK-PF-F-031 contractMultiplier
20. MK-PF-F-035 unknownFigure
21. MK-XS-F-122 n
22. MK-PF-F-001 totalShares
23. MK-PF-F-029 closeAsOf
24. MK-PF-F-034 closeOnOrBefore
25. MK-PF-F-036 monthsBefore
26. MK-CF-F-204 line
27. MK-ST-F-049 formatMoney
28. MK-CF-F-203 MONTH
29. MK-XS-F-180 declareFigures
30. MK-ST-F-048 currencySymbol
31. MK-ST-F-039 on
32. MK-CF-O-010 theMonth
33. MK-ST-F-047 activeCurrency
34. MK-CF-F-155 cash
35. MK-CF-O-002 expenses
36. MK-CF-O-003 thisMonth
37. MK-CF-F-151 actualSpending
38. MK-CF-F-150 debtPaymentsCountedAsExpenses
39. MK-CF-F-153 radar
40. MK-CF-F-149 recurringDebtPayments
41. MK-CF-F-005 actualMonthFlow
42. MK-CF-F-156 plannedMonthFlow
43. MK-CF-F-148 inMonth
44. MK-ST-F-052 toNum
45. MK-CF-F-191 ym
46. MK-ST-F-056 has
47. MK-CF-F-022 paymentShape
48. MK-CF-F-152 isRadarItem
49. MK-CF-F-023 requiredPayment
50. MK-NW-F-078 ONE
51. MK-CF-F-157 debtPaymentsByDebt
52. MK-CF-F-192 inflowLabel
53. MK-XS-F-027 takeHomeMonthly
54. MK-CF-F-021 defaultPaymentType
55. MK-NW-F-077 ALL
56. MK-NW-F-059 currentYield
57. MK-NW-O-001 theBonds
58. MK-CF-F-193 inflowSourceWord
59. MK-CF-F-092 incomeMonthlyGrid
60. MK-CF-F-011 savingsByMonth
61. MK-NW-F-112 yearlyInterest
62. MK-ST-F-027 accountId
63. MK-NW-F-057 annualCoupon
64. MK-NW-F-056 bondInfo
65. MK-NW-F-064 bondRateSensitivity
66. MK-NW-F-061 bondSummary
67. MK-NW-F-055 isBond
68. MK-NW-F-124 maturityParts
69. MK-NW-F-072 rowOf
70. MK-CF-F-069 benefitActiveMonths
71. MK-CF-F-072 currentRetirementIncomeMonthly
72. MK-CF-F-173 earnerWages
73. MK-CF-F-065 equityVestWeights
74. MK-CF-F-071 extraIncome
75. MK-CF-F-206 householdK401ByMonth
76. MK-CF-F-087 monthlyTaxRates
77. MK-CF-F-073 otherIncomeMonth
78. MK-CF-F-181 rateInForce
79. MK-CF-F-068 rentalNetAnnual
80. MK-CF-F-066 rsuAnnual
81. MK-CF-F-060 salaryGrossByMonth
82. MK-CF-F-077 scholarshipByCalendarMonth
83. MK-CF-F-088 taxableByCalendarMonth
84. MK-CF-F-177 wageGrossByMonth
85. MK-PL-F-012 waterfall
86. MK-CF-F-008 spendByMonth
87. MK-NW-F-060 approxYTM
88. MK-NW-F-069 priceAtYield
89. MK-NW-F-131 pricedLikeBond
90. MK-NW-F-125 isPastMaturity
91. MK-ST-F-065 isoLocalDate
92. MK-NW-F-126 yearlyInterestNow
93. MK-NW-F-011 assetClassOf
94. MK-NW-F-009 maturityClass
95. MK-CF-F-216 typed
96. MK-NW-F-070 accruedInterestCaveat
97. MK-NW-F-058 yearsToMaturity
98. MK-CF-F-075 retirementIncomeMonthly
99. MK-CF-F-172 hasWage
100. MK-CF-F-062 equityRowValue
101. MK-CF-F-070 benefitAnnual
102. MK-CF-F-176 sumMonthsOverEarners
103. MK-CF-F-090 effectiveRate
104. MK-CF-F-180 enteredLandsAnnual
105. MK-CF-F-085 filingStatusOf
106. MK-CF-F-089 over65CountOf
107. MK-CF-F-082 salaryAnnual
108. MK-CF-F-086 stateRateOf
109. MK-CF-F-101 taxOwedFor
110. MK-CF-F-084 taxableAnnual
111. MK-CF-F-067 rentalList
112. MK-CF-F-063 rowVestYear
113. MK-CF-F-130 enteredMonthlyRaw
114. MK-CF-F-166 hasMonthlySalaryTable
115. MK-ST-F-036 reconcile
116. MK-CF-F-167 salaryCalendarYear
117. MK-CF-F-120 pctBaseMonthly
118. MK-CF-F-004 spendBuckets
119. MK-NW-F-119 estimatedAccrued
120. MK-NW-F-120 classEvidenceOf
121. MK-NW-F-067 plural
122. MK-CF-F-100 taxableIncomeFor
123. MK-CF-F-074 tipsAnnual
124. MK-ST-F-085 rentFigure
125. MK-CF-F-165 salaryMonths
126. MK-CF-F-003 categoryMonthly
127. MK-NW-F-008 incomeBearingClassOf
128. MK-CF-F-099 deductionFor
129. MK-CF-F-081 salaryActiveMonths
130. MK-ST-F-010 nameEvidence
131. MK-CF-F-187 seniorDeductionFor
132. MK-XS-F-147 call
133. MK-XS-F-064 currentIdToken
134. MK-XS-F-112 relayUrl</t>
        </is>
      </c>
      <c r="R375"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MK-PF-F-035 unknownFigure → MK-PF-F-002 costBasis → MK-PF-F-014 buildPerformance
7. MK-PF-F-037 dayBefore → MK-PF-F-014 buildPerformance
8. MK-CF-F-132 map → MK-PF-F-012 earliestPurchaseDate → MK-PF-F-014 buildPerformance
9. … and 5 more paths</t>
        </is>
      </c>
      <c r="S375" s="3" t="inlineStr">
        <is>
          <t>—</t>
        </is>
      </c>
      <c r="T375" s="3" t="inlineStr">
        <is>
          <t>PERFORMANCE_TABLE</t>
        </is>
      </c>
      <c r="U375" s="3" t="inlineStr">
        <is>
          <t>ACTIVE</t>
        </is>
      </c>
      <c r="V375" s="3" t="inlineStr">
        <is>
          <t>2026-10-12</t>
        </is>
      </c>
      <c r="W375" s="3" t="n"/>
      <c r="X375" s="3" t="n"/>
      <c r="Y375" s="3" t="inlineStr">
        <is>
          <t>NOTHING OPEN</t>
        </is>
      </c>
    </row>
    <row r="376" ht="60" customHeight="1">
      <c r="A376" s="3" t="inlineStr">
        <is>
          <t>MK-PF-F-015</t>
        </is>
      </c>
      <c r="B376" s="3" t="inlineStr">
        <is>
          <t>topHoldingConcentration</t>
        </is>
      </c>
      <c r="C376" s="3" t="inlineStr">
        <is>
          <t>src/domain/performance/index.ts</t>
        </is>
      </c>
      <c r="D376" s="3" t="n">
        <v>1313</v>
      </c>
      <c r="E376" s="3" t="inlineStr">
        <is>
          <t>2 · DISPLAYED</t>
        </is>
      </c>
      <c r="F376" s="3" t="inlineStr">
        <is>
          <t>The holding-concentration FACT (Invest main + the insights function share this one rule): the largest single holding as a % of invested money, reported only at 25%+ with 2+ holdings — below that it isn't a fact worth a card.</t>
        </is>
      </c>
      <c r="G376" s="11" t="inlineStr">
        <is>
          <t>nothing   when rows.some((r) =&gt; market value = nothing)
vals = for each of rows: market value as number
invested = Σ over vals of (each)
nothing   when invested ≤ 0 (or rows.length &lt; 2 when missing or zero)
at = 0
top = rows[at], top value = vals[at]
share = (top value ÷ invested) × 100
the answer:
ticker = top.position.ticker
pct = round(share)
value = top value   if share ≥ 25
nothing   otherwise</t>
        </is>
      </c>
      <c r="H376" s="3" t="inlineStr">
        <is>
          <t>When rows.some((r) =&gt; market value is missing), it answers no answer. Vals is for each of rows: market value as number. Invested: the each added up across vals. When invested is at most 0 (or rows.length &lt; 2 — when missing or zero), it answers no answer. At is 0. Top is rows[at], top value = vals[at]. Share is (top value divided by invested) times 100. The answer is ticker = top.position.ticker; pct = share, to a whole number; value = top value — when share is at least 25; no answer — otherwise.</t>
        </is>
      </c>
      <c r="I376" s="3" t="inlineStr">
        <is>
          <t>PARTLY READ — some of the code is still showing through; needs a hand pass</t>
        </is>
      </c>
      <c r="J376" s="3" t="inlineStr">
        <is>
          <t>rows: PerformanceRow[]</t>
        </is>
      </c>
      <c r="K376" s="3" t="inlineStr">
        <is>
          <t>NOT DECLARED — the code does not say what it gives back</t>
        </is>
      </c>
      <c r="L376" s="3" t="inlineStr">
        <is>
          <t>NOT FOUND — a screen calls it, but the words printed beside its answer could not be traced automatically. Needs reading.</t>
        </is>
      </c>
      <c r="M376" s="3" t="inlineStr">
        <is>
          <t>1. Uses a built-in at of 0.
2. Rounds the answer to a whole number.</t>
        </is>
      </c>
      <c r="N376" s="3" t="inlineStr">
        <is>
          <t>Yes</t>
        </is>
      </c>
      <c r="O376" s="3" t="inlineStr">
        <is>
          <t>1. MK-CF-F-204 line
2. MK-CF-F-132 map</t>
        </is>
      </c>
      <c r="P376" s="3" t="n">
        <v>112</v>
      </c>
      <c r="Q376" s="3" t="inlineStr">
        <is>
          <t>1. MK-CF-F-204 line
2. MK-CF-F-132 map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MK-NW-F-112 yearlyInterest
37. MK-ST-F-048 currencySymbol
38. MK-ST-F-039 on
39. MK-ST-F-027 accountId
40. MK-NW-F-057 annualCoupon
41. MK-NW-F-056 bondInfo
42. MK-NW-F-064 bondRateSensitivity
43. MK-NW-F-061 bondSummary
44. MK-NW-F-055 isBond
45. MK-NW-F-124 maturityParts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MK-NW-F-131 pricedLikeBond
68. MK-NW-F-125 isPastMaturity
69. MK-ST-F-065 isoLocalDate
70. MK-NW-F-126 yearlyInterestNow
71. MK-NW-F-011 assetClassOf
72. MK-NW-F-009 maturityClass
73. MK-CF-F-216 typed
74. MK-NW-F-070 accruedInterestCaveat
75. MK-NW-F-058 yearsToMaturity
76. MK-CF-F-075 retirementIncomeMonthly
77. MK-CF-F-172 hasWage
78. MK-CF-F-062 equityRowValue
79. MK-CF-F-070 benefitAnnual
80. MK-CF-F-176 sumMonthsOverEarners
81. MK-CF-F-090 effectiveRate
82. MK-CF-F-180 enteredLandsAnnual
83. MK-CF-F-085 filingStatusOf
84. MK-CF-F-089 over65CountOf
85. MK-CF-F-082 salaryAnnual
86. MK-CF-F-086 stateRateOf
87. MK-CF-F-101 taxOwedFor
88. MK-CF-F-084 taxableAnnual
89. MK-CF-F-067 rentalList
90. MK-CF-F-063 rowVestYear
91. MK-CF-F-130 enteredMonthlyRaw
92. MK-CF-F-166 hasMonthlySalaryTable
93. MK-ST-F-036 reconcile
94. MK-CF-F-167 salaryCalendarYear
95. MK-CF-F-120 pctBaseMonthly
96. MK-CF-F-004 spendBuckets
97. MK-NW-F-119 estimatedAccrued
98. MK-NW-F-120 classEvidenceOf
99. MK-NW-F-067 plural
100. MK-CF-F-100 taxableIncomeFor
101. MK-CF-F-074 tipsAnnual
102. MK-ST-F-085 rentFigure
103. MK-CF-F-165 salaryMonths
104. MK-CF-F-003 categoryMonthly
105. MK-NW-F-008 incomeBearingClassOf
106. MK-CF-F-099 deductionFor
107. MK-CF-F-081 salaryActiveMonths
108. MK-ST-F-010 nameEvidence
109. MK-CF-F-187 seniorDeductionFor
110. MK-XS-F-147 call
111. MK-XS-F-064 currentIdToken
112. MK-XS-F-112 relayUrl</t>
        </is>
      </c>
      <c r="R376" s="3" t="inlineStr">
        <is>
          <t>1. MONTH (already above — a loop) → MK-CF-O-010 theMonth → MK-CF-F-203 MONTH → MK-CF-F-204 line → MK-PF-F-015 topHoldingConcentration
2. MK-XS-F-122 n → MK-CF-F-155 cash → MK-CF-O-010 theMonth → MK-CF-F-203 MONTH → MK-CF-F-204 line → MK-PF-F-015 topHoldingConcentration
3. MK-CF-F-151 actualSpending → MK-CF-O-002 expenses → MK-CF-O-010 theMonth → MK-CF-F-203 MONTH → MK-CF-F-204 line → MK-PF-F-015 topHoldingConcentration
4. MK-CF-F-150 debtPaymentsCountedAsExpenses → MK-CF-O-002 expenses → MK-CF-O-010 theMonth → MK-CF-F-203 MONTH → MK-CF-F-204 line → MK-PF-F-015 topHoldingConcentration
5. MK-CF-F-153 radar → MK-CF-O-002 expenses → MK-CF-O-010 theMonth → MK-CF-F-203 MONTH → MK-CF-F-204 line → MK-PF-F-015 topHoldingConcentration
6. MK-CF-F-149 recurringDebtPayments → MK-CF-O-002 expenses → MK-CF-O-010 theMonth → MK-CF-F-203 MONTH → MK-CF-F-204 line → MK-PF-F-015 topHoldingConcentration
7. MK-CF-F-005 actualMonthFlow → MK-CF-O-003 thisMonth → MK-CF-O-010 theMonth → MK-CF-F-203 MONTH → MK-CF-F-204 line → MK-PF-F-015 topHoldingConcentration
8. MK-CF-F-156 plannedMonthFlow → MK-CF-O-003 thisMonth → MK-CF-O-010 theMonth → MK-CF-F-203 MONTH → MK-CF-F-204 line → MK-PF-F-015 topHoldingConcentration
9. … and 2 more paths</t>
        </is>
      </c>
      <c r="S376" s="3" t="inlineStr">
        <is>
          <t>—</t>
        </is>
      </c>
      <c r="T376" s="3" t="inlineStr">
        <is>
          <t>CONCENTRATION</t>
        </is>
      </c>
      <c r="U376" s="3" t="inlineStr">
        <is>
          <t>ACTIVE</t>
        </is>
      </c>
      <c r="V376" s="3" t="inlineStr">
        <is>
          <t>2026-10-11</t>
        </is>
      </c>
      <c r="W376" s="3" t="n"/>
      <c r="X376" s="3" t="n"/>
      <c r="Y376" s="3" t="inlineStr">
        <is>
          <t>NOTHING OPEN</t>
        </is>
      </c>
    </row>
    <row r="377" ht="60" customHeight="1">
      <c r="A377" s="3" t="inlineStr">
        <is>
          <t>MK-PF-F-020</t>
        </is>
      </c>
      <c r="B377" s="3" t="inlineStr">
        <is>
          <t>portfolioBenchReturn</t>
        </is>
      </c>
      <c r="C377" s="3" t="inlineStr">
        <is>
          <t>src/domain/performance/index.ts</t>
        </is>
      </c>
      <c r="D377" s="3" t="n">
        <v>1446</v>
      </c>
      <c r="E377" s="3" t="inlineStr">
        <is>
          <t>2 · DISPLAYED</t>
        </is>
      </c>
      <c r="F377" s="3" t="inlineStr">
        <is>
          <t>Value-weighted benchmark ("the market, matched to your mix") return across holdings that have one (decimal), or null.</t>
        </is>
      </c>
      <c r="G377" s="11" t="inlineStr">
        <is>
          <t>total = Σ over usable of (start)
nothing   when total ≤ 0
the answer = Σ over usable of ((bench as number) × start)÷ total</t>
        </is>
      </c>
      <c r="H377" s="3" t="inlineStr">
        <is>
          <t>Total: the start added up across usable. When total is at most 0, it answers no answer. The answer: the (bench as number added up across usable times start)÷ total.</t>
        </is>
      </c>
      <c r="I377" s="3" t="inlineStr">
        <is>
          <t>READ FROM THE CODE — rendered from the expressions the function runs</t>
        </is>
      </c>
      <c r="J377" s="3" t="inlineStr">
        <is>
          <t>rows: PerformanceRow[]</t>
        </is>
      </c>
      <c r="K377" s="3" t="inlineStr">
        <is>
          <t>number | null</t>
        </is>
      </c>
      <c r="L377" s="3" t="inlineStr">
        <is>
          <t>NOT FOUND — a screen calls it, but the words printed beside its answer could not be traced automatically. Needs reading.</t>
        </is>
      </c>
      <c r="M377" s="3" t="inlineStr">
        <is>
          <t>None found in this function — anything it assumes comes from the functions it depends on.</t>
        </is>
      </c>
      <c r="N377" s="3" t="inlineStr">
        <is>
          <t>Yes</t>
        </is>
      </c>
      <c r="O377" s="3" t="inlineStr">
        <is>
          <t>1. MK-CF-F-132 map
2. MK-ST-F-053 money
3. MK-PF-F-044 startValues
4. MK-PF-F-042 windowTotal
5. MK-PF-F-043 windowTotalOfRow</t>
        </is>
      </c>
      <c r="P377" s="3" t="n">
        <v>18</v>
      </c>
      <c r="Q377" s="3" t="inlineStr">
        <is>
          <t>1. MK-CF-F-132 map
2. MK-ST-F-053 money
3. MK-PF-F-044 startValues
4. MK-PF-F-042 windowTotal
5. MK-PF-F-043 windowTotalOfRow
6. MK-ST-F-049 formatMoney
7. MK-XS-F-122 n
8. MK-PF-F-010 periodReturn
9. MK-ST-F-048 currencySymbol
10. MK-ST-F-039 on
11. MK-PF-F-039 periodReturnParts
12. MK-ST-F-047 activeCurrency
13. MK-PF-F-029 closeAsOf
14. MK-PF-F-037 dayBefore
15. MK-PF-F-009 latestClose
16. MK-ST-F-030 record
17. MK-PF-F-008 startDateFor
18. MK-PF-F-036 monthsBefore</t>
        </is>
      </c>
      <c r="R377" s="3" t="inlineStr">
        <is>
          <t>1. MK-CF-F-132 map → MK-PF-F-020 portfolioBenchReturn
2. MK-ST-F-047 activeCurrency → MK-ST-F-048 currencySymbol → MK-ST-F-049 formatMoney → MK-ST-F-053 money → MK-PF-F-020 portfolioBenchReturn
3. MK-XS-F-122 n → MK-ST-F-049 formatMoney → MK-ST-F-053 money → MK-PF-F-020 portfolioBenchReturn
4. MK-ST-F-039 on → MK-ST-F-049 formatMoney → MK-ST-F-053 money → MK-PF-F-020 portfolioBenchReturn
5. MK-XS-F-122 n → MK-ST-F-053 money → MK-PF-F-020 portfolioBenchReturn
6. MK-PF-F-044 startValues → MK-PF-F-020 portfolioBenchReturn
7. MK-PF-F-042 windowTotal → MK-PF-F-020 portfolioBenchReturn
8. MK-PF-F-029 closeAsOf → MK-PF-F-039 periodReturnParts → MK-PF-F-010 periodReturn → MK-PF-F-043 windowTotalOfRow → MK-PF-F-020 portfolioBenchReturn
9. … and 4 more paths</t>
        </is>
      </c>
      <c r="S377" s="3" t="inlineStr">
        <is>
          <t>—</t>
        </is>
      </c>
      <c r="T377" s="3" t="inlineStr">
        <is>
          <t>BENCHMARK_RETURN_BLENDED</t>
        </is>
      </c>
      <c r="U377" s="3" t="inlineStr">
        <is>
          <t>ACTIVE</t>
        </is>
      </c>
      <c r="V377" s="3" t="inlineStr">
        <is>
          <t>2026-10-11</t>
        </is>
      </c>
      <c r="W377" s="3" t="n"/>
      <c r="X377" s="3" t="n"/>
      <c r="Y377" s="3" t="inlineStr">
        <is>
          <t>NOTHING OPEN</t>
        </is>
      </c>
    </row>
    <row r="378" ht="60" customHeight="1">
      <c r="A378" s="3" t="inlineStr">
        <is>
          <t>MK-PF-F-022</t>
        </is>
      </c>
      <c r="B378" s="3" t="inlineStr">
        <is>
          <t>factorOverMonths</t>
        </is>
      </c>
      <c r="C378" s="3" t="inlineStr">
        <is>
          <t>src/domain/performance/lookBack.ts</t>
        </is>
      </c>
      <c r="D378" s="3" t="n">
        <v>49</v>
      </c>
      <c r="E378" s="3" t="inlineStr">
        <is>
          <t>3 · DEPENDENT</t>
        </is>
      </c>
      <c r="F378" s="3" t="inlineStr">
        <is>
          <t>Price factor over the trailing window: last close ÷ the close at (now − months).</t>
        </is>
      </c>
      <c r="G378"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78"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78" s="3" t="inlineStr">
        <is>
          <t>READ BY HAND 2026-08-26 — checked line by line against the code</t>
        </is>
      </c>
      <c r="J378" s="3" t="inlineStr">
        <is>
          <t>1. series: PriceSeries | null | undefined
2. months: number
3. now: Date = new Date()</t>
        </is>
      </c>
      <c r="K378" s="3" t="inlineStr">
        <is>
          <t>number | null</t>
        </is>
      </c>
      <c r="L378" s="3" t="inlineStr">
        <is>
          <t>—</t>
        </is>
      </c>
      <c r="M378" s="3" t="inlineStr">
        <is>
          <t>1. Uses today's date from the device clock, so the answer changes by itself overnight.
2. The window boundary is a LOCAL calendar date (the person's own day), so the answer is the same in every timezone (TZ-1, 2026-09-08).</t>
        </is>
      </c>
      <c r="N378" s="3" t="inlineStr">
        <is>
          <t>Yes</t>
        </is>
      </c>
      <c r="O378" s="3" t="inlineStr">
        <is>
          <t>1. MK-ST-F-065 isoLocalDate
2. MK-PF-F-036 monthsBefore</t>
        </is>
      </c>
      <c r="P378" s="3" t="n">
        <v>2</v>
      </c>
      <c r="Q378" s="3" t="inlineStr">
        <is>
          <t>1. MK-ST-F-065 isoLocalDate
2. MK-PF-F-036 monthsBefore</t>
        </is>
      </c>
      <c r="R378" s="3" t="inlineStr">
        <is>
          <t>1. MK-ST-F-065 isoLocalDate → MK-PF-F-022 factorOverMonths
2. MK-PF-F-036 monthsBefore → MK-PF-F-022 factorOverMonths</t>
        </is>
      </c>
      <c r="S378" s="3" t="inlineStr">
        <is>
          <t>—</t>
        </is>
      </c>
      <c r="T378" s="3" t="inlineStr">
        <is>
          <t>PRICE_FACTOR_OVER_WINDOW</t>
        </is>
      </c>
      <c r="U378" s="3" t="inlineStr">
        <is>
          <t>ACTIVE</t>
        </is>
      </c>
      <c r="V378" s="3" t="inlineStr">
        <is>
          <t>2026-09-08</t>
        </is>
      </c>
      <c r="W378" s="3" t="n"/>
      <c r="X378" s="3" t="n"/>
      <c r="Y378" s="6" t="inlineStr">
        <is>
          <t>TESTED, NOT VERIFIED (TZ-1)</t>
        </is>
      </c>
    </row>
    <row r="379" ht="60" customHeight="1">
      <c r="A379" s="3" t="inlineStr">
        <is>
          <t>MK-PF-F-023</t>
        </is>
      </c>
      <c r="B379" s="3" t="inlineStr">
        <is>
          <t>lookBack</t>
        </is>
      </c>
      <c r="C379" s="3" t="inlineStr">
        <is>
          <t>src/domain/performance/lookBack.ts</t>
        </is>
      </c>
      <c r="D379" s="3" t="n">
        <v>99</v>
      </c>
      <c r="E379" s="3" t="inlineStr">
        <is>
          <t>3 · DEPENDENT</t>
        </is>
      </c>
      <c r="F379" s="3" t="inlineStr">
        <is>
          <t>What if I had moved this money?</t>
        </is>
      </c>
      <c r="G379"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79"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79" s="3" t="inlineStr">
        <is>
          <t>READ FROM THE CODE — rendered from the expressions the function runs</t>
        </is>
      </c>
      <c r="J379" s="3" t="inlineStr">
        <is>
          <t>1. amount: number
2. fromSeries: PriceSeries | null | undefined
3. toSeries: PriceSeries | null | undefined
4. months: number
5. now: Date = new Date()</t>
        </is>
      </c>
      <c r="K379" s="3" t="inlineStr">
        <is>
          <t>LookBackResult | null</t>
        </is>
      </c>
      <c r="L379" s="3" t="inlineStr">
        <is>
          <t>—</t>
        </is>
      </c>
      <c r="M379" s="3" t="inlineStr">
        <is>
          <t>· Uses today's date from the device clock, so the answer changes by itself overnight.</t>
        </is>
      </c>
      <c r="N379" s="3" t="inlineStr">
        <is>
          <t>Yes</t>
        </is>
      </c>
      <c r="O379" s="3" t="inlineStr">
        <is>
          <t>MK-PF-F-022 factorOverMonths</t>
        </is>
      </c>
      <c r="P379" s="3" t="n">
        <v>3</v>
      </c>
      <c r="Q379" s="3" t="inlineStr">
        <is>
          <t>1. MK-PF-F-022 factorOverMonths
2. MK-ST-F-065 isoLocalDate
3. MK-PF-F-036 monthsBefore</t>
        </is>
      </c>
      <c r="R379" s="3" t="inlineStr">
        <is>
          <t>1. MK-ST-F-065 isoLocalDate → MK-PF-F-022 factorOverMonths → MK-PF-F-023 lookBack
2. MK-PF-F-036 monthsBefore → MK-PF-F-022 factorOverMonths → MK-PF-F-023 lookBack</t>
        </is>
      </c>
      <c r="S379" s="3" t="inlineStr">
        <is>
          <t>—</t>
        </is>
      </c>
      <c r="T379" s="3" t="inlineStr">
        <is>
          <t>LOOK_BACK</t>
        </is>
      </c>
      <c r="U379" s="3" t="inlineStr">
        <is>
          <t>ACTIVE</t>
        </is>
      </c>
      <c r="V379" s="3" t="inlineStr">
        <is>
          <t>2026-09-28</t>
        </is>
      </c>
      <c r="W379" s="3" t="n"/>
      <c r="X379" s="3" t="n"/>
      <c r="Y379" s="3" t="inlineStr">
        <is>
          <t>NOTHING OPEN</t>
        </is>
      </c>
    </row>
    <row r="380" ht="60" customHeight="1">
      <c r="A380" s="3" t="inlineStr">
        <is>
          <t>MK-PF-F-028</t>
        </is>
      </c>
      <c r="B380" s="3" t="inlineStr">
        <is>
          <t>realizedFromLedger</t>
        </is>
      </c>
      <c r="C380" s="3" t="inlineStr">
        <is>
          <t>src/domain/performance/realized.ts</t>
        </is>
      </c>
      <c r="D380" s="3" t="n">
        <v>58</v>
      </c>
      <c r="E380" s="3" t="inlineStr">
        <is>
          <t>3 · DEPENDENT</t>
        </is>
      </c>
      <c r="F380" s="3" t="inlineStr">
        <is>
          <t>How much profit have I actually taken?</t>
        </is>
      </c>
      <c r="G380"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80"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80" s="3" t="inlineStr">
        <is>
          <t>READ BY HAND 2026-08-26 — checked line by line against the code</t>
        </is>
      </c>
      <c r="J380" s="3" t="inlineStr">
        <is>
          <t>Nothing is handed to it</t>
        </is>
      </c>
      <c r="K380" s="3" t="inlineStr">
        <is>
          <t>NOT DECLARED — the code does not say what it gives back</t>
        </is>
      </c>
      <c r="L380" s="3" t="inlineStr">
        <is>
          <t>—</t>
        </is>
      </c>
      <c r="M380" s="3" t="inlineStr">
        <is>
          <t>1. If shares is missing it uses 0.
2. Uses today's date from the device clock, so the answer changes by itself overnight.
3. Sales dated in the current calendar year make the this-year total; the device clock decides which year that is.</t>
        </is>
      </c>
      <c r="N380" s="3" t="inlineStr">
        <is>
          <t>Yes</t>
        </is>
      </c>
      <c r="O380" s="3" t="inlineStr">
        <is>
          <t>MK-PF-F-031 contractMultiplier</t>
        </is>
      </c>
      <c r="P380" s="3" t="n">
        <v>1</v>
      </c>
      <c r="Q380" s="3" t="inlineStr">
        <is>
          <t>MK-PF-F-031 contractMultiplier</t>
        </is>
      </c>
      <c r="R380" s="3" t="inlineStr">
        <is>
          <t>MK-PF-F-031 contractMultiplier → MK-PF-F-028 realizedFromLedger</t>
        </is>
      </c>
      <c r="S380" s="3" t="inlineStr">
        <is>
          <t>—</t>
        </is>
      </c>
      <c r="T380" s="3" t="inlineStr">
        <is>
          <t>REALISED_GAIN</t>
        </is>
      </c>
      <c r="U380" s="3" t="inlineStr">
        <is>
          <t>ACTIVE</t>
        </is>
      </c>
      <c r="V380" s="3" t="inlineStr">
        <is>
          <t>2026-09-28</t>
        </is>
      </c>
      <c r="W380"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80"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80" s="6" t="inlineStr">
        <is>
          <t>WAITING ON YOU — answer to read</t>
        </is>
      </c>
    </row>
    <row r="381" ht="60" customHeight="1">
      <c r="A381" s="3" t="inlineStr">
        <is>
          <t>MK-PF-F-029</t>
        </is>
      </c>
      <c r="B381" s="3" t="inlineStr">
        <is>
          <t>closeAsOf</t>
        </is>
      </c>
      <c r="C381" s="3" t="inlineStr">
        <is>
          <t>src/domain/performance/index.ts</t>
        </is>
      </c>
      <c r="D381" s="3" t="n">
        <v>672</v>
      </c>
      <c r="E381" s="3" t="inlineStr">
        <is>
          <t>3 · DEPENDENT</t>
        </is>
      </c>
      <c r="F381" s="3" t="inlineStr">
        <is>
          <t>Close on/just-before a target date (series oldest→newest).</t>
        </is>
      </c>
      <c r="G381" s="11" t="inlineStr">
        <is>
          <t>pts = series.points (or none when missing)
nothing   when count of pts is missing
t = target.get time()
chosen = nothing
the answer = chosen (or pts[0].close when missing)</t>
        </is>
      </c>
      <c r="H381" s="3" t="inlineStr">
        <is>
          <t>Pts is series.points (or none — when missing). When how many pts is missing there are, it answers no answer. T is target.get time(). Chosen is no answer. The answer is chosen (or pts[0].close — when missing).</t>
        </is>
      </c>
      <c r="I381" s="3" t="inlineStr">
        <is>
          <t>PARTLY READ — some of the code is still showing through; needs a hand pass</t>
        </is>
      </c>
      <c r="J381" s="3" t="inlineStr">
        <is>
          <t>1. series: PriceSeries | null | undefined
2. target: Date</t>
        </is>
      </c>
      <c r="K381" s="3" t="inlineStr">
        <is>
          <t>number | null</t>
        </is>
      </c>
      <c r="L381" s="3" t="inlineStr">
        <is>
          <t>—</t>
        </is>
      </c>
      <c r="M381" s="3" t="inlineStr">
        <is>
          <t>None found in this function — anything it assumes comes from the functions it depends on.</t>
        </is>
      </c>
      <c r="N381" s="3" t="inlineStr">
        <is>
          <t>Yes</t>
        </is>
      </c>
      <c r="O381" s="3" t="inlineStr">
        <is>
          <t>—</t>
        </is>
      </c>
      <c r="P381" s="3" t="n">
        <v>0</v>
      </c>
      <c r="Q381" s="3" t="inlineStr">
        <is>
          <t>None — no dependent function stands behind it</t>
        </is>
      </c>
      <c r="R381" s="3" t="inlineStr">
        <is>
          <t>No dependent function — it reads its inputs and answers</t>
        </is>
      </c>
      <c r="S381" s="3" t="inlineStr">
        <is>
          <t>—</t>
        </is>
      </c>
      <c r="T381" s="3" t="inlineStr">
        <is>
          <t>—</t>
        </is>
      </c>
      <c r="U381" s="3" t="inlineStr">
        <is>
          <t>ACTIVE</t>
        </is>
      </c>
      <c r="V381" s="3" t="inlineStr">
        <is>
          <t>2026-08-27</t>
        </is>
      </c>
      <c r="W381" s="3" t="n"/>
      <c r="X381" s="3" t="n"/>
      <c r="Y381" s="3" t="inlineStr">
        <is>
          <t>NOTHING OPEN</t>
        </is>
      </c>
    </row>
    <row r="382" ht="60" customHeight="1">
      <c r="A382" s="3" t="inlineStr">
        <is>
          <t>MK-PF-F-031</t>
        </is>
      </c>
      <c r="B382" s="3" t="inlineStr">
        <is>
          <t>contractMultiplier</t>
        </is>
      </c>
      <c r="C382" s="3" t="inlineStr">
        <is>
          <t>src/domain/performance/index.ts</t>
        </is>
      </c>
      <c r="D382" s="3" t="n">
        <v>82</v>
      </c>
      <c r="E382" s="3" t="inlineStr">
        <is>
          <t>3 · DEPENDENT</t>
        </is>
      </c>
      <c r="F382" s="3" t="inlineStr">
        <is>
          <t>How many units one contract stands for: 100 for an option unless the holding states its own figure, and 1 for everything else.</t>
        </is>
      </c>
      <c r="G382" s="11" t="inlineStr">
        <is>
          <t>multiplier   when multiplier ≠ nothing and multiplier &gt; 0
OPTION_CONTRACT_MULTIPLIER   if kind = 'options'
1   otherwise</t>
        </is>
      </c>
      <c r="H382" s="3" t="inlineStr">
        <is>
          <t>When multiplier is not no answer and multiplier &gt; 0, it answers multiplier. OPTION_CONTRACT_MULTIPLIER — when kind = 'options'; 1 — otherwise.</t>
        </is>
      </c>
      <c r="I382" s="3" t="inlineStr">
        <is>
          <t>READ FROM THE CODE — rendered from the expressions the function runs</t>
        </is>
      </c>
      <c r="J382" s="3" t="inlineStr">
        <is>
          <t>p: Pick&lt;Position, 'kind' | 'multiplier'&gt;</t>
        </is>
      </c>
      <c r="K382" s="3" t="inlineStr">
        <is>
          <t>number</t>
        </is>
      </c>
      <c r="L382" s="3" t="inlineStr">
        <is>
          <t>—</t>
        </is>
      </c>
      <c r="M382" s="3" t="inlineStr">
        <is>
          <t>None found in this function — anything it assumes comes from the functions it depends on.</t>
        </is>
      </c>
      <c r="N382" s="3" t="inlineStr">
        <is>
          <t>Yes</t>
        </is>
      </c>
      <c r="O382" s="3" t="inlineStr">
        <is>
          <t>—</t>
        </is>
      </c>
      <c r="P382" s="3" t="n">
        <v>0</v>
      </c>
      <c r="Q382" s="3" t="inlineStr">
        <is>
          <t>None — no dependent function stands behind it</t>
        </is>
      </c>
      <c r="R382" s="3" t="inlineStr">
        <is>
          <t>No dependent function — it reads its inputs and answers</t>
        </is>
      </c>
      <c r="S382" s="3" t="inlineStr">
        <is>
          <t>—</t>
        </is>
      </c>
      <c r="T382" s="3" t="inlineStr">
        <is>
          <t>—</t>
        </is>
      </c>
      <c r="U382" s="3" t="inlineStr">
        <is>
          <t>ACTIVE</t>
        </is>
      </c>
      <c r="V382" s="3" t="inlineStr">
        <is>
          <t>2026-09-11</t>
        </is>
      </c>
      <c r="W382" s="3" t="n"/>
      <c r="X382" s="3" t="n"/>
      <c r="Y382" s="6" t="inlineStr">
        <is>
          <t>TESTED, NOT VERIFIED (Q06)</t>
        </is>
      </c>
    </row>
    <row r="383" ht="60" customHeight="1">
      <c r="A383" s="3" t="inlineStr">
        <is>
          <t>MK-PF-F-032</t>
        </is>
      </c>
      <c r="B383" s="3" t="inlineStr">
        <is>
          <t>quantityUnit</t>
        </is>
      </c>
      <c r="C383" s="3" t="inlineStr">
        <is>
          <t>src/domain/performance/index.ts</t>
        </is>
      </c>
      <c r="D383" s="3" t="n">
        <v>118</v>
      </c>
      <c r="E383" s="3" t="inlineStr">
        <is>
          <t>3 · DEPENDENT</t>
        </is>
      </c>
      <c r="F383" s="3" t="inlineStr">
        <is>
          <t>The unit written beside a quantity: the person's own where they entered one, otherwise coins for crypto, contracts for options, ounces for commodities and shares for everything else.</t>
        </is>
      </c>
      <c r="G383" s="11" t="inlineStr">
        <is>
          <t>unit   when unit
'coins'   when kind = 'crypto'
'contracts'   when kind = 'options'
'ounces'   when kind = 'commodities'
'shares'</t>
        </is>
      </c>
      <c r="H383" s="3" t="inlineStr">
        <is>
          <t>When unit, it answers unit. When kind = 'crypto', it answers 'coins'. When kind = 'options', it answers 'contracts'. When kind = 'commodities', it answers 'ounces'. 'shares'.</t>
        </is>
      </c>
      <c r="I383" s="3" t="inlineStr">
        <is>
          <t>READ FROM THE CODE — rendered from the expressions the function runs</t>
        </is>
      </c>
      <c r="J383" s="3" t="inlineStr">
        <is>
          <t>p: Pick&lt;Position, 'kind' | 'unit'&gt;</t>
        </is>
      </c>
      <c r="K383" s="3" t="inlineStr">
        <is>
          <t>QuantityUnit</t>
        </is>
      </c>
      <c r="L383" s="3" t="inlineStr">
        <is>
          <t>—</t>
        </is>
      </c>
      <c r="M383" s="3" t="inlineStr">
        <is>
          <t>None found in this function — anything it assumes comes from the functions it depends on.</t>
        </is>
      </c>
      <c r="N383" s="3" t="inlineStr">
        <is>
          <t>Yes</t>
        </is>
      </c>
      <c r="O383" s="3" t="inlineStr">
        <is>
          <t>—</t>
        </is>
      </c>
      <c r="P383" s="3" t="n">
        <v>0</v>
      </c>
      <c r="Q383" s="3" t="inlineStr">
        <is>
          <t>None — no dependent function stands behind it</t>
        </is>
      </c>
      <c r="R383" s="3" t="inlineStr">
        <is>
          <t>No dependent function — it reads its inputs and answers</t>
        </is>
      </c>
      <c r="S383" s="3" t="inlineStr">
        <is>
          <t>—</t>
        </is>
      </c>
      <c r="T383" s="3" t="inlineStr">
        <is>
          <t>—</t>
        </is>
      </c>
      <c r="U383" s="3" t="inlineStr">
        <is>
          <t>ACTIVE</t>
        </is>
      </c>
      <c r="V383" s="3" t="inlineStr">
        <is>
          <t>2026-09-11</t>
        </is>
      </c>
      <c r="W383" s="3" t="n"/>
      <c r="X383" s="3" t="n"/>
      <c r="Y383" s="6" t="inlineStr">
        <is>
          <t>TESTED, NOT VERIFIED (Q09)</t>
        </is>
      </c>
    </row>
    <row r="384" ht="60" customHeight="1">
      <c r="A384" s="3" t="inlineStr">
        <is>
          <t>MK-PF-F-033</t>
        </is>
      </c>
      <c r="B384" s="3" t="inlineStr">
        <is>
          <t>quantityWithUnit</t>
        </is>
      </c>
      <c r="C384" s="3" t="inlineStr">
        <is>
          <t>src/domain/performance/index.ts</t>
        </is>
      </c>
      <c r="D384" s="3" t="n">
        <v>150</v>
      </c>
      <c r="E384" s="3" t="inlineStr">
        <is>
          <t>2 · DISPLAYED</t>
        </is>
      </c>
      <c r="F384" s="3" t="inlineStr">
        <is>
          <t>"3 shares", "1 coin", "2 contracts" — the quantity printed with its unit, singular when it is one.</t>
        </is>
      </c>
      <c r="G384" s="11" t="inlineStr">
        <is>
          <t>nothing   when qty = nothing (or !number.is finite(qty) when missing or zero)
unit = quantity unit(p)
the answer = `${format(qty)} ${math.abs(qty) = 1 ? unit.replace( ÷ s$ ÷ , '') : unit}`</t>
        </is>
      </c>
      <c r="H384" s="3" t="inlineStr">
        <is>
          <t>When qty is missing (or !number.is finite(qty) — when missing or zero), it answers no answer. Unit is quantity unit(p). The answer is `${format(qty)} ${math.abs(qty) = 1 ? unit.replace( divided by s$ divided by , '') : unit}`.</t>
        </is>
      </c>
      <c r="I384" s="3" t="inlineStr">
        <is>
          <t>PARTLY READ — some of the code is still showing through; needs a hand pass</t>
        </is>
      </c>
      <c r="J384" s="3" t="inlineStr">
        <is>
          <t>1. p: Pick&lt;Position, 'kind' | 'unit'&gt;
2. qty: number | null
3. format: (n: number) =&gt; string = String</t>
        </is>
      </c>
      <c r="K384" s="3" t="inlineStr">
        <is>
          <t>string | null</t>
        </is>
      </c>
      <c r="L384" s="3" t="inlineStr">
        <is>
          <t>"Quantity" — on the Holding detail screen, under "CURRENT PRICE$"</t>
        </is>
      </c>
      <c r="M384" s="3" t="inlineStr">
        <is>
          <t>None found in this function — anything it assumes comes from the functions it depends on.</t>
        </is>
      </c>
      <c r="N384" s="3" t="inlineStr">
        <is>
          <t>Yes</t>
        </is>
      </c>
      <c r="O384" s="3" t="inlineStr">
        <is>
          <t>MK-PF-F-032 quantityUnit</t>
        </is>
      </c>
      <c r="P384" s="3" t="n">
        <v>1</v>
      </c>
      <c r="Q384" s="3" t="inlineStr">
        <is>
          <t>MK-PF-F-032 quantityUnit</t>
        </is>
      </c>
      <c r="R384" s="3" t="inlineStr">
        <is>
          <t>MK-PF-F-032 quantityUnit → MK-PF-F-033 quantityWithUnit</t>
        </is>
      </c>
      <c r="S384" s="3" t="inlineStr">
        <is>
          <t>—</t>
        </is>
      </c>
      <c r="T384" s="3" t="inlineStr">
        <is>
          <t>—</t>
        </is>
      </c>
      <c r="U384" s="3" t="inlineStr">
        <is>
          <t>ACTIVE</t>
        </is>
      </c>
      <c r="V384" s="3" t="inlineStr">
        <is>
          <t>2026-10-12</t>
        </is>
      </c>
      <c r="W384" s="3" t="n"/>
      <c r="X384" s="3" t="n"/>
      <c r="Y384" s="6" t="inlineStr">
        <is>
          <t>TESTED, NOT VERIFIED (Q09)</t>
        </is>
      </c>
    </row>
    <row r="385" ht="60" customHeight="1">
      <c r="A385" s="3" t="inlineStr">
        <is>
          <t>MK-PF-F-034</t>
        </is>
      </c>
      <c r="B385" s="3" t="inlineStr">
        <is>
          <t>closeOnOrBefore</t>
        </is>
      </c>
      <c r="C385" s="3" t="inlineStr">
        <is>
          <t>src/domain/performance/index.ts</t>
        </is>
      </c>
      <c r="D385" s="3" t="n">
        <v>720</v>
      </c>
      <c r="E385" s="3" t="inlineStr">
        <is>
          <t>3 · DEPENDENT</t>
        </is>
      </c>
      <c r="F385" s="3" t="inlineStr">
        <is>
          <t>The close ON OR BEFORE a day, with NO fallback.</t>
        </is>
      </c>
      <c r="G385" s="11" t="inlineStr">
        <is>
          <t>pts = series.points (or none when missing)
nothing   when count of pts is missing (or ! ÷ ^\d{4}-\d{2}-\d{2}$ ÷ .test(iso date) when missing or zero)
chosen = nothing
day = the first 10 of string(date)
the answer:
chosen.close   if chosen
nothing   otherwise</t>
        </is>
      </c>
      <c r="H385" s="3" t="inlineStr">
        <is>
          <t>Pts is series.points (or none — when missing). When how many pts is missing (or ! divided by ^\d{4}-\d{2}-\d{2}$ divided by .test(iso date) — when missing or zero) there are, it answers no answer. Chosen is no answer. Day: the first 10 of string(date). The answer is chosen.close — when chosen; no answer — otherwise.</t>
        </is>
      </c>
      <c r="I385" s="3" t="inlineStr">
        <is>
          <t>PARTLY READ — some of the code is still showing through; needs a hand pass</t>
        </is>
      </c>
      <c r="J385" s="3" t="inlineStr">
        <is>
          <t>1. series: PriceSeries | null | undefined
2. isoDate: string</t>
        </is>
      </c>
      <c r="K385" s="3" t="inlineStr">
        <is>
          <t>number | null</t>
        </is>
      </c>
      <c r="L385" s="3" t="inlineStr">
        <is>
          <t>—</t>
        </is>
      </c>
      <c r="M385" s="3" t="inlineStr">
        <is>
          <t>None found in this function — anything it assumes comes from the functions it depends on.</t>
        </is>
      </c>
      <c r="N385" s="3" t="inlineStr">
        <is>
          <t>Yes</t>
        </is>
      </c>
      <c r="O385" s="3" t="inlineStr">
        <is>
          <t>—</t>
        </is>
      </c>
      <c r="P385" s="3" t="n">
        <v>0</v>
      </c>
      <c r="Q385" s="3" t="inlineStr">
        <is>
          <t>None — no dependent function stands behind it</t>
        </is>
      </c>
      <c r="R385" s="3" t="inlineStr">
        <is>
          <t>No dependent function — it reads its inputs and answers</t>
        </is>
      </c>
      <c r="S385" s="3" t="inlineStr">
        <is>
          <t>—</t>
        </is>
      </c>
      <c r="T385" s="3" t="inlineStr">
        <is>
          <t>—</t>
        </is>
      </c>
      <c r="U385" s="3" t="inlineStr">
        <is>
          <t>ACTIVE</t>
        </is>
      </c>
      <c r="V385" s="3" t="inlineStr">
        <is>
          <t>2026-10-12</t>
        </is>
      </c>
      <c r="W385" s="3" t="n"/>
      <c r="X385" s="3" t="n"/>
      <c r="Y385" s="3" t="inlineStr">
        <is>
          <t>NOTHING OPEN</t>
        </is>
      </c>
    </row>
    <row r="386" ht="45" customHeight="1">
      <c r="A386" s="3" t="inlineStr">
        <is>
          <t>MK-PF-F-035</t>
        </is>
      </c>
      <c r="B386" s="3" t="inlineStr">
        <is>
          <t>unknownFigure</t>
        </is>
      </c>
      <c r="C386" s="3" t="inlineStr">
        <is>
          <t>src/domain/performance/index.ts</t>
        </is>
      </c>
      <c r="D386" s="3" t="n">
        <v>238</v>
      </c>
      <c r="E386" s="3" t="inlineStr">
        <is>
          <t>1 · ACTION</t>
        </is>
      </c>
      <c r="F386" s="3" t="inlineStr">
        <is>
          <t>Whether a purchase's figure was never entered — missing or not a number.</t>
        </is>
      </c>
      <c r="G386" s="11" t="inlineStr">
        <is>
          <t>v = nothing (or v is not a number (or !number.is finite(v) when missing or zero) when missing or zero)</t>
        </is>
      </c>
      <c r="H386" s="3" t="inlineStr">
        <is>
          <t>v is missing (or v is a is missing number (or !number.is finite(v) — when missing or zero) — when missing or zero)</t>
        </is>
      </c>
      <c r="I386" s="3" t="inlineStr">
        <is>
          <t>PARTLY READ — some of the code is still showing through; needs a hand pass</t>
        </is>
      </c>
      <c r="J386" s="3" t="inlineStr">
        <is>
          <t>v: unknown</t>
        </is>
      </c>
      <c r="K386" s="3" t="inlineStr">
        <is>
          <t>boolean</t>
        </is>
      </c>
      <c r="L386" s="3" t="inlineStr">
        <is>
          <t>—</t>
        </is>
      </c>
      <c r="M386" s="3" t="inlineStr">
        <is>
          <t>None found in this function — anything it assumes comes from the functions it depends on.</t>
        </is>
      </c>
      <c r="N386" s="3" t="inlineStr">
        <is>
          <t>Yes</t>
        </is>
      </c>
      <c r="O386" s="3" t="inlineStr">
        <is>
          <t>—</t>
        </is>
      </c>
      <c r="P386" s="3" t="n">
        <v>0</v>
      </c>
      <c r="Q386" s="3" t="inlineStr">
        <is>
          <t>None — no dependent function stands behind it</t>
        </is>
      </c>
      <c r="R386" s="3" t="inlineStr">
        <is>
          <t>No dependent function — it reads its inputs and answers</t>
        </is>
      </c>
      <c r="S386" s="3" t="inlineStr">
        <is>
          <t>—</t>
        </is>
      </c>
      <c r="T386" s="3" t="inlineStr">
        <is>
          <t>—</t>
        </is>
      </c>
      <c r="U386" s="3" t="inlineStr">
        <is>
          <t>ACTIVE</t>
        </is>
      </c>
      <c r="V386" s="3" t="inlineStr">
        <is>
          <t>2026-10-11</t>
        </is>
      </c>
      <c r="W386" s="3" t="n"/>
      <c r="X386" s="3" t="n"/>
      <c r="Y386" s="3" t="inlineStr">
        <is>
          <t>NOTHING OPEN</t>
        </is>
      </c>
    </row>
    <row r="387" ht="60" customHeight="1">
      <c r="A387" s="3" t="inlineStr">
        <is>
          <t>MK-PF-F-036</t>
        </is>
      </c>
      <c r="B387" s="3" t="inlineStr">
        <is>
          <t>monthsBefore</t>
        </is>
      </c>
      <c r="C387" s="3" t="inlineStr">
        <is>
          <t>src/domain/performance/index.ts</t>
        </is>
      </c>
      <c r="D387" s="3" t="n">
        <v>599</v>
      </c>
      <c r="E387" s="3" t="inlineStr">
        <is>
          <t>3 · DEPENDENT</t>
        </is>
      </c>
      <c r="F387" s="3" t="inlineStr">
        <is>
          <t>THE ONE RULE FOR "N MONTHS BACK" (his approval, 2026-10-10, DEC-3768b): the same day of the earlier month, or that month's last day when the day does not exist there — Mar 31 less one month is Feb 28, and Feb 29 less a year is Feb 28, never rolled into the next month.</t>
        </is>
      </c>
      <c r="G387" s="11" t="inlineStr">
        <is>
          <t>m = now.get month() − months
last day = the date now.get full year(), m + 1, 0).get date(
d = the date now
the answer = d</t>
        </is>
      </c>
      <c r="H387" s="3" t="inlineStr">
        <is>
          <t>M is now.get month() minus months. Last day: the date now.get full year(), m plus 1, 0).get date(. D: the date now. The answer is d.</t>
        </is>
      </c>
      <c r="I387" s="3" t="inlineStr">
        <is>
          <t>PARTLY READ — some of the code is still showing through; needs a hand pass</t>
        </is>
      </c>
      <c r="J387" s="3" t="inlineStr">
        <is>
          <t>1. now: Date
2. months: number</t>
        </is>
      </c>
      <c r="K387" s="3" t="inlineStr">
        <is>
          <t>Date</t>
        </is>
      </c>
      <c r="L387" s="3" t="inlineStr">
        <is>
          <t>—</t>
        </is>
      </c>
      <c r="M387" s="3" t="inlineStr">
        <is>
          <t>None found in this function — anything it assumes comes from the functions it depends on.</t>
        </is>
      </c>
      <c r="N387" s="3" t="inlineStr">
        <is>
          <t>Yes</t>
        </is>
      </c>
      <c r="O387" s="3" t="inlineStr">
        <is>
          <t>—</t>
        </is>
      </c>
      <c r="P387" s="3" t="n">
        <v>0</v>
      </c>
      <c r="Q387" s="3" t="inlineStr">
        <is>
          <t>None — no dependent function stands behind it</t>
        </is>
      </c>
      <c r="R387" s="3" t="inlineStr">
        <is>
          <t>No dependent function — it reads its inputs and answers</t>
        </is>
      </c>
      <c r="S387" s="3" t="inlineStr">
        <is>
          <t>—</t>
        </is>
      </c>
      <c r="T387" s="3" t="inlineStr">
        <is>
          <t>—</t>
        </is>
      </c>
      <c r="U387" s="3" t="inlineStr">
        <is>
          <t>ACTIVE</t>
        </is>
      </c>
      <c r="V387" s="3" t="inlineStr">
        <is>
          <t>2026-10-11</t>
        </is>
      </c>
      <c r="W387" s="3" t="n"/>
      <c r="X387" s="3" t="n"/>
      <c r="Y387" s="3" t="inlineStr">
        <is>
          <t>NOTHING OPEN</t>
        </is>
      </c>
    </row>
    <row r="388" ht="45" customHeight="1">
      <c r="A388" s="3" t="inlineStr">
        <is>
          <t>MK-PF-F-037</t>
        </is>
      </c>
      <c r="B388" s="3" t="inlineStr">
        <is>
          <t>dayBefore</t>
        </is>
      </c>
      <c r="C388" s="3" t="inlineStr">
        <is>
          <t>src/domain/performance/index.ts</t>
        </is>
      </c>
      <c r="D388" s="3" t="n">
        <v>635</v>
      </c>
      <c r="E388" s="3" t="inlineStr">
        <is>
          <t>3 · DEPENDENT</t>
        </is>
      </c>
      <c r="F388" s="3" t="inlineStr">
        <is>
          <t>The calendar day before a day, at the same time of day.</t>
        </is>
      </c>
      <c r="G388" s="11" t="inlineStr">
        <is>
          <t>x = the date d
the answer = x</t>
        </is>
      </c>
      <c r="H388" s="3" t="inlineStr">
        <is>
          <t>X: the date d. The answer is x.</t>
        </is>
      </c>
      <c r="I388" s="3" t="inlineStr">
        <is>
          <t>READ FROM THE CODE — rendered from the expressions the function runs</t>
        </is>
      </c>
      <c r="J388" s="3" t="inlineStr">
        <is>
          <t>d: Date</t>
        </is>
      </c>
      <c r="K388" s="3" t="inlineStr">
        <is>
          <t>Date</t>
        </is>
      </c>
      <c r="L388" s="3" t="inlineStr">
        <is>
          <t>—</t>
        </is>
      </c>
      <c r="M388" s="3" t="inlineStr">
        <is>
          <t>None found in this function — anything it assumes comes from the functions it depends on.</t>
        </is>
      </c>
      <c r="N388" s="3" t="inlineStr">
        <is>
          <t>Yes</t>
        </is>
      </c>
      <c r="O388" s="3" t="inlineStr">
        <is>
          <t>—</t>
        </is>
      </c>
      <c r="P388" s="3" t="n">
        <v>0</v>
      </c>
      <c r="Q388" s="3" t="inlineStr">
        <is>
          <t>None — no dependent function stands behind it</t>
        </is>
      </c>
      <c r="R388" s="3" t="inlineStr">
        <is>
          <t>No dependent function — it reads its inputs and answers</t>
        </is>
      </c>
      <c r="S388" s="3" t="inlineStr">
        <is>
          <t>—</t>
        </is>
      </c>
      <c r="T388" s="3" t="inlineStr">
        <is>
          <t>—</t>
        </is>
      </c>
      <c r="U388" s="3" t="inlineStr">
        <is>
          <t>ACTIVE</t>
        </is>
      </c>
      <c r="V388" s="3" t="inlineStr">
        <is>
          <t>2026-10-11</t>
        </is>
      </c>
      <c r="W388" s="3" t="n"/>
      <c r="X388" s="3" t="n"/>
      <c r="Y388" s="3" t="inlineStr">
        <is>
          <t>NOTHING OPEN</t>
        </is>
      </c>
    </row>
    <row r="389" ht="60" customHeight="1">
      <c r="A389" s="3" t="inlineStr">
        <is>
          <t>MK-PF-F-038</t>
        </is>
      </c>
      <c r="B389" s="3" t="inlineStr">
        <is>
          <t>periodTotalReturn</t>
        </is>
      </c>
      <c r="C389" s="3" t="inlineStr">
        <is>
          <t>src/domain/performance/index.ts</t>
        </is>
      </c>
      <c r="D389" s="3" t="n">
        <v>835</v>
      </c>
      <c r="E389" s="3" t="inlineStr">
        <is>
          <t>3 · DEPENDENT</t>
        </is>
      </c>
      <c r="F389" s="3" t="inlineStr">
        <is>
          <t>THE WINDOW'S OWN TOTAL — the same price move as periodReturn, never turned into a yearly rate.</t>
        </is>
      </c>
      <c r="G389" s="11" t="inlineStr">
        <is>
          <t>period return parts(series, period, now).total (or nothing when missing)</t>
        </is>
      </c>
      <c r="H389" s="3" t="inlineStr">
        <is>
          <t>period return parts(series, period, now).total (or no answer — when missing).</t>
        </is>
      </c>
      <c r="I389" s="3" t="inlineStr">
        <is>
          <t>PARTLY READ — some of the code is still showing through; needs a hand pass</t>
        </is>
      </c>
      <c r="J389" s="3" t="inlineStr">
        <is>
          <t>1. series: PriceSeries | null | undefined
2. period: Period
3. now = new Date()</t>
        </is>
      </c>
      <c r="K389" s="3" t="inlineStr">
        <is>
          <t>number | null</t>
        </is>
      </c>
      <c r="L389" s="3" t="inlineStr">
        <is>
          <t>—</t>
        </is>
      </c>
      <c r="M389" s="3" t="inlineStr">
        <is>
          <t>· Uses today's date from the device clock, so the answer changes by itself overnight.</t>
        </is>
      </c>
      <c r="N389" s="3" t="inlineStr">
        <is>
          <t>Yes</t>
        </is>
      </c>
      <c r="O389" s="3" t="inlineStr">
        <is>
          <t>MK-PF-F-039 periodReturnParts</t>
        </is>
      </c>
      <c r="P389" s="3" t="n">
        <v>7</v>
      </c>
      <c r="Q389" s="3" t="inlineStr">
        <is>
          <t>1. MK-PF-F-039 periodReturnParts
2. MK-PF-F-029 closeAsOf
3. MK-PF-F-037 dayBefore
4. MK-PF-F-009 latestClose
5. MK-ST-F-030 record
6. MK-PF-F-008 startDateFor
7. MK-PF-F-036 monthsBefore</t>
        </is>
      </c>
      <c r="R389" s="3" t="inlineStr">
        <is>
          <t>1. MK-PF-F-029 closeAsOf → MK-PF-F-039 periodReturnParts → MK-PF-F-038 periodTotalReturn
2. MK-PF-F-037 dayBefore → MK-PF-F-039 periodReturnParts → MK-PF-F-038 periodTotalReturn
3. MK-PF-F-009 latestClose → MK-PF-F-039 periodReturnParts → MK-PF-F-038 periodTotalReturn
4. MK-ST-F-030 record → MK-PF-F-039 periodReturnParts → MK-PF-F-038 periodTotalReturn
5. MK-PF-F-036 monthsBefore → MK-PF-F-008 startDateFor → MK-PF-F-039 periodReturnParts → MK-PF-F-038 periodTotalReturn</t>
        </is>
      </c>
      <c r="S389" s="3" t="inlineStr">
        <is>
          <t>—</t>
        </is>
      </c>
      <c r="T389" s="3" t="inlineStr">
        <is>
          <t>—</t>
        </is>
      </c>
      <c r="U389" s="3" t="inlineStr">
        <is>
          <t>ACTIVE</t>
        </is>
      </c>
      <c r="V389" s="3" t="inlineStr">
        <is>
          <t>2026-10-11</t>
        </is>
      </c>
      <c r="W389" s="3" t="n"/>
      <c r="X389" s="3" t="n"/>
      <c r="Y389" s="3" t="inlineStr">
        <is>
          <t>NOTHING OPEN</t>
        </is>
      </c>
    </row>
    <row r="390" ht="60" customHeight="1">
      <c r="A390" s="3" t="inlineStr">
        <is>
          <t>MK-PF-F-039</t>
        </is>
      </c>
      <c r="B390" s="3" t="inlineStr">
        <is>
          <t>periodReturnParts</t>
        </is>
      </c>
      <c r="C390" s="3" t="inlineStr">
        <is>
          <t>src/domain/performance/index.ts</t>
        </is>
      </c>
      <c r="D390" s="3" t="n">
        <v>879</v>
      </c>
      <c r="E390" s="3" t="inlineStr">
        <is>
          <t>3 · DEPENDENT</t>
        </is>
      </c>
      <c r="F390" s="3" t="inlineStr">
        <is>
          <t>One price move over a period: its total, and the years a yearly rate of it is taken over (1 = never yearly).</t>
        </is>
      </c>
      <c r="G390" s="11" t="inlineStr">
        <is>
          <t>nothing   when series is missing (or not (count of series.points) when missing or zero)
end = latest close(series)
opens = start date for(period, now)
nothing   when opens = nothing
beginning = day before(opens)
start = close as of(series, beginning)
nothing   when end = nothing (or start = nothing (or start ≤ 0 when missing or zero) when missing or zero)
total = end ÷ start − 1
total = total
years = 1   when period ! = '2Y'
first = the date series.points[0].date), last = new date(series.points[series.points.length − 1].date
reaches = first.get time() ≤ beginning.get time()
… the first steps only — the rest of the body needs reading by hand.</t>
        </is>
      </c>
      <c r="H390" s="3" t="inlineStr">
        <is>
          <t>When series is missing (or not (how many series.points) — when missing or zero) there are, it answers no answer. End is latest close(series). Opens is start date for(period, now). When opens is missing, it answers no answer. Beginning is day before(opens). Start is close as of(series, beginning). When end is missing (or start is missing (or start is at most 0 — when missing or zero) — when missing or zero), it answers no answer. Total is end divided by start minus 1. When period ! = '2Y', it answers total = total; years = 1. First: the date series.points[0].date), last = new date(series.points[series.points.length minus 1].date. Reaches is first.get time() is at most beginning.get time(). Only the first steps are shown; the rest of the body needs reading by hand.</t>
        </is>
      </c>
      <c r="I390" s="3" t="inlineStr">
        <is>
          <t>PARTLY READ — some of the code is still showing through; needs a hand pass</t>
        </is>
      </c>
      <c r="J390" s="3" t="inlineStr">
        <is>
          <t>1. series: PriceSeries | null | undefined
2. period: Period
3. now: Date</t>
        </is>
      </c>
      <c r="K390" s="3" t="inlineStr">
        <is>
          <t>NOT DECLARED — the code does not say what it gives back</t>
        </is>
      </c>
      <c r="L390" s="3" t="inlineStr">
        <is>
          <t>—</t>
        </is>
      </c>
      <c r="M390" s="3" t="inlineStr">
        <is>
          <t>None found in this function — anything it assumes comes from the functions it depends on.</t>
        </is>
      </c>
      <c r="N390" s="3" t="inlineStr">
        <is>
          <t>Yes</t>
        </is>
      </c>
      <c r="O390" s="3" t="inlineStr">
        <is>
          <t>1. MK-PF-F-029 closeAsOf
2. MK-PF-F-037 dayBefore
3. MK-PF-F-009 latestClose
4. MK-ST-F-030 record
5. MK-PF-F-008 startDateFor</t>
        </is>
      </c>
      <c r="P390" s="3" t="n">
        <v>6</v>
      </c>
      <c r="Q390" s="3" t="inlineStr">
        <is>
          <t>1. MK-PF-F-029 closeAsOf
2. MK-PF-F-037 dayBefore
3. MK-PF-F-009 latestClose
4. MK-ST-F-030 record
5. MK-PF-F-008 startDateFor
6. MK-PF-F-036 monthsBefore</t>
        </is>
      </c>
      <c r="R390" s="3" t="inlineStr">
        <is>
          <t>1. MK-PF-F-029 closeAsOf → MK-PF-F-039 periodReturnParts
2. MK-PF-F-037 dayBefore → MK-PF-F-039 periodReturnParts
3. MK-PF-F-009 latestClose → MK-PF-F-039 periodReturnParts
4. MK-ST-F-030 record → MK-PF-F-039 periodReturnParts
5. MK-PF-F-036 monthsBefore → MK-PF-F-008 startDateFor → MK-PF-F-039 periodReturnParts</t>
        </is>
      </c>
      <c r="S390" s="3" t="inlineStr">
        <is>
          <t>—</t>
        </is>
      </c>
      <c r="T390" s="3" t="inlineStr">
        <is>
          <t>—</t>
        </is>
      </c>
      <c r="U390" s="3" t="inlineStr">
        <is>
          <t>ACTIVE</t>
        </is>
      </c>
      <c r="V390" s="3" t="inlineStr">
        <is>
          <t>2026-10-12</t>
        </is>
      </c>
      <c r="W390" s="3" t="n"/>
      <c r="X390" s="3" t="n"/>
      <c r="Y390" s="3" t="inlineStr">
        <is>
          <t>NOTHING OPEN</t>
        </is>
      </c>
    </row>
    <row r="391" ht="60" customHeight="1">
      <c r="A391" s="3" t="inlineStr">
        <is>
          <t>MK-PF-F-040</t>
        </is>
      </c>
      <c r="B391" s="3" t="inlineStr">
        <is>
          <t>returnSincePurchases</t>
        </is>
      </c>
      <c r="C391" s="3" t="inlineStr">
        <is>
          <t>src/domain/performance/index.ts</t>
        </is>
      </c>
      <c r="D391" s="3" t="n">
        <v>1222</v>
      </c>
      <c r="E391" s="3" t="inlineStr">
        <is>
          <t>3 · DEPENDENT</t>
        </is>
      </c>
      <c r="F391" s="3" t="inlineStr">
        <is>
          <t>A holding bought inside the window: its time-weighted return from the first purchase to today (DEC-1669).</t>
        </is>
      </c>
      <c r="G391" s="11" t="inlineStr">
        <is>
          <t>nothing   when price = nothing
by day = new map&lt;string, { shares: number; paid: number }&gt;()
sh = shares as number | nothing | undefined, c = cost per share as number | nothing | undefined
nothing   when sh = nothing (or !number.is finite(sh) (or c = nothing (or !number.is finite(c) when missing or zero) when missing or zero) when missing or zero)
d = the first 10 of purchase date   if ÷ ^\d{4}-\d{2}-\d{2} ÷ .test(purchase date ?? '')
first day   otherwise
g = by day.get(d) (or shares = 0
paid = 0 when missing)
days = [...by day.keys()], in order
nothing   when count of days is missing
held = 0, after = 0, growth = 1
g = by day.get(d)!
close = close on or before(series, d)
[LOOP — the answer is found inside a loop the extractor cannot render; the steps above are the ones before it. Read by hand.]
… the first steps only — the rest of the body needs reading by hand.</t>
        </is>
      </c>
      <c r="H391" s="3" t="inlineStr">
        <is>
          <t>When price is missing, it answers no answer. By day is new map&lt;string, { shares: number; paid: number }&gt;(). Sh is shares as number | no answer | undefined, c = cost per share as number | no answer | undefined. When sh is missing (or !number.is finite(sh) (or c is missing (or !number.is finite(c) — when missing or zero) — when missing or zero) — when missing or zero), it answers no answer. D: the first 10 of purchase date — when divided by ^\d{4}-\d{2}-\d{2} divided by .test(purchase date ?? ''); first day — otherwise. G is by day.get(d) (or shares = 0; paid = 0 — when missing). Days is [...by day.keys()], in order. When how many days is missing there are, it answers no answer. Held is 0, after = 0, growth = 1. G is by day.get(d)!. Close is close on or before(series, d). The answer is found inside a loop that cannot be rendered here; read the code by hand. Only the first steps are shown; the rest of the body needs reading by hand.</t>
        </is>
      </c>
      <c r="I391" s="3" t="inlineStr">
        <is>
          <t>PARTLY READ — the body has a loop the extractor cannot render; the steps shown are the ones before it. Needs a hand pass (G23).</t>
        </is>
      </c>
      <c r="J391" s="3" t="inlineStr">
        <is>
          <t>1. p: Position
2. series: PriceSeries | null | undefined
3. price: number | null
4. firstDay: string</t>
        </is>
      </c>
      <c r="K391" s="3" t="inlineStr">
        <is>
          <t>number | null</t>
        </is>
      </c>
      <c r="L391" s="3" t="inlineStr">
        <is>
          <t>—</t>
        </is>
      </c>
      <c r="M391" s="3" t="inlineStr">
        <is>
          <t>None found in this function — anything it assumes comes from the functions it depends on.</t>
        </is>
      </c>
      <c r="N391" s="3" t="inlineStr">
        <is>
          <t>Yes</t>
        </is>
      </c>
      <c r="O391" s="3" t="inlineStr">
        <is>
          <t>MK-PF-F-034 closeOnOrBefore</t>
        </is>
      </c>
      <c r="P391" s="3" t="n">
        <v>1</v>
      </c>
      <c r="Q391" s="3" t="inlineStr">
        <is>
          <t>MK-PF-F-034 closeOnOrBefore</t>
        </is>
      </c>
      <c r="R391" s="3" t="inlineStr">
        <is>
          <t>MK-PF-F-034 closeOnOrBefore → MK-PF-F-040 returnSincePurchases</t>
        </is>
      </c>
      <c r="S391" s="3" t="inlineStr">
        <is>
          <t>—</t>
        </is>
      </c>
      <c r="T391" s="3" t="inlineStr">
        <is>
          <t>—</t>
        </is>
      </c>
      <c r="U391" s="3" t="inlineStr">
        <is>
          <t>ACTIVE</t>
        </is>
      </c>
      <c r="V391" s="3" t="inlineStr">
        <is>
          <t>2026-10-11</t>
        </is>
      </c>
      <c r="W391" s="3" t="n"/>
      <c r="X391" s="3" t="n"/>
      <c r="Y391" s="3" t="inlineStr">
        <is>
          <t>NOTHING OPEN</t>
        </is>
      </c>
    </row>
    <row r="392" ht="60" customHeight="1">
      <c r="A392" s="3" t="inlineStr">
        <is>
          <t>MK-PF-F-041</t>
        </is>
      </c>
      <c r="B392" s="3" t="inlineStr">
        <is>
          <t>isoDay</t>
        </is>
      </c>
      <c r="C392" s="3" t="inlineStr">
        <is>
          <t>src/domain/performance/index.ts</t>
        </is>
      </c>
      <c r="D392" s="3" t="n">
        <v>1275</v>
      </c>
      <c r="E392" s="3" t="inlineStr">
        <is>
          <t>3 · DEPENDENT</t>
        </is>
      </c>
      <c r="F392" s="3" t="inlineStr">
        <is>
          <t>A Date as its local calendar day, YYYY-MM-DD.</t>
        </is>
      </c>
      <c r="G392" s="11" t="inlineStr">
        <is>
          <t>p2 = (n: number) =&gt; string(n).pad start(2, '0')
the answer = `${get full year()}-${p2(get month() + 1)}-${p2(get date())}`</t>
        </is>
      </c>
      <c r="H392" s="3" t="inlineStr">
        <is>
          <t>P2 is (n: number) =&gt; string(n).pad start(2, '0'). The answer is `${get full year()}-${p2(get month() plus 1)}-${p2(get date())}`.</t>
        </is>
      </c>
      <c r="I392" s="3" t="inlineStr">
        <is>
          <t>PARTLY READ — some of the code is still showing through; needs a hand pass</t>
        </is>
      </c>
      <c r="J392" s="3" t="inlineStr">
        <is>
          <t>d: Date</t>
        </is>
      </c>
      <c r="K392" s="3" t="inlineStr">
        <is>
          <t>string</t>
        </is>
      </c>
      <c r="L392" s="3" t="inlineStr">
        <is>
          <t>—</t>
        </is>
      </c>
      <c r="M392" s="3" t="inlineStr">
        <is>
          <t>None found in this function — anything it assumes comes from the functions it depends on.</t>
        </is>
      </c>
      <c r="N392" s="3" t="inlineStr">
        <is>
          <t>Yes</t>
        </is>
      </c>
      <c r="O392" s="3" t="inlineStr">
        <is>
          <t>1. MK-ST-F-053 money
2. MK-XS-F-122 n</t>
        </is>
      </c>
      <c r="P392" s="3" t="n">
        <v>6</v>
      </c>
      <c r="Q392" s="3" t="inlineStr">
        <is>
          <t>1. MK-ST-F-053 money
2. MK-XS-F-122 n
3. MK-ST-F-049 formatMoney
4. MK-ST-F-048 currencySymbol
5. MK-ST-F-039 on
6. MK-ST-F-047 activeCurrency</t>
        </is>
      </c>
      <c r="R392" s="3" t="inlineStr">
        <is>
          <t>1. MK-ST-F-047 activeCurrency → MK-ST-F-048 currencySymbol → MK-ST-F-049 formatMoney → MK-ST-F-053 money → MK-PF-F-041 isoDay
2. MK-XS-F-122 n → MK-ST-F-049 formatMoney → MK-ST-F-053 money → MK-PF-F-041 isoDay
3. MK-ST-F-039 on → MK-ST-F-049 formatMoney → MK-ST-F-053 money → MK-PF-F-041 isoDay
4. MK-XS-F-122 n → MK-ST-F-053 money → MK-PF-F-041 isoDay
5. MK-XS-F-122 n → MK-PF-F-041 isoDay</t>
        </is>
      </c>
      <c r="S392" s="3" t="inlineStr">
        <is>
          <t>—</t>
        </is>
      </c>
      <c r="T392" s="3" t="inlineStr">
        <is>
          <t>—</t>
        </is>
      </c>
      <c r="U392" s="3" t="inlineStr">
        <is>
          <t>ACTIVE</t>
        </is>
      </c>
      <c r="V392" s="3" t="inlineStr">
        <is>
          <t>2026-10-11</t>
        </is>
      </c>
      <c r="W392" s="3" t="n"/>
      <c r="X392" s="3" t="n"/>
      <c r="Y392" s="3" t="inlineStr">
        <is>
          <t>NOTHING OPEN</t>
        </is>
      </c>
    </row>
    <row r="393" ht="60" customHeight="1">
      <c r="A393" s="3" t="inlineStr">
        <is>
          <t>MK-PF-F-042</t>
        </is>
      </c>
      <c r="B393" s="3" t="inlineStr">
        <is>
          <t>windowTotal</t>
        </is>
      </c>
      <c r="C393" s="3" t="inlineStr">
        <is>
          <t>src/domain/performance/index.ts</t>
        </is>
      </c>
      <c r="D393" s="3" t="n">
        <v>1363</v>
      </c>
      <c r="E393" s="3" t="inlineStr">
        <is>
          <t>3 · DEPENDENT</t>
        </is>
      </c>
      <c r="F393" s="3" t="inlineStr">
        <is>
          <t>A ROW'S WINDOW TOTAL — the one rule for reading a holding's return as the window's own total, never a yearly rate.</t>
        </is>
      </c>
      <c r="G393" s="11" t="inlineStr">
        <is>
          <t>total   when total ! = undefined
nothing   when rate = nothing
(1 + rate)^(years) − 1   if years &gt; 1
rate   otherwise</t>
        </is>
      </c>
      <c r="H393" s="3" t="inlineStr">
        <is>
          <t>When total ! = undefined, it answers total. When rate is missing, it answers no answer. (1 plus rate)^(years) minus 1 — when years &gt; 1; rate — otherwise.</t>
        </is>
      </c>
      <c r="I393" s="3" t="inlineStr">
        <is>
          <t>PARTLY READ — some of the code is still showing through; needs a hand pass</t>
        </is>
      </c>
      <c r="J393" s="3" t="inlineStr">
        <is>
          <t>1. rate: number | null | undefined
2. total: number | null | undefined
3. years = 0</t>
        </is>
      </c>
      <c r="K393" s="3" t="inlineStr">
        <is>
          <t>number | null</t>
        </is>
      </c>
      <c r="L393" s="3" t="inlineStr">
        <is>
          <t>—</t>
        </is>
      </c>
      <c r="M393" s="3" t="inlineStr">
        <is>
          <t>None found in this function — anything it assumes comes from the functions it depends on.</t>
        </is>
      </c>
      <c r="N393" s="3" t="inlineStr">
        <is>
          <t>Yes</t>
        </is>
      </c>
      <c r="O393" s="3" t="inlineStr">
        <is>
          <t>—</t>
        </is>
      </c>
      <c r="P393" s="3" t="n">
        <v>0</v>
      </c>
      <c r="Q393" s="3" t="inlineStr">
        <is>
          <t>None — no dependent function stands behind it</t>
        </is>
      </c>
      <c r="R393" s="3" t="inlineStr">
        <is>
          <t>No dependent function — it reads its inputs and answers</t>
        </is>
      </c>
      <c r="S393" s="3" t="inlineStr">
        <is>
          <t>—</t>
        </is>
      </c>
      <c r="T393" s="3" t="inlineStr">
        <is>
          <t>—</t>
        </is>
      </c>
      <c r="U393" s="3" t="inlineStr">
        <is>
          <t>ACTIVE</t>
        </is>
      </c>
      <c r="V393" s="3" t="inlineStr">
        <is>
          <t>2026-10-11</t>
        </is>
      </c>
      <c r="W393" s="3" t="n"/>
      <c r="X393" s="3" t="n"/>
      <c r="Y393" s="3" t="inlineStr">
        <is>
          <t>NOTHING OPEN</t>
        </is>
      </c>
    </row>
    <row r="394" ht="60" customHeight="1">
      <c r="A394" s="3" t="inlineStr">
        <is>
          <t>MK-PF-F-043</t>
        </is>
      </c>
      <c r="B394" s="3" t="inlineStr">
        <is>
          <t>windowTotalOfRow</t>
        </is>
      </c>
      <c r="C394" s="3" t="inlineStr">
        <is>
          <t>src/domain/performance/index.ts</t>
        </is>
      </c>
      <c r="D394" s="3" t="n">
        <v>1387</v>
      </c>
      <c r="E394" s="3" t="inlineStr">
        <is>
          <t>1 · ACTION</t>
        </is>
      </c>
      <c r="F394" s="3" t="inlineStr">
        <is>
          <t>One holding's return over the whole window — its total, never a yearly rate (a 2Y yearly rate is turned back into the two-year total).</t>
        </is>
      </c>
      <c r="G394" s="11" t="inlineStr">
        <is>
          <t>window total(period return, period total)</t>
        </is>
      </c>
      <c r="H394" s="3" t="inlineStr">
        <is>
          <t>window total(period return, period total)</t>
        </is>
      </c>
      <c r="I394" s="3" t="inlineStr">
        <is>
          <t>READ FROM THE CODE — rendered from the expressions the function runs</t>
        </is>
      </c>
      <c r="J394" s="3" t="inlineStr">
        <is>
          <t>r: PerformanceRow</t>
        </is>
      </c>
      <c r="K394" s="3" t="inlineStr">
        <is>
          <t>number | null</t>
        </is>
      </c>
      <c r="L394" s="3" t="inlineStr">
        <is>
          <t>—</t>
        </is>
      </c>
      <c r="M394" s="3" t="inlineStr">
        <is>
          <t>None found in this function — anything it assumes comes from the functions it depends on.</t>
        </is>
      </c>
      <c r="N394" s="3" t="inlineStr">
        <is>
          <t>No</t>
        </is>
      </c>
      <c r="O394" s="3" t="inlineStr">
        <is>
          <t>1. MK-PF-F-010 periodReturn
2. MK-PF-F-042 windowTotal</t>
        </is>
      </c>
      <c r="P394" s="3" t="n">
        <v>9</v>
      </c>
      <c r="Q394" s="3" t="inlineStr">
        <is>
          <t>1. MK-PF-F-010 periodReturn
2. MK-PF-F-042 windowTotal
3. MK-PF-F-039 periodReturnParts
4. MK-PF-F-029 closeAsOf
5. MK-PF-F-037 dayBefore
6. MK-PF-F-009 latestClose
7. MK-ST-F-030 record
8. MK-PF-F-008 startDateFor
9. MK-PF-F-036 monthsBefore</t>
        </is>
      </c>
      <c r="R394" s="3" t="inlineStr">
        <is>
          <t>1. MK-PF-F-029 closeAsOf → MK-PF-F-039 periodReturnParts → MK-PF-F-010 periodReturn → MK-PF-F-043 windowTotalOfRow
2. MK-PF-F-037 dayBefore → MK-PF-F-039 periodReturnParts → MK-PF-F-010 periodReturn → MK-PF-F-043 windowTotalOfRow
3. MK-PF-F-009 latestClose → MK-PF-F-039 periodReturnParts → MK-PF-F-010 periodReturn → MK-PF-F-043 windowTotalOfRow
4. MK-ST-F-030 record → MK-PF-F-039 periodReturnParts → MK-PF-F-010 periodReturn → MK-PF-F-043 windowTotalOfRow
5. MK-PF-F-036 monthsBefore → MK-PF-F-008 startDateFor → MK-PF-F-039 periodReturnParts → MK-PF-F-010 periodReturn → MK-PF-F-043 windowTotalOfRow
6. MK-PF-F-042 windowTotal → MK-PF-F-043 windowTotalOfRow</t>
        </is>
      </c>
      <c r="S394" s="3" t="inlineStr">
        <is>
          <t>—</t>
        </is>
      </c>
      <c r="T394" s="3" t="inlineStr">
        <is>
          <t>—</t>
        </is>
      </c>
      <c r="U394" s="3" t="inlineStr">
        <is>
          <t>ACTIVE</t>
        </is>
      </c>
      <c r="V394" s="3" t="inlineStr">
        <is>
          <t>2026-10-11</t>
        </is>
      </c>
      <c r="W394" s="3" t="n"/>
      <c r="X394" s="3" t="n"/>
      <c r="Y394" s="3" t="inlineStr">
        <is>
          <t>NOTHING OPEN</t>
        </is>
      </c>
    </row>
    <row r="395" ht="45" customHeight="1">
      <c r="A395" s="3" t="inlineStr">
        <is>
          <t>MK-PF-F-044</t>
        </is>
      </c>
      <c r="B395" s="3" t="inlineStr">
        <is>
          <t>startValues</t>
        </is>
      </c>
      <c r="C395" s="3" t="inlineStr">
        <is>
          <t>src/domain/performance/index.ts</t>
        </is>
      </c>
      <c r="D395" s="3" t="n">
        <v>1410</v>
      </c>
      <c r="E395" s="3" t="inlineStr">
        <is>
          <t>3 · DEPENDENT</t>
        </is>
      </c>
      <c r="F395" s="3" t="inlineStr">
        <is>
          <t>Each holding that has a window total above −100% and a value today, with its value when the window began.</t>
        </is>
      </c>
      <c r="G395" s="11" t="inlineStr">
        <is>
          <t>out = []
ret = ret of(r)
the answer = out</t>
        </is>
      </c>
      <c r="H395" s="3" t="inlineStr">
        <is>
          <t>Out is []. Ret is ret of(r). The answer is out.</t>
        </is>
      </c>
      <c r="I395" s="3" t="inlineStr">
        <is>
          <t>READ FROM THE CODE — rendered from the expressions the function runs</t>
        </is>
      </c>
      <c r="J395" s="3" t="inlineStr">
        <is>
          <t>1. rows: PerformanceRow[]
2. retOf: (r: PerformanceRow) =&gt; number | null</t>
        </is>
      </c>
      <c r="K395" s="3" t="inlineStr">
        <is>
          <t>NOT DECLARED — the code does not say what it gives back</t>
        </is>
      </c>
      <c r="L395" s="3" t="inlineStr">
        <is>
          <t>—</t>
        </is>
      </c>
      <c r="M395" s="3" t="inlineStr">
        <is>
          <t>None found in this function — anything it assumes comes from the functions it depends on.</t>
        </is>
      </c>
      <c r="N395" s="3" t="inlineStr">
        <is>
          <t>Yes</t>
        </is>
      </c>
      <c r="O395" s="3" t="inlineStr">
        <is>
          <t>—</t>
        </is>
      </c>
      <c r="P395" s="3" t="n">
        <v>0</v>
      </c>
      <c r="Q395" s="3" t="inlineStr">
        <is>
          <t>None — no dependent function stands behind it</t>
        </is>
      </c>
      <c r="R395" s="3" t="inlineStr">
        <is>
          <t>No dependent function — it reads its inputs and answers</t>
        </is>
      </c>
      <c r="S395" s="3" t="inlineStr">
        <is>
          <t>—</t>
        </is>
      </c>
      <c r="T395" s="3" t="inlineStr">
        <is>
          <t>—</t>
        </is>
      </c>
      <c r="U395" s="3" t="inlineStr">
        <is>
          <t>ACTIVE</t>
        </is>
      </c>
      <c r="V395" s="3" t="inlineStr">
        <is>
          <t>2026-10-11</t>
        </is>
      </c>
      <c r="W395" s="3" t="n"/>
      <c r="X395" s="3" t="n"/>
      <c r="Y395" s="3" t="inlineStr">
        <is>
          <t>NOTHING OPEN</t>
        </is>
      </c>
    </row>
    <row r="396" ht="60" customHeight="1">
      <c r="A396" s="3" t="inlineStr">
        <is>
          <t>MK-PF-F-045</t>
        </is>
      </c>
      <c r="B396" s="3" t="inlineStr">
        <is>
          <t>priceHistoryShortSentence</t>
        </is>
      </c>
      <c r="C396" s="3" t="inlineStr">
        <is>
          <t>src/domain/performance/index.ts</t>
        </is>
      </c>
      <c r="D396" s="3" t="n">
        <v>533</v>
      </c>
      <c r="E396" s="3" t="inlineStr">
        <is>
          <t>2 · DISPLAYED</t>
        </is>
      </c>
      <c r="F396" s="3" t="inlineStr">
        <is>
          <t>The sentence written wherever a holding's window figure is shown and its prices begin after the window opens: how many months the prices reach, against the window the chip names.</t>
        </is>
      </c>
      <c r="G396" s="11" t="inlineStr">
        <is>
          <t>named = NAMED[period]
''   when named is missing (or window start is missing (or ! ÷ ^\d{4}-\d{2}-\d{2}$ ÷ .test(today) when missing or zero) when missing or zero)
coverage = the first 10) })), window start, today of coverage for((points ?? []).filter((x) =&gt; ÷ ^\d{4}-\d{2}-\d{2} ÷ .test(string(date ?? ''))).map((x) =&gt; ({ date: string(date)
''   when coverage.covers (or coverage.from is missing when missing or zero)
first = coverage.from
months = max(0, (ty − fy) × 12 + tm − fm − (td &lt; fd ? 1 : 0))
the answer = `prices for this holding go back ${plural(months, 'month')}, so the ${label} figure covers ${plural(months, 'month')} — not ${words}.`</t>
        </is>
      </c>
      <c r="H396" s="3" t="inlineStr">
        <is>
          <t>Named is NAMED[period]. When named is missing (or window start is missing (or ! divided by ^\d{4}-\d{2}-\d{2}$ divided by .test(today) — when missing or zero) — when missing or zero), it answers ''. Coverage: the first 10) })), window start, today of coverage for((points ?? []).filter((x) =&gt; divided by ^\d{4}-\d{2}-\d{2} divided by .test(string(date ?? ''))).map((x) =&gt; ({ date: string(date). When coverage.covers (or coverage.from is missing — when missing or zero), it answers ''. First is coverage.from. Months is (ty minus fy, never below zero times 12 plus tm minus fm minus (td &lt; fd ? 1 : 0)). The answer is `prices for this holding go back ${plural(months, 'month')}, so the ${label} figure covers ${plural(months, 'month')} — not ${words}.`.</t>
        </is>
      </c>
      <c r="I396" s="3" t="inlineStr">
        <is>
          <t>PARTLY READ — some of the code is still showing through; needs a hand pass</t>
        </is>
      </c>
      <c r="J396" s="3" t="inlineStr">
        <is>
          <t>Nothing is handed to it</t>
        </is>
      </c>
      <c r="K396" s="3" t="inlineStr">
        <is>
          <t>NOT DECLARED — the code does not say what it gives back</t>
        </is>
      </c>
      <c r="L396" s="3" t="inlineStr">
        <is>
          <t>NOT FOUND — a screen calls it, but the words printed beside its answer could not be traced automatically. Needs reading.</t>
        </is>
      </c>
      <c r="M396" s="3" t="inlineStr">
        <is>
          <t>· Turns a monthly figure into a year by multiplying by twelve.</t>
        </is>
      </c>
      <c r="N396" s="3" t="inlineStr">
        <is>
          <t>Yes</t>
        </is>
      </c>
      <c r="O396" s="3" t="inlineStr">
        <is>
          <t>1. MK-ST-F-004 coverageFor
2. MK-ST-F-078 dateShown
3. MK-CF-F-132 map
4. MK-NW-F-067 plural
5. MK-PF-F-008 startDateFor</t>
        </is>
      </c>
      <c r="P396" s="3" t="n">
        <v>10</v>
      </c>
      <c r="Q396" s="3" t="inlineStr">
        <is>
          <t>1. MK-ST-F-004 coverageFor
2. MK-ST-F-078 dateShown
3. MK-CF-F-132 map
4. MK-NW-F-067 plural
5. MK-PF-F-008 startDateFor
6. MK-ST-F-003 dayWords
7. MK-ST-F-034 firstDate
8. MK-ST-F-002 monthWords
9. MK-XS-F-122 n
10. MK-PF-F-036 monthsBefore</t>
        </is>
      </c>
      <c r="R396" s="3" t="inlineStr">
        <is>
          <t>1. MK-CF-F-132 map → MK-ST-F-003 dayWords → MK-ST-F-004 coverageFor → MK-PF-F-045 priceHistoryShortSentence
2. MK-CF-F-132 map → MK-ST-F-002 monthWords → MK-ST-F-003 dayWords → MK-ST-F-004 coverageFor → MK-PF-F-045 priceHistoryShortSentence
3. MK-ST-F-034 firstDate → MK-ST-F-004 coverageFor → MK-PF-F-045 priceHistoryShortSentence
4. MK-CF-F-132 map → MK-ST-F-002 monthWords → MK-ST-F-004 coverageFor → MK-PF-F-045 priceHistoryShortSentence
5. MK-CF-F-132 map → MK-ST-F-078 dateShown → MK-PF-F-045 priceHistoryShortSentence
6. MK-CF-F-132 map → MK-PF-F-045 priceHistoryShortSentence
7. MK-XS-F-122 n → MK-NW-F-067 plural → MK-PF-F-045 priceHistoryShortSentence
8. MK-PF-F-036 monthsBefore → MK-PF-F-008 startDateFor → MK-PF-F-045 priceHistoryShortSentence</t>
        </is>
      </c>
      <c r="S396" s="3" t="inlineStr">
        <is>
          <t>—</t>
        </is>
      </c>
      <c r="T396" s="3" t="inlineStr">
        <is>
          <t>—</t>
        </is>
      </c>
      <c r="U396" s="3" t="inlineStr">
        <is>
          <t>ACTIVE</t>
        </is>
      </c>
      <c r="V396" s="3" t="inlineStr">
        <is>
          <t>2026-10-12</t>
        </is>
      </c>
      <c r="W396" s="3" t="n"/>
      <c r="X396" s="3" t="n"/>
      <c r="Y396" s="3" t="inlineStr">
        <is>
          <t>NOTHING OPEN</t>
        </is>
      </c>
    </row>
    <row r="397" ht="60" customHeight="1">
      <c r="A397" s="3" t="inlineStr">
        <is>
          <t>MK-PF-F-046</t>
        </is>
      </c>
      <c r="B397" s="3" t="inlineStr">
        <is>
          <t>saleShortOfPurchasesSentence</t>
        </is>
      </c>
      <c r="C397" s="3" t="inlineStr">
        <is>
          <t>src/domain/performance/realized.ts</t>
        </is>
      </c>
      <c r="D397" s="3" t="n">
        <v>147</v>
      </c>
      <c r="E397" s="3" t="inlineStr">
        <is>
          <t>2 · DISPLAYED</t>
        </is>
      </c>
      <c r="F397" s="3" t="inlineStr">
        <is>
          <t>The line for a sale whose shares are not all covered by a recorded purchase: the gain on the part that is, and how many shares have no price paid on record.</t>
        </is>
      </c>
      <c r="G397" s="11" t="inlineStr">
        <is>
          <t>sold words = quantity with unit(holding, sale.sold, count) (or count(sale.sold) when missing)
rest = sale.sold − sale.matched
the answer = `${sold words} sold; what you paid for them is not on record, so no gain is counted.`
g = sale.gain</t>
        </is>
      </c>
      <c r="H397" s="3" t="inlineStr">
        <is>
          <t>Sold words is quantity with unit(holding, sale.sold, count) (or count(sale.sold) — when missing). Rest is sale.sold minus sale.matched. The answer is `${sold words} sold; what you paid for them is on is missing record, so no gain is counted.`. G is sale.gain.</t>
        </is>
      </c>
      <c r="I397" s="3" t="inlineStr">
        <is>
          <t>PARTLY READ — some of the code is still showing through; needs a hand pass</t>
        </is>
      </c>
      <c r="J397" s="3" t="inlineStr">
        <is>
          <t>Nothing is handed to it</t>
        </is>
      </c>
      <c r="K397" s="3" t="inlineStr">
        <is>
          <t>NOT DECLARED — the code does not say what it gives back</t>
        </is>
      </c>
      <c r="L397" s="3" t="inlineStr">
        <is>
          <t>NOT FOUND — a screen calls it, but the words printed beside its answer could not be traced automatically. Needs reading.</t>
        </is>
      </c>
      <c r="M397" s="3" t="inlineStr">
        <is>
          <t>None found in this function — anything it assumes comes from the functions it depends on.</t>
        </is>
      </c>
      <c r="N397" s="3" t="inlineStr">
        <is>
          <t>Yes</t>
        </is>
      </c>
      <c r="O397" s="3" t="inlineStr">
        <is>
          <t>1. MK-ST-F-053 money
2. MK-PF-F-033 quantityWithUnit
3. MK-ST-F-030 record</t>
        </is>
      </c>
      <c r="P397" s="3" t="n">
        <v>9</v>
      </c>
      <c r="Q397" s="3" t="inlineStr">
        <is>
          <t>1. MK-ST-F-053 money
2. MK-PF-F-033 quantityWithUnit
3. MK-ST-F-030 record
4. MK-ST-F-049 formatMoney
5. MK-XS-F-122 n
6. MK-PF-F-032 quantityUnit
7. MK-ST-F-048 currencySymbol
8. MK-ST-F-039 on
9. MK-ST-F-047 activeCurrency</t>
        </is>
      </c>
      <c r="R397" s="3" t="inlineStr">
        <is>
          <t>1. MK-ST-F-047 activeCurrency → MK-ST-F-048 currencySymbol → MK-ST-F-049 formatMoney → MK-ST-F-053 money → MK-PF-F-046 saleShortOfPurchasesSentence
2. MK-XS-F-122 n → MK-ST-F-049 formatMoney → MK-ST-F-053 money → MK-PF-F-046 saleShortOfPurchasesSentence
3. MK-ST-F-039 on → MK-ST-F-049 formatMoney → MK-ST-F-053 money → MK-PF-F-046 saleShortOfPurchasesSentence
4. MK-XS-F-122 n → MK-ST-F-053 money → MK-PF-F-046 saleShortOfPurchasesSentence
5. MK-PF-F-032 quantityUnit → MK-PF-F-033 quantityWithUnit → MK-PF-F-046 saleShortOfPurchasesSentence
6. MK-ST-F-030 record → MK-PF-F-046 saleShortOfPurchasesSentence</t>
        </is>
      </c>
      <c r="S397" s="3" t="inlineStr">
        <is>
          <t>—</t>
        </is>
      </c>
      <c r="T397" s="3" t="inlineStr">
        <is>
          <t>—</t>
        </is>
      </c>
      <c r="U397" s="3" t="inlineStr">
        <is>
          <t>ACTIVE</t>
        </is>
      </c>
      <c r="V397" s="3" t="inlineStr">
        <is>
          <t>2026-10-12</t>
        </is>
      </c>
      <c r="W397" s="3" t="n"/>
      <c r="X397" s="3" t="n"/>
      <c r="Y397" s="3" t="inlineStr">
        <is>
          <t>NOTHING OPEN</t>
        </is>
      </c>
    </row>
    <row r="398" ht="60" customHeight="1">
      <c r="A398" s="3" t="inlineStr">
        <is>
          <t>MK-PL-F-001</t>
        </is>
      </c>
      <c r="B398" s="3" t="inlineStr">
        <is>
          <t>taxBucketSplit</t>
        </is>
      </c>
      <c r="C398" s="3" t="inlineStr">
        <is>
          <t>src/domain/decumulation/index.ts</t>
        </is>
      </c>
      <c r="D398" s="3" t="n">
        <v>114</v>
      </c>
      <c r="E398" s="3" t="inlineStr">
        <is>
          <t>2 · DISPLAYED</t>
        </is>
      </c>
      <c r="F398" s="3" t="inlineStr">
        <is>
          <t>How is the retirement money split by the tax that will be owed on it?</t>
        </is>
      </c>
      <c r="G398" s="11" t="inlineStr">
        <is>
          <t>s = taxable = 0
pre tax = 0
roth = 0
cash = 0
total = 0
counted taxable not stated = []
car = primary car id of(accounts ?? []), home = primary home id of(accounts ?? [])
names = account display names(accounts ?? [])
bucket = split bucket of(a)
v = earmarked amount(a, car, home)
the answer = s</t>
        </is>
      </c>
      <c r="H398" s="3" t="inlineStr">
        <is>
          <t>S is taxable = 0; pre tax = 0; roth = 0; cash = 0; total = 0; counted taxable stated is missing = []. Car is primary car id of(accounts ?? []), home = primary home id of(accounts ?? []). Names is account display names(accounts ?? []). Bucket is split bucket of(a). V is earmarked amount(a, car, home). The answer is s.</t>
        </is>
      </c>
      <c r="I398" s="3" t="inlineStr">
        <is>
          <t>PARTLY READ — some of the code is still showing through; needs a hand pass</t>
        </is>
      </c>
      <c r="J398" s="3" t="inlineStr">
        <is>
          <t>accounts: AssetAccount[]</t>
        </is>
      </c>
      <c r="K398" s="3" t="inlineStr">
        <is>
          <t>TaxSplit</t>
        </is>
      </c>
      <c r="L398"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398" s="3" t="inlineStr">
        <is>
          <t>None found in this function — anything it assumes comes from the functions it depends on.</t>
        </is>
      </c>
      <c r="N398" s="3" t="inlineStr">
        <is>
          <t>Yes</t>
        </is>
      </c>
      <c r="O398" s="3" t="inlineStr">
        <is>
          <t>1. MK-NW-F-026 accountDisplayNames
2. MK-NW-F-032 earmarkedAmount
3. MK-NW-F-031 primaryCarIdOf
4. MK-NW-F-110 primaryHomeIdOf
5. MK-PL-F-086 splitBucketOf
6. MK-PL-F-087 taxTypeNotStated</t>
        </is>
      </c>
      <c r="P398" s="3" t="n">
        <v>52</v>
      </c>
      <c r="Q398" s="3" t="inlineStr">
        <is>
          <t>1. MK-NW-F-026 accountDisplayNames
2. MK-NW-F-032 earmarkedAmount
3. MK-NW-F-031 primaryCarIdOf
4. MK-NW-F-110 primaryHomeIdOf
5. MK-PL-F-086 splitBucketOf
6. MK-PL-F-087 taxTypeNotStated
7. MK-NW-F-025 accountDisplayName
8. MK-ST-F-056 has
9. MK-CF-F-132 map
10. MK-XS-F-122 n
11. MK-NW-F-030 earmarkDefault
12. MK-NW-F-134 carValueNotEnteredNotes
13. MK-NW-F-133 valueEntered
14. MK-NW-F-117 propertyUseMap
15. MK-NW-F-007 assetKind
16. MK-NW-F-012 taxTreatmentOf
17. MK-NW-F-024 accountLastFour
18. MK-ST-F-039 on
19. MK-NW-F-023 wrapperWord
20. MK-NW-F-011 assetClassOf
21. MK-ST-F-053 money
22. MK-NW-F-033 retirementEarmarkedValue
23. MK-NW-F-116 rentedIdsOf
24. MK-CF-F-155 cash
25. MK-NW-F-120 classEvidenceOf
26. MK-ST-F-049 formatMoney
27. MK-NW-F-115 liveRent
28. MK-NW-F-008 incomeBearingClassOf
29. MK-NW-F-009 maturityClass
30. MK-ST-F-048 currencySymbol
31. MK-CF-O-002 expenses
32. MK-NW-F-114 rentAmount
33. MK-ST-F-010 nameEvidence
34. MK-NW-F-124 maturityParts
35. MK-CF-F-216 typed
36. MK-ST-F-047 activeCurrency
37. MK-CF-F-151 actualSpending
38. MK-CF-F-150 debtPaymentsCountedAsExpenses
39. MK-CF-F-153 radar
40. MK-CF-F-149 recurringDebtPayments
41. MK-ST-F-085 rentFigure
42. MK-XS-F-147 call
43. MK-CF-F-148 inMonth
44. MK-ST-F-052 toNum
45. MK-CF-F-191 ym
46. MK-CF-F-022 paymentShape
47. MK-CF-F-152 isRadarItem
48. MK-CF-F-023 requiredPayment
49. MK-ST-F-027 accountId
50. MK-XS-F-064 currentIdToken
51. MK-XS-F-112 relayUrl
52. MK-CF-F-021 defaultPaymentType</t>
        </is>
      </c>
      <c r="R398" s="3" t="inlineStr">
        <is>
          <t>1. accountDisplayNames (already above — a loop) → MK-NW-F-025 accountDisplayName → MK-NW-F-026 accountDisplayNames → MK-PL-F-001 taxBucketSplit
2. MK-NW-F-024 accountLastFour → MK-NW-F-025 accountDisplayName → MK-NW-F-026 accountDisplayNames → MK-PL-F-001 taxBucketSplit
3. MK-ST-F-039 on → MK-NW-F-025 accountDisplayName → MK-NW-F-026 accountDisplayNames → MK-PL-F-001 taxBucketSplit
4. MK-NW-F-011 assetClassOf → MK-NW-F-007 assetKind → MK-NW-F-012 taxTreatmentOf → MK-NW-F-025 accountDisplayName → MK-NW-F-026 accountDisplayNames → MK-PL-F-001 taxBucketSplit
5. MK-CF-F-155 cash → MK-NW-F-007 assetKind → MK-NW-F-012 taxTreatmentOf → MK-NW-F-025 accountDisplayName → MK-NW-F-026 accountDisplayNames → MK-PL-F-001 taxBucketSplit
6. MK-NW-F-023 wrapperWord → MK-NW-F-025 accountDisplayName → MK-NW-F-026 accountDisplayNames → MK-PL-F-001 taxBucketSplit
7. MK-ST-F-056 has → MK-NW-F-026 accountDisplayNames → MK-PL-F-001 taxBucketSplit
8. MK-CF-F-132 map → MK-NW-F-026 accountDisplayNames → MK-PL-F-001 taxBucketSplit
9. … and 5 more paths</t>
        </is>
      </c>
      <c r="S398" s="3" t="inlineStr">
        <is>
          <t>—</t>
        </is>
      </c>
      <c r="T398" s="3" t="inlineStr">
        <is>
          <t>SPLIT_BY_HOW_IT_IS_TAXED</t>
        </is>
      </c>
      <c r="U398" s="3" t="inlineStr">
        <is>
          <t>ACTIVE</t>
        </is>
      </c>
      <c r="V398" s="3" t="inlineStr">
        <is>
          <t>2026-10-10</t>
        </is>
      </c>
      <c r="W398" s="3" t="n"/>
      <c r="X398" s="3" t="n"/>
      <c r="Y398" s="3" t="inlineStr">
        <is>
          <t>NOTHING OPEN</t>
        </is>
      </c>
    </row>
    <row r="399" ht="60" customHeight="1">
      <c r="A399" s="3" t="inlineStr">
        <is>
          <t>MK-PL-F-002</t>
        </is>
      </c>
      <c r="B399" s="3" t="inlineStr">
        <is>
          <t>withdrawalPlan</t>
        </is>
      </c>
      <c r="C399" s="3" t="inlineStr">
        <is>
          <t>src/domain/decumulation/index.ts</t>
        </is>
      </c>
      <c r="D399" s="3" t="n">
        <v>223</v>
      </c>
      <c r="E399" s="3" t="inlineStr">
        <is>
          <t>2 · DISPLAYED</t>
        </is>
      </c>
      <c r="F399" s="3" t="inlineStr">
        <is>
          <t>NOT DETERMINED — the code carries no note saying what this is for, and it has no row in the old inventory. Needs reading.</t>
        </is>
      </c>
      <c r="G399"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399"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399" s="3" t="inlineStr">
        <is>
          <t>READ FROM THE CODE — rendered from the expressions the function runs</t>
        </is>
      </c>
      <c r="J399" s="3" t="inlineStr">
        <is>
          <t>1. spendMonthly: number
2. guaranteedMonthly: number
3. nestEgg: number</t>
        </is>
      </c>
      <c r="K399" s="3" t="inlineStr">
        <is>
          <t>WithdrawalPlan</t>
        </is>
      </c>
      <c r="L399" s="3" t="inlineStr">
        <is>
          <t>1. "From your portfolio" — on the Retirement cockpit screen
2. "WILL YOUR MONEY LAST?" — on the Retirement cockpit screen, under "RETIREMENT
3. WHERE YOU STAND"
4. "You plan to spend" — on the Retirement cockpit screen</t>
        </is>
      </c>
      <c r="M399" s="3" t="inlineStr">
        <is>
          <t>· Turns a monthly figure into a year by multiplying by twelve.</t>
        </is>
      </c>
      <c r="N399" s="3" t="inlineStr">
        <is>
          <t>Yes</t>
        </is>
      </c>
      <c r="O399" s="3" t="inlineStr">
        <is>
          <t>—</t>
        </is>
      </c>
      <c r="P399" s="3" t="n">
        <v>0</v>
      </c>
      <c r="Q399" s="3" t="inlineStr">
        <is>
          <t>None — no dependent function stands behind it</t>
        </is>
      </c>
      <c r="R399" s="3" t="inlineStr">
        <is>
          <t>No dependent function — it reads its inputs and answers</t>
        </is>
      </c>
      <c r="S399" s="3" t="inlineStr">
        <is>
          <t>—</t>
        </is>
      </c>
      <c r="T399" s="3" t="inlineStr">
        <is>
          <t>—</t>
        </is>
      </c>
      <c r="U399" s="3" t="inlineStr">
        <is>
          <t>ACTIVE</t>
        </is>
      </c>
      <c r="V399" s="3" t="inlineStr">
        <is>
          <t>2026-09-09</t>
        </is>
      </c>
      <c r="W399" s="3" t="n"/>
      <c r="X399" s="3" t="n"/>
      <c r="Y399" s="3" t="inlineStr">
        <is>
          <t>NOTHING OPEN</t>
        </is>
      </c>
    </row>
    <row r="400" ht="60" customHeight="1">
      <c r="A400" s="3" t="inlineStr">
        <is>
          <t>MK-PL-F-003</t>
        </is>
      </c>
      <c r="B400" s="3" t="inlineStr">
        <is>
          <t>depletionAge</t>
        </is>
      </c>
      <c r="C400" s="3" t="inlineStr">
        <is>
          <t>src/domain/decumulation/index.ts</t>
        </is>
      </c>
      <c r="D400" s="3" t="n">
        <v>266</v>
      </c>
      <c r="E400" s="3" t="inlineStr">
        <is>
          <t>2 · DISPLAYED</t>
        </is>
      </c>
      <c r="F400" s="3" t="inlineStr">
        <is>
          <t>---- deterministic depletion ---- Age the portfolio runs out (deterministic), or null if it lasts to the horizon.</t>
        </is>
      </c>
      <c r="G400" s="11" t="inlineStr">
        <is>
          <t>bal = nest egg
net = net withdrawal now
rmd on = (pre tax share ?? 0) &gt; 0
pre tax bal = bal × min(1, max(0, pre tax share!))   if rmd on
0   otherwise
rate = min(0.6, max(0, rmd tax rate (or 0.22 when missing)))
growth = 1 + return rate
a + 1   when bal ≤ 0
the answer = nothing</t>
        </is>
      </c>
      <c r="H400"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400" s="3" t="inlineStr">
        <is>
          <t>PARTLY READ — some of the code is still showing through; needs a hand pass</t>
        </is>
      </c>
      <c r="J400" s="3" t="inlineStr">
        <is>
          <t>o: { age: number; horizon: number; nestEgg: number; netWithdrawalNow: number; returnRate: number; inflation: number; preTaxShare?: number; rmdTaxRate?: number }</t>
        </is>
      </c>
      <c r="K400" s="3" t="inlineStr">
        <is>
          <t>number | null</t>
        </is>
      </c>
      <c r="L400" s="3" t="inlineStr">
        <is>
          <t>NOT FOUND — a screen calls it, but the words printed beside its answer could not be traced automatically. Needs reading.</t>
        </is>
      </c>
      <c r="M400" s="3" t="inlineStr">
        <is>
          <t>1. If pre tax share is missing it uses 0.
2. If required withdrawal tax rate is missing it uses 22%.</t>
        </is>
      </c>
      <c r="N400" s="3" t="inlineStr">
        <is>
          <t>Yes</t>
        </is>
      </c>
      <c r="O400" s="3" t="inlineStr">
        <is>
          <t>1. MK-PL-F-007 rmdAtAge
2. MK-PL-F-005 rmdStartAgeFor</t>
        </is>
      </c>
      <c r="P400" s="3" t="n">
        <v>6</v>
      </c>
      <c r="Q400" s="3" t="inlineStr">
        <is>
          <t>1. MK-PL-F-007 rmdAtAge
2. MK-PL-F-005 rmdStartAgeFor
3. MK-PL-F-078 rmdDivisorAtAge
4. MK-ST-F-025 rmdStartAgeFromAge
5. MK-ST-F-024 rmdStartAge
6. MK-ST-F-056 has</t>
        </is>
      </c>
      <c r="R400" s="3" t="inlineStr">
        <is>
          <t>1. MK-PL-F-078 rmdDivisorAtAge → MK-PL-F-007 rmdAtAge → MK-PL-F-003 depletionAge
2. MK-ST-F-056 has → MK-ST-F-024 rmdStartAge → MK-ST-F-025 rmdStartAgeFromAge → MK-PL-F-005 rmdStartAgeFor → MK-PL-F-003 depletionAge</t>
        </is>
      </c>
      <c r="S400" s="3" t="inlineStr">
        <is>
          <t>—</t>
        </is>
      </c>
      <c r="T400" s="3" t="inlineStr">
        <is>
          <t>—</t>
        </is>
      </c>
      <c r="U400" s="3" t="inlineStr">
        <is>
          <t>ACTIVE</t>
        </is>
      </c>
      <c r="V400" s="3" t="inlineStr">
        <is>
          <t>2026-08-27</t>
        </is>
      </c>
      <c r="W400" s="3" t="n"/>
      <c r="X400" s="3" t="n"/>
      <c r="Y400" s="3" t="inlineStr">
        <is>
          <t>NOTHING OPEN</t>
        </is>
      </c>
    </row>
    <row r="401" ht="60" customHeight="1">
      <c r="A401" s="3" t="inlineStr">
        <is>
          <t>MK-PL-F-004</t>
        </is>
      </c>
      <c r="B401" s="3" t="inlineStr">
        <is>
          <t>withdrawalOrder</t>
        </is>
      </c>
      <c r="C401" s="3" t="inlineStr">
        <is>
          <t>src/domain/decumulation/index.ts</t>
        </is>
      </c>
      <c r="D401" s="3" t="n">
        <v>320</v>
      </c>
      <c r="E401" s="3" t="inlineStr">
        <is>
          <t>2 · DISPLAYED</t>
        </is>
      </c>
      <c r="F401" s="3" t="inlineStr">
        <is>
          <t>NOT DETERMINED — the code carries no note saying what this is for, and it has no row in the old inventory. Needs reading.</t>
        </is>
      </c>
      <c r="G401" s="11" t="inlineStr">
        <is>
          <t>steps = seq where split[bucket] &gt; 0for each of : ...each = ...each
amount = split[bucket]
pre = steps.find((s) =&gt; bucket = 'preTax')
the answer = steps</t>
        </is>
      </c>
      <c r="H401" s="3" t="inlineStr">
        <is>
          <t>Steps is seq where split[bucket] &gt; 0for each of : ...each = ...each; amount = split[bucket]. Pre is steps.find((s) =&gt; bucket = 'preTax'). The answer is steps.</t>
        </is>
      </c>
      <c r="I401" s="3" t="inlineStr">
        <is>
          <t>PARTLY READ — some of the code is still showing through; needs a hand pass</t>
        </is>
      </c>
      <c r="J401" s="3" t="inlineStr">
        <is>
          <t>1. split: BucketSplit
2. age = 0
3. userOrder?: DrawBucket[] | null</t>
        </is>
      </c>
      <c r="K401" s="3" t="inlineStr">
        <is>
          <t>OrderStep[]</t>
        </is>
      </c>
      <c r="L401" s="3" t="inlineStr">
        <is>
          <t>1. "Why this order?" — on the Cash flow screen
2. "Why? ›" — on the Cash flow screen</t>
        </is>
      </c>
      <c r="M401" s="3" t="inlineStr">
        <is>
          <t>None found in this function — anything it assumes comes from the functions it depends on.</t>
        </is>
      </c>
      <c r="N401" s="3" t="inlineStr">
        <is>
          <t>Yes</t>
        </is>
      </c>
      <c r="O401" s="3" t="inlineStr">
        <is>
          <t>1. MK-CF-F-132 map
2. MK-ST-F-039 on
3. MK-PL-F-007 rmdAtAge
4. MK-PL-F-005 rmdStartAgeFor</t>
        </is>
      </c>
      <c r="P401" s="3" t="n">
        <v>8</v>
      </c>
      <c r="Q401" s="3" t="inlineStr">
        <is>
          <t>1. MK-CF-F-132 map
2. MK-ST-F-039 on
3. MK-PL-F-007 rmdAtAge
4. MK-PL-F-005 rmdStartAgeFor
5. MK-PL-F-078 rmdDivisorAtAge
6. MK-ST-F-025 rmdStartAgeFromAge
7. MK-ST-F-024 rmdStartAge
8. MK-ST-F-056 has</t>
        </is>
      </c>
      <c r="R401"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401" s="3" t="inlineStr">
        <is>
          <t>—</t>
        </is>
      </c>
      <c r="T401" s="3" t="inlineStr">
        <is>
          <t>—</t>
        </is>
      </c>
      <c r="U401" s="3" t="inlineStr">
        <is>
          <t>ACTIVE</t>
        </is>
      </c>
      <c r="V401" s="3" t="inlineStr">
        <is>
          <t>2026-08-27</t>
        </is>
      </c>
      <c r="W401" s="3" t="n"/>
      <c r="X401" s="3" t="n"/>
      <c r="Y401" s="3" t="inlineStr">
        <is>
          <t>NOTHING OPEN</t>
        </is>
      </c>
    </row>
    <row r="402" ht="60" customHeight="1">
      <c r="A402" s="3" t="inlineStr">
        <is>
          <t>MK-PL-F-005</t>
        </is>
      </c>
      <c r="B402" s="3" t="inlineStr">
        <is>
          <t>rmdStartAgeFor</t>
        </is>
      </c>
      <c r="C402" s="3" t="inlineStr">
        <is>
          <t>src/domain/decumulation/index.ts</t>
        </is>
      </c>
      <c r="D402" s="3" t="n">
        <v>374</v>
      </c>
      <c r="E402" s="3" t="inlineStr">
        <is>
          <t>2 · DISPLAYED</t>
        </is>
      </c>
      <c r="F402" s="3" t="inlineStr">
        <is>
          <t>---- Required Minimum Distributions ---- B4 (founder brief 2026-08-20): the rule lives in ONE dated, sourced table — the Calculation Module's rmd function.</t>
        </is>
      </c>
      <c r="G402" s="11" t="inlineStr">
        <is>
          <t>73   if age = nothing
rmd start age from age(age, now year)   otherwise</t>
        </is>
      </c>
      <c r="H402" s="3" t="inlineStr">
        <is>
          <t>73 — when age is missing; rmd start age from age(age, now year) — otherwise.</t>
        </is>
      </c>
      <c r="I402" s="3" t="inlineStr">
        <is>
          <t>READ FROM THE CODE — rendered from the expressions the function runs</t>
        </is>
      </c>
      <c r="J402" s="3" t="inlineStr">
        <is>
          <t>1. age?: number | null
2. nowYear = new Date().getFullYear()</t>
        </is>
      </c>
      <c r="K402" s="3" t="inlineStr">
        <is>
          <t>number</t>
        </is>
      </c>
      <c r="L402"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402" s="3" t="inlineStr">
        <is>
          <t>· Uses today's date from the device clock, so the answer changes by itself overnight.</t>
        </is>
      </c>
      <c r="N402" s="3" t="inlineStr">
        <is>
          <t>Yes</t>
        </is>
      </c>
      <c r="O402" s="3" t="inlineStr">
        <is>
          <t>MK-ST-F-025 rmdStartAgeFromAge</t>
        </is>
      </c>
      <c r="P402" s="3" t="n">
        <v>3</v>
      </c>
      <c r="Q402" s="3" t="inlineStr">
        <is>
          <t>1. MK-ST-F-025 rmdStartAgeFromAge
2. MK-ST-F-024 rmdStartAge
3. MK-ST-F-056 has</t>
        </is>
      </c>
      <c r="R402" s="3" t="inlineStr">
        <is>
          <t>MK-ST-F-056 has → MK-ST-F-024 rmdStartAge → MK-ST-F-025 rmdStartAgeFromAge → MK-PL-F-005 rmdStartAgeFor</t>
        </is>
      </c>
      <c r="S402" s="3" t="inlineStr">
        <is>
          <t>—</t>
        </is>
      </c>
      <c r="T402" s="3" t="inlineStr">
        <is>
          <t>—</t>
        </is>
      </c>
      <c r="U402" s="3" t="inlineStr">
        <is>
          <t>ACTIVE</t>
        </is>
      </c>
      <c r="V402" s="3" t="inlineStr">
        <is>
          <t>2026-08-27</t>
        </is>
      </c>
      <c r="W402" s="3" t="n"/>
      <c r="X402" s="3" t="n"/>
      <c r="Y402" s="3" t="inlineStr">
        <is>
          <t>NOTHING OPEN</t>
        </is>
      </c>
    </row>
    <row r="403" ht="60" customHeight="1">
      <c r="A403" s="3" t="inlineStr">
        <is>
          <t>MK-PL-F-006</t>
        </is>
      </c>
      <c r="B403" s="3" t="inlineStr">
        <is>
          <t>rmdDivisor</t>
        </is>
      </c>
      <c r="C403" s="3" t="inlineStr">
        <is>
          <t>Calculation Module code/engines/rmd.ts</t>
        </is>
      </c>
      <c r="D403" s="3" t="n">
        <v>133</v>
      </c>
      <c r="E403" s="3" t="inlineStr">
        <is>
          <t>3 · DEPENDENT (feeds an action only)</t>
        </is>
      </c>
      <c r="F403" s="3" t="inlineStr">
        <is>
          <t>Divisor at an age, 0 before that person's start age.</t>
        </is>
      </c>
      <c r="G403" s="11" t="inlineStr">
        <is>
          <t>divisor(age) = 0                        when age is below the start age
               the table value at age   when the table lists that age
               straight-line between the two nearest listed ages   otherwise</t>
        </is>
      </c>
      <c r="H403"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403" s="3" t="inlineStr">
        <is>
          <t>READ BY HAND 2026-08-26 — checked line by line against the code</t>
        </is>
      </c>
      <c r="J403" s="3" t="inlineStr">
        <is>
          <t>1. age: number
2. birthYear?: number | null</t>
        </is>
      </c>
      <c r="K403" s="3" t="inlineStr">
        <is>
          <t>number</t>
        </is>
      </c>
      <c r="L403" s="3" t="inlineStr">
        <is>
          <t>—</t>
        </is>
      </c>
      <c r="M403" s="3" t="inlineStr">
        <is>
          <t>None found in this function — anything it assumes comes from the functions it depends on.</t>
        </is>
      </c>
      <c r="N403" s="3" t="inlineStr">
        <is>
          <t>No</t>
        </is>
      </c>
      <c r="O403" s="3" t="inlineStr">
        <is>
          <t>MK-ST-F-024 rmdStartAge</t>
        </is>
      </c>
      <c r="P403" s="3" t="n">
        <v>2</v>
      </c>
      <c r="Q403" s="3" t="inlineStr">
        <is>
          <t>1. MK-ST-F-024 rmdStartAge
2. MK-ST-F-056 has</t>
        </is>
      </c>
      <c r="R403" s="3" t="inlineStr">
        <is>
          <t>MK-ST-F-056 has → MK-ST-F-024 rmdStartAge → MK-PL-F-006 rmdDivisor</t>
        </is>
      </c>
      <c r="S403" s="3" t="inlineStr">
        <is>
          <t>—</t>
        </is>
      </c>
      <c r="T403" s="3" t="inlineStr">
        <is>
          <t>—</t>
        </is>
      </c>
      <c r="U403" s="3" t="inlineStr">
        <is>
          <t>ACTIVE</t>
        </is>
      </c>
      <c r="V403" s="3" t="inlineStr">
        <is>
          <t>2026-08-27</t>
        </is>
      </c>
      <c r="W403" s="3" t="n"/>
      <c r="X403" s="3" t="n"/>
      <c r="Y403" s="3" t="inlineStr">
        <is>
          <t>NOTHING OPEN</t>
        </is>
      </c>
    </row>
    <row r="404" ht="60" customHeight="1">
      <c r="A404" s="3" t="inlineStr">
        <is>
          <t>MK-PL-F-007</t>
        </is>
      </c>
      <c r="B404" s="3" t="inlineStr">
        <is>
          <t>rmdAtAge</t>
        </is>
      </c>
      <c r="C404" s="3" t="inlineStr">
        <is>
          <t>src/domain/decumulation/index.ts</t>
        </is>
      </c>
      <c r="D404" s="3" t="n">
        <v>432</v>
      </c>
      <c r="E404" s="3" t="inlineStr">
        <is>
          <t>2 · DISPLAYED</t>
        </is>
      </c>
      <c r="F404" s="3" t="inlineStr">
        <is>
          <t>Required minimum distribution from pre-tax balances at a given age (0 before the start age).</t>
        </is>
      </c>
      <c r="G404" s="11" t="inlineStr">
        <is>
          <t>required withdrawal = round(pre-tax balance ÷ divisor(age), 2 dp)
                    = 0   when the divisor is 0</t>
        </is>
      </c>
      <c r="H404"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404" s="3" t="inlineStr">
        <is>
          <t>READ BY HAND 2026-08-26 — checked line by line against the code</t>
        </is>
      </c>
      <c r="J404" s="3" t="inlineStr">
        <is>
          <t>1. preTaxBalance: number
2. age: number</t>
        </is>
      </c>
      <c r="K404" s="3" t="inlineStr">
        <is>
          <t>number</t>
        </is>
      </c>
      <c r="L404"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404"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404" s="3" t="inlineStr">
        <is>
          <t>Yes</t>
        </is>
      </c>
      <c r="O404" s="3" t="inlineStr">
        <is>
          <t>MK-PL-F-078 rmdDivisorAtAge</t>
        </is>
      </c>
      <c r="P404" s="3" t="n">
        <v>1</v>
      </c>
      <c r="Q404" s="3" t="inlineStr">
        <is>
          <t>MK-PL-F-078 rmdDivisorAtAge</t>
        </is>
      </c>
      <c r="R404" s="3" t="inlineStr">
        <is>
          <t>MK-PL-F-078 rmdDivisorAtAge → MK-PL-F-007 rmdAtAge</t>
        </is>
      </c>
      <c r="S404" s="3" t="inlineStr">
        <is>
          <t>—</t>
        </is>
      </c>
      <c r="T404" s="3" t="inlineStr">
        <is>
          <t>—</t>
        </is>
      </c>
      <c r="U404" s="3" t="inlineStr">
        <is>
          <t>ACTIVE</t>
        </is>
      </c>
      <c r="V404" s="3" t="inlineStr">
        <is>
          <t>2026-08-27</t>
        </is>
      </c>
      <c r="W404" s="3" t="n"/>
      <c r="X404" s="3" t="n"/>
      <c r="Y404" s="3" t="inlineStr">
        <is>
          <t>NOTHING OPEN</t>
        </is>
      </c>
    </row>
    <row r="405" ht="60" customHeight="1">
      <c r="A405" s="3" t="inlineStr">
        <is>
          <t>MK-PL-F-008</t>
        </is>
      </c>
      <c r="B405" s="3" t="inlineStr">
        <is>
          <t>rmdSchedule</t>
        </is>
      </c>
      <c r="C405" s="3" t="inlineStr">
        <is>
          <t>src/domain/decumulation/index.ts</t>
        </is>
      </c>
      <c r="D405" s="3" t="n">
        <v>513</v>
      </c>
      <c r="E405" s="3" t="inlineStr">
        <is>
          <t>2 · DISPLAYED</t>
        </is>
      </c>
      <c r="F405" s="3" t="inlineStr">
        <is>
          <t>Year-by-year mandated-withdrawal schedule (ESTIMATES: future balances move with returns).</t>
        </is>
      </c>
      <c r="G405" s="11" t="inlineStr">
        <is>
          <t>rows = []
rows   when pre tax now ≤ 0
start age = max(rmd start age for(age now, now year), age now)
bal = pre tax now
r = max(0, exp return (or 0 when missing or zero))
age = start age + i
amount = rmd at age(bal, age)
the answer = rows</t>
        </is>
      </c>
      <c r="H405"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405" s="3" t="inlineStr">
        <is>
          <t>READ FROM THE CODE — rendered from the expressions the function runs</t>
        </is>
      </c>
      <c r="J405" s="3" t="inlineStr">
        <is>
          <t>1. preTaxNow: number
2. ageNow: number
3. expReturn: number
4. years = 15
5. nowYear = new Date().getFullYear()</t>
        </is>
      </c>
      <c r="K405" s="3" t="inlineStr">
        <is>
          <t>RmdYearRow[]</t>
        </is>
      </c>
      <c r="L405" s="3" t="inlineStr">
        <is>
          <t>NOT FOUND — a screen calls it, but the words printed beside its answer could not be traced automatically. Needs reading.</t>
        </is>
      </c>
      <c r="M405" s="3" t="inlineStr">
        <is>
          <t>1. If exp return is missing it counts as zero, so nothing recorded and a real zero look the same.
2. Uses today's date from the device clock, so the answer changes by itself overnight.
3. Rounds the answer to a whole number.</t>
        </is>
      </c>
      <c r="N405" s="3" t="inlineStr">
        <is>
          <t>Yes</t>
        </is>
      </c>
      <c r="O405" s="3" t="inlineStr">
        <is>
          <t>1. MK-PL-F-077 clamp
2. MK-PL-F-054 growOneYear
3. MK-PL-F-007 rmdAtAge
4. MK-PL-F-078 rmdDivisorAtAge
5. MK-PL-F-005 rmdStartAgeFor</t>
        </is>
      </c>
      <c r="P405" s="3" t="n">
        <v>52</v>
      </c>
      <c r="Q405" s="3" t="inlineStr">
        <is>
          <t>1. MK-PL-F-077 clamp
2. MK-PL-F-054 growOneYear
3. MK-PL-F-007 rmdAtAge
4. MK-PL-F-078 rmdDivisorAtAge
5. MK-PL-F-005 rmdStartAgeFor
6. MK-NW-F-035 blendedVolatility
7. MK-ST-F-025 rmdStartAgeFromAge
8. MK-CF-F-155 cash
9. MK-NW-F-032 earmarkedAmount
10. MK-NW-F-031 primaryCarIdOf
11. MK-NW-F-110 primaryHomeIdOf
12. MK-ST-F-024 rmdStartAge
13. MK-XS-F-122 n
14. MK-NW-F-030 earmarkDefault
15. MK-NW-F-134 carValueNotEnteredNotes
16. MK-NW-F-133 valueEntered
17. MK-NW-F-117 propertyUseMap
18. MK-ST-F-056 has
19. MK-NW-F-011 assetClassOf
20. MK-CF-F-132 map
21. MK-ST-F-053 money
22. MK-NW-F-033 retirementEarmarkedValue
23. MK-NW-F-116 rentedIdsOf
24. MK-NW-F-120 classEvidenceOf
25. MK-ST-F-049 formatMoney
26. MK-NW-F-115 liveRent
27. MK-NW-F-008 incomeBearingClassOf
28. MK-NW-F-009 maturityClass
29. MK-ST-F-048 currencySymbol
30. MK-ST-F-039 on
31. MK-CF-O-002 expenses
32. MK-NW-F-114 rentAmount
33. MK-ST-F-010 nameEvidence
34. MK-NW-F-124 maturityParts
35. MK-CF-F-216 typed
36. MK-ST-F-047 activeCurrency
37. MK-CF-F-151 actualSpending
38. MK-CF-F-150 debtPaymentsCountedAsExpenses
39. MK-CF-F-153 radar
40. MK-CF-F-149 recurringDebtPayments
41. MK-ST-F-085 rentFigure
42. MK-XS-F-147 call
43. MK-CF-F-148 inMonth
44. MK-ST-F-052 toNum
45. MK-CF-F-191 ym
46. MK-CF-F-022 paymentShape
47. MK-CF-F-152 isRadarItem
48. MK-CF-F-023 requiredPayment
49. MK-ST-F-027 accountId
50. MK-XS-F-064 currentIdToken
51. MK-XS-F-112 relayUrl
52. MK-CF-F-021 defaultPaymentType</t>
        </is>
      </c>
      <c r="R405" s="3" t="inlineStr">
        <is>
          <t>1. MK-XS-F-122 n → MK-CF-F-155 cash → MK-NW-F-035 blendedVolatility → MK-PL-F-077 clamp → MK-PL-F-008 rmdSchedule
2. MK-NW-F-011 assetClassOf → MK-NW-F-030 earmarkDefault → MK-NW-F-032 earmarkedAmount → MK-NW-F-035 blendedVolatility → MK-PL-F-077 clamp → MK-PL-F-008 rmdSchedule
3. MK-CF-F-132 map → MK-NW-F-134 carValueNotEnteredNotes → MK-NW-F-031 primaryCarIdOf → MK-NW-F-035 blendedVolatility → MK-PL-F-077 clamp → MK-PL-F-008 rmdSchedule
4. MK-ST-F-053 money → MK-NW-F-134 carValueNotEnteredNotes → MK-NW-F-031 primaryCarIdOf → MK-NW-F-035 blendedVolatility → MK-PL-F-077 clamp → MK-PL-F-008 rmdSchedule
5. primaryCarIdOf (already above — a loop) → MK-NW-F-134 carValueNotEnteredNotes → MK-NW-F-031 primaryCarIdOf → MK-NW-F-035 blendedVolatility → MK-PL-F-077 clamp → MK-PL-F-008 rmdSchedule
6. MK-NW-F-033 retirementEarmarkedValue → MK-NW-F-134 carValueNotEnteredNotes → MK-NW-F-031 primaryCarIdOf → MK-NW-F-035 blendedVolatility → MK-PL-F-077 clamp → MK-PL-F-008 rmdSchedule
7. MK-NW-F-133 valueEntered → MK-NW-F-134 carValueNotEnteredNotes → MK-NW-F-031 primaryCarIdOf → MK-NW-F-035 blendedVolatility → MK-PL-F-077 clamp → MK-PL-F-008 rmdSchedule
8. MK-NW-F-133 valueEntered → MK-NW-F-031 primaryCarIdOf → MK-NW-F-035 blendedVolatility → MK-PL-F-077 clamp → MK-PL-F-008 rmdSchedule
9. … and 5 more paths</t>
        </is>
      </c>
      <c r="S405" s="3" t="inlineStr">
        <is>
          <t>—</t>
        </is>
      </c>
      <c r="T405" s="3" t="inlineStr">
        <is>
          <t>—</t>
        </is>
      </c>
      <c r="U405" s="3" t="inlineStr">
        <is>
          <t>ACTIVE</t>
        </is>
      </c>
      <c r="V405" s="3" t="inlineStr">
        <is>
          <t>2026-08-27</t>
        </is>
      </c>
      <c r="W405" s="3" t="n"/>
      <c r="X405" s="3" t="n"/>
      <c r="Y405" s="3" t="inlineStr">
        <is>
          <t>NOTHING OPEN</t>
        </is>
      </c>
    </row>
    <row r="406" ht="60" customHeight="1">
      <c r="A406" s="3" t="inlineStr">
        <is>
          <t>MK-PL-F-009</t>
        </is>
      </c>
      <c r="B406" s="3" t="inlineStr">
        <is>
          <t>rmdTakenThisYear</t>
        </is>
      </c>
      <c r="C406" s="3" t="inlineStr">
        <is>
          <t>src/domain/decumulation/index.ts</t>
        </is>
      </c>
      <c r="D406" s="3" t="n">
        <v>558</v>
      </c>
      <c r="E406" s="3" t="inlineStr">
        <is>
          <t>2 · DISPLAYED</t>
        </is>
      </c>
      <c r="F406" s="3" t="inlineStr">
        <is>
          <t>Withdrawals already taken THIS year from the pre-tax accounts (the one ledger — no side lists).</t>
        </is>
      </c>
      <c r="G406" s="11" t="inlineStr">
        <is>
          <t>ids = a list with no repeats of for each of pre tax account ids: string</t>
        </is>
      </c>
      <c r="H406" s="3" t="inlineStr">
        <is>
          <t>Ids is a list with no repeats of for each of pre tax account ids: string.</t>
        </is>
      </c>
      <c r="I406" s="3" t="inlineStr">
        <is>
          <t>READ FROM THE CODE — rendered from the expressions the function runs</t>
        </is>
      </c>
      <c r="J406" s="3" t="inlineStr">
        <is>
          <t>1. transactions: { type?: string; account_id?: string; amount?: number; date?: string }[]
2. preTaxAccountIds: string[]
3. nowYear = new Date().getFullYear()</t>
        </is>
      </c>
      <c r="K406" s="3" t="inlineStr">
        <is>
          <t>number</t>
        </is>
      </c>
      <c r="L406" s="3" t="inlineStr">
        <is>
          <t>NOT FOUND — a screen calls it, but the words printed beside its answer could not be traced automatically. Needs reading.</t>
        </is>
      </c>
      <c r="M406" s="3" t="inlineStr">
        <is>
          <t>1. If amount is missing it counts as zero, so nothing recorded and a real zero look the same.
2. Uses today's date from the device clock, so the answer changes by itself overnight.</t>
        </is>
      </c>
      <c r="N406" s="3" t="inlineStr">
        <is>
          <t>Yes</t>
        </is>
      </c>
      <c r="O406" s="3" t="inlineStr">
        <is>
          <t>1. MK-ST-F-056 has
2. MK-CF-F-132 map</t>
        </is>
      </c>
      <c r="P406" s="3" t="n">
        <v>2</v>
      </c>
      <c r="Q406" s="3" t="inlineStr">
        <is>
          <t>1. MK-ST-F-056 has
2. MK-CF-F-132 map</t>
        </is>
      </c>
      <c r="R406" s="3" t="inlineStr">
        <is>
          <t>1. MK-ST-F-056 has → MK-PL-F-009 rmdTakenThisYear
2. MK-CF-F-132 map → MK-PL-F-009 rmdTakenThisYear</t>
        </is>
      </c>
      <c r="S406" s="3" t="inlineStr">
        <is>
          <t>—</t>
        </is>
      </c>
      <c r="T406" s="3" t="inlineStr">
        <is>
          <t>—</t>
        </is>
      </c>
      <c r="U406" s="3" t="inlineStr">
        <is>
          <t>ACTIVE</t>
        </is>
      </c>
      <c r="V406" s="3" t="inlineStr">
        <is>
          <t>2026-08-27</t>
        </is>
      </c>
      <c r="W406" s="3" t="n"/>
      <c r="X406" s="3" t="n"/>
      <c r="Y406" s="3" t="inlineStr">
        <is>
          <t>NOTHING OPEN</t>
        </is>
      </c>
    </row>
    <row r="407" ht="60" customHeight="1">
      <c r="A407" s="3" t="inlineStr">
        <is>
          <t>MK-PL-F-010</t>
        </is>
      </c>
      <c r="B407" s="3" t="inlineStr">
        <is>
          <t>drawOrderOutcome</t>
        </is>
      </c>
      <c r="C407" s="3" t="inlineStr">
        <is>
          <t>src/domain/decumulation/index.ts</t>
        </is>
      </c>
      <c r="D407" s="3" t="n">
        <v>607</v>
      </c>
      <c r="E407" s="3" t="inlineStr">
        <is>
          <t>2 · DISPLAYED</t>
        </is>
      </c>
      <c r="F407" s="3" t="inlineStr">
        <is>
          <t>If the draw came from the accounts in this order, how long would the money last and what tax would it cost?</t>
        </is>
      </c>
      <c r="G407"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407"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407" s="3" t="inlineStr">
        <is>
          <t>READ BY HAND 2026-08-26 — checked line by line against the code</t>
        </is>
      </c>
      <c r="J407" s="3" t="inlineStr">
        <is>
          <t>Nothing is handed to it</t>
        </is>
      </c>
      <c r="K407" s="3" t="inlineStr">
        <is>
          <t>NOT DECLARED — the code does not say what it gives back</t>
        </is>
      </c>
      <c r="L407" s="3" t="inlineStr">
        <is>
          <t>NOT FOUND — a screen calls it, but the words printed beside its answer could not be traced automatically. Needs reading.</t>
        </is>
      </c>
      <c r="M407"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407" s="3" t="inlineStr">
        <is>
          <t>Yes</t>
        </is>
      </c>
      <c r="O407" s="3" t="inlineStr">
        <is>
          <t>1. MK-CF-F-155 cash
2. MK-PL-F-007 rmdAtAge
3. MK-PL-F-005 rmdStartAgeFor</t>
        </is>
      </c>
      <c r="P407" s="3" t="n">
        <v>8</v>
      </c>
      <c r="Q407" s="3" t="inlineStr">
        <is>
          <t>1. MK-CF-F-155 cash
2. MK-PL-F-007 rmdAtAge
3. MK-PL-F-005 rmdStartAgeFor
4. MK-XS-F-122 n
5. MK-PL-F-078 rmdDivisorAtAge
6. MK-ST-F-025 rmdStartAgeFromAge
7. MK-ST-F-024 rmdStartAge
8. MK-ST-F-056 has</t>
        </is>
      </c>
      <c r="R407" s="3" t="inlineStr">
        <is>
          <t>1. MK-XS-F-122 n → MK-CF-F-155 cash → MK-PL-F-010 drawOrderOutcome
2. MK-PL-F-078 rmdDivisorAtAge → MK-PL-F-007 rmdAtAge → MK-PL-F-010 drawOrderOutcome
3. MK-ST-F-056 has → MK-ST-F-024 rmdStartAge → MK-ST-F-025 rmdStartAgeFromAge → MK-PL-F-005 rmdStartAgeFor → MK-PL-F-010 drawOrderOutcome</t>
        </is>
      </c>
      <c r="S407" s="3" t="inlineStr">
        <is>
          <t>—</t>
        </is>
      </c>
      <c r="T407" s="3" t="inlineStr">
        <is>
          <t>—</t>
        </is>
      </c>
      <c r="U407" s="3" t="inlineStr">
        <is>
          <t>ACTIVE</t>
        </is>
      </c>
      <c r="V407" s="3" t="inlineStr">
        <is>
          <t>2026-09-12</t>
        </is>
      </c>
      <c r="W407" s="3" t="n"/>
      <c r="X407" s="3" t="n"/>
      <c r="Y407" s="6" t="inlineStr">
        <is>
          <t>TESTED, NOT VERIFIED (G6)</t>
        </is>
      </c>
    </row>
    <row r="408" ht="60" customHeight="1">
      <c r="A408" s="3" t="inlineStr">
        <is>
          <t>MK-PL-F-011</t>
        </is>
      </c>
      <c r="B408" s="3" t="inlineStr">
        <is>
          <t>buildGoalsState</t>
        </is>
      </c>
      <c r="C408" s="3" t="inlineStr">
        <is>
          <t>src/domain/goals/index.ts</t>
        </is>
      </c>
      <c r="D408" s="3" t="n">
        <v>45</v>
      </c>
      <c r="E408" s="3" t="inlineStr">
        <is>
          <t>3 · DEPENDENT</t>
        </is>
      </c>
      <c r="F408" s="3" t="inlineStr">
        <is>
          <t>Months to reach each goal at the given monthly savings capacity.</t>
        </is>
      </c>
      <c r="G408" s="11" t="inlineStr">
        <is>
          <t>user id = uid
goals = progress
monthly capacity = monthly capacity</t>
        </is>
      </c>
      <c r="H408" s="3" t="inlineStr">
        <is>
          <t>user id = uid; goals = progress; monthly capacity = monthly capacity.</t>
        </is>
      </c>
      <c r="I408" s="3" t="inlineStr">
        <is>
          <t>READ FROM THE CODE — rendered from the expressions the function runs</t>
        </is>
      </c>
      <c r="J408" s="3" t="inlineStr">
        <is>
          <t>1. uid: UserId
2. goals: Goal[]
3. monthlyCapacity: number</t>
        </is>
      </c>
      <c r="K408" s="3" t="inlineStr">
        <is>
          <t>GoalsState</t>
        </is>
      </c>
      <c r="L408" s="3" t="inlineStr">
        <is>
          <t>—</t>
        </is>
      </c>
      <c r="M408" s="3" t="inlineStr">
        <is>
          <t>None found in this function — anything it assumes comes from the functions it depends on.</t>
        </is>
      </c>
      <c r="N408" s="3" t="inlineStr">
        <is>
          <t>Yes</t>
        </is>
      </c>
      <c r="O408" s="3" t="inlineStr">
        <is>
          <t>1. MK-CF-F-132 map
2. MK-XS-F-175 uid
3. MK-PL-F-012 waterfall</t>
        </is>
      </c>
      <c r="P408" s="3" t="n">
        <v>206</v>
      </c>
      <c r="Q408" s="3" t="inlineStr">
        <is>
          <t>1. MK-CF-F-132 map
2. MK-XS-F-175 uid
3. MK-PL-F-012 waterfall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MK-CF-F-218 moveOldRentFigure
21. MK-XS-F-122 n
22. MK-ST-F-043 newEntityId
23. MK-XS-F-006 pruneDaily
24. MK-ST-F-073 rebuildDays
25. MK-NW-F-054 reclassifyAccounts
26. MK-XS-F-174 recomputeBalances
27. MK-CF-F-115 restoreUndo
28. MK-CF-F-109 reviewTransactions
29. MK-ST-F-044 setMoneyFormat
30. MK-NW-O-004 theEmergencyFund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MK-CF-F-217 hasOldRentFigure
46. MK-CF-F-216 typed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MK-CF-F-155 cash
70. MK-NW-F-016 cashTotal
71. MK-CF-F-010 emergencyTest
72. MK-CF-F-190 essentialsMonthly
73. MK-CF-O-004 incomeSummary
74. MK-CF-F-009 monthlyEssentials
75. MK-CF-F-022 paymentShape
76. MK-CF-F-002 plannedMonthlySpend
77. MK-NW-F-117 propertyUseMap
78. MK-ST-F-085 rentFigure
79. MK-CF-O-020 theBudgetCounted
80. MK-CF-F-113 affectedAccountIds
81. MK-CF-F-134 usesSleeve
82. MK-ST-F-049 formatMoney
83. MK-CF-F-101 taxOwedFor
84. MK-ST-F-067 utcOfDay
85. MK-ST-F-035 covers
86. MK-NW-F-120 classEvidenceOf
87. MK-NW-F-008 incomeBearingClassOf
88. MK-PF-F-031 contractMultiplier
89. MK-PF-F-035 unknownFigure
90. MK-CF-F-072 currentRetirementIncomeMonthly
91. MK-NW-F-027 accountClassBreakdown
92. MK-NW-F-029 assetAllocation
93. MK-NW-F-011 assetClassOf
94. MK-CF-F-189 essentialsFromLoggedSpending
95. MK-CF-O-002 expenses
96. MK-CF-F-203 MONTH
97. MK-CF-O-001 basePay
98. MK-CF-F-069 benefitActiveMonths
99. MK-CF-F-173 earnerWages
100. MK-CF-F-179 entryFromWage
101. MK-CF-F-071 extraIncome
102. MK-CF-F-092 incomeMonthlyGrid
103. MK-CF-F-192 inflowLabel
104. MK-CF-F-103 marginalBracketFor
105. MK-CF-F-181 rateInForce
106. MK-CF-F-068 rentalNetAnnual
107. MK-CF-F-082 salaryAnnual
108. MK-CF-F-060 salaryGrossByMonth
109. MK-CF-F-084 taxableAnnual
110. MK-CF-F-120 pctBaseMonthly
111. MK-CF-F-004 spendBuckets
112. MK-CF-F-021 defaultPaymentType
113. MK-XS-F-027 takeHomeMonthly
114. MK-NW-F-116 rentedIdsOf
115. MK-NW-F-106 mortgagesByProperty
116. MK-NW-F-107 propertyUses
117. MK-ST-F-048 currencySymbol
118. MK-CF-F-100 taxableIncomeFor
119. MK-ST-F-034 firstDate
120. MK-NW-F-009 maturityClass
121. MK-ST-F-010 nameEvidence
122. MK-CF-F-075 retirementIncomeMonthly
123. MK-NW-F-109 holdingClassOf
124. MK-NW-F-067 plural
125. MK-CF-F-151 actualSpending
126. MK-CF-F-150 debtPaymentsCountedAsExpenses
127. MK-CF-F-153 radar
128. MK-CF-F-149 recurringDebtPayments
129. MK-CF-O-010 theMonth
130. MK-CF-F-171 earnerPay
131. MK-CF-F-204 line
132. MK-HM-F-006 money0
133. MK-CF-F-198 payrollTaxWithheld
134. MK-CF-F-172 hasWage
135. MK-CF-F-165 salaryMonths
136. MK-CF-F-070 benefitAnnual
137. MK-CF-F-065 equityVestWeights
138. MK-CF-F-206 householdK401ByMonth
139. MK-CF-F-087 monthlyTaxRates
140. MK-CF-F-073 otherIncomeMonth
141. MK-CF-F-066 rsuAnnual
142. MK-CF-F-077 scholarshipByCalendarMonth
143. MK-CF-F-088 taxableByCalendarMonth
144. MK-CF-F-177 wageGrossByMonth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408"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408" s="3" t="inlineStr">
        <is>
          <t>—</t>
        </is>
      </c>
      <c r="T408" s="3" t="inlineStr">
        <is>
          <t>—</t>
        </is>
      </c>
      <c r="U408" s="3" t="inlineStr">
        <is>
          <t>ACTIVE</t>
        </is>
      </c>
      <c r="V408" s="3" t="inlineStr">
        <is>
          <t>2026-09-09</t>
        </is>
      </c>
      <c r="W408" s="3" t="n"/>
      <c r="X408" s="3" t="n"/>
      <c r="Y408" s="3" t="inlineStr">
        <is>
          <t>NOTHING OPEN</t>
        </is>
      </c>
    </row>
    <row r="409" ht="60" customHeight="1">
      <c r="A409" s="3" t="inlineStr">
        <is>
          <t>MK-PL-F-012</t>
        </is>
      </c>
      <c r="B409" s="3" t="inlineStr">
        <is>
          <t>waterfall</t>
        </is>
      </c>
      <c r="C409" s="3" t="inlineStr">
        <is>
          <t>src/domain/goals/index.ts</t>
        </is>
      </c>
      <c r="D409" s="3" t="n">
        <v>94</v>
      </c>
      <c r="E409" s="3" t="inlineStr">
        <is>
          <t>3 · DEPENDENT</t>
        </is>
      </c>
      <c r="F409" s="3" t="inlineStr">
        <is>
          <t>NOT DETERMINED — the code carries no note saying what this is for, and it has no row in the old inventory. Needs reading.</t>
        </is>
      </c>
      <c r="G409" s="11" t="inlineStr">
        <is>
          <t>left = max(0, surplus)
steps = []
a = min(left, max(0, need)); left -= a; steps.push({ name, allocated: (a) })
the answer = steps</t>
        </is>
      </c>
      <c r="H409" s="3" t="inlineStr">
        <is>
          <t>Left is surplus, never below zero. Steps is []. A: the smaller of left and need, never below zero; left -= a; steps.push({ name, allocated: (a) }). The answer is steps.</t>
        </is>
      </c>
      <c r="I409" s="3" t="inlineStr">
        <is>
          <t>PARTLY READ — some of the code is still showing through; needs a hand pass</t>
        </is>
      </c>
      <c r="J409" s="3" t="inlineStr">
        <is>
          <t>Nothing is handed to it</t>
        </is>
      </c>
      <c r="K409" s="3" t="inlineStr">
        <is>
          <t>NOT DECLARED — the code does not say what it gives back</t>
        </is>
      </c>
      <c r="L409" s="3" t="inlineStr">
        <is>
          <t>—</t>
        </is>
      </c>
      <c r="M409" s="3" t="inlineStr">
        <is>
          <t>1. If emergency gap is missing it uses 0.
2. If toxic debt is missing it uses 0.
3. If employer match monthly is missing it uses 0.
4. Never lets surplus fall below 0.
5. Never lets need fall below 0.</t>
        </is>
      </c>
      <c r="N409" s="3" t="inlineStr">
        <is>
          <t>Yes</t>
        </is>
      </c>
      <c r="O409" s="3" t="inlineStr">
        <is>
          <t>—</t>
        </is>
      </c>
      <c r="P409" s="3" t="n">
        <v>0</v>
      </c>
      <c r="Q409" s="3" t="inlineStr">
        <is>
          <t>None — no dependent function stands behind it</t>
        </is>
      </c>
      <c r="R409" s="3" t="inlineStr">
        <is>
          <t>No dependent function — it reads its inputs and answers</t>
        </is>
      </c>
      <c r="S409" s="3" t="inlineStr">
        <is>
          <t>—</t>
        </is>
      </c>
      <c r="T409" s="3" t="inlineStr">
        <is>
          <t>—</t>
        </is>
      </c>
      <c r="U409" s="3" t="inlineStr">
        <is>
          <t>ACTIVE</t>
        </is>
      </c>
      <c r="V409" s="3" t="inlineStr">
        <is>
          <t>2026-09-09</t>
        </is>
      </c>
      <c r="W409" s="3" t="n"/>
      <c r="X409" s="3" t="n"/>
      <c r="Y409" s="3" t="inlineStr">
        <is>
          <t>NOTHING OPEN</t>
        </is>
      </c>
    </row>
    <row r="410" ht="60" customHeight="1">
      <c r="A410" s="3" t="inlineStr">
        <is>
          <t>MK-PL-F-013</t>
        </is>
      </c>
      <c r="B410" s="3" t="inlineStr">
        <is>
          <t>goalsFromOnboarding</t>
        </is>
      </c>
      <c r="C410" s="3" t="inlineStr">
        <is>
          <t>src/domain/goals/index.ts</t>
        </is>
      </c>
      <c r="D410" s="3" t="n">
        <v>143</v>
      </c>
      <c r="E410" s="3" t="inlineStr">
        <is>
          <t>3 · DEPENDENT</t>
        </is>
      </c>
      <c r="F410" s="3" t="inlineStr">
        <is>
          <t>NOT DETERMINED — the code carries no note saying what this is for, and it has no row in the old inventory. Needs reading.</t>
        </is>
      </c>
      <c r="G410" s="11" t="inlineStr">
        <is>
          <t>a = op (or none when missing)
raw = goals   if array.is array(goals)
[]   otherwise
the answer:
user id = uid
goals = goals</t>
        </is>
      </c>
      <c r="H410" s="3" t="inlineStr">
        <is>
          <t>A is op (or none — when missing). Raw is goals — when array.is array(goals); [] — otherwise. The answer is user id = uid; goals = goals.</t>
        </is>
      </c>
      <c r="I410" s="3" t="inlineStr">
        <is>
          <t>PARTLY READ — some of the code is still showing through; needs a hand pass</t>
        </is>
      </c>
      <c r="J410" s="3" t="inlineStr">
        <is>
          <t>1. uid: UserId
2. op: Record&lt;string, any&gt; | null</t>
        </is>
      </c>
      <c r="K410" s="3" t="inlineStr">
        <is>
          <t>GoalsDoc</t>
        </is>
      </c>
      <c r="L410" s="3" t="inlineStr">
        <is>
          <t>—</t>
        </is>
      </c>
      <c r="M410" s="3" t="inlineStr">
        <is>
          <t>None found in this function — anything it assumes comes from the functions it depends on.</t>
        </is>
      </c>
      <c r="N410" s="3" t="inlineStr">
        <is>
          <t>Yes</t>
        </is>
      </c>
      <c r="O410" s="3" t="inlineStr">
        <is>
          <t>1. MK-CF-F-132 map
2. MK-ST-F-043 newEntityId
3. MK-ST-F-052 toNum
4. MK-XS-F-175 uid</t>
        </is>
      </c>
      <c r="P410" s="3" t="n">
        <v>205</v>
      </c>
      <c r="Q410"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MK-ST-F-056 has
18. MK-CF-F-116 inverseOf
19. MK-ST-F-065 isoLocalDate
20. MK-CF-F-112 makeTransaction
21. MK-CF-F-218 moveOldRentFigure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MK-ST-F-053 money
38. MK-CF-F-085 filingStatusOf
39. MK-CF-F-097 grossFromNet
40. MK-CF-F-185 needsTakeHomeConversion
41. MK-CF-F-089 over65CountOf
42. MK-CF-F-037 inferDebtType
43. MK-CF-F-217 hasOldRentFigure
44. MK-CF-F-216 typed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MK-CF-F-155 cash
68. MK-NW-F-016 cashTotal
69. MK-CF-F-010 emergencyTest
70. MK-CF-F-190 essentialsMonthly
71. MK-CF-O-004 incomeSummary
72. MK-CF-F-009 monthlyEssentials
73. MK-CF-F-022 paymentShape
74. MK-CF-F-002 plannedMonthlySpend
75. MK-NW-F-117 propertyUseMap
76. MK-ST-F-085 rentFigure
77. MK-CF-O-020 theBudgetCounted
78. MK-CF-F-113 affectedAccountIds
79. MK-CF-F-134 usesSleeve
80. MK-ST-F-049 formatMoney
81. MK-CF-F-101 taxOwedFor
82. MK-ST-F-067 utcOfDay
83. MK-ST-F-035 covers
84. MK-NW-F-120 classEvidenceOf
85. MK-NW-F-008 incomeBearingClassOf
86. MK-PF-F-031 contractMultiplier
87. MK-PF-F-035 unknownFigure
88. MK-CF-F-072 currentRetirementIncomeMonthly
89. MK-NW-F-027 accountClassBreakdown
90. MK-NW-F-029 assetAllocation
91. MK-NW-F-011 assetClassOf
92. MK-CF-F-189 essentialsFromLoggedSpending
93. MK-CF-O-002 expenses
94. MK-CF-F-203 MONTH
95. MK-CF-O-001 basePay
96. MK-CF-F-069 benefitActiveMonths
97. MK-CF-F-173 earnerWages
98. MK-CF-F-179 entryFromWage
99. MK-CF-F-071 extraIncome
100. MK-CF-F-092 incomeMonthlyGrid
101. MK-CF-F-192 inflowLabel
102. MK-CF-F-103 marginalBracketFor
103. MK-CF-F-181 rateInForce
104. MK-CF-F-068 rentalNetAnnual
105. MK-CF-F-082 salaryAnnual
106. MK-CF-F-060 salaryGrossByMonth
107. MK-CF-F-084 taxableAnnual
108. MK-CF-F-120 pctBaseMonthly
109. MK-CF-F-004 spendBuckets
110. MK-CF-F-021 defaultPaymentType
111. MK-XS-F-027 takeHomeMonthly
112. MK-NW-F-116 rentedIdsOf
113. MK-NW-F-106 mortgagesByProperty
114. MK-NW-F-107 propertyUses
115. MK-ST-F-048 currencySymbol
116. MK-CF-F-100 taxableIncomeFor
117. MK-ST-F-034 firstDate
118. MK-NW-F-009 maturityClass
119. MK-ST-F-010 nameEvidence
120. MK-CF-F-075 retirementIncomeMonthly
121. MK-NW-F-109 holdingClassOf
122. MK-NW-F-067 plural
123. MK-CF-F-151 actualSpending
124. MK-CF-F-150 debtPaymentsCountedAsExpenses
125. MK-CF-F-153 radar
126. MK-CF-F-149 recurringDebtPayments
127. MK-CF-O-010 theMonth
128. MK-CF-F-171 earnerPay
129. MK-CF-F-204 line
130. MK-HM-F-006 money0
131. MK-CF-F-198 payrollTaxWithheld
132. MK-CF-F-172 hasWage
133. MK-CF-F-165 salaryMonths
134. MK-CF-F-070 benefitAnnual
135. MK-CF-F-065 equityVestWeights
136. MK-CF-F-206 householdK401ByMonth
137. MK-CF-F-087 monthlyTaxRates
138. MK-CF-F-073 otherIncomeMonth
139. MK-CF-F-066 rsuAnnual
140. MK-CF-F-077 scholarshipByCalendarMonth
141. MK-CF-F-088 taxableByCalendarMonth
142. MK-CF-F-177 wageGrossByMonth
143. MK-PL-F-012 waterfall
144. MK-CF-F-193 inflowSourceWord
145. MK-CF-F-180 enteredLandsAnnual
146. MK-CF-F-086 stateRateOf
147. MK-CF-F-067 rentalList
148. MK-CF-F-176 sumMonthsOverEarners
149. MK-CF-F-074 tipsAnnual
150. MK-CF-F-003 categoryMonthly
151. MK-CF-F-011 savingsByMonth
152. MK-NW-F-115 liveRent
153. MK-CF-F-023 requiredPayment
154. MK-ST-F-047 activeCurrency
155. MK-CF-F-099 deductionFor
156. MK-NW-F-124 maturityParts
157. MK-XS-F-147 call
158. MK-CF-F-148 inMonth
159. MK-CF-F-152 isRadarItem
160. MK-CF-O-003 thisMonth
161. MK-CF-F-143 annualisedGross
162. MK-CF-F-145 deductionsFromPay
163. MK-CF-F-128 grossByMonth
164. MK-CF-F-146 payFiguresAgree
165. MK-CF-F-144 takeHomeAsEntered
166. MK-XS-F-180 declareFigures
167. MK-HM-F-005 pctTxt
168. MK-CF-F-062 equityRowValue
169. MK-CF-F-090 effectiveRate
170. MK-CF-F-063 rowVestYear
171. MK-CF-F-130 enteredMonthlyRaw
172. MK-CF-F-166 hasMonthlySalaryTable
173. MK-ST-F-036 reconcile
174. MK-CF-F-167 salaryCalendarYear
175. MK-CF-F-081 salaryActiveMonths
176. MK-CF-F-008 spendByMonth
177. MK-NW-F-114 rentAmount
178. MK-CF-F-187 seniorDeductionFor
179. MK-XS-F-064 currentIdToken
180. MK-XS-F-112 relayUrl
181. MK-CF-F-005 actualMonthFlow
182. MK-CF-F-156 plannedMonthFlow
183. MK-CF-F-142 monthsOf
184. MK-CF-F-141 perMonth
185. MK-NW-F-078 ONE
186. MK-CF-F-157 debtPaymentsByDebt
187. MK-CF-F-140 periodsAYear
188. MK-NW-F-077 ALL
189. MK-NW-F-059 currentYield
190. MK-NW-O-001 theBonds
191. MK-NW-F-112 yearlyInterest
192. MK-NW-F-057 annualCoupon
193. MK-NW-F-056 bondInfo
194. MK-NW-F-064 bondRateSensitivity
195. MK-NW-F-061 bondSummary
196. MK-NW-F-055 isBond
197. MK-NW-F-072 rowOf
198. MK-NW-F-060 approxYTM
199. MK-NW-F-069 priceAtYield
200. MK-NW-F-131 pricedLikeBond
201. MK-NW-F-125 isPastMaturity
202. MK-NW-F-126 yearlyInterestNow
203. MK-NW-F-070 accruedInterestCaveat
204. MK-NW-F-058 yearsToMaturity
205. MK-NW-F-119 estimatedAccrued</t>
        </is>
      </c>
      <c r="R410"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410" s="3" t="inlineStr">
        <is>
          <t>—</t>
        </is>
      </c>
      <c r="T410" s="3" t="inlineStr">
        <is>
          <t>—</t>
        </is>
      </c>
      <c r="U410" s="3" t="inlineStr">
        <is>
          <t>ACTIVE</t>
        </is>
      </c>
      <c r="V410" s="3" t="inlineStr">
        <is>
          <t>2026-08-27</t>
        </is>
      </c>
      <c r="W410" s="3" t="n"/>
      <c r="X410" s="3" t="n"/>
      <c r="Y410" s="3" t="inlineStr">
        <is>
          <t>NOTHING OPEN</t>
        </is>
      </c>
    </row>
    <row r="411" ht="60" customHeight="1">
      <c r="A411" s="3" t="inlineStr">
        <is>
          <t>MK-PL-F-014</t>
        </is>
      </c>
      <c r="B411" s="3" t="inlineStr">
        <is>
          <t>loadGoals</t>
        </is>
      </c>
      <c r="C411" s="3" t="inlineStr">
        <is>
          <t>src/domain/goals/index.ts</t>
        </is>
      </c>
      <c r="D411" s="3" t="n">
        <v>171</v>
      </c>
      <c r="E411" s="3" t="inlineStr">
        <is>
          <t>3 · DEPENDENT (feeds an action only)</t>
        </is>
      </c>
      <c r="F411" s="3" t="inlineStr">
        <is>
          <t>NOT DETERMINED — the code carries no note saying what this is for, and it has no row in the old inventory. Needs reading.</t>
        </is>
      </c>
      <c r="G411" s="11" t="inlineStr">
        <is>
          <t>It reaches outside the app for data and hands back what came back — no arithmetic of its own.</t>
        </is>
      </c>
      <c r="H411" s="3" t="inlineStr">
        <is>
          <t>It reaches outside the app for data and hands back what came back — no arithmetic of its own.</t>
        </is>
      </c>
      <c r="I411" s="3" t="inlineStr">
        <is>
          <t>NO ARITHMETIC — there is no formula to state</t>
        </is>
      </c>
      <c r="J411" s="3" t="inlineStr">
        <is>
          <t>uid: UserId</t>
        </is>
      </c>
      <c r="K411" s="3" t="inlineStr">
        <is>
          <t>NOT DECLARED — the code does not say what it gives back</t>
        </is>
      </c>
      <c r="L411" s="3" t="inlineStr">
        <is>
          <t>—</t>
        </is>
      </c>
      <c r="M411" s="3" t="inlineStr">
        <is>
          <t>None found in this function — anything it assumes comes from the functions it depends on.</t>
        </is>
      </c>
      <c r="N411" s="3" t="inlineStr">
        <is>
          <t>No</t>
        </is>
      </c>
      <c r="O411" s="3" t="inlineStr">
        <is>
          <t>MK-XS-F-175 uid</t>
        </is>
      </c>
      <c r="P411" s="3" t="n">
        <v>206</v>
      </c>
      <c r="Q41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411"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411" s="3" t="inlineStr">
        <is>
          <t>—</t>
        </is>
      </c>
      <c r="T411" s="3" t="inlineStr">
        <is>
          <t>—</t>
        </is>
      </c>
      <c r="U411" s="3" t="inlineStr">
        <is>
          <t>ACTIVE</t>
        </is>
      </c>
      <c r="V411" s="3" t="inlineStr">
        <is>
          <t>2026-08-27</t>
        </is>
      </c>
      <c r="W411" s="3" t="n"/>
      <c r="X411" s="3" t="n"/>
      <c r="Y411" s="3" t="inlineStr">
        <is>
          <t>NOTHING OPEN</t>
        </is>
      </c>
    </row>
    <row r="412" ht="60" customHeight="1">
      <c r="A412" s="3" t="inlineStr">
        <is>
          <t>MK-PL-F-015</t>
        </is>
      </c>
      <c r="B412" s="3" t="inlineStr">
        <is>
          <t>saveGoals</t>
        </is>
      </c>
      <c r="C412" s="3" t="inlineStr">
        <is>
          <t>src/domain/goals/index.ts</t>
        </is>
      </c>
      <c r="D412" s="3" t="n">
        <v>187</v>
      </c>
      <c r="E412" s="3" t="inlineStr">
        <is>
          <t>1 · ACTION</t>
        </is>
      </c>
      <c r="F412" s="3" t="inlineStr">
        <is>
          <t>NOT DETERMINED — the code carries no note saying what this is for, and it has no row in the old inventory. Needs reading.</t>
        </is>
      </c>
      <c r="G412" s="11" t="inlineStr">
        <is>
          <t>It records or announces something and returns no figure — no arithmetic of its own.</t>
        </is>
      </c>
      <c r="H412" s="3" t="inlineStr">
        <is>
          <t>It records or announces something and returns no figure — no arithmetic of its own.</t>
        </is>
      </c>
      <c r="I412" s="3" t="inlineStr">
        <is>
          <t>NO ARITHMETIC — there is no formula to state</t>
        </is>
      </c>
      <c r="J412" s="3" t="inlineStr">
        <is>
          <t>d: GoalsDoc</t>
        </is>
      </c>
      <c r="K412" s="3" t="inlineStr">
        <is>
          <t>NOT DECLARED — the code does not say what it gives back</t>
        </is>
      </c>
      <c r="L412" s="3" t="inlineStr">
        <is>
          <t>—</t>
        </is>
      </c>
      <c r="M412" s="3" t="inlineStr">
        <is>
          <t>None found in this function — anything it assumes comes from the functions it depends on.</t>
        </is>
      </c>
      <c r="N412" s="3" t="inlineStr">
        <is>
          <t>No</t>
        </is>
      </c>
      <c r="O412" s="3" t="inlineStr">
        <is>
          <t>MK-ST-F-042 setUserDoc</t>
        </is>
      </c>
      <c r="P412" s="3" t="n">
        <v>207</v>
      </c>
      <c r="Q412"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MK-CF-F-218 moveOldRentFigure
21. MK-XS-F-122 n
22. MK-ST-F-043 newEntityId
23. MK-XS-F-006 pruneDaily
24. MK-ST-F-073 rebuildDays
25. MK-NW-F-054 reclassifyAccounts
26. MK-XS-F-174 recomputeBalances
27. MK-CF-F-115 restoreUndo
28. MK-CF-F-109 reviewTransactions
29. MK-ST-F-044 setMoneyFormat
30. MK-NW-O-004 theEmergencyFund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MK-CF-F-217 hasOldRentFigure
46. MK-CF-F-216 typed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MK-CF-F-155 cash
70. MK-NW-F-016 cashTotal
71. MK-CF-F-010 emergencyTest
72. MK-CF-F-190 essentialsMonthly
73. MK-CF-O-004 incomeSummary
74. MK-CF-F-009 monthlyEssentials
75. MK-CF-F-022 paymentShape
76. MK-CF-F-002 plannedMonthlySpend
77. MK-NW-F-117 propertyUseMap
78. MK-ST-F-085 rentFigure
79. MK-CF-O-020 theBudgetCounted
80. MK-CF-F-113 affectedAccountIds
81. MK-CF-F-134 usesSleeve
82. MK-ST-F-049 formatMoney
83. MK-CF-F-101 taxOwedFor
84. MK-ST-F-067 utcOfDay
85. MK-ST-F-035 covers
86. MK-NW-F-120 classEvidenceOf
87. MK-NW-F-008 incomeBearingClassOf
88. MK-PF-F-031 contractMultiplier
89. MK-PF-F-035 unknownFigure
90. MK-CF-F-072 currentRetirementIncomeMonthly
91. MK-NW-F-027 accountClassBreakdown
92. MK-NW-F-029 assetAllocation
93. MK-NW-F-011 assetClassOf
94. MK-CF-F-189 essentialsFromLoggedSpending
95. MK-CF-O-002 expenses
96. MK-CF-F-203 MONTH
97. MK-CF-O-001 basePay
98. MK-CF-F-069 benefitActiveMonths
99. MK-CF-F-173 earnerWages
100. MK-CF-F-179 entryFromWage
101. MK-CF-F-071 extraIncome
102. MK-CF-F-092 incomeMonthlyGrid
103. MK-CF-F-192 inflowLabel
104. MK-CF-F-103 marginalBracketFor
105. MK-CF-F-181 rateInForce
106. MK-CF-F-068 rentalNetAnnual
107. MK-CF-F-082 salaryAnnual
108. MK-CF-F-060 salaryGrossByMonth
109. MK-CF-F-084 taxableAnnual
110. MK-CF-F-120 pctBaseMonthly
111. MK-CF-F-004 spendBuckets
112. MK-CF-F-021 defaultPaymentType
113. MK-XS-F-027 takeHomeMonthly
114. MK-NW-F-116 rentedIdsOf
115. MK-NW-F-106 mortgagesByProperty
116. MK-NW-F-107 propertyUses
117. MK-ST-F-048 currencySymbol
118. MK-CF-F-100 taxableIncomeFor
119. MK-ST-F-034 firstDate
120. MK-NW-F-009 maturityClass
121. MK-ST-F-010 nameEvidence
122. MK-CF-F-075 retirementIncomeMonthly
123. MK-NW-F-109 holdingClassOf
124. MK-NW-F-067 plural
125. MK-CF-F-151 actualSpending
126. MK-CF-F-150 debtPaymentsCountedAsExpenses
127. MK-CF-F-153 radar
128. MK-CF-F-149 recurringDebtPayments
129. MK-CF-O-010 theMonth
130. MK-CF-F-171 earnerPay
131. MK-CF-F-204 line
132. MK-HM-F-006 money0
133. MK-CF-F-198 payrollTaxWithheld
134. MK-CF-F-172 hasWage
135. MK-CF-F-165 salaryMonths
136. MK-CF-F-070 benefitAnnual
137. MK-CF-F-065 equityVestWeights
138. MK-CF-F-206 householdK401ByMonth
139. MK-CF-F-087 monthlyTaxRates
140. MK-CF-F-073 otherIncomeMonth
141. MK-CF-F-066 rsuAnnual
142. MK-CF-F-077 scholarshipByCalendarMonth
143. MK-CF-F-088 taxableByCalendarMonth
144. MK-CF-F-177 wageGrossByMonth
145. MK-PL-F-012 waterfall
146. MK-CF-F-193 inflowSourceWord
147. MK-CF-F-180 enteredLandsAnnual
148. MK-CF-F-086 stateRateOf
149. MK-CF-F-067 rentalList
150. MK-CF-F-176 sumMonthsOverEarners
151. MK-CF-F-074 tipsAnnual
152. MK-CF-F-003 categoryMonthly
153. MK-CF-F-011 savingsByMonth
154. MK-NW-F-115 liveRent
155. MK-CF-F-023 requiredPayment
156. MK-ST-F-047 activeCurrency
157. MK-CF-F-099 deductionFor
158. MK-NW-F-124 maturityParts
159. MK-XS-F-147 call
160. MK-CF-F-148 inMonth
161. MK-CF-F-152 isRadarItem
162. MK-CF-O-003 thisMonth
163. MK-CF-F-143 annualisedGross
164. MK-CF-F-145 deductionsFromPay
165. MK-CF-F-128 grossByMonth
166. MK-CF-F-146 payFiguresAgree
167. MK-CF-F-144 takeHomeAsEntered
168. MK-XS-F-180 declareFigures
169. MK-HM-F-005 pctTxt
170. MK-CF-F-062 equityRowValue
171. MK-CF-F-090 effectiveRate
172. MK-CF-F-063 rowVestYear
173. MK-CF-F-130 enteredMonthlyRaw
174. MK-CF-F-166 hasMonthlySalaryTable
175. MK-ST-F-036 reconcile
176. MK-CF-F-167 salaryCalendarYear
177. MK-CF-F-081 salaryActiveMonths
178. MK-CF-F-008 spendByMonth
179. MK-NW-F-114 rentAmount
180. MK-CF-F-187 seniorDeductionFor
181. MK-XS-F-064 currentIdToken
182. MK-XS-F-112 relayUrl
183. MK-CF-F-005 actualMonthFlow
184. MK-CF-F-156 plannedMonthFlow
185. MK-CF-F-142 monthsOf
186. MK-CF-F-141 perMonth
187. MK-NW-F-078 ONE
188. MK-CF-F-157 debtPaymentsByDebt
189. MK-CF-F-140 periodsAYear
190. MK-NW-F-077 ALL
191. MK-NW-F-059 currentYield
192. MK-NW-O-001 theBonds
193. MK-NW-F-112 yearlyInterest
194. MK-NW-F-057 annualCoupon
195. MK-NW-F-056 bondInfo
196. MK-NW-F-064 bondRateSensitivity
197. MK-NW-F-061 bondSummary
198. MK-NW-F-055 isBond
199. MK-NW-F-072 rowOf
200. MK-NW-F-060 approxYTM
201. MK-NW-F-069 priceAtYield
202. MK-NW-F-131 pricedLikeBond
203. MK-NW-F-125 isPastMaturity
204. MK-NW-F-126 yearlyInterestNow
205. MK-NW-F-070 accruedInterestCaveat
206. MK-NW-F-058 yearsToMaturity
207. MK-NW-F-119 estimatedAccrued</t>
        </is>
      </c>
      <c r="R412"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412" s="3" t="inlineStr">
        <is>
          <t>—</t>
        </is>
      </c>
      <c r="T412" s="3" t="inlineStr">
        <is>
          <t>—</t>
        </is>
      </c>
      <c r="U412" s="3" t="inlineStr">
        <is>
          <t>ACTIVE</t>
        </is>
      </c>
      <c r="V412" s="3" t="inlineStr">
        <is>
          <t>2026-08-27</t>
        </is>
      </c>
      <c r="W412" s="3" t="n"/>
      <c r="X412" s="3" t="n"/>
      <c r="Y412" s="3" t="inlineStr">
        <is>
          <t>NOTHING OPEN</t>
        </is>
      </c>
    </row>
    <row r="413" ht="60" customHeight="1">
      <c r="A413" s="3" t="inlineStr">
        <is>
          <t>MK-PL-F-016</t>
        </is>
      </c>
      <c r="B413" s="3" t="inlineStr">
        <is>
          <t>availableToSaveSummary</t>
        </is>
      </c>
      <c r="C413" s="3" t="inlineStr">
        <is>
          <t>src/domain/goals/index.ts</t>
        </is>
      </c>
      <c r="D413" s="3" t="n">
        <v>222</v>
      </c>
      <c r="E413" s="3" t="inlineStr">
        <is>
          <t>2 · DISPLAYED</t>
        </is>
      </c>
      <c r="F413" s="3" t="inlineStr">
        <is>
          <t>Summarize per-month available-to-save from a 12-month cash-flow grid.</t>
        </is>
      </c>
      <c r="G413"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413"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413" s="3" t="inlineStr">
        <is>
          <t>READ FROM THE CODE — rendered from the expressions the function runs</t>
        </is>
      </c>
      <c r="J413" s="3" t="inlineStr">
        <is>
          <t>grid: { label: string; amount: number }[]</t>
        </is>
      </c>
      <c r="K413" s="3" t="inlineStr">
        <is>
          <t>SaveCapacity</t>
        </is>
      </c>
      <c r="L413" s="3" t="inlineStr">
        <is>
          <t>"Plan" — on the Goals screen</t>
        </is>
      </c>
      <c r="M413" s="3" t="inlineStr">
        <is>
          <t>· Applies a built-in rate of 25% to avg.</t>
        </is>
      </c>
      <c r="N413" s="3" t="inlineStr">
        <is>
          <t>Yes</t>
        </is>
      </c>
      <c r="O413" s="3" t="inlineStr">
        <is>
          <t>MK-CF-F-132 map</t>
        </is>
      </c>
      <c r="P413" s="3" t="n">
        <v>1</v>
      </c>
      <c r="Q413" s="3" t="inlineStr">
        <is>
          <t>MK-CF-F-132 map</t>
        </is>
      </c>
      <c r="R413" s="3" t="inlineStr">
        <is>
          <t>MK-CF-F-132 map → MK-PL-F-016 availableToSaveSummary</t>
        </is>
      </c>
      <c r="S413" s="3" t="inlineStr">
        <is>
          <t>—</t>
        </is>
      </c>
      <c r="T413" s="3" t="inlineStr">
        <is>
          <t>—</t>
        </is>
      </c>
      <c r="U413" s="3" t="inlineStr">
        <is>
          <t>ACTIVE</t>
        </is>
      </c>
      <c r="V413" s="3" t="inlineStr">
        <is>
          <t>2026-09-09</t>
        </is>
      </c>
      <c r="W413" s="3" t="n"/>
      <c r="X413" s="3" t="n"/>
      <c r="Y413" s="3" t="inlineStr">
        <is>
          <t>NOTHING OPEN</t>
        </is>
      </c>
    </row>
    <row r="414" ht="60" customHeight="1">
      <c r="A414" s="3" t="inlineStr">
        <is>
          <t>MK-PL-F-017</t>
        </is>
      </c>
      <c r="B414" s="3" t="inlineStr">
        <is>
          <t>sinkingFund</t>
        </is>
      </c>
      <c r="C414" s="3" t="inlineStr">
        <is>
          <t>src/domain/goals/index.ts</t>
        </is>
      </c>
      <c r="D414" s="3" t="n">
        <v>256</v>
      </c>
      <c r="E414" s="3" t="inlineStr">
        <is>
          <t>2 · DISPLAYED</t>
        </is>
      </c>
      <c r="F414" s="3" t="inlineStr">
        <is>
          <t>NOT DETERMINED — the code carries no note saying what this is for, and it has no row in the old inventory. Needs reading.</t>
        </is>
      </c>
      <c r="G414" s="11" t="inlineStr">
        <is>
          <t>monthly = max(0, monthly non monthly)
the answer:
annual = monthly × 12
monthly = monthly</t>
        </is>
      </c>
      <c r="H414" s="3" t="inlineStr">
        <is>
          <t>Monthly is monthly non monthly, never below zero. The answer is annual = monthly times 12; monthly = monthly.</t>
        </is>
      </c>
      <c r="I414" s="3" t="inlineStr">
        <is>
          <t>READ FROM THE CODE — rendered from the expressions the function runs</t>
        </is>
      </c>
      <c r="J414" s="3" t="inlineStr">
        <is>
          <t>monthlyNonMonthly: number</t>
        </is>
      </c>
      <c r="K414" s="3" t="inlineStr">
        <is>
          <t>SinkingFund</t>
        </is>
      </c>
      <c r="L414" s="3" t="inlineStr">
        <is>
          <t>NOT FOUND — a screen calls it, but the words printed beside its answer could not be traced automatically. Needs reading.</t>
        </is>
      </c>
      <c r="M414" s="3" t="inlineStr">
        <is>
          <t>1. Turns a monthly figure into a year by multiplying by twelve.
2. Never lets monthly non monthly fall below 0.</t>
        </is>
      </c>
      <c r="N414" s="3" t="inlineStr">
        <is>
          <t>Yes</t>
        </is>
      </c>
      <c r="O414" s="3" t="inlineStr">
        <is>
          <t>—</t>
        </is>
      </c>
      <c r="P414" s="3" t="n">
        <v>0</v>
      </c>
      <c r="Q414" s="3" t="inlineStr">
        <is>
          <t>None — no dependent function stands behind it</t>
        </is>
      </c>
      <c r="R414" s="3" t="inlineStr">
        <is>
          <t>No dependent function — it reads its inputs and answers</t>
        </is>
      </c>
      <c r="S414" s="3" t="inlineStr">
        <is>
          <t>—</t>
        </is>
      </c>
      <c r="T414" s="3" t="inlineStr">
        <is>
          <t>—</t>
        </is>
      </c>
      <c r="U414" s="3" t="inlineStr">
        <is>
          <t>ACTIVE</t>
        </is>
      </c>
      <c r="V414" s="3" t="inlineStr">
        <is>
          <t>2026-09-09</t>
        </is>
      </c>
      <c r="W414" s="3" t="n"/>
      <c r="X414" s="3" t="n"/>
      <c r="Y414" s="3" t="inlineStr">
        <is>
          <t>NOTHING OPEN</t>
        </is>
      </c>
    </row>
    <row r="415" ht="60" customHeight="1">
      <c r="A415" s="3" t="inlineStr">
        <is>
          <t>MK-PL-F-018</t>
        </is>
      </c>
      <c r="B415" s="3" t="inlineStr">
        <is>
          <t>monthsUntil</t>
        </is>
      </c>
      <c r="C415" s="3" t="inlineStr">
        <is>
          <t>src/domain/goals/index.ts</t>
        </is>
      </c>
      <c r="D415" s="3" t="n">
        <v>292</v>
      </c>
      <c r="E415" s="3" t="inlineStr">
        <is>
          <t>2 · DISPLAYED</t>
        </is>
      </c>
      <c r="F415" s="3" t="inlineStr">
        <is>
          <t>Whole months from `now` to the target month ('YYYY-MM'); &gt;=1, or null if no/!invalid date.</t>
        </is>
      </c>
      <c r="G415" s="11" t="inlineStr">
        <is>
          <t>nothing   when target date is missing
nothing   when y is missing (or m is missing when missing or zero)
max(1, (y − now.get full year()) × 12 + (m − 1 − now.get month()))</t>
        </is>
      </c>
      <c r="H415" s="3" t="inlineStr">
        <is>
          <t>When target date is missing, it answers no answer. When y is missing (or m is missing — when missing or zero), it answers no answer. the larger of 1 and (y minus now.get full year() times 12 plus (m minus 1 minus now.get month())).</t>
        </is>
      </c>
      <c r="I415" s="3" t="inlineStr">
        <is>
          <t>PARTLY READ — some of the code is still showing through; needs a hand pass</t>
        </is>
      </c>
      <c r="J415" s="3" t="inlineStr">
        <is>
          <t>1. targetDate: string | undefined
2. now: Date</t>
        </is>
      </c>
      <c r="K415" s="3" t="inlineStr">
        <is>
          <t>number | null</t>
        </is>
      </c>
      <c r="L415" s="3" t="inlineStr">
        <is>
          <t>NOT FOUND — a screen calls it, but the words printed beside its answer could not be traced automatically. Needs reading.</t>
        </is>
      </c>
      <c r="M415" s="3" t="inlineStr">
        <is>
          <t>· Turns a monthly figure into a year by multiplying by twelve.</t>
        </is>
      </c>
      <c r="N415" s="3" t="inlineStr">
        <is>
          <t>Yes</t>
        </is>
      </c>
      <c r="O415" s="3" t="inlineStr">
        <is>
          <t>MK-CF-F-132 map</t>
        </is>
      </c>
      <c r="P415" s="3" t="n">
        <v>1</v>
      </c>
      <c r="Q415" s="3" t="inlineStr">
        <is>
          <t>MK-CF-F-132 map</t>
        </is>
      </c>
      <c r="R415" s="3" t="inlineStr">
        <is>
          <t>MK-CF-F-132 map → MK-PL-F-018 monthsUntil</t>
        </is>
      </c>
      <c r="S415" s="3" t="inlineStr">
        <is>
          <t>—</t>
        </is>
      </c>
      <c r="T415" s="3" t="inlineStr">
        <is>
          <t>—</t>
        </is>
      </c>
      <c r="U415" s="3" t="inlineStr">
        <is>
          <t>ACTIVE</t>
        </is>
      </c>
      <c r="V415" s="3" t="inlineStr">
        <is>
          <t>2026-08-27</t>
        </is>
      </c>
      <c r="W415" s="3" t="n"/>
      <c r="X415" s="3" t="n"/>
      <c r="Y415" s="3" t="inlineStr">
        <is>
          <t>NOTHING OPEN</t>
        </is>
      </c>
    </row>
    <row r="416" ht="60" customHeight="1">
      <c r="A416" s="3" t="inlineStr">
        <is>
          <t>MK-PL-F-019</t>
        </is>
      </c>
      <c r="B416" s="3" t="inlineStr">
        <is>
          <t>goalMonthsRemaining</t>
        </is>
      </c>
      <c r="C416" s="3" t="inlineStr">
        <is>
          <t>src/domain/goals/index.ts</t>
        </is>
      </c>
      <c r="D416" s="3" t="n">
        <v>327</v>
      </c>
      <c r="E416" s="3" t="inlineStr">
        <is>
          <t>3 · DEPENDENT</t>
        </is>
      </c>
      <c r="F416" s="3" t="inlineStr">
        <is>
          <t>Months remaining: from the target date if set, else the goal's `duration` (months).</t>
        </is>
      </c>
      <c r="G416" s="11" t="inlineStr">
        <is>
          <t>from date = months until(target date, now)
from date   when from date ≠ nothing
d = duration read as a number
the answer:
d   if number.is finite(d) and d &gt; 0
nothing   otherwise</t>
        </is>
      </c>
      <c r="H416" s="3" t="inlineStr">
        <is>
          <t>From date is months until(target date, now). When from date is not no answer, it answers from date. D is duration read as a number. The answer is d — when number.is finite(d) and d &gt; 0; no answer — otherwise.</t>
        </is>
      </c>
      <c r="I416" s="3" t="inlineStr">
        <is>
          <t>PARTLY READ — some of the code is still showing through; needs a hand pass</t>
        </is>
      </c>
      <c r="J416" s="3" t="inlineStr">
        <is>
          <t>1. g: GoalLike
2. now: Date = new Date()</t>
        </is>
      </c>
      <c r="K416" s="3" t="inlineStr">
        <is>
          <t>number | null</t>
        </is>
      </c>
      <c r="L416" s="3" t="inlineStr">
        <is>
          <t>—</t>
        </is>
      </c>
      <c r="M416" s="3" t="inlineStr">
        <is>
          <t>· Uses today's date from the device clock, so the answer changes by itself overnight.</t>
        </is>
      </c>
      <c r="N416" s="3" t="inlineStr">
        <is>
          <t>Yes</t>
        </is>
      </c>
      <c r="O416" s="3" t="inlineStr">
        <is>
          <t>MK-PL-F-018 monthsUntil</t>
        </is>
      </c>
      <c r="P416" s="3" t="n">
        <v>2</v>
      </c>
      <c r="Q416" s="3" t="inlineStr">
        <is>
          <t>1. MK-PL-F-018 monthsUntil
2. MK-CF-F-132 map</t>
        </is>
      </c>
      <c r="R416" s="3" t="inlineStr">
        <is>
          <t>MK-CF-F-132 map → MK-PL-F-018 monthsUntil → MK-PL-F-019 goalMonthsRemaining</t>
        </is>
      </c>
      <c r="S416" s="3" t="inlineStr">
        <is>
          <t>—</t>
        </is>
      </c>
      <c r="T416" s="3" t="inlineStr">
        <is>
          <t>—</t>
        </is>
      </c>
      <c r="U416" s="3" t="inlineStr">
        <is>
          <t>ACTIVE</t>
        </is>
      </c>
      <c r="V416" s="3" t="inlineStr">
        <is>
          <t>2026-08-27</t>
        </is>
      </c>
      <c r="W416" s="3" t="n"/>
      <c r="X416" s="3" t="n"/>
      <c r="Y416" s="3" t="inlineStr">
        <is>
          <t>NOTHING OPEN</t>
        </is>
      </c>
    </row>
    <row r="417" ht="60" customHeight="1">
      <c r="A417" s="3" t="inlineStr">
        <is>
          <t>MK-PL-F-020</t>
        </is>
      </c>
      <c r="B417" s="3" t="inlineStr">
        <is>
          <t>requiredMonthly</t>
        </is>
      </c>
      <c r="C417" s="3" t="inlineStr">
        <is>
          <t>src/domain/goals/index.ts</t>
        </is>
      </c>
      <c r="D417" s="3" t="n">
        <v>364</v>
      </c>
      <c r="E417" s="3" t="inlineStr">
        <is>
          <t>2 · DISPLAYED</t>
        </is>
      </c>
      <c r="F417" s="3" t="inlineStr">
        <is>
          <t>$/month still needed to hit the target on time (0 if already funded; null if no date/duration).</t>
        </is>
      </c>
      <c r="G417" s="11" t="inlineStr">
        <is>
          <t>remaining = max(0, (target or 0) − (saved or 0))
0   when remaining = 0
months = goal months remaining(g, now)
the answer:
remaining ÷ months   if months
nothing   otherwise</t>
        </is>
      </c>
      <c r="H417" s="3" t="inlineStr">
        <is>
          <t>Remaining is (target or 0, never below zero minus (saved or 0)). When remaining = 0, it answers 0. Months is goal months remaining(g, now). The answer is remaining divided by months — when months; no answer — otherwise.</t>
        </is>
      </c>
      <c r="I417" s="3" t="inlineStr">
        <is>
          <t>READ FROM THE CODE — rendered from the expressions the function runs</t>
        </is>
      </c>
      <c r="J417" s="3" t="inlineStr">
        <is>
          <t>1. g: GoalLike
2. now: Date = new Date()</t>
        </is>
      </c>
      <c r="K417" s="3" t="inlineStr">
        <is>
          <t>number | null</t>
        </is>
      </c>
      <c r="L417" s="3" t="inlineStr">
        <is>
          <t>NOT FOUND — a screen calls it, but the words printed beside its answer could not be traced automatically. Needs reading.</t>
        </is>
      </c>
      <c r="M417"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417" s="3" t="inlineStr">
        <is>
          <t>Yes</t>
        </is>
      </c>
      <c r="O417" s="3" t="inlineStr">
        <is>
          <t>MK-PL-F-019 goalMonthsRemaining</t>
        </is>
      </c>
      <c r="P417" s="3" t="n">
        <v>3</v>
      </c>
      <c r="Q417" s="3" t="inlineStr">
        <is>
          <t>1. MK-PL-F-019 goalMonthsRemaining
2. MK-PL-F-018 monthsUntil
3. MK-CF-F-132 map</t>
        </is>
      </c>
      <c r="R417" s="3" t="inlineStr">
        <is>
          <t>MK-CF-F-132 map → MK-PL-F-018 monthsUntil → MK-PL-F-019 goalMonthsRemaining → MK-PL-F-020 requiredMonthly</t>
        </is>
      </c>
      <c r="S417" s="3" t="inlineStr">
        <is>
          <t>—</t>
        </is>
      </c>
      <c r="T417" s="3" t="inlineStr">
        <is>
          <t>—</t>
        </is>
      </c>
      <c r="U417" s="3" t="inlineStr">
        <is>
          <t>ACTIVE</t>
        </is>
      </c>
      <c r="V417" s="3" t="inlineStr">
        <is>
          <t>2026-09-09</t>
        </is>
      </c>
      <c r="W417" s="3" t="n"/>
      <c r="X417" s="3" t="n"/>
      <c r="Y417" s="3" t="inlineStr">
        <is>
          <t>NOTHING OPEN</t>
        </is>
      </c>
    </row>
    <row r="418" ht="60" customHeight="1">
      <c r="A418" s="3" t="inlineStr">
        <is>
          <t>MK-PL-F-021</t>
        </is>
      </c>
      <c r="B418" s="3" t="inlineStr">
        <is>
          <t>monthsToGoal</t>
        </is>
      </c>
      <c r="C418" s="3" t="inlineStr">
        <is>
          <t>src/domain/goals/index.ts</t>
        </is>
      </c>
      <c r="D418" s="3" t="n">
        <v>399</v>
      </c>
      <c r="E418" s="3" t="inlineStr">
        <is>
          <t>2 · DISPLAYED</t>
        </is>
      </c>
      <c r="F418" s="3" t="inlineStr">
        <is>
          <t>Months to reach the goal at a given monthly contribution (0 if funded; null if contribution &lt;= 0).</t>
        </is>
      </c>
      <c r="G418" s="11" t="inlineStr">
        <is>
          <t>remaining = max(0, (target or 0) − (saved or 0))
0   when remaining = 0
the answer:
round up(remaining ÷ monthly contribution)   if monthly contribution &gt; 0
nothing   otherwise</t>
        </is>
      </c>
      <c r="H418" s="3" t="inlineStr">
        <is>
          <t>Remaining is (target or 0, never below zero minus (saved or 0)). When remaining = 0, it answers 0. The answer is remaining divided by monthly contribution, rounded up — when monthly contribution &gt; 0; no answer — otherwise.</t>
        </is>
      </c>
      <c r="I418" s="3" t="inlineStr">
        <is>
          <t>READ FROM THE CODE — rendered from the expressions the function runs</t>
        </is>
      </c>
      <c r="J418" s="3" t="inlineStr">
        <is>
          <t>1. g: GoalLike
2. monthlyContribution: number</t>
        </is>
      </c>
      <c r="K418" s="3" t="inlineStr">
        <is>
          <t>number | null</t>
        </is>
      </c>
      <c r="L418" s="3" t="inlineStr">
        <is>
          <t>NOT FOUND — a screen calls it, but the words printed beside its answer could not be traced automatically. Needs reading.</t>
        </is>
      </c>
      <c r="M418" s="3" t="inlineStr">
        <is>
          <t>1. If target is missing it counts as zero, so nothing recorded and a real zero look the same.
2. If saved is missing it counts as zero, so nothing recorded and a real zero look the same.</t>
        </is>
      </c>
      <c r="N418" s="3" t="inlineStr">
        <is>
          <t>Yes</t>
        </is>
      </c>
      <c r="O418" s="3" t="inlineStr">
        <is>
          <t>—</t>
        </is>
      </c>
      <c r="P418" s="3" t="n">
        <v>0</v>
      </c>
      <c r="Q418" s="3" t="inlineStr">
        <is>
          <t>None — no dependent function stands behind it</t>
        </is>
      </c>
      <c r="R418" s="3" t="inlineStr">
        <is>
          <t>No dependent function — it reads its inputs and answers</t>
        </is>
      </c>
      <c r="S418" s="3" t="inlineStr">
        <is>
          <t>—</t>
        </is>
      </c>
      <c r="T418" s="3" t="inlineStr">
        <is>
          <t>—</t>
        </is>
      </c>
      <c r="U418" s="3" t="inlineStr">
        <is>
          <t>ACTIVE</t>
        </is>
      </c>
      <c r="V418" s="3" t="inlineStr">
        <is>
          <t>2026-08-27</t>
        </is>
      </c>
      <c r="W418" s="3" t="n"/>
      <c r="X418" s="3" t="n"/>
      <c r="Y418" s="3" t="inlineStr">
        <is>
          <t>NOTHING OPEN</t>
        </is>
      </c>
    </row>
    <row r="419" ht="60" customHeight="1">
      <c r="A419" s="3" t="inlineStr">
        <is>
          <t>MK-PL-F-022</t>
        </is>
      </c>
      <c r="B419" s="3" t="inlineStr">
        <is>
          <t>goalProgressPct</t>
        </is>
      </c>
      <c r="C419" s="3" t="inlineStr">
        <is>
          <t>src/domain/goals/index.ts</t>
        </is>
      </c>
      <c r="D419" s="3" t="n">
        <v>428</v>
      </c>
      <c r="E419" s="3" t="inlineStr">
        <is>
          <t>3 · DEPENDENT (feeds an action only)</t>
        </is>
      </c>
      <c r="F419" s="3" t="inlineStr">
        <is>
          <t>Funded %, clamped 0–100.</t>
        </is>
      </c>
      <c r="G419" s="11" t="inlineStr">
        <is>
          <t>0   when (target or 0) ≤ 0
min(100, max(0, round(((saved or 0) ÷ target) × 100)))</t>
        </is>
      </c>
      <c r="H419" s="3" t="inlineStr">
        <is>
          <t>When (target or 0) is at most 0, it answers 0. the smaller of 100 and ((saved or 0, to a whole number divided by target, never below zero times 100)).</t>
        </is>
      </c>
      <c r="I419" s="3" t="inlineStr">
        <is>
          <t>READ FROM THE CODE — rendered from the expressions the function runs</t>
        </is>
      </c>
      <c r="J419" s="3" t="inlineStr">
        <is>
          <t>g: GoalLike</t>
        </is>
      </c>
      <c r="K419" s="3" t="inlineStr">
        <is>
          <t>number</t>
        </is>
      </c>
      <c r="L419" s="3" t="inlineStr">
        <is>
          <t>—</t>
        </is>
      </c>
      <c r="M419" s="3" t="inlineStr">
        <is>
          <t>1. If target is missing it counts as zero, so nothing recorded and a real zero look the same.
2. If saved is missing it counts as zero, so nothing recorded and a real zero look the same.
3. Rounds the answer to a whole number.</t>
        </is>
      </c>
      <c r="N419" s="3" t="inlineStr">
        <is>
          <t>No</t>
        </is>
      </c>
      <c r="O419" s="3" t="inlineStr">
        <is>
          <t>MK-CF-F-155 cash</t>
        </is>
      </c>
      <c r="P419" s="3" t="n">
        <v>2</v>
      </c>
      <c r="Q419" s="3" t="inlineStr">
        <is>
          <t>1. MK-CF-F-155 cash
2. MK-XS-F-122 n</t>
        </is>
      </c>
      <c r="R419" s="3" t="inlineStr">
        <is>
          <t>MK-XS-F-122 n → MK-CF-F-155 cash → MK-PL-F-022 goalProgressPct</t>
        </is>
      </c>
      <c r="S419" s="3" t="inlineStr">
        <is>
          <t>—</t>
        </is>
      </c>
      <c r="T419" s="3" t="inlineStr">
        <is>
          <t>—</t>
        </is>
      </c>
      <c r="U419" s="3" t="inlineStr">
        <is>
          <t>ACTIVE</t>
        </is>
      </c>
      <c r="V419" s="3" t="inlineStr">
        <is>
          <t>2026-08-27</t>
        </is>
      </c>
      <c r="W419" s="3" t="n"/>
      <c r="X419" s="3" t="n"/>
      <c r="Y419" s="3" t="inlineStr">
        <is>
          <t>NOTHING OPEN</t>
        </is>
      </c>
    </row>
    <row r="420" ht="60" customHeight="1">
      <c r="A420" s="3" t="inlineStr">
        <is>
          <t>MK-PL-F-023</t>
        </is>
      </c>
      <c r="B420" s="3" t="inlineStr">
        <is>
          <t>goalStatus</t>
        </is>
      </c>
      <c r="C420" s="3" t="inlineStr">
        <is>
          <t>src/domain/goals/index.ts</t>
        </is>
      </c>
      <c r="D420" s="3" t="n">
        <v>469</v>
      </c>
      <c r="E420" s="3" t="inlineStr">
        <is>
          <t>2 · DISPLAYED</t>
        </is>
      </c>
      <c r="F420" s="3" t="inlineStr">
        <is>
          <t>NOT DETERMINED — the code carries no note saying what this is for, and it has no row in the old inventory. Needs reading.</t>
        </is>
      </c>
      <c r="G420" s="11" t="inlineStr">
        <is>
          <t>'fully_funded'   when (saved or 0) ≥ (target or 0) and (target or 0) &gt; 0
req = required monthly(g, now)
'no_date'   when req = nothing
'fully_funded'   when req = 0
the answer:
'on_track'   if (funded this month or 0) + 1e − 6 ≥ req
'behind'   otherwise</t>
        </is>
      </c>
      <c r="H420"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420" s="3" t="inlineStr">
        <is>
          <t>READ FROM THE CODE — rendered from the expressions the function runs</t>
        </is>
      </c>
      <c r="J420" s="3" t="inlineStr">
        <is>
          <t>1. g: GoalLike
2. fundedThisMonth: number | null | undefined
3. now: Date = new Date()</t>
        </is>
      </c>
      <c r="K420" s="3" t="inlineStr">
        <is>
          <t>GoalStatus</t>
        </is>
      </c>
      <c r="L420" s="3" t="inlineStr">
        <is>
          <t>"Complete! 🎉" — on the rewards screen</t>
        </is>
      </c>
      <c r="M420"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420" s="3" t="inlineStr">
        <is>
          <t>Yes</t>
        </is>
      </c>
      <c r="O420" s="3" t="inlineStr">
        <is>
          <t>MK-PL-F-020 requiredMonthly</t>
        </is>
      </c>
      <c r="P420" s="3" t="n">
        <v>4</v>
      </c>
      <c r="Q420" s="3" t="inlineStr">
        <is>
          <t>1. MK-PL-F-020 requiredMonthly
2. MK-PL-F-019 goalMonthsRemaining
3. MK-PL-F-018 monthsUntil
4. MK-CF-F-132 map</t>
        </is>
      </c>
      <c r="R420" s="3" t="inlineStr">
        <is>
          <t>MK-CF-F-132 map → MK-PL-F-018 monthsUntil → MK-PL-F-019 goalMonthsRemaining → MK-PL-F-020 requiredMonthly → MK-PL-F-023 goalStatus</t>
        </is>
      </c>
      <c r="S420" s="3" t="inlineStr">
        <is>
          <t>MK-MN-M-009</t>
        </is>
      </c>
      <c r="T420" s="3" t="inlineStr">
        <is>
          <t>—</t>
        </is>
      </c>
      <c r="U420" s="3" t="inlineStr">
        <is>
          <t>ACTIVE</t>
        </is>
      </c>
      <c r="V420" s="3" t="inlineStr">
        <is>
          <t>2026-08-27</t>
        </is>
      </c>
      <c r="W420" s="3" t="n"/>
      <c r="X420" s="3" t="n"/>
      <c r="Y420" s="3" t="inlineStr">
        <is>
          <t>NOTHING OPEN</t>
        </is>
      </c>
    </row>
    <row r="421" ht="60" customHeight="1">
      <c r="A421" s="3" t="inlineStr">
        <is>
          <t>MK-PL-F-024</t>
        </is>
      </c>
      <c r="B421" s="3" t="inlineStr">
        <is>
          <t>oddsLine</t>
        </is>
      </c>
      <c r="C421" s="3" t="inlineStr">
        <is>
          <t>src/domain/planning/hub.ts</t>
        </is>
      </c>
      <c r="D421" s="3" t="n">
        <v>45</v>
      </c>
      <c r="E421" s="3" t="inlineStr">
        <is>
          <t>2 · DISPLAYED</t>
        </is>
      </c>
      <c r="F421" s="3" t="inlineStr">
        <is>
          <t>How do we state the odds in words?</t>
        </is>
      </c>
      <c r="G421" s="11" t="inlineStr">
        <is>
          <t>`${chance}% ${odds tail(horizon age)}`</t>
        </is>
      </c>
      <c r="H421" s="3" t="inlineStr">
        <is>
          <t>`${chance}% ${odds tail(horizon age)}`.</t>
        </is>
      </c>
      <c r="I421" s="3" t="inlineStr">
        <is>
          <t>PARTLY READ — some of the code is still showing through; needs a hand pass</t>
        </is>
      </c>
      <c r="J421" s="3" t="inlineStr">
        <is>
          <t>1. _lens: 'retired' | string
2. chance: number
3. horizonAge: number</t>
        </is>
      </c>
      <c r="K421" s="3" t="inlineStr">
        <is>
          <t>string</t>
        </is>
      </c>
      <c r="L421" s="3" t="inlineStr">
        <is>
          <t>1. "Draw from savings" — on the Cash flow screen, under "YOUR FUTURE PAYCHECK"
2. "WILL MY MONEY LAST?" — on a card used on more than one screen (PlanOutcome)
3. "WILL MY MONEY LAST?" — on the Home screen, under "WILL MY MONEY LAST?"</t>
        </is>
      </c>
      <c r="M421" s="3" t="inlineStr">
        <is>
          <t>None found in this function — anything it assumes comes from the functions it depends on.</t>
        </is>
      </c>
      <c r="N421" s="3" t="inlineStr">
        <is>
          <t>Yes</t>
        </is>
      </c>
      <c r="O421" s="3" t="inlineStr">
        <is>
          <t>MK-PL-F-085 oddsTail</t>
        </is>
      </c>
      <c r="P421" s="3" t="n">
        <v>1</v>
      </c>
      <c r="Q421" s="3" t="inlineStr">
        <is>
          <t>MK-PL-F-085 oddsTail</t>
        </is>
      </c>
      <c r="R421" s="3" t="inlineStr">
        <is>
          <t>MK-PL-F-085 oddsTail → MK-PL-F-024 oddsLine</t>
        </is>
      </c>
      <c r="S421" s="3" t="inlineStr">
        <is>
          <t>—</t>
        </is>
      </c>
      <c r="T421" s="3" t="inlineStr">
        <is>
          <t>ODDS_SENTENCE</t>
        </is>
      </c>
      <c r="U421" s="3" t="inlineStr">
        <is>
          <t>ACTIVE</t>
        </is>
      </c>
      <c r="V421" s="3" t="inlineStr">
        <is>
          <t>2026-10-01</t>
        </is>
      </c>
      <c r="W421" s="3" t="n"/>
      <c r="X421" s="3" t="n"/>
      <c r="Y421" s="3" t="inlineStr">
        <is>
          <t>NOTHING OPEN</t>
        </is>
      </c>
    </row>
    <row r="422" ht="60" customHeight="1">
      <c r="A422" s="3" t="inlineStr">
        <is>
          <t>MK-PL-F-025</t>
        </is>
      </c>
      <c r="B422" s="3" t="inlineStr">
        <is>
          <t>sampleOddsLine</t>
        </is>
      </c>
      <c r="C422" s="3" t="inlineStr">
        <is>
          <t>src/domain/planning/hub.ts</t>
        </is>
      </c>
      <c r="D422" s="3" t="n">
        <v>88</v>
      </c>
      <c r="E422" s="3" t="inlineStr">
        <is>
          <t>2 · DISPLAYED</t>
        </is>
      </c>
      <c r="F422" s="3" t="inlineStr">
        <is>
          <t>The same sentence for the app-wide SAMPLE, always labelled as one.</t>
        </is>
      </c>
      <c r="G422" s="11" t="inlineStr">
        <is>
          <t>`sample: ${SAMPLE_CHANCE}% odds of lasting to age ${horizon age}`</t>
        </is>
      </c>
      <c r="H422" s="3" t="inlineStr">
        <is>
          <t>`sample: ${SAMPLE_CHANCE}% odds of lasting to age ${horizon age}`.</t>
        </is>
      </c>
      <c r="I422" s="3" t="inlineStr">
        <is>
          <t>PARTLY READ — some of the code is still showing through; needs a hand pass</t>
        </is>
      </c>
      <c r="J422" s="3" t="inlineStr">
        <is>
          <t>horizonAge: number = SAMPLE_HORIZON</t>
        </is>
      </c>
      <c r="K422" s="3" t="inlineStr">
        <is>
          <t>string</t>
        </is>
      </c>
      <c r="L422" s="3" t="inlineStr">
        <is>
          <t>1. "WILL MY MONEY LAST?" — on the Plan screen, under "WILL MY MONEY LAST?"
2. "YOUR RETIREMENT PLAN" — on the Net worth screen, under "YOUR RETIREMENT PLAN"</t>
        </is>
      </c>
      <c r="M422" s="3" t="inlineStr">
        <is>
          <t>None found in this function — anything it assumes comes from the functions it depends on.</t>
        </is>
      </c>
      <c r="N422" s="3" t="inlineStr">
        <is>
          <t>Yes</t>
        </is>
      </c>
      <c r="O422" s="3" t="inlineStr">
        <is>
          <t>—</t>
        </is>
      </c>
      <c r="P422" s="3" t="n">
        <v>0</v>
      </c>
      <c r="Q422" s="3" t="inlineStr">
        <is>
          <t>None — no dependent function stands behind it</t>
        </is>
      </c>
      <c r="R422" s="3" t="inlineStr">
        <is>
          <t>No dependent function — it reads its inputs and answers</t>
        </is>
      </c>
      <c r="S422" s="3" t="inlineStr">
        <is>
          <t>—</t>
        </is>
      </c>
      <c r="T422" s="3" t="inlineStr">
        <is>
          <t>SAMPLE_ODDS_SENTENCE</t>
        </is>
      </c>
      <c r="U422" s="3" t="inlineStr">
        <is>
          <t>ACTIVE</t>
        </is>
      </c>
      <c r="V422" s="3" t="inlineStr">
        <is>
          <t>2026-08-27</t>
        </is>
      </c>
      <c r="W422" s="3" t="n"/>
      <c r="X422" s="3" t="n"/>
      <c r="Y422" s="6" t="inlineStr">
        <is>
          <t>TESTED, NOT VERIFIED (Odds — exact, no rounding)</t>
        </is>
      </c>
    </row>
    <row r="423" ht="60" customHeight="1">
      <c r="A423" s="3" t="inlineStr">
        <is>
          <t>MK-PL-F-026</t>
        </is>
      </c>
      <c r="B423" s="3" t="inlineStr">
        <is>
          <t>planDoor</t>
        </is>
      </c>
      <c r="C423" s="3" t="inlineStr">
        <is>
          <t>src/domain/planning/hub.ts</t>
        </is>
      </c>
      <c r="D423" s="3" t="n">
        <v>125</v>
      </c>
      <c r="E423" s="3" t="inlineStr">
        <is>
          <t>2 · DISPLAYED</t>
        </is>
      </c>
      <c r="F423" s="3" t="inlineStr">
        <is>
          <t>Is there enough to show this person their own odds?</t>
        </is>
      </c>
      <c r="G423"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array.is array(rentals) ? rentals : nothing)
has have = earmarked &gt; 0</t>
        </is>
      </c>
      <c r="H423"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array.is array(rentals) ? rentals : no answer). Has have is earmarked &gt; 0.</t>
        </is>
      </c>
      <c r="I423" s="3" t="inlineStr">
        <is>
          <t>PARTLY READ — some of the code is still showing through; needs a hand pass</t>
        </is>
      </c>
      <c r="J423" s="3" t="inlineStr">
        <is>
          <t>1. op: Record&lt;string, any&gt; | null
2. accounts: AssetAccount[]</t>
        </is>
      </c>
      <c r="K423" s="3" t="inlineStr">
        <is>
          <t>PlanDoor</t>
        </is>
      </c>
      <c r="L423" s="3" t="inlineStr">
        <is>
          <t>"WILL MY MONEY LAST?" — on the Plan screen, under "WILL MY MONEY LAST?"</t>
        </is>
      </c>
      <c r="M423" s="3" t="inlineStr">
        <is>
          <t>· If balance is missing it counts as zero, so nothing recorded and a real zero look the same.</t>
        </is>
      </c>
      <c r="N423" s="3" t="inlineStr">
        <is>
          <t>Yes</t>
        </is>
      </c>
      <c r="O423" s="3" t="inlineStr">
        <is>
          <t>MK-NW-F-033 retirementEarmarkedValue</t>
        </is>
      </c>
      <c r="P423" s="3" t="n">
        <v>44</v>
      </c>
      <c r="Q423" s="3" t="inlineStr">
        <is>
          <t>1. MK-NW-F-033 retirementEarmarkedValue
2. MK-NW-F-032 earmarkedAmount
3. MK-NW-F-031 primaryCarIdOf
4. MK-NW-F-110 primaryHomeIdOf
5. MK-NW-F-030 earmarkDefault
6. MK-NW-F-134 carValueNotEnteredNotes
7. MK-NW-F-133 valueEntered
8. MK-NW-F-117 propertyUseMap
9. MK-NW-F-011 assetClassOf
10. MK-CF-F-132 map
11. MK-ST-F-053 money
12. MK-ST-F-056 has
13. MK-NW-F-116 rentedIdsOf
14. MK-NW-F-120 classEvidenceOf
15. MK-ST-F-049 formatMoney
16. MK-XS-F-122 n
17. MK-NW-F-115 liveRent
18. MK-CF-F-155 cash
19. MK-NW-F-008 incomeBearingClassOf
20. MK-NW-F-009 maturityClass
21. MK-ST-F-048 currencySymbol
22. MK-ST-F-039 on
23. MK-CF-O-002 expenses
24. MK-NW-F-114 rentAmount
25. MK-ST-F-010 nameEvidence
26. MK-NW-F-124 maturityParts
27. MK-CF-F-216 typed
28. MK-ST-F-047 activeCurrency
29. MK-CF-F-151 actualSpending
30. MK-CF-F-150 debtPaymentsCountedAsExpenses
31. MK-CF-F-153 radar
32. MK-CF-F-149 recurringDebtPayments
33. MK-ST-F-085 rentFigure
34. MK-XS-F-147 call
35. MK-CF-F-148 inMonth
36. MK-ST-F-052 toNum
37. MK-CF-F-191 ym
38. MK-CF-F-022 paymentShape
39. MK-CF-F-152 isRadarItem
40. MK-CF-F-023 requiredPayment
41. MK-ST-F-027 accountId
42. MK-XS-F-064 currentIdToken
43. MK-XS-F-112 relayUrl
44. MK-CF-F-021 defaultPaymentType</t>
        </is>
      </c>
      <c r="R423"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S423" s="3" t="inlineStr">
        <is>
          <t>MK-PL-M-001 · MK-PL-M-002</t>
        </is>
      </c>
      <c r="T423" s="3" t="inlineStr">
        <is>
          <t>WHAT_THE_PLAN_STILL_NEEDS</t>
        </is>
      </c>
      <c r="U423" s="3" t="inlineStr">
        <is>
          <t>ACTIVE</t>
        </is>
      </c>
      <c r="V423" s="3" t="inlineStr">
        <is>
          <t>2026-10-13</t>
        </is>
      </c>
      <c r="W423" s="3" t="n"/>
      <c r="X423" s="3" t="n"/>
      <c r="Y423" s="3" t="inlineStr">
        <is>
          <t>NOTHING OPEN</t>
        </is>
      </c>
    </row>
    <row r="424" ht="60" customHeight="1">
      <c r="A424" s="3" t="inlineStr">
        <is>
          <t>MK-PL-F-027</t>
        </is>
      </c>
      <c r="B424" s="3" t="inlineStr">
        <is>
          <t>nextDecision</t>
        </is>
      </c>
      <c r="C424" s="3" t="inlineStr">
        <is>
          <t>src/domain/planning/hub.ts</t>
        </is>
      </c>
      <c r="D424" s="3" t="n">
        <v>190</v>
      </c>
      <c r="E424" s="3" t="inlineStr">
        <is>
          <t>2 · DISPLAYED</t>
        </is>
      </c>
      <c r="F424" s="3" t="inlineStr">
        <is>
          <t>NOT DETERMINED — the code carries no note saying what this is for, and it has no row in the old inventory. Needs reading.</t>
        </is>
      </c>
      <c r="G424"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424"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424" s="3" t="inlineStr">
        <is>
          <t>PARTLY READ — some of the code is still showing through; needs a hand pass</t>
        </is>
      </c>
      <c r="J424" s="3" t="inlineStr">
        <is>
          <t>Nothing is handed to it</t>
        </is>
      </c>
      <c r="K424" s="3" t="inlineStr">
        <is>
          <t>NOT DECLARED — the code does not say what it gives back</t>
        </is>
      </c>
      <c r="L424" s="3" t="inlineStr">
        <is>
          <t>NOT FOUND — a screen calls it, but the words printed beside its answer could not be traced automatically. Needs reading.</t>
        </is>
      </c>
      <c r="M424" s="3" t="inlineStr">
        <is>
          <t>1. Uses a built-in s a m p l e c h a n c e of 84.
2. Uses a built-in s a m p l e h o r i z o n of 90.
3. Uses today's date from the device clock, so the answer changes by itself overnight.
4. Rounds the answer to a whole number.</t>
        </is>
      </c>
      <c r="N424" s="3" t="inlineStr">
        <is>
          <t>Yes</t>
        </is>
      </c>
      <c r="O424" s="3" t="inlineStr">
        <is>
          <t>1. MK-PL-F-080 rmdRequiredThisYear
2. MK-PL-F-005 rmdStartAgeFor
3. MK-PL-F-009 rmdTakenThisYear</t>
        </is>
      </c>
      <c r="P424" s="3" t="n">
        <v>9</v>
      </c>
      <c r="Q424" s="3" t="inlineStr">
        <is>
          <t>1. MK-PL-F-080 rmdRequiredThisYear
2. MK-PL-F-005 rmdStartAgeFor
3. MK-PL-F-009 rmdTakenThisYear
4. MK-PL-F-007 rmdAtAge
5. MK-ST-F-025 rmdStartAgeFromAge
6. MK-ST-F-056 has
7. MK-CF-F-132 map
8. MK-PL-F-078 rmdDivisorAtAge
9. MK-ST-F-024 rmdStartAge</t>
        </is>
      </c>
      <c r="R424"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424" s="3" t="inlineStr">
        <is>
          <t>—</t>
        </is>
      </c>
      <c r="T424" s="3" t="inlineStr">
        <is>
          <t>—</t>
        </is>
      </c>
      <c r="U424" s="3" t="inlineStr">
        <is>
          <t>ACTIVE</t>
        </is>
      </c>
      <c r="V424" s="3" t="inlineStr">
        <is>
          <t>2026-09-08</t>
        </is>
      </c>
      <c r="W424" s="3" t="n"/>
      <c r="X424" s="3" t="n"/>
      <c r="Y424" s="3" t="inlineStr">
        <is>
          <t>NOTHING OPEN</t>
        </is>
      </c>
    </row>
    <row r="425" ht="60" customHeight="1">
      <c r="A425" s="3" t="inlineStr">
        <is>
          <t>MK-PL-F-028</t>
        </is>
      </c>
      <c r="B425" s="3" t="inlineStr">
        <is>
          <t>sampleAskLine</t>
        </is>
      </c>
      <c r="C425" s="3" t="inlineStr">
        <is>
          <t>src/domain/planning/hub.ts</t>
        </is>
      </c>
      <c r="D425" s="3" t="n">
        <v>286</v>
      </c>
      <c r="E425" s="3" t="inlineStr">
        <is>
          <t>2 · DISPLAYED</t>
        </is>
      </c>
      <c r="F425" s="3" t="inlineStr">
        <is>
          <t>The invitation under a sample: name the answers still missing, so a dead end becomes one tap.</t>
        </is>
      </c>
      <c r="G425"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${plural(n, 'answer')} make it yours: ${list}`</t>
        </is>
      </c>
      <c r="H425"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${plural(n, 'answer')} make it yours: ${list}`.</t>
        </is>
      </c>
      <c r="I425" s="3" t="inlineStr">
        <is>
          <t>PARTLY READ — some of the code is still showing through; needs a hand pass</t>
        </is>
      </c>
      <c r="J425" s="3" t="inlineStr">
        <is>
          <t>missing: string[]</t>
        </is>
      </c>
      <c r="K425" s="3" t="inlineStr">
        <is>
          <t>string</t>
        </is>
      </c>
      <c r="L425" s="3" t="inlineStr">
        <is>
          <t>NOT FOUND — a screen calls it, but the words printed beside its answer could not be traced automatically. Needs reading.</t>
        </is>
      </c>
      <c r="M425" s="3" t="inlineStr">
        <is>
          <t>None found in this function — anything it assumes comes from the functions it depends on.</t>
        </is>
      </c>
      <c r="N425" s="3" t="inlineStr">
        <is>
          <t>Yes</t>
        </is>
      </c>
      <c r="O425" s="3" t="inlineStr">
        <is>
          <t>1. MK-XS-F-122 n
2. MK-NW-F-067 plural</t>
        </is>
      </c>
      <c r="P425" s="3" t="n">
        <v>2</v>
      </c>
      <c r="Q425" s="3" t="inlineStr">
        <is>
          <t>1. MK-XS-F-122 n
2. MK-NW-F-067 plural</t>
        </is>
      </c>
      <c r="R425" s="3" t="inlineStr">
        <is>
          <t>1. MK-XS-F-122 n → MK-PL-F-028 sampleAskLine
2. MK-XS-F-122 n → MK-NW-F-067 plural → MK-PL-F-028 sampleAskLine</t>
        </is>
      </c>
      <c r="S425" s="3" t="inlineStr">
        <is>
          <t>—</t>
        </is>
      </c>
      <c r="T425" s="3" t="inlineStr">
        <is>
          <t>SAMPLE_ASK_SENTENCE</t>
        </is>
      </c>
      <c r="U425" s="3" t="inlineStr">
        <is>
          <t>ACTIVE</t>
        </is>
      </c>
      <c r="V425" s="3" t="inlineStr">
        <is>
          <t>2026-10-18</t>
        </is>
      </c>
      <c r="W425" s="3" t="n"/>
      <c r="X425" s="3" t="n"/>
      <c r="Y425" s="3" t="inlineStr">
        <is>
          <t>NOTHING OPEN</t>
        </is>
      </c>
    </row>
    <row r="426" ht="45" customHeight="1">
      <c r="A426" s="3" t="inlineStr">
        <is>
          <t>MK-PL-F-029</t>
        </is>
      </c>
      <c r="B426" s="3" t="inlineStr">
        <is>
          <t>shortfallAgeFromBand</t>
        </is>
      </c>
      <c r="C426" s="3" t="inlineStr">
        <is>
          <t>src/domain/planning/hub.ts</t>
        </is>
      </c>
      <c r="D426" s="3" t="n">
        <v>312</v>
      </c>
      <c r="E426" s="3" t="inlineStr">
        <is>
          <t>2 · DISPLAYED</t>
        </is>
      </c>
      <c r="F426" s="3" t="inlineStr">
        <is>
          <t>The age the middle path first hits zero, from a simulation band — null while it never does.</t>
        </is>
      </c>
      <c r="G426" s="11" t="inlineStr">
        <is>
          <t>(band ?? []).find((pt) =&gt; pt.p50 ≤ 0).age (or nothing when missing)</t>
        </is>
      </c>
      <c r="H426" s="3" t="inlineStr">
        <is>
          <t>(band ?? []).find((pt) =&gt; pt.p50 is at most 0).age (or no answer — when missing).</t>
        </is>
      </c>
      <c r="I426" s="3" t="inlineStr">
        <is>
          <t>PARTLY READ — some of the code is still showing through; needs a hand pass</t>
        </is>
      </c>
      <c r="J426" s="3" t="inlineStr">
        <is>
          <t>band?: { age: number; p50: number }[] | null</t>
        </is>
      </c>
      <c r="K426" s="3" t="inlineStr">
        <is>
          <t>number | null</t>
        </is>
      </c>
      <c r="L426" s="3" t="inlineStr">
        <is>
          <t>NOT FOUND — a screen calls it, but the words printed beside its answer could not be traced automatically. Needs reading.</t>
        </is>
      </c>
      <c r="M426" s="3" t="inlineStr">
        <is>
          <t>None found in this function — anything it assumes comes from the functions it depends on.</t>
        </is>
      </c>
      <c r="N426" s="3" t="inlineStr">
        <is>
          <t>Yes</t>
        </is>
      </c>
      <c r="O426" s="3" t="inlineStr">
        <is>
          <t>—</t>
        </is>
      </c>
      <c r="P426" s="3" t="n">
        <v>0</v>
      </c>
      <c r="Q426" s="3" t="inlineStr">
        <is>
          <t>None — no dependent function stands behind it</t>
        </is>
      </c>
      <c r="R426" s="3" t="inlineStr">
        <is>
          <t>No dependent function — it reads its inputs and answers</t>
        </is>
      </c>
      <c r="S426" s="3" t="inlineStr">
        <is>
          <t>—</t>
        </is>
      </c>
      <c r="T426" s="3" t="inlineStr">
        <is>
          <t>AGE_THE_MONEY_RUNS_OUT</t>
        </is>
      </c>
      <c r="U426" s="3" t="inlineStr">
        <is>
          <t>ACTIVE</t>
        </is>
      </c>
      <c r="V426" s="3" t="inlineStr">
        <is>
          <t>2026-08-27</t>
        </is>
      </c>
      <c r="W426" s="3" t="n"/>
      <c r="X426" s="3" t="n"/>
      <c r="Y426" s="3" t="inlineStr">
        <is>
          <t>NOTHING OPEN</t>
        </is>
      </c>
    </row>
    <row r="427" ht="60" customHeight="1">
      <c r="A427" s="3" t="inlineStr">
        <is>
          <t>MK-PL-F-030</t>
        </is>
      </c>
      <c r="B427" s="3" t="inlineStr">
        <is>
          <t>onCourseSentence</t>
        </is>
      </c>
      <c r="C427" s="3" t="inlineStr">
        <is>
          <t>src/domain/planning/hub.ts</t>
        </is>
      </c>
      <c r="D427" s="3" t="n">
        <v>340</v>
      </c>
      <c r="E427" s="3" t="inlineStr">
        <is>
          <t>2 · DISPLAYED</t>
        </is>
      </c>
      <c r="F427" s="3" t="inlineStr">
        <is>
          <t>In one sentence, how is this plan doing?</t>
        </is>
      </c>
      <c r="G427"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427"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427" s="3" t="inlineStr">
        <is>
          <t>PARTLY READ — some of the code is still showing through; needs a hand pass</t>
        </is>
      </c>
      <c r="J427" s="3" t="inlineStr">
        <is>
          <t>Nothing is handed to it</t>
        </is>
      </c>
      <c r="K427" s="3" t="inlineStr">
        <is>
          <t>NOT DECLARED — the code does not say what it gives back</t>
        </is>
      </c>
      <c r="L427" s="3" t="inlineStr">
        <is>
          <t>NOT FOUND — a screen calls it, but the words printed beside its answer could not be traced automatically. Needs reading.</t>
        </is>
      </c>
      <c r="M427" s="3" t="inlineStr">
        <is>
          <t>1. If leftover at horizon is missing it uses 0.
2. Rounds the answer to a whole number.</t>
        </is>
      </c>
      <c r="N427" s="3" t="inlineStr">
        <is>
          <t>Yes</t>
        </is>
      </c>
      <c r="O427" s="3" t="inlineStr">
        <is>
          <t>MK-ST-F-053 money</t>
        </is>
      </c>
      <c r="P427" s="3" t="n">
        <v>6</v>
      </c>
      <c r="Q427" s="3" t="inlineStr">
        <is>
          <t>1. MK-ST-F-053 money
2. MK-ST-F-049 formatMoney
3. MK-XS-F-122 n
4. MK-ST-F-048 currencySymbol
5. MK-ST-F-039 on
6. MK-ST-F-047 activeCurrency</t>
        </is>
      </c>
      <c r="R427"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427" s="3" t="inlineStr">
        <is>
          <t>—</t>
        </is>
      </c>
      <c r="T427" s="3" t="inlineStr">
        <is>
          <t>ARE_YOU_ON_COURSE</t>
        </is>
      </c>
      <c r="U427" s="3" t="inlineStr">
        <is>
          <t>ACTIVE</t>
        </is>
      </c>
      <c r="V427" s="3" t="inlineStr">
        <is>
          <t>2026-08-27</t>
        </is>
      </c>
      <c r="W427" s="3" t="n"/>
      <c r="X427" s="3" t="n"/>
      <c r="Y427" s="3" t="inlineStr">
        <is>
          <t>NOTHING OPEN</t>
        </is>
      </c>
    </row>
    <row r="428" ht="60" customHeight="1">
      <c r="A428" s="3" t="inlineStr">
        <is>
          <t>MK-PL-F-031</t>
        </is>
      </c>
      <c r="B428" s="3" t="inlineStr">
        <is>
          <t>taxOrganizer</t>
        </is>
      </c>
      <c r="C428" s="3" t="inlineStr">
        <is>
          <t>src/domain/planning/index.ts</t>
        </is>
      </c>
      <c r="D428" s="3" t="n">
        <v>129</v>
      </c>
      <c r="E428" s="3" t="inlineStr">
        <is>
          <t>3 · DEPENDENT</t>
        </is>
      </c>
      <c r="F428" s="3" t="inlineStr">
        <is>
          <t>The year-end summary for the accountant: income lines, the four taxable-income steps, contributions, accounts, documents to gather.</t>
        </is>
      </c>
      <c r="G428"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428"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428" s="3" t="inlineStr">
        <is>
          <t>PARTLY READ — some of the code is still showing through; needs a hand pass</t>
        </is>
      </c>
      <c r="J428" s="3" t="inlineStr">
        <is>
          <t>1. op: OnboardingProfile | null
2. opts: { accounts?: any[]; liabilities?: any[]; actualPassive?: number; year: number }</t>
        </is>
      </c>
      <c r="K428" s="3" t="inlineStr">
        <is>
          <t>TaxOrganizer</t>
        </is>
      </c>
      <c r="L428" s="3" t="inlineStr">
        <is>
          <t>—</t>
        </is>
      </c>
      <c r="M428" s="3" t="inlineStr">
        <is>
          <t>1. If balance is missing it counts as zero, so nothing recorded and a real zero look the same.
2. Turns a monthly figure into a year by multiplying by twelve.</t>
        </is>
      </c>
      <c r="N428" s="3" t="inlineStr">
        <is>
          <t>Yes</t>
        </is>
      </c>
      <c r="O428"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428" s="3" t="n">
        <v>56</v>
      </c>
      <c r="Q428"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MK-CF-F-180 enteredLandsAnnual
30. MK-CF-F-206 householdK401ByMonth
31. MK-CF-F-086 stateRateOf
32. MK-CF-F-101 taxOwedFor
33. MK-CF-F-084 taxableAnnual
34. MK-CF-F-151 actualSpending
35. MK-CF-F-150 debtPaymentsCountedAsExpenses
36. MK-CF-F-153 radar
37. MK-CF-F-149 recurringDebtPayments
38. MK-ST-F-085 rentFigure
39. MK-CF-F-216 typed
40. MK-CF-F-176 sumMonthsOverEarners
41. MK-CF-F-177 wageGrossByMonth
42. MK-CF-F-175 sumOverEarners
43. MK-CF-F-172 hasWage
44. MK-CF-F-100 taxableIncomeFor
45. MK-CF-F-071 extraIncome
46. MK-CF-F-148 inMonth
47. MK-CF-F-191 ym
48. MK-CF-F-022 paymentShape
49. MK-CF-F-152 isRadarItem
50. MK-CF-F-023 requiredPayment
51. MK-CF-F-130 enteredMonthlyRaw
52. MK-CF-F-166 hasMonthlySalaryTable
53. MK-ST-F-036 reconcile
54. MK-CF-F-167 salaryCalendarYear
55. MK-CF-F-021 defaultPaymentType
56. MK-CF-F-165 salaryMonths</t>
        </is>
      </c>
      <c r="R428"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MK-CF-F-172 hasWage → MK-CF-F-173 earnerWages → MK-CF-F-180 enteredLandsAnnual → MK-CF-F-181 rateInForce → MK-CF-F-090 effectiveRate → MK-PL-F-031 taxOrganizer
6. MK-XS-F-122 n → MK-ST-F-052 toNum → MK-CF-F-180 enteredLandsAnnual → MK-CF-F-181 rateInForce → MK-CF-F-090 effectiveRate → MK-PL-F-031 taxOrganizer
7. MK-CF-F-085 filingStatusOf → MK-CF-F-181 rateInForce → MK-CF-F-090 effectiveRate → MK-PL-F-031 taxOrganizer
8. MK-CF-F-132 map → MK-CF-F-206 householdK401ByMonth → MK-CF-F-181 rateInForce → MK-CF-F-090 effectiveRate → MK-PL-F-031 taxOrganizer
9. … and 5 more paths</t>
        </is>
      </c>
      <c r="S428" s="3" t="inlineStr">
        <is>
          <t>MK-MN-M-027 · MK-MN-M-028</t>
        </is>
      </c>
      <c r="T428" s="3" t="inlineStr">
        <is>
          <t>—</t>
        </is>
      </c>
      <c r="U428" s="3" t="inlineStr">
        <is>
          <t>ACTIVE</t>
        </is>
      </c>
      <c r="V428" s="3" t="inlineStr">
        <is>
          <t>2026-09-28</t>
        </is>
      </c>
      <c r="W428" s="3" t="n"/>
      <c r="X428" s="3" t="n"/>
      <c r="Y428" s="3" t="inlineStr">
        <is>
          <t>NOTHING OPEN</t>
        </is>
      </c>
    </row>
    <row r="429" ht="60" customHeight="1">
      <c r="A429" s="3" t="inlineStr">
        <is>
          <t>MK-PL-F-032</t>
        </is>
      </c>
      <c r="B429" s="3" t="inlineStr">
        <is>
          <t>rothConversionCost</t>
        </is>
      </c>
      <c r="C429" s="3" t="inlineStr">
        <is>
          <t>src/domain/planning/index.ts</t>
        </is>
      </c>
      <c r="D429" s="3" t="n">
        <v>215</v>
      </c>
      <c r="E429" s="3" t="inlineStr">
        <is>
          <t>2 · DISPLAYED</t>
        </is>
      </c>
      <c r="F429" s="3" t="inlineStr">
        <is>
          <t>───────────────────────── Roth conversion (fill a low bracket) ───────────────────────── In a low-income year (e.g.</t>
        </is>
      </c>
      <c r="G429" s="11" t="inlineStr">
        <is>
          <t>tax owed for(gross + amount, status, state rate) − tax owed for(gross, status, state rate)</t>
        </is>
      </c>
      <c r="H429" s="3" t="inlineStr">
        <is>
          <t>tax owed for(gross plus amount, status, state rate) minus tax owed for(gross, status, state rate).</t>
        </is>
      </c>
      <c r="I429" s="3" t="inlineStr">
        <is>
          <t>READ FROM THE CODE — rendered from the expressions the function runs</t>
        </is>
      </c>
      <c r="J429" s="3" t="inlineStr">
        <is>
          <t>1. gross: number
2. amount: number
3. status: import('../income/tax').FilingStatus
4. stateRate: number</t>
        </is>
      </c>
      <c r="K429" s="3" t="inlineStr">
        <is>
          <t>number</t>
        </is>
      </c>
      <c r="L429" s="3" t="inlineStr">
        <is>
          <t>NOT FOUND — a screen calls it, but the words printed beside its answer could not be traced automatically. Needs reading.</t>
        </is>
      </c>
      <c r="M429"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429" s="3" t="inlineStr">
        <is>
          <t>Yes</t>
        </is>
      </c>
      <c r="O429" s="3" t="inlineStr">
        <is>
          <t>MK-CF-F-101 taxOwedFor</t>
        </is>
      </c>
      <c r="P429" s="3" t="n">
        <v>4</v>
      </c>
      <c r="Q429" s="3" t="inlineStr">
        <is>
          <t>1. MK-CF-F-101 taxOwedFor
2. MK-CF-F-100 taxableIncomeFor
3. MK-CF-F-099 deductionFor
4. MK-CF-F-187 seniorDeductionFor</t>
        </is>
      </c>
      <c r="R429" s="3" t="inlineStr">
        <is>
          <t>MK-CF-F-187 seniorDeductionFor → MK-CF-F-099 deductionFor → MK-CF-F-100 taxableIncomeFor → MK-CF-F-101 taxOwedFor → MK-PL-F-032 rothConversionCost</t>
        </is>
      </c>
      <c r="S429" s="3" t="inlineStr">
        <is>
          <t>—</t>
        </is>
      </c>
      <c r="T429" s="3" t="inlineStr">
        <is>
          <t>—</t>
        </is>
      </c>
      <c r="U429" s="3" t="inlineStr">
        <is>
          <t>ACTIVE</t>
        </is>
      </c>
      <c r="V429" s="3" t="inlineStr">
        <is>
          <t>2026-09-09</t>
        </is>
      </c>
      <c r="W429" s="3" t="n"/>
      <c r="X429" s="3" t="n"/>
      <c r="Y429" s="3" t="inlineStr">
        <is>
          <t>NOTHING OPEN</t>
        </is>
      </c>
    </row>
    <row r="430" ht="60" customHeight="1">
      <c r="A430" s="3" t="inlineStr">
        <is>
          <t>MK-PL-F-033</t>
        </is>
      </c>
      <c r="B430" s="3" t="inlineStr">
        <is>
          <t>educationPlan</t>
        </is>
      </c>
      <c r="C430" s="3" t="inlineStr">
        <is>
          <t>src/domain/planning/index.ts</t>
        </is>
      </c>
      <c r="D430" s="3" t="n">
        <v>266</v>
      </c>
      <c r="E430" s="3" t="inlineStr">
        <is>
          <t>2 · DISPLAYED</t>
        </is>
      </c>
      <c r="F430" s="3" t="inlineStr">
        <is>
          <t>NOT DETERMINED — the code carries no note saying what this is for, and it has no row in the old inventory. Needs reading.</t>
        </is>
      </c>
      <c r="G430"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430"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430" s="3" t="inlineStr">
        <is>
          <t>PARTLY READ — the body has a loop the extractor cannot render; the steps shown are the ones before it. Needs a hand pass (G23).</t>
        </is>
      </c>
      <c r="J430" s="3" t="inlineStr">
        <is>
          <t>inp: EduPlanInput</t>
        </is>
      </c>
      <c r="K430" s="3" t="inlineStr">
        <is>
          <t>EduPlan</t>
        </is>
      </c>
      <c r="L430" s="3" t="inlineStr">
        <is>
          <t>"Projected total cost" — on the College costs screen</t>
        </is>
      </c>
      <c r="M430" s="3" t="inlineStr">
        <is>
          <t>1. Uses a built-in future total cost of 0.
2. Turns a monthly figure into a year by multiplying by twelve.
3. Rounds the answer to a whole number.</t>
        </is>
      </c>
      <c r="N430" s="3" t="inlineStr">
        <is>
          <t>Yes</t>
        </is>
      </c>
      <c r="O430" s="3" t="inlineStr">
        <is>
          <t>MK-XS-F-122 n</t>
        </is>
      </c>
      <c r="P430" s="3" t="n">
        <v>1</v>
      </c>
      <c r="Q430" s="3" t="inlineStr">
        <is>
          <t>MK-XS-F-122 n</t>
        </is>
      </c>
      <c r="R430" s="3" t="inlineStr">
        <is>
          <t>MK-XS-F-122 n → MK-PL-F-033 educationPlan</t>
        </is>
      </c>
      <c r="S430" s="3" t="inlineStr">
        <is>
          <t>MK-PL-M-036 · MK-PL-M-037</t>
        </is>
      </c>
      <c r="T430" s="3" t="inlineStr">
        <is>
          <t>—</t>
        </is>
      </c>
      <c r="U430" s="3" t="inlineStr">
        <is>
          <t>ACTIVE</t>
        </is>
      </c>
      <c r="V430" s="3" t="inlineStr">
        <is>
          <t>2026-09-08</t>
        </is>
      </c>
      <c r="W430" s="3" t="n"/>
      <c r="X430" s="3" t="n"/>
      <c r="Y430" s="3" t="inlineStr">
        <is>
          <t>NOTHING OPEN</t>
        </is>
      </c>
    </row>
    <row r="431" ht="60" customHeight="1">
      <c r="A431" s="3" t="inlineStr">
        <is>
          <t>MK-PL-F-034</t>
        </is>
      </c>
      <c r="B431" s="3" t="inlineStr">
        <is>
          <t>lifeInsuranceNeed</t>
        </is>
      </c>
      <c r="C431" s="3" t="inlineStr">
        <is>
          <t>src/domain/planning/index.ts</t>
        </is>
      </c>
      <c r="D431" s="3" t="n">
        <v>329</v>
      </c>
      <c r="E431" s="3" t="inlineStr">
        <is>
          <t>2 · DISPLAYED</t>
        </is>
      </c>
      <c r="F431" s="3" t="inlineStr">
        <is>
          <t>NOT DETERMINED — the code carries no note saying what this is for, and it has no row in the old inventory. Needs reading.</t>
        </is>
      </c>
      <c r="G431" s="11" t="inlineStr">
        <is>
          <t>income replacement = max(0, inp.annual income) × math.max(0, inp.years to replace)
total need = income replacement + max(0, inp.debts) + max(0, inp.future goals) + max(0, inp.final expenses)
covered = max(0, inp.liquid savings) + math.max(0, inp.existing coverage)</t>
        </is>
      </c>
      <c r="H431"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431" s="3" t="inlineStr">
        <is>
          <t>PARTLY READ — some of the code is still showing through; needs a hand pass</t>
        </is>
      </c>
      <c r="J431" s="3" t="inlineStr">
        <is>
          <t>inp: InsuranceInput</t>
        </is>
      </c>
      <c r="K431" s="3" t="inlineStr">
        <is>
          <t>InsuranceNeed</t>
        </is>
      </c>
      <c r="L431" s="3" t="inlineStr">
        <is>
          <t>1. "Gap" — on the Insurance screen
2. "Total need" — on the Insurance screen</t>
        </is>
      </c>
      <c r="M431"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431" s="3" t="inlineStr">
        <is>
          <t>Yes</t>
        </is>
      </c>
      <c r="O431" s="3" t="inlineStr">
        <is>
          <t>—</t>
        </is>
      </c>
      <c r="P431" s="3" t="n">
        <v>0</v>
      </c>
      <c r="Q431" s="3" t="inlineStr">
        <is>
          <t>None — no dependent function stands behind it</t>
        </is>
      </c>
      <c r="R431" s="3" t="inlineStr">
        <is>
          <t>No dependent function — it reads its inputs and answers</t>
        </is>
      </c>
      <c r="S431" s="3" t="inlineStr">
        <is>
          <t>—</t>
        </is>
      </c>
      <c r="T431" s="3" t="inlineStr">
        <is>
          <t>—</t>
        </is>
      </c>
      <c r="U431" s="3" t="inlineStr">
        <is>
          <t>ACTIVE</t>
        </is>
      </c>
      <c r="V431" s="3" t="inlineStr">
        <is>
          <t>2026-08-27</t>
        </is>
      </c>
      <c r="W431" s="3" t="n"/>
      <c r="X431" s="3" t="n"/>
      <c r="Y431" s="3" t="inlineStr">
        <is>
          <t>NOTHING OPEN</t>
        </is>
      </c>
    </row>
    <row r="432" ht="60" customHeight="1">
      <c r="A432" s="3" t="inlineStr">
        <is>
          <t>MK-PL-F-035</t>
        </is>
      </c>
      <c r="B432" s="3" t="inlineStr">
        <is>
          <t>retireAgeWithContribution</t>
        </is>
      </c>
      <c r="C432" s="3" t="inlineStr">
        <is>
          <t>src/domain/planning/multiGoal.ts</t>
        </is>
      </c>
      <c r="D432" s="3" t="n">
        <v>67</v>
      </c>
      <c r="E432" s="3" t="inlineStr">
        <is>
          <t>2 · DISPLAYED</t>
        </is>
      </c>
      <c r="F432" s="3" t="inlineStr">
        <is>
          <t>Earliest age the projection covers the need, WITH contributions until that age (F4's before/after).</t>
        </is>
      </c>
      <c r="G432" s="11" t="inlineStr">
        <is>
          <t>p = project nest egg({ ...inp, annual contribution: monthly contribution × 12, retire age: age, guaranteed start age: inp.guaranteed start age })
age   when will have ≥ will need
the answer = nothing</t>
        </is>
      </c>
      <c r="H432" s="3" t="inlineStr">
        <is>
          <t>P is project nest egg({ ...inp, annual contribution: monthly contribution times 12, retire age: age, guaranteed start age: inp.guaranteed start age }). When will have is at least will need, it answers age. The answer is no answer.</t>
        </is>
      </c>
      <c r="I432" s="3" t="inlineStr">
        <is>
          <t>READ FROM THE CODE — rendered from the expressions the function runs</t>
        </is>
      </c>
      <c r="J432" s="3" t="inlineStr">
        <is>
          <t>1. inp: RetirementInputs
2. monthlyContribution: number
3. maxAge = 80</t>
        </is>
      </c>
      <c r="K432" s="3" t="inlineStr">
        <is>
          <t>number | null</t>
        </is>
      </c>
      <c r="L432" s="3" t="inlineStr">
        <is>
          <t>NOT FOUND — a screen calls it, but the words printed beside its answer could not be traced automatically. Needs reading.</t>
        </is>
      </c>
      <c r="M432" s="3" t="inlineStr">
        <is>
          <t>· Turns a monthly figure into a year by multiplying by twelve.</t>
        </is>
      </c>
      <c r="N432" s="3" t="inlineStr">
        <is>
          <t>Yes</t>
        </is>
      </c>
      <c r="O432" s="3" t="inlineStr">
        <is>
          <t>1. MK-PL-F-055 projectNestEgg
2. MK-PL-F-050 simulate
3. MK-PL-F-056 solveRetireAge</t>
        </is>
      </c>
      <c r="P432" s="3" t="n">
        <v>24</v>
      </c>
      <c r="Q432"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32"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432" s="3" t="inlineStr">
        <is>
          <t>—</t>
        </is>
      </c>
      <c r="T432" s="3" t="inlineStr">
        <is>
          <t>—</t>
        </is>
      </c>
      <c r="U432" s="3" t="inlineStr">
        <is>
          <t>ACTIVE</t>
        </is>
      </c>
      <c r="V432" s="3" t="inlineStr">
        <is>
          <t>2026-08-27</t>
        </is>
      </c>
      <c r="W432" s="3" t="n"/>
      <c r="X432" s="3" t="n"/>
      <c r="Y432" s="3" t="inlineStr">
        <is>
          <t>NOTHING OPEN</t>
        </is>
      </c>
    </row>
    <row r="433" ht="60" customHeight="1">
      <c r="A433" s="3" t="inlineStr">
        <is>
          <t>MK-PL-F-036</t>
        </is>
      </c>
      <c r="B433" s="3" t="inlineStr">
        <is>
          <t>weighGoals</t>
        </is>
      </c>
      <c r="C433" s="3" t="inlineStr">
        <is>
          <t>src/domain/planning/multiGoal.ts</t>
        </is>
      </c>
      <c r="D433" s="3" t="n">
        <v>117</v>
      </c>
      <c r="E433" s="3" t="inlineStr">
        <is>
          <t>2 · DISPLAYED</t>
        </is>
      </c>
      <c r="F433" s="3" t="inlineStr">
        <is>
          <t>Run the whole combination once.</t>
        </is>
      </c>
      <c r="G433"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433"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433" s="3" t="inlineStr">
        <is>
          <t>PARTLY READ — some of the code is still showing through; needs a hand pass</t>
        </is>
      </c>
      <c r="J433" s="3" t="inlineStr">
        <is>
          <t>w: WeighInputs</t>
        </is>
      </c>
      <c r="K433" s="3" t="inlineStr">
        <is>
          <t>WeighResult</t>
        </is>
      </c>
      <c r="L433" s="3" t="inlineStr">
        <is>
          <t>NOT FOUND — a screen calls it, but the words printed beside its answer could not be traced automatically. Needs reading.</t>
        </is>
      </c>
      <c r="M433"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433" s="3" t="inlineStr">
        <is>
          <t>Yes</t>
        </is>
      </c>
      <c r="O433" s="3" t="inlineStr">
        <is>
          <t>1. MK-PL-F-021 monthsToGoal
2. MK-ST-F-039 on
3. MK-CF-F-034 payoffPlan
4. MK-PL-F-035 retireAgeWithContribution
5. MK-PL-F-050 simulate</t>
        </is>
      </c>
      <c r="P433" s="3" t="n">
        <v>28</v>
      </c>
      <c r="Q433"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433"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433" s="3" t="inlineStr">
        <is>
          <t>—</t>
        </is>
      </c>
      <c r="T433" s="3" t="inlineStr">
        <is>
          <t>—</t>
        </is>
      </c>
      <c r="U433" s="3" t="inlineStr">
        <is>
          <t>ACTIVE</t>
        </is>
      </c>
      <c r="V433" s="3" t="inlineStr">
        <is>
          <t>2026-09-09</t>
        </is>
      </c>
      <c r="W433" s="3" t="n"/>
      <c r="X433" s="3" t="n"/>
      <c r="Y433" s="3" t="inlineStr">
        <is>
          <t>NOTHING OPEN</t>
        </is>
      </c>
    </row>
    <row r="434" ht="60" customHeight="1">
      <c r="A434" s="3" t="inlineStr">
        <is>
          <t>MK-PL-F-037</t>
        </is>
      </c>
      <c r="B434" s="3" t="inlineStr">
        <is>
          <t>trimHints</t>
        </is>
      </c>
      <c r="C434" s="3" t="inlineStr">
        <is>
          <t>src/domain/planning/multiGoal.ts</t>
        </is>
      </c>
      <c r="D434" s="3" t="n">
        <v>193</v>
      </c>
      <c r="E434" s="3" t="inlineStr">
        <is>
          <t>2 · DISPLAYED</t>
        </is>
      </c>
      <c r="F434" s="3" t="inlineStr">
        <is>
          <t>One hint per active goal: the SAME weigher re-run with that dial reduced — a pre-run of the slider, so applying the hint's amount reproduces its numbers exactly (the pin).</t>
        </is>
      </c>
      <c r="G434" s="11" t="inlineStr">
        <is>
          <t>trimmed amount = max(0, round((monthly amount × reduce to) ÷ 100) × 100)
freed = monthly amount − trimmed amount
the answer:
dial id = id
label = label
trimmed amount = trimmed amount
retire age = retire age
chance = chance</t>
        </is>
      </c>
      <c r="H434"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434" s="3" t="inlineStr">
        <is>
          <t>READ FROM THE CODE — rendered from the expressions the function runs</t>
        </is>
      </c>
      <c r="J434" s="3" t="inlineStr">
        <is>
          <t>1. w: WeighInputs
2. reduceTo = 0.6</t>
        </is>
      </c>
      <c r="K434" s="3" t="inlineStr">
        <is>
          <t>TrimHint[]</t>
        </is>
      </c>
      <c r="L434" s="3" t="inlineStr">
        <is>
          <t>NOT FOUND — a screen calls it, but the words printed beside its answer could not be traced automatically. Needs reading.</t>
        </is>
      </c>
      <c r="M434" s="3" t="inlineStr">
        <is>
          <t>· Rounds the answer to a whole number.</t>
        </is>
      </c>
      <c r="N434" s="3" t="inlineStr">
        <is>
          <t>Yes</t>
        </is>
      </c>
      <c r="O434" s="3" t="inlineStr">
        <is>
          <t>1. MK-CF-F-132 map
2. MK-PL-F-036 weighGoals</t>
        </is>
      </c>
      <c r="P434" s="3" t="n">
        <v>29</v>
      </c>
      <c r="Q434"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434"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434" s="3" t="inlineStr">
        <is>
          <t>—</t>
        </is>
      </c>
      <c r="T434" s="3" t="inlineStr">
        <is>
          <t>—</t>
        </is>
      </c>
      <c r="U434" s="3" t="inlineStr">
        <is>
          <t>ACTIVE</t>
        </is>
      </c>
      <c r="V434" s="3" t="inlineStr">
        <is>
          <t>2026-08-27</t>
        </is>
      </c>
      <c r="W434" s="3" t="n"/>
      <c r="X434" s="3" t="n"/>
      <c r="Y434" s="3" t="inlineStr">
        <is>
          <t>NOTHING OPEN</t>
        </is>
      </c>
    </row>
    <row r="435" ht="60" customHeight="1">
      <c r="A435" s="3" t="inlineStr">
        <is>
          <t>MK-PL-F-038</t>
        </is>
      </c>
      <c r="B435" s="3" t="inlineStr">
        <is>
          <t>spendMoreState</t>
        </is>
      </c>
      <c r="C435" s="3" t="inlineStr">
        <is>
          <t>src/domain/planning/spendMore.ts</t>
        </is>
      </c>
      <c r="D435" s="3" t="n">
        <v>78</v>
      </c>
      <c r="E435" s="3" t="inlineStr">
        <is>
          <t>2 · DISPLAYED</t>
        </is>
      </c>
      <c r="F435" s="3" t="inlineStr">
        <is>
          <t>How much more she could spend, and how much of it is genuinely free.</t>
        </is>
      </c>
      <c r="G435" s="11" t="inlineStr">
        <is>
          <t>today = base.retire monthly spend today
odds today = odds at(base, today)
free = 0
the answer:
max extra = max extra
free extra = free
odds today = odds today</t>
        </is>
      </c>
      <c r="H435" s="3" t="inlineStr">
        <is>
          <t>Today is base.retire monthly spend today. Odds today is odds at(base, today). Free is 0. The answer is max extra = max extra; free extra = free; odds today = odds today.</t>
        </is>
      </c>
      <c r="I435" s="3" t="inlineStr">
        <is>
          <t>READ FROM THE CODE — rendered from the expressions the function runs</t>
        </is>
      </c>
      <c r="J435" s="3" t="inlineStr">
        <is>
          <t>1. base: RetirementInputs
2. maxExtra: number
3. step = 500</t>
        </is>
      </c>
      <c r="K435" s="3" t="inlineStr">
        <is>
          <t>SpendMoreState</t>
        </is>
      </c>
      <c r="L435" s="3" t="inlineStr">
        <is>
          <t>"Can I spend more?" — on a card used on more than one screen (SpendMoreControl)</t>
        </is>
      </c>
      <c r="M435" s="3" t="inlineStr">
        <is>
          <t>· Uses a built-in free of 0.</t>
        </is>
      </c>
      <c r="N435" s="3" t="inlineStr">
        <is>
          <t>Yes</t>
        </is>
      </c>
      <c r="O435" s="3" t="inlineStr">
        <is>
          <t>MK-PL-F-069 oddsAt</t>
        </is>
      </c>
      <c r="P435" s="3" t="n">
        <v>23</v>
      </c>
      <c r="Q435"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35"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35" s="3" t="inlineStr">
        <is>
          <t>—</t>
        </is>
      </c>
      <c r="T435" s="3" t="inlineStr">
        <is>
          <t>—</t>
        </is>
      </c>
      <c r="U435" s="3" t="inlineStr">
        <is>
          <t>ACTIVE</t>
        </is>
      </c>
      <c r="V435" s="3" t="inlineStr">
        <is>
          <t>2026-08-27</t>
        </is>
      </c>
      <c r="W435" s="3" t="n"/>
      <c r="X435" s="3" t="n"/>
      <c r="Y435" s="3" t="inlineStr">
        <is>
          <t>NOTHING OPEN</t>
        </is>
      </c>
    </row>
    <row r="436" ht="60" customHeight="1">
      <c r="A436" s="3" t="inlineStr">
        <is>
          <t>MK-PL-F-039</t>
        </is>
      </c>
      <c r="B436" s="3" t="inlineStr">
        <is>
          <t>spendMoreSentence</t>
        </is>
      </c>
      <c r="C436" s="3" t="inlineStr">
        <is>
          <t>src/domain/planning/spendMore.ts</t>
        </is>
      </c>
      <c r="D436" s="3" t="n">
        <v>119</v>
      </c>
      <c r="E436" s="3" t="inlineStr">
        <is>
          <t>2 · DISPLAYED</t>
        </is>
      </c>
      <c r="F436" s="3" t="inlineStr">
        <is>
          <t>What the screen says at a given stepper position — a real run every time, never a bucket.</t>
        </is>
      </c>
      <c r="G436" s="11" t="inlineStr">
        <is>
          <t>chance = odds at(base, base.retire monthly spend today + extra)
failing = round(100 − chance, 6 dp)
the answer:
chance = chance
tone = 'watch'
text = `lasts in almost every simulated future — about ${chance} out of 100.`</t>
        </is>
      </c>
      <c r="H436" s="3" t="inlineStr">
        <is>
          <t>Chance is odds at(base, base.retire monthly spend today plus extra). Failing is 100 minus chance, to 6 decimal places. The answer is chance = chance; tone = 'watch'; text = `lasts in almost every simulated future — about ${chance} out of 100.`.</t>
        </is>
      </c>
      <c r="I436" s="3" t="inlineStr">
        <is>
          <t>PARTLY READ — some of the code is still showing through; needs a hand pass</t>
        </is>
      </c>
      <c r="J436" s="3" t="inlineStr">
        <is>
          <t>1. base: RetirementInputs
2. extra: number
3. horizonAge: number
4. oddsToday: number</t>
        </is>
      </c>
      <c r="K436" s="3" t="inlineStr">
        <is>
          <t>NOT DECLARED — the code does not say what it gives back</t>
        </is>
      </c>
      <c r="L436" s="3" t="inlineStr">
        <is>
          <t>NOT FOUND — a screen calls it, but the words printed beside its answer could not be traced automatically. Needs reading.</t>
        </is>
      </c>
      <c r="M436" s="3" t="inlineStr">
        <is>
          <t>· Rounds the answer to 6 decimal places.</t>
        </is>
      </c>
      <c r="N436" s="3" t="inlineStr">
        <is>
          <t>Yes</t>
        </is>
      </c>
      <c r="O436" s="3" t="inlineStr">
        <is>
          <t>MK-PL-F-069 oddsAt</t>
        </is>
      </c>
      <c r="P436" s="3" t="n">
        <v>23</v>
      </c>
      <c r="Q436"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36"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36" s="3" t="inlineStr">
        <is>
          <t>—</t>
        </is>
      </c>
      <c r="T436" s="3" t="inlineStr">
        <is>
          <t>—</t>
        </is>
      </c>
      <c r="U436" s="3" t="inlineStr">
        <is>
          <t>ACTIVE</t>
        </is>
      </c>
      <c r="V436" s="3" t="inlineStr">
        <is>
          <t>2026-09-14</t>
        </is>
      </c>
      <c r="W436" s="3" t="n"/>
      <c r="X436" s="3" t="n"/>
      <c r="Y436" s="3" t="inlineStr">
        <is>
          <t>NOTHING OPEN</t>
        </is>
      </c>
    </row>
    <row r="437" ht="60" customHeight="1">
      <c r="A437" s="3" t="inlineStr">
        <is>
          <t>MK-PL-F-040</t>
        </is>
      </c>
      <c r="B437" s="3" t="inlineStr">
        <is>
          <t>targetAtRetirement</t>
        </is>
      </c>
      <c r="C437" s="3" t="inlineStr">
        <is>
          <t>src/domain/planning/target.ts</t>
        </is>
      </c>
      <c r="D437" s="3" t="n">
        <v>107</v>
      </c>
      <c r="E437" s="3" t="inlineStr">
        <is>
          <t>2 · DISPLAYED</t>
        </is>
      </c>
      <c r="F437" s="3" t="inlineStr">
        <is>
          <t>THE TARGET: the balance on day one of retirement that reaches TARGET_ODDS.</t>
        </is>
      </c>
      <c r="G437"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37"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37" s="3" t="inlineStr">
        <is>
          <t>PARTLY READ — the body has a loop the extractor cannot render; the steps shown are the ones before it. Needs a hand pass (G23).</t>
        </is>
      </c>
      <c r="J437" s="3" t="inlineStr">
        <is>
          <t>base: RetirementInputs</t>
        </is>
      </c>
      <c r="K437" s="3" t="inlineStr">
        <is>
          <t>number | null</t>
        </is>
      </c>
      <c r="L437" s="3" t="inlineStr">
        <is>
          <t>NOT FOUND — a screen calls it, but the words printed beside its answer could not be traced automatically. Needs reading.</t>
        </is>
      </c>
      <c r="M437" s="3" t="inlineStr">
        <is>
          <t>None found in this function — anything it assumes comes from the functions it depends on.</t>
        </is>
      </c>
      <c r="N437" s="3" t="inlineStr">
        <is>
          <t>Yes</t>
        </is>
      </c>
      <c r="O437" s="3" t="inlineStr">
        <is>
          <t>1. MK-CF-O-002 expenses
2. MK-PL-F-071 oddsOf
3. MK-PL-F-070 smallestThatWorks</t>
        </is>
      </c>
      <c r="P437" s="3" t="n">
        <v>24</v>
      </c>
      <c r="Q437"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37"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37" s="3" t="inlineStr">
        <is>
          <t>—</t>
        </is>
      </c>
      <c r="T437" s="3" t="inlineStr">
        <is>
          <t>—</t>
        </is>
      </c>
      <c r="U437" s="3" t="inlineStr">
        <is>
          <t>ACTIVE</t>
        </is>
      </c>
      <c r="V437" s="3" t="inlineStr">
        <is>
          <t>2026-09-14</t>
        </is>
      </c>
      <c r="W437" s="3" t="n"/>
      <c r="X437" s="3" t="n"/>
      <c r="Y437" s="3" t="inlineStr">
        <is>
          <t>NOTHING OPEN</t>
        </is>
      </c>
    </row>
    <row r="438" ht="60" customHeight="1">
      <c r="A438" s="3" t="inlineStr">
        <is>
          <t>MK-PL-F-041</t>
        </is>
      </c>
      <c r="B438" s="3" t="inlineStr">
        <is>
          <t>requiredAnnualSaving</t>
        </is>
      </c>
      <c r="C438" s="3" t="inlineStr">
        <is>
          <t>src/domain/planning/target.ts</t>
        </is>
      </c>
      <c r="D438" s="3" t="n">
        <v>161</v>
      </c>
      <c r="E438" s="3" t="inlineStr">
        <is>
          <t>3 · DEPENDENT</t>
        </is>
      </c>
      <c r="F438" s="3" t="inlineStr">
        <is>
          <t>THE YEARLY SAVING: the total annual contribution that reaches TARGET_ODDS on the real plan — the one with their age, their years left, their expenses, their big costs.</t>
        </is>
      </c>
      <c r="G438"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38"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38" s="3" t="inlineStr">
        <is>
          <t>PARTLY READ — the body has a loop the extractor cannot render; the steps shown are the ones before it. Needs a hand pass (G23).</t>
        </is>
      </c>
      <c r="J438" s="3" t="inlineStr">
        <is>
          <t>base: RetirementInputs</t>
        </is>
      </c>
      <c r="K438" s="3" t="inlineStr">
        <is>
          <t>NOT DECLARED — the code does not say what it gives back</t>
        </is>
      </c>
      <c r="L438" s="3" t="inlineStr">
        <is>
          <t>—</t>
        </is>
      </c>
      <c r="M438" s="3" t="inlineStr">
        <is>
          <t>· If annual contribution is missing it uses 0.</t>
        </is>
      </c>
      <c r="N438" s="3" t="inlineStr">
        <is>
          <t>Yes</t>
        </is>
      </c>
      <c r="O438" s="3" t="inlineStr">
        <is>
          <t>1. MK-PL-F-071 oddsOf
2. MK-PL-F-070 smallestThatWorks</t>
        </is>
      </c>
      <c r="P438" s="3" t="n">
        <v>24</v>
      </c>
      <c r="Q438"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38"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38" s="3" t="inlineStr">
        <is>
          <t>—</t>
        </is>
      </c>
      <c r="T438" s="3" t="inlineStr">
        <is>
          <t>—</t>
        </is>
      </c>
      <c r="U438" s="3" t="inlineStr">
        <is>
          <t>ACTIVE</t>
        </is>
      </c>
      <c r="V438" s="3" t="inlineStr">
        <is>
          <t>2026-09-14</t>
        </is>
      </c>
      <c r="W438" s="3" t="n"/>
      <c r="X438" s="3" t="n"/>
      <c r="Y438" s="3" t="inlineStr">
        <is>
          <t>NOTHING OPEN</t>
        </is>
      </c>
    </row>
    <row r="439" ht="60" customHeight="1">
      <c r="A439" s="3" t="inlineStr">
        <is>
          <t>MK-PL-F-042</t>
        </is>
      </c>
      <c r="B439" s="3" t="inlineStr">
        <is>
          <t>savingToReachTarget</t>
        </is>
      </c>
      <c r="C439" s="3" t="inlineStr">
        <is>
          <t>src/domain/planning/target.ts</t>
        </is>
      </c>
      <c r="D439" s="3" t="n">
        <v>220</v>
      </c>
      <c r="E439" s="3" t="inlineStr">
        <is>
          <t>3 · DEPENDENT</t>
        </is>
      </c>
      <c r="F439" s="3" t="inlineStr">
        <is>
          <t>The yearly saving whose PROJECTION reaches a typed target.</t>
        </is>
      </c>
      <c r="G439" s="11" t="inlineStr">
        <is>
          <t>found = smallest that works(0, MAX_SAVING, 500, (x) =&gt; projected with(x) ≥ typed target)
nothing   when found = nothing
total = round up(found ÷ 500) × 500
the answer:
total = total
extra = max(0, total − (base.annual contribution ?? 0))</t>
        </is>
      </c>
      <c r="H439"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39" s="3" t="inlineStr">
        <is>
          <t>PARTLY READ — some of the code is still showing through; needs a hand pass</t>
        </is>
      </c>
      <c r="J439" s="3" t="inlineStr">
        <is>
          <t>1. base: RetirementInputs
2. typedTarget: number</t>
        </is>
      </c>
      <c r="K439" s="3" t="inlineStr">
        <is>
          <t>NOT DECLARED — the code does not say what it gives back</t>
        </is>
      </c>
      <c r="L439" s="3" t="inlineStr">
        <is>
          <t>—</t>
        </is>
      </c>
      <c r="M439" s="3" t="inlineStr">
        <is>
          <t>· If annual contribution is missing it uses 0.</t>
        </is>
      </c>
      <c r="N439" s="3" t="inlineStr">
        <is>
          <t>Yes</t>
        </is>
      </c>
      <c r="O439" s="3" t="inlineStr">
        <is>
          <t>1. MK-PL-F-050 simulate
2. MK-PL-F-070 smallestThatWorks</t>
        </is>
      </c>
      <c r="P439" s="3" t="n">
        <v>23</v>
      </c>
      <c r="Q439"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39"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39" s="3" t="inlineStr">
        <is>
          <t>—</t>
        </is>
      </c>
      <c r="T439" s="3" t="inlineStr">
        <is>
          <t>—</t>
        </is>
      </c>
      <c r="U439" s="3" t="inlineStr">
        <is>
          <t>ACTIVE</t>
        </is>
      </c>
      <c r="V439" s="3" t="inlineStr">
        <is>
          <t>2026-08-27</t>
        </is>
      </c>
      <c r="W439" s="3" t="n"/>
      <c r="X439" s="3" t="n"/>
      <c r="Y439" s="3" t="inlineStr">
        <is>
          <t>NOTHING OPEN</t>
        </is>
      </c>
    </row>
    <row r="440" ht="60" customHeight="1">
      <c r="A440" s="3" t="inlineStr">
        <is>
          <t>MK-PL-F-043</t>
        </is>
      </c>
      <c r="B440" s="3" t="inlineStr">
        <is>
          <t>howTheGapCloses</t>
        </is>
      </c>
      <c r="C440" s="3" t="inlineStr">
        <is>
          <t>src/domain/planning/target.ts</t>
        </is>
      </c>
      <c r="D440" s="3" t="n">
        <v>254</v>
      </c>
      <c r="E440" s="3" t="inlineStr">
        <is>
          <t>2 · DISPLAYED</t>
        </is>
      </c>
      <c r="F440" s="3" t="inlineStr">
        <is>
          <t>Where the money to close the gap actually comes from — the breakdown that stops a person subtracting and concluding the app cannot add up (founder, 2026-08-14).</t>
        </is>
      </c>
      <c r="G440" s="11" t="inlineStr">
        <is>
          <t>years = max(0, base.retire age − base.current age)
no saving = simulate({ ...base, annual contribution: 0 }).projected at retirement
with saving = simulate({ ...base, annual contribution: total annual saving }).projected at retirement
put in = total annual saving × years</t>
        </is>
      </c>
      <c r="H440"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40" s="3" t="inlineStr">
        <is>
          <t>PARTLY READ — some of the code is still showing through; needs a hand pass</t>
        </is>
      </c>
      <c r="J440" s="3" t="inlineStr">
        <is>
          <t>1. base: RetirementInputs
2. totalAnnualSaving: number</t>
        </is>
      </c>
      <c r="K440" s="3" t="inlineStr">
        <is>
          <t>NOT DECLARED — the code does not say what it gives back</t>
        </is>
      </c>
      <c r="L440" s="3" t="inlineStr">
        <is>
          <t>NOT FOUND — a screen calls it, but the words printed beside its answer could not be traced automatically. Needs reading.</t>
        </is>
      </c>
      <c r="M440" s="3" t="inlineStr">
        <is>
          <t>None found in this function — anything it assumes comes from the functions it depends on.</t>
        </is>
      </c>
      <c r="N440" s="3" t="inlineStr">
        <is>
          <t>Yes</t>
        </is>
      </c>
      <c r="O440" s="3" t="inlineStr">
        <is>
          <t>1. MK-XS-F-147 call
2. MK-PL-F-050 simulate</t>
        </is>
      </c>
      <c r="P440" s="3" t="n">
        <v>26</v>
      </c>
      <c r="Q440"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40"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40" s="3" t="inlineStr">
        <is>
          <t>—</t>
        </is>
      </c>
      <c r="T440" s="3" t="inlineStr">
        <is>
          <t>—</t>
        </is>
      </c>
      <c r="U440" s="3" t="inlineStr">
        <is>
          <t>ACTIVE</t>
        </is>
      </c>
      <c r="V440" s="3" t="inlineStr">
        <is>
          <t>2026-09-09</t>
        </is>
      </c>
      <c r="W440" s="3" t="n"/>
      <c r="X440" s="3" t="n"/>
      <c r="Y440" s="3" t="inlineStr">
        <is>
          <t>NOTHING OPEN</t>
        </is>
      </c>
    </row>
    <row r="441" ht="60" customHeight="1">
      <c r="A441" s="3" t="inlineStr">
        <is>
          <t>MK-PL-F-044</t>
        </is>
      </c>
      <c r="B441" s="3" t="inlineStr">
        <is>
          <t>planTarget</t>
        </is>
      </c>
      <c r="C441" s="3" t="inlineStr">
        <is>
          <t>src/domain/planning/target.ts</t>
        </is>
      </c>
      <c r="D441" s="3" t="n">
        <v>323</v>
      </c>
      <c r="E441" s="3" t="inlineStr">
        <is>
          <t>2 · DISPLAYED</t>
        </is>
      </c>
      <c r="F441" s="3" t="inlineStr">
        <is>
          <t>One call, everything the second gauge and the bridge sentence need.</t>
        </is>
      </c>
      <c r="G441"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41"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41" s="3" t="inlineStr">
        <is>
          <t>PARTLY READ — some of the code is still showing through; needs a hand pass</t>
        </is>
      </c>
      <c r="J441" s="3" t="inlineStr">
        <is>
          <t>1. base: RetirementInputs
2. annualIncome?: number
3. roomAnnual?: number
4. typedTarget?: number | null</t>
        </is>
      </c>
      <c r="K441" s="3" t="inlineStr">
        <is>
          <t>PlanTarget</t>
        </is>
      </c>
      <c r="L441" s="3" t="inlineStr">
        <is>
          <t>NOT FOUND — a screen calls it, but the words printed beside its answer could not be traced automatically. Needs reading.</t>
        </is>
      </c>
      <c r="M441" s="3" t="inlineStr">
        <is>
          <t>1. If annual contribution is missing it uses 0.
2. Rounds the answer to a whole number.</t>
        </is>
      </c>
      <c r="N441" s="3" t="inlineStr">
        <is>
          <t>Yes</t>
        </is>
      </c>
      <c r="O441" s="3" t="inlineStr">
        <is>
          <t>1. MK-PL-F-041 requiredAnnualSaving
2. MK-PL-F-042 savingToReachTarget
3. MK-PL-F-050 simulate
4. MK-PL-F-040 targetAtRetirement
5. MK-CF-F-216 typed</t>
        </is>
      </c>
      <c r="P441" s="3" t="n">
        <v>28</v>
      </c>
      <c r="Q441" s="3" t="inlineStr">
        <is>
          <t>1. MK-PL-F-041 requiredAnnualSaving
2. MK-PL-F-042 savingToReachTarget
3. MK-PL-F-050 simulate
4. MK-PL-F-040 targetAtRetirement
5. MK-CF-F-216 typed
6. MK-PL-F-071 oddsOf
7. MK-PL-F-070 smallestThatWorks
8. MK-CF-O-002 expenses
9. MK-CF-F-132 map
10. MK-PL-F-074 median
11. MK-PL-F-072 mulberry32
12. MK-XS-F-122 n
13. MK-PL-F-073 normal
14. MK-PL-F-075 pctOfSorted
15. MK-ST-F-025 rmdStartAgeFromAge
16. MK-CF-F-151 actualSpending
17. MK-CF-F-150 debtPaymentsCountedAsExpenses
18. MK-CF-F-153 radar
19. MK-CF-F-149 recurringDebtPayments
20. MK-ST-F-024 rmdStartAge
21. MK-CF-F-148 inMonth
22. MK-ST-F-052 toNum
23. MK-CF-F-191 ym
24. MK-ST-F-056 has
25. MK-CF-F-022 paymentShape
26. MK-CF-F-152 isRadarItem
27. MK-CF-F-023 requiredPayment
28. MK-CF-F-021 defaultPaymentType</t>
        </is>
      </c>
      <c r="R441"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41" s="3" t="inlineStr">
        <is>
          <t>—</t>
        </is>
      </c>
      <c r="T441" s="3" t="inlineStr">
        <is>
          <t>—</t>
        </is>
      </c>
      <c r="U441" s="3" t="inlineStr">
        <is>
          <t>ACTIVE</t>
        </is>
      </c>
      <c r="V441" s="3" t="inlineStr">
        <is>
          <t>2026-09-09</t>
        </is>
      </c>
      <c r="W441" s="3" t="n"/>
      <c r="X441" s="3" t="n"/>
      <c r="Y441" s="3" t="inlineStr">
        <is>
          <t>NOTHING OPEN</t>
        </is>
      </c>
    </row>
    <row r="442" ht="60" customHeight="1">
      <c r="A442" s="3" t="inlineStr">
        <is>
          <t>MK-PL-F-045</t>
        </is>
      </c>
      <c r="B442" s="3" t="inlineStr">
        <is>
          <t>ssUpliftFactor</t>
        </is>
      </c>
      <c r="C442" s="3" t="inlineStr">
        <is>
          <t>src/domain/planning/target.ts</t>
        </is>
      </c>
      <c r="D442" s="3" t="n">
        <v>382</v>
      </c>
      <c r="E442" s="3" t="inlineStr">
        <is>
          <t>3 · DEPENDENT</t>
        </is>
      </c>
      <c r="F442" s="3" t="inlineStr">
        <is>
          <t>Social Security pays roughly 8% more for each year you delay past full retirement age — the claim-later lever has to raise the CHECK, not just move its start date.</t>
        </is>
      </c>
      <c r="G442" s="11" t="inlineStr">
        <is>
          <t>1 + 0.08 × max(0, to age − from age)</t>
        </is>
      </c>
      <c r="H442" s="3" t="inlineStr">
        <is>
          <t>1 plus 0.08 times to age minus from age, never below zero.</t>
        </is>
      </c>
      <c r="I442" s="3" t="inlineStr">
        <is>
          <t>READ FROM THE CODE — rendered from the expressions the function runs</t>
        </is>
      </c>
      <c r="J442" s="3" t="inlineStr">
        <is>
          <t>1. fromAge: number
2. toAge: number</t>
        </is>
      </c>
      <c r="K442" s="3" t="inlineStr">
        <is>
          <t>number</t>
        </is>
      </c>
      <c r="L442" s="3" t="inlineStr">
        <is>
          <t>—</t>
        </is>
      </c>
      <c r="M442" s="3" t="inlineStr">
        <is>
          <t>None found in this function — anything it assumes comes from the functions it depends on.</t>
        </is>
      </c>
      <c r="N442" s="3" t="inlineStr">
        <is>
          <t>Yes</t>
        </is>
      </c>
      <c r="O442" s="3" t="inlineStr">
        <is>
          <t>—</t>
        </is>
      </c>
      <c r="P442" s="3" t="n">
        <v>0</v>
      </c>
      <c r="Q442" s="3" t="inlineStr">
        <is>
          <t>None — no dependent function stands behind it</t>
        </is>
      </c>
      <c r="R442" s="3" t="inlineStr">
        <is>
          <t>No dependent function — it reads its inputs and answers</t>
        </is>
      </c>
      <c r="S442" s="3" t="inlineStr">
        <is>
          <t>—</t>
        </is>
      </c>
      <c r="T442" s="3" t="inlineStr">
        <is>
          <t>—</t>
        </is>
      </c>
      <c r="U442" s="3" t="inlineStr">
        <is>
          <t>ACTIVE</t>
        </is>
      </c>
      <c r="V442" s="3" t="inlineStr">
        <is>
          <t>2026-08-27</t>
        </is>
      </c>
      <c r="W442" s="3" t="n"/>
      <c r="X442" s="3" t="n"/>
      <c r="Y442" s="3" t="inlineStr">
        <is>
          <t>NOTHING OPEN</t>
        </is>
      </c>
    </row>
    <row r="443" ht="60" customHeight="1">
      <c r="A443" s="3" t="inlineStr">
        <is>
          <t>MK-PL-F-046</t>
        </is>
      </c>
      <c r="B443" s="3" t="inlineStr">
        <is>
          <t>leverDeltas</t>
        </is>
      </c>
      <c r="C443" s="3" t="inlineStr">
        <is>
          <t>src/domain/planning/target.ts</t>
        </is>
      </c>
      <c r="D443" s="3" t="n">
        <v>417</v>
      </c>
      <c r="E443" s="3" t="inlineStr">
        <is>
          <t>2 · DISPLAYED</t>
        </is>
      </c>
      <c r="F443" s="3" t="inlineStr">
        <is>
          <t>NOT DETERMINED — the code carries no note saying what this is for, and it has no row in the old inventory. Needs reading.</t>
        </is>
      </c>
      <c r="G443"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43"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43" s="3" t="inlineStr">
        <is>
          <t>PARTLY READ — some of the code is still showing through; needs a hand pass</t>
        </is>
      </c>
      <c r="J443" s="3" t="inlineStr">
        <is>
          <t>1. base: RetirementInputs
2. opts: { spendCutMonthly?: number; retireLaterYears?: number; claimAge?: number } = {}</t>
        </is>
      </c>
      <c r="K443" s="3" t="inlineStr">
        <is>
          <t>Lever[]</t>
        </is>
      </c>
      <c r="L443" s="3" t="inlineStr">
        <is>
          <t>NOT FOUND — a screen calls it, but the words printed beside its answer could not be traced automatically. Needs reading.</t>
        </is>
      </c>
      <c r="M443" s="3" t="inlineStr">
        <is>
          <t>1. If retire later years is missing it uses 2.
2. If spend cut monthly is missing it uses 400.
3. If claim age is missing it uses 70.
4. If guaranteed monthly income is missing it uses 0.
5. Rounds the answer to a whole number.</t>
        </is>
      </c>
      <c r="N443" s="3" t="inlineStr">
        <is>
          <t>Yes</t>
        </is>
      </c>
      <c r="O443" s="3" t="inlineStr">
        <is>
          <t>1. MK-CF-F-132 map
2. MK-PL-F-071 oddsOf
3. MK-PL-F-051 ssStreamOf
4. MK-PL-F-045 ssUpliftFactor
5. MK-PL-F-052 withSsStream</t>
        </is>
      </c>
      <c r="P443" s="3" t="n">
        <v>26</v>
      </c>
      <c r="Q443"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43"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43" s="3" t="inlineStr">
        <is>
          <t>—</t>
        </is>
      </c>
      <c r="T443" s="3" t="inlineStr">
        <is>
          <t>—</t>
        </is>
      </c>
      <c r="U443" s="3" t="inlineStr">
        <is>
          <t>ACTIVE</t>
        </is>
      </c>
      <c r="V443" s="3" t="inlineStr">
        <is>
          <t>2026-08-27</t>
        </is>
      </c>
      <c r="W443" s="3" t="n"/>
      <c r="X443" s="3" t="n"/>
      <c r="Y443" s="3" t="inlineStr">
        <is>
          <t>NOTHING OPEN</t>
        </is>
      </c>
    </row>
    <row r="444" ht="60" customHeight="1">
      <c r="A444" s="3" t="inlineStr">
        <is>
          <t>MK-PL-F-047</t>
        </is>
      </c>
      <c r="B444" s="3" t="inlineStr">
        <is>
          <t>colFactor</t>
        </is>
      </c>
      <c r="C444" s="3" t="inlineStr">
        <is>
          <t>src/domain/retirement/col.ts</t>
        </is>
      </c>
      <c r="D444" s="3" t="n">
        <v>79</v>
      </c>
      <c r="E444" s="3" t="inlineStr">
        <is>
          <t>2 · DISPLAYED</t>
        </is>
      </c>
      <c r="F444" s="3" t="inlineStr">
        <is>
          <t>Cost-of-living factor for a free-text location.</t>
        </is>
      </c>
      <c r="G444" s="11" t="inlineStr">
        <is>
          <t>q = string(location ?? '').trim().to lower case()
factor = 1
name = nothing   when q is missing
the answer:
factor = row.factor
name = row.name
[LOOP — the answer is found inside a loop the extractor cannot render; the steps above are the ones before it. Read by hand.]</t>
        </is>
      </c>
      <c r="H444" s="3" t="inlineStr">
        <is>
          <t>Q is string(location ?? '').trim().to lower case(). When q is missing, it answers factor = 1; name is missing. The answer is factor = row.factor; name = row.name. The answer is found inside a loop that cannot be rendered here; read the code by hand.</t>
        </is>
      </c>
      <c r="I444" s="3" t="inlineStr">
        <is>
          <t>PARTLY READ — the body has a loop the extractor cannot render; the steps shown are the ones before it. Needs a hand pass (G23).</t>
        </is>
      </c>
      <c r="J444" s="3" t="inlineStr">
        <is>
          <t>location?: string | null</t>
        </is>
      </c>
      <c r="K444" s="3" t="inlineStr">
        <is>
          <t>ColMatch</t>
        </is>
      </c>
      <c r="L444" s="3" t="inlineStr">
        <is>
          <t>1. "Country / region" — on the setup questions, which appear on more than one screen
2. "You plan to spend" — on the Retirement cockpit screen</t>
        </is>
      </c>
      <c r="M444" s="3" t="inlineStr">
        <is>
          <t>None found in this function — anything it assumes comes from the functions it depends on.</t>
        </is>
      </c>
      <c r="N444" s="3" t="inlineStr">
        <is>
          <t>Yes</t>
        </is>
      </c>
      <c r="O444" s="3" t="inlineStr">
        <is>
          <t>—</t>
        </is>
      </c>
      <c r="P444" s="3" t="n">
        <v>0</v>
      </c>
      <c r="Q444" s="3" t="inlineStr">
        <is>
          <t>None — no dependent function stands behind it</t>
        </is>
      </c>
      <c r="R444" s="3" t="inlineStr">
        <is>
          <t>No dependent function — it reads its inputs and answers</t>
        </is>
      </c>
      <c r="S444" s="3" t="inlineStr">
        <is>
          <t>—</t>
        </is>
      </c>
      <c r="T444" s="3" t="inlineStr">
        <is>
          <t>COST_OF_LIVING</t>
        </is>
      </c>
      <c r="U444" s="3" t="inlineStr">
        <is>
          <t>ACTIVE</t>
        </is>
      </c>
      <c r="V444" s="3" t="inlineStr">
        <is>
          <t>2026-09-08</t>
        </is>
      </c>
      <c r="W444" s="3" t="n"/>
      <c r="X444" s="3" t="n"/>
      <c r="Y444" s="3" t="inlineStr">
        <is>
          <t>NOTHING OPEN</t>
        </is>
      </c>
    </row>
    <row r="445" ht="60" customHeight="1">
      <c r="A445" s="3" t="inlineStr">
        <is>
          <t>MK-PL-F-048</t>
        </is>
      </c>
      <c r="B445" s="3" t="inlineStr">
        <is>
          <t>capitalNeeded</t>
        </is>
      </c>
      <c r="C445" s="3" t="inlineStr">
        <is>
          <t>src/domain/retirement/index.ts</t>
        </is>
      </c>
      <c r="D445" s="3" t="n">
        <v>61</v>
      </c>
      <c r="E445" s="3" t="inlineStr">
        <is>
          <t>2 · DISPLAYED</t>
        </is>
      </c>
      <c r="F445" s="3" t="inlineStr">
        <is>
          <t>NOT DETERMINED — the code carries no note saying what this is for, and it has no row in the old inventory. Needs reading.</t>
        </is>
      </c>
      <c r="G445"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45"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45" s="3" t="inlineStr">
        <is>
          <t>PARTLY READ — some of the code is still showing through; needs a hand pass</t>
        </is>
      </c>
      <c r="J445" s="3" t="inlineStr">
        <is>
          <t>inp: CapitalNeedInputs</t>
        </is>
      </c>
      <c r="K445" s="3" t="inlineStr">
        <is>
          <t>CapitalNeed</t>
        </is>
      </c>
      <c r="L445"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45" s="3" t="inlineStr">
        <is>
          <t>1. Turns a monthly figure into a year by multiplying by twelve.
2. Never lets r fall below 0.</t>
        </is>
      </c>
      <c r="N445" s="3" t="inlineStr">
        <is>
          <t>Yes</t>
        </is>
      </c>
      <c r="O445" s="3" t="inlineStr">
        <is>
          <t>—</t>
        </is>
      </c>
      <c r="P445" s="3" t="n">
        <v>0</v>
      </c>
      <c r="Q445" s="3" t="inlineStr">
        <is>
          <t>None — no dependent function stands behind it</t>
        </is>
      </c>
      <c r="R445" s="3" t="inlineStr">
        <is>
          <t>No dependent function — it reads its inputs and answers</t>
        </is>
      </c>
      <c r="S445" s="3" t="inlineStr">
        <is>
          <t>—</t>
        </is>
      </c>
      <c r="T445" s="3" t="inlineStr">
        <is>
          <t>—</t>
        </is>
      </c>
      <c r="U445" s="3" t="inlineStr">
        <is>
          <t>ACTIVE</t>
        </is>
      </c>
      <c r="V445" s="3" t="inlineStr">
        <is>
          <t>2026-08-27</t>
        </is>
      </c>
      <c r="W445" s="3" t="n"/>
      <c r="X445" s="3" t="n"/>
      <c r="Y445" s="3" t="inlineStr">
        <is>
          <t>NOTHING OPEN</t>
        </is>
      </c>
    </row>
    <row r="446" ht="60" customHeight="1">
      <c r="A446" s="3" t="inlineStr">
        <is>
          <t>MK-PL-F-049</t>
        </is>
      </c>
      <c r="B446" s="3" t="inlineStr">
        <is>
          <t>retirementSpendMonthly</t>
        </is>
      </c>
      <c r="C446" s="3" t="inlineStr">
        <is>
          <t>src/domain/retirement/index.ts</t>
        </is>
      </c>
      <c r="D446" s="3" t="n">
        <v>113</v>
      </c>
      <c r="E446" s="3" t="inlineStr">
        <is>
          <t>2 · DISPLAYED</t>
        </is>
      </c>
      <c r="F446" s="3" t="inlineStr">
        <is>
          <t>All-in monthly retirement spend = base + travel + medical (annual→monthly), adjusted by the expected trajectory (spend less / same / more later) and the retirement location's cost-of-living factor (retLocation).</t>
        </is>
      </c>
      <c r="G446"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46"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46" s="3" t="inlineStr">
        <is>
          <t>PARTLY READ — some of the code is still showing through; needs a hand pass</t>
        </is>
      </c>
      <c r="J446" s="3" t="inlineStr">
        <is>
          <t>op: OnboardingProfile | null</t>
        </is>
      </c>
      <c r="K446" s="3" t="inlineStr">
        <is>
          <t>number</t>
        </is>
      </c>
      <c r="L446" s="3" t="inlineStr">
        <is>
          <t>NOT FOUND — a screen calls it, but the words printed beside its answer could not be traced automatically. Needs reading.</t>
        </is>
      </c>
      <c r="M446" s="3" t="inlineStr">
        <is>
          <t>None found in this function — anything it assumes comes from the functions it depends on.</t>
        </is>
      </c>
      <c r="N446" s="3" t="inlineStr">
        <is>
          <t>Yes</t>
        </is>
      </c>
      <c r="O446" s="3" t="inlineStr">
        <is>
          <t>1. MK-PL-F-047 colFactor
2. MK-CF-O-002 expenses
3. MK-PL-F-001 taxBucketSplit
4. MK-ST-F-052 toNum</t>
        </is>
      </c>
      <c r="P446" s="3" t="n">
        <v>54</v>
      </c>
      <c r="Q446" s="3" t="inlineStr">
        <is>
          <t>1. MK-PL-F-047 colFactor
2. MK-CF-O-002 expenses
3. MK-PL-F-001 taxBucketSplit
4. MK-ST-F-052 toNum
5. MK-CF-F-151 actualSpending
6. MK-CF-F-150 debtPaymentsCountedAsExpenses
7. MK-CF-F-153 radar
8. MK-CF-F-149 recurringDebtPayments
9. MK-NW-F-026 accountDisplayNames
10. MK-NW-F-032 earmarkedAmount
11. MK-NW-F-031 primaryCarIdOf
12. MK-NW-F-110 primaryHomeIdOf
13. MK-PL-F-086 splitBucketOf
14. MK-PL-F-087 taxTypeNotStated
15. MK-XS-F-122 n
16. MK-CF-F-148 inMonth
17. MK-CF-F-191 ym
18. MK-ST-F-056 has
19. MK-CF-F-022 paymentShape
20. MK-CF-F-152 isRadarItem
21. MK-CF-F-023 requiredPayment
22. MK-CF-F-132 map
23. MK-NW-F-025 accountDisplayName
24. MK-NW-F-030 earmarkDefault
25. MK-NW-F-134 carValueNotEnteredNotes
26. MK-NW-F-133 valueEntered
27. MK-NW-F-117 propertyUseMap
28. MK-NW-F-007 assetKind
29. MK-NW-F-012 taxTreatmentOf
30. MK-CF-F-021 defaultPaymentType
31. MK-NW-F-024 accountLastFour
32. MK-ST-F-039 on
33. MK-NW-F-023 wrapperWord
34. MK-NW-F-011 assetClassOf
35. MK-ST-F-053 money
36. MK-NW-F-033 retirementEarmarkedValue
37. MK-NW-F-116 rentedIdsOf
38. MK-CF-F-155 cash
39. MK-NW-F-120 classEvidenceOf
40. MK-ST-F-049 formatMoney
41. MK-NW-F-115 liveRent
42. MK-NW-F-008 incomeBearingClassOf
43. MK-NW-F-009 maturityClass
44. MK-ST-F-048 currencySymbol
45. MK-NW-F-114 rentAmount
46. MK-ST-F-010 nameEvidence
47. MK-NW-F-124 maturityParts
48. MK-CF-F-216 typed
49. MK-ST-F-047 activeCurrency
50. MK-ST-F-085 rentFigure
51. MK-XS-F-147 call
52. MK-ST-F-027 accountId
53. MK-XS-F-064 currentIdToken
54. MK-XS-F-112 relayUrl</t>
        </is>
      </c>
      <c r="R446"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46" s="3" t="inlineStr">
        <is>
          <t>MK-PL-M-009</t>
        </is>
      </c>
      <c r="T446" s="3" t="inlineStr">
        <is>
          <t>RETIREMENT_SPENDING</t>
        </is>
      </c>
      <c r="U446" s="3" t="inlineStr">
        <is>
          <t>ACTIVE</t>
        </is>
      </c>
      <c r="V446" s="3" t="inlineStr">
        <is>
          <t>2026-09-12</t>
        </is>
      </c>
      <c r="W446" s="3" t="n"/>
      <c r="X446" s="3" t="n"/>
      <c r="Y446" s="3" t="inlineStr">
        <is>
          <t>NOTHING OPEN</t>
        </is>
      </c>
    </row>
    <row r="447" ht="60" customHeight="1">
      <c r="A447" s="3" t="inlineStr">
        <is>
          <t>MK-PL-F-050</t>
        </is>
      </c>
      <c r="B447" s="3" t="inlineStr">
        <is>
          <t>simulate</t>
        </is>
      </c>
      <c r="C447" s="3" t="inlineStr">
        <is>
          <t>src/domain/retirement/index.ts</t>
        </is>
      </c>
      <c r="D447" s="3" t="n">
        <v>372</v>
      </c>
      <c r="E447" s="3" t="inlineStr">
        <is>
          <t>2 · DISPLAYED</t>
        </is>
      </c>
      <c r="F447" s="3" t="inlineStr">
        <is>
          <t>B4 (founder brief 2026-08-20): the RMD rule lives in the ONE dated, sourced table — the Calculation Module's rmd function.</t>
        </is>
      </c>
      <c r="G447"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47"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47" s="3" t="inlineStr">
        <is>
          <t>PARTLY READ — some of the code is still showing through; needs a hand pass</t>
        </is>
      </c>
      <c r="J447" s="3" t="inlineStr">
        <is>
          <t>inp: RetirementInputs</t>
        </is>
      </c>
      <c r="K447" s="3" t="inlineStr">
        <is>
          <t>NOT DECLARED — the code does not say what it gives back</t>
        </is>
      </c>
      <c r="L447" s="3" t="inlineStr">
        <is>
          <t>1. "Claim at age" — on the Retirement cockpit screen
2. "Run Monte Carlo simulation" — on the Retirement cockpit screen</t>
        </is>
      </c>
      <c r="M447"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47" s="3" t="inlineStr">
        <is>
          <t>Yes</t>
        </is>
      </c>
      <c r="O447" s="3" t="inlineStr">
        <is>
          <t>1. MK-CF-O-002 expenses
2. MK-CF-F-132 map
3. MK-PL-F-074 median
4. MK-PL-F-072 mulberry32
5. MK-XS-F-122 n
6. MK-PL-F-073 normal
7. MK-PL-F-075 pctOfSorted
8. MK-ST-F-025 rmdStartAgeFromAge</t>
        </is>
      </c>
      <c r="P447" s="3" t="n">
        <v>21</v>
      </c>
      <c r="Q447"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47"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47" s="3" t="inlineStr">
        <is>
          <t>MK-CF-M-022 · MK-PL-M-034 · MK-XS-M-002</t>
        </is>
      </c>
      <c r="T447" s="3" t="inlineStr">
        <is>
          <t>WILL_IT_LAST</t>
        </is>
      </c>
      <c r="U447" s="3" t="inlineStr">
        <is>
          <t>ACTIVE</t>
        </is>
      </c>
      <c r="V447" s="3" t="inlineStr">
        <is>
          <t>2026-09-08</t>
        </is>
      </c>
      <c r="W447" s="3" t="n"/>
      <c r="X447" s="3" t="n"/>
      <c r="Y447" s="6" t="inlineStr">
        <is>
          <t>TESTED, NOT VERIFIED (G14, G17, G7, Odds — exact, no rounding)</t>
        </is>
      </c>
    </row>
    <row r="448" ht="60" customHeight="1">
      <c r="A448" s="3" t="inlineStr">
        <is>
          <t>MK-PL-F-051</t>
        </is>
      </c>
      <c r="B448" s="3" t="inlineStr">
        <is>
          <t>ssStreamOf</t>
        </is>
      </c>
      <c r="C448" s="3" t="inlineStr">
        <is>
          <t>src/domain/retirement/index.ts</t>
        </is>
      </c>
      <c r="D448" s="3" t="n">
        <v>521</v>
      </c>
      <c r="E448" s="3" t="inlineStr">
        <is>
          <t>3 · DEPENDENT</t>
        </is>
      </c>
      <c r="F448" s="3" t="inlineStr">
        <is>
          <t>The Social Security stream inside an input set, when streams are in use.</t>
        </is>
      </c>
      <c r="G448" s="11" t="inlineStr">
        <is>
          <t>st = (inp.guaranteed streams ?? []).find((x) =&gt; kind = 'ss')
the answer:
monthly = st.monthly
start age = st.start age   if st
nothing   otherwise</t>
        </is>
      </c>
      <c r="H448" s="3" t="inlineStr">
        <is>
          <t>St is (inp.guaranteed streams ?? []).find((x) =&gt; kind = 'ss'). The answer is monthly = st.monthly; start age = st.start age — when st; no answer — otherwise.</t>
        </is>
      </c>
      <c r="I448" s="3" t="inlineStr">
        <is>
          <t>PARTLY READ — some of the code is still showing through; needs a hand pass</t>
        </is>
      </c>
      <c r="J448" s="3" t="inlineStr">
        <is>
          <t>inp: RetirementInputs</t>
        </is>
      </c>
      <c r="K448" s="3" t="inlineStr">
        <is>
          <t>NOT DECLARED — the code does not say what it gives back</t>
        </is>
      </c>
      <c r="L448" s="3" t="inlineStr">
        <is>
          <t>—</t>
        </is>
      </c>
      <c r="M448" s="3" t="inlineStr">
        <is>
          <t>None found in this function — anything it assumes comes from the functions it depends on.</t>
        </is>
      </c>
      <c r="N448" s="3" t="inlineStr">
        <is>
          <t>Yes</t>
        </is>
      </c>
      <c r="O448" s="3" t="inlineStr">
        <is>
          <t>—</t>
        </is>
      </c>
      <c r="P448" s="3" t="n">
        <v>0</v>
      </c>
      <c r="Q448" s="3" t="inlineStr">
        <is>
          <t>None — no dependent function stands behind it</t>
        </is>
      </c>
      <c r="R448" s="3" t="inlineStr">
        <is>
          <t>No dependent function — it reads its inputs and answers</t>
        </is>
      </c>
      <c r="S448" s="3" t="inlineStr">
        <is>
          <t>—</t>
        </is>
      </c>
      <c r="T448" s="3" t="inlineStr">
        <is>
          <t>—</t>
        </is>
      </c>
      <c r="U448" s="3" t="inlineStr">
        <is>
          <t>ACTIVE</t>
        </is>
      </c>
      <c r="V448" s="3" t="inlineStr">
        <is>
          <t>2026-08-27</t>
        </is>
      </c>
      <c r="W448" s="3" t="n"/>
      <c r="X448" s="3" t="n"/>
      <c r="Y448" s="3" t="inlineStr">
        <is>
          <t>NOTHING OPEN</t>
        </is>
      </c>
    </row>
    <row r="449" ht="60" customHeight="1">
      <c r="A449" s="3" t="inlineStr">
        <is>
          <t>MK-PL-F-052</t>
        </is>
      </c>
      <c r="B449" s="3" t="inlineStr">
        <is>
          <t>withSsStream</t>
        </is>
      </c>
      <c r="C449" s="3" t="inlineStr">
        <is>
          <t>src/domain/retirement/index.ts</t>
        </is>
      </c>
      <c r="D449" s="3" t="n">
        <v>550</v>
      </c>
      <c r="E449" s="3" t="inlineStr">
        <is>
          <t>2 · DISPLAYED</t>
        </is>
      </c>
      <c r="F449" s="3" t="inlineStr">
        <is>
          <t>An input set with its Social Security stream replaced — the ONE way a decision screen patches a claim scenario, so the flat streams ride along untouched and the legacy fields stay in step for anything still reading them.</t>
        </is>
      </c>
      <c r="G449" s="11" t="inlineStr">
        <is>
          <t>others = inp.guaranteed streams (or none when missing) where kind ! = 'ss'</t>
        </is>
      </c>
      <c r="H449" s="3" t="inlineStr">
        <is>
          <t>Others is inp.guaranteed streams (or none — when missing) where kind ! = 'ss'.</t>
        </is>
      </c>
      <c r="I449" s="3" t="inlineStr">
        <is>
          <t>PARTLY READ — some of the code is still showing through; needs a hand pass</t>
        </is>
      </c>
      <c r="J449" s="3" t="inlineStr">
        <is>
          <t>1. inp: RetirementInputs
2. monthly: number
3. claimAge: number</t>
        </is>
      </c>
      <c r="K449" s="3" t="inlineStr">
        <is>
          <t>RetirementInputs</t>
        </is>
      </c>
      <c r="L449" s="3" t="inlineStr">
        <is>
          <t>NOT FOUND — a screen calls it, but the words printed beside its answer could not be traced automatically. Needs reading.</t>
        </is>
      </c>
      <c r="M449" s="3" t="inlineStr">
        <is>
          <t>None found in this function — anything it assumes comes from the functions it depends on.</t>
        </is>
      </c>
      <c r="N449" s="3" t="inlineStr">
        <is>
          <t>Yes</t>
        </is>
      </c>
      <c r="O449" s="3" t="inlineStr">
        <is>
          <t>—</t>
        </is>
      </c>
      <c r="P449" s="3" t="n">
        <v>0</v>
      </c>
      <c r="Q449" s="3" t="inlineStr">
        <is>
          <t>None — no dependent function stands behind it</t>
        </is>
      </c>
      <c r="R449" s="3" t="inlineStr">
        <is>
          <t>No dependent function — it reads its inputs and answers</t>
        </is>
      </c>
      <c r="S449" s="3" t="inlineStr">
        <is>
          <t>—</t>
        </is>
      </c>
      <c r="T449" s="3" t="inlineStr">
        <is>
          <t>—</t>
        </is>
      </c>
      <c r="U449" s="3" t="inlineStr">
        <is>
          <t>ACTIVE</t>
        </is>
      </c>
      <c r="V449" s="3" t="inlineStr">
        <is>
          <t>2026-08-27</t>
        </is>
      </c>
      <c r="W449" s="3" t="n"/>
      <c r="X449" s="3" t="n"/>
      <c r="Y449" s="3" t="inlineStr">
        <is>
          <t>NOTHING OPEN</t>
        </is>
      </c>
    </row>
    <row r="450" ht="60" customHeight="1">
      <c r="A450" s="3" t="inlineStr">
        <is>
          <t>MK-PL-F-053</t>
        </is>
      </c>
      <c r="B450" s="3" t="inlineStr">
        <is>
          <t>buildRetirementState</t>
        </is>
      </c>
      <c r="C450" s="3" t="inlineStr">
        <is>
          <t>src/domain/retirement/index.ts</t>
        </is>
      </c>
      <c r="D450" s="3" t="n">
        <v>584</v>
      </c>
      <c r="E450" s="3" t="inlineStr">
        <is>
          <t>3 · DEPENDENT</t>
        </is>
      </c>
      <c r="F450" s="3" t="inlineStr">
        <is>
          <t>NOT DETERMINED — the code carries no note saying what this is for, and it has no row in the old inventory. Needs reading.</t>
        </is>
      </c>
      <c r="G450" s="11" t="inlineStr">
        <is>
          <t>sim = simulate(inp)</t>
        </is>
      </c>
      <c r="H450" s="3" t="inlineStr">
        <is>
          <t>Sim is simulate(inp).</t>
        </is>
      </c>
      <c r="I450" s="3" t="inlineStr">
        <is>
          <t>READ FROM THE CODE — rendered from the expressions the function runs</t>
        </is>
      </c>
      <c r="J450" s="3" t="inlineStr">
        <is>
          <t>1. uid: UserId
2. inp: RetirementInputs</t>
        </is>
      </c>
      <c r="K450" s="3" t="inlineStr">
        <is>
          <t>RetirementState</t>
        </is>
      </c>
      <c r="L450" s="3" t="inlineStr">
        <is>
          <t>—</t>
        </is>
      </c>
      <c r="M450" s="3" t="inlineStr">
        <is>
          <t>· If paths is missing it uses 1000.</t>
        </is>
      </c>
      <c r="N450" s="3" t="inlineStr">
        <is>
          <t>Yes</t>
        </is>
      </c>
      <c r="O450" s="3" t="inlineStr">
        <is>
          <t>1. MK-PL-F-050 simulate
2. MK-XS-F-175 uid</t>
        </is>
      </c>
      <c r="P450" s="3" t="n">
        <v>212</v>
      </c>
      <c r="Q450"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MK-CF-F-218 moveOldRentFigure
28. MK-ST-F-043 newEntityId
29. MK-XS-F-006 pruneDaily
30. MK-ST-F-073 rebuildDays
31. MK-NW-F-054 reclassifyAccounts
32. MK-XS-F-174 recomputeBalances
33. MK-CF-F-115 restoreUndo
34. MK-CF-F-109 reviewTransactions
35. MK-ST-F-044 setMoneyFormat
36. MK-NW-O-004 theEmergencyFund
37. MK-CF-F-114 undoSnapshot
38. MK-CF-F-191 ym
39. MK-CF-F-151 actualSpending
40. MK-CF-F-150 debtPaymentsCountedAsExpenses
41. MK-CF-F-153 radar
42. MK-CF-F-149 recurringDebtPayments
43. MK-ST-F-024 rmdStartAge
44. MK-CF-F-138 addLot
45. MK-CF-F-136 bumpCash
46. MK-CF-F-137 findPos
47. MK-CF-F-139 removeShares
48. MK-PF-F-001 totalShares
49. MK-ST-F-052 toNum
50. MK-ST-F-053 money
51. MK-CF-F-085 filingStatusOf
52. MK-CF-F-097 grossFromNet
53. MK-CF-F-185 needsTakeHomeConversion
54. MK-CF-F-089 over65CountOf
55. MK-CF-F-037 inferDebtType
56. MK-CF-F-217 hasOldRentFigure
57. MK-CF-F-216 typed
58. MK-ST-F-069 amountOf
59. MK-CF-F-133 cashOf
60. MK-ST-F-066 isDayKey
61. MK-ST-F-070 isOpening
62. MK-ST-F-039 on
63. MK-ST-F-071 rebuildableFrom
64. MK-ST-F-068 stepDay
65. MK-ST-F-072 undo
66. MK-NW-F-053 correctClassOf
67. MK-NW-F-123 holdingNameEvidence
68. MK-NW-F-121 holdingTagClass
69. MK-NW-F-122 holdingTagFor
70. MK-PF-F-002 costBasis
71. MK-PF-F-009 latestClose
72. MK-PF-F-004 marketValue
73. MK-ST-F-030 record
74. MK-XS-F-024 resolveLens
75. MK-ST-F-055 round2
76. MK-CF-F-162 daysApart
77. MK-CF-F-108 isMoneyOut
78. MK-CF-F-131 normPayee
79. MK-CF-F-155 cash
80. MK-NW-F-016 cashTotal
81. MK-CF-F-010 emergencyTest
82. MK-CF-F-190 essentialsMonthly
83. MK-CF-O-004 incomeSummary
84. MK-CF-F-009 monthlyEssentials
85. MK-CF-F-022 paymentShape
86. MK-CF-F-002 plannedMonthlySpend
87. MK-NW-F-117 propertyUseMap
88. MK-ST-F-085 rentFigure
89. MK-CF-O-020 theBudgetCounted
90. MK-CF-F-113 affectedAccountIds
91. MK-CF-F-148 inMonth
92. MK-CF-F-152 isRadarItem
93. MK-CF-F-023 requiredPayment
94. MK-CF-F-134 usesSleeve
95. MK-ST-F-049 formatMoney
96. MK-CF-F-101 taxOwedFor
97. MK-ST-F-067 utcOfDay
98. MK-ST-F-035 covers
99. MK-NW-F-120 classEvidenceOf
100. MK-NW-F-008 incomeBearingClassOf
101. MK-PF-F-031 contractMultiplier
102. MK-PF-F-035 unknownFigure
103. MK-CF-F-072 currentRetirementIncomeMonthly
104. MK-NW-F-027 accountClassBreakdown
105. MK-NW-F-029 assetAllocation
106. MK-NW-F-011 assetClassOf
107. MK-CF-F-189 essentialsFromLoggedSpending
108. MK-CF-F-203 MONTH
109. MK-CF-O-001 basePay
110. MK-CF-F-069 benefitActiveMonths
111. MK-CF-F-173 earnerWages
112. MK-CF-F-179 entryFromWage
113. MK-CF-F-071 extraIncome
114. MK-CF-F-092 incomeMonthlyGrid
115. MK-CF-F-192 inflowLabel
116. MK-CF-F-103 marginalBracketFor
117. MK-CF-F-181 rateInForce
118. MK-CF-F-068 rentalNetAnnual
119. MK-CF-F-082 salaryAnnual
120. MK-CF-F-060 salaryGrossByMonth
121. MK-CF-F-084 taxableAnnual
122. MK-CF-F-120 pctBaseMonthly
123. MK-CF-F-004 spendBuckets
124. MK-CF-F-021 defaultPaymentType
125. MK-XS-F-027 takeHomeMonthly
126. MK-NW-F-116 rentedIdsOf
127. MK-NW-F-106 mortgagesByProperty
128. MK-NW-F-107 propertyUses
129. MK-ST-F-048 currencySymbol
130. MK-CF-F-100 taxableIncomeFor
131. MK-ST-F-034 firstDate
132. MK-NW-F-009 maturityClass
133. MK-ST-F-010 nameEvidence
134. MK-CF-F-075 retirementIncomeMonthly
135. MK-NW-F-109 holdingClassOf
136. MK-NW-F-067 plural
137. MK-CF-O-010 theMonth
138. MK-CF-F-171 earnerPay
139. MK-CF-F-204 line
140. MK-HM-F-006 money0
141. MK-CF-F-198 payrollTaxWithheld
142. MK-CF-F-172 hasWage
143. MK-CF-F-165 salaryMonths
144. MK-CF-F-070 benefitAnnual
145. MK-CF-F-065 equityVestWeights
146. MK-CF-F-206 householdK401ByMonth
147. MK-CF-F-087 monthlyTaxRates
148. MK-CF-F-073 otherIncomeMonth
149. MK-CF-F-066 rsuAnnual
150. MK-CF-F-077 scholarshipByCalendarMonth
151. MK-CF-F-088 taxableByCalendarMonth
152. MK-CF-F-177 wageGrossByMonth
153. MK-PL-F-012 waterfall
154. MK-CF-F-193 inflowSourceWord
155. MK-CF-F-180 enteredLandsAnnual
156. MK-CF-F-086 stateRateOf
157. MK-CF-F-067 rentalList
158. MK-CF-F-176 sumMonthsOverEarners
159. MK-CF-F-074 tipsAnnual
160. MK-CF-F-003 categoryMonthly
161. MK-CF-F-011 savingsByMonth
162. MK-NW-F-115 liveRent
163. MK-ST-F-047 activeCurrency
164. MK-CF-F-099 deductionFor
165. MK-NW-F-124 maturityParts
166. MK-XS-F-147 call
167. MK-CF-O-003 thisMonth
168. MK-CF-F-143 annualisedGross
169. MK-CF-F-145 deductionsFromPay
170. MK-CF-F-128 grossByMonth
171. MK-CF-F-146 payFiguresAgree
172. MK-CF-F-144 takeHomeAsEntered
173. MK-XS-F-180 declareFigures
174. MK-HM-F-005 pctTxt
175. MK-CF-F-062 equityRowValue
176. MK-CF-F-090 effectiveRate
177. MK-CF-F-063 rowVestYear
178. MK-CF-F-130 enteredMonthlyRaw
179. MK-CF-F-166 hasMonthlySalaryTable
180. MK-ST-F-036 reconcile
181. MK-CF-F-167 salaryCalendarYear
182. MK-CF-F-081 salaryActiveMonths
183. MK-CF-F-008 spendByMonth
184. MK-NW-F-114 rentAmount
185. MK-CF-F-187 seniorDeductionFor
186. MK-XS-F-064 currentIdToken
187. MK-XS-F-112 relayUrl
188. MK-CF-F-005 actualMonthFlow
189. MK-CF-F-156 plannedMonthFlow
190. MK-CF-F-142 monthsOf
191. MK-CF-F-141 perMonth
192. MK-NW-F-078 ONE
193. MK-CF-F-157 debtPaymentsByDebt
194. MK-CF-F-140 periodsAYear
195. MK-NW-F-077 ALL
196. MK-NW-F-059 currentYield
197. MK-NW-O-001 theBonds
198. MK-NW-F-112 yearlyInterest
199. MK-NW-F-057 annualCoupon
200. MK-NW-F-056 bondInfo
201. MK-NW-F-064 bondRateSensitivity
202. MK-NW-F-061 bondSummary
203. MK-NW-F-055 isBond
204. MK-NW-F-072 rowOf
205. MK-NW-F-060 approxYTM
206. MK-NW-F-069 priceAtYield
207. MK-NW-F-131 pricedLikeBond
208. MK-NW-F-125 isPastMaturity
209. MK-NW-F-126 yearlyInterestNow
210. MK-NW-F-070 accruedInterestCaveat
211. MK-NW-F-058 yearsToMaturity
212. MK-NW-F-119 estimatedAccrued</t>
        </is>
      </c>
      <c r="R450"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50" s="3" t="inlineStr">
        <is>
          <t>—</t>
        </is>
      </c>
      <c r="T450" s="3" t="inlineStr">
        <is>
          <t>—</t>
        </is>
      </c>
      <c r="U450" s="3" t="inlineStr">
        <is>
          <t>ACTIVE</t>
        </is>
      </c>
      <c r="V450" s="3" t="inlineStr">
        <is>
          <t>2026-08-27</t>
        </is>
      </c>
      <c r="W450" s="3" t="n"/>
      <c r="X450" s="3" t="n"/>
      <c r="Y450" s="3" t="inlineStr">
        <is>
          <t>NOTHING OPEN</t>
        </is>
      </c>
    </row>
    <row r="451" ht="60" customHeight="1">
      <c r="A451" s="3" t="inlineStr">
        <is>
          <t>MK-PL-F-054</t>
        </is>
      </c>
      <c r="B451" s="3" t="inlineStr">
        <is>
          <t>growOneYear</t>
        </is>
      </c>
      <c r="C451" s="3" t="inlineStr">
        <is>
          <t>src/domain/retirement/index.ts</t>
        </is>
      </c>
      <c r="D451" s="3" t="n">
        <v>623</v>
      </c>
      <c r="E451" s="3" t="inlineStr">
        <is>
          <t>3 · DEPENDENT</t>
        </is>
      </c>
      <c r="F451" s="3" t="inlineStr">
        <is>
          <t>── Deterministic projection (instant — drives the live sliders; no RNG) ────────────── Assumes the average return every year (no market swings).</t>
        </is>
      </c>
      <c r="G451" s="11" t="inlineStr">
        <is>
          <t>balance × (1 + (rate or 0))</t>
        </is>
      </c>
      <c r="H451" s="3" t="inlineStr">
        <is>
          <t>balance times (1 plus (rate or 0)).</t>
        </is>
      </c>
      <c r="I451" s="3" t="inlineStr">
        <is>
          <t>READ FROM THE CODE — rendered from the expressions the function runs</t>
        </is>
      </c>
      <c r="J451" s="3" t="inlineStr">
        <is>
          <t>1. balance: number
2. rate: number</t>
        </is>
      </c>
      <c r="K451" s="3" t="inlineStr">
        <is>
          <t>number</t>
        </is>
      </c>
      <c r="L451" s="3" t="inlineStr">
        <is>
          <t>—</t>
        </is>
      </c>
      <c r="M451" s="3" t="inlineStr">
        <is>
          <t>· If rate is missing it counts as zero, so nothing recorded and a real zero look the same.</t>
        </is>
      </c>
      <c r="N451" s="3" t="inlineStr">
        <is>
          <t>Yes</t>
        </is>
      </c>
      <c r="O451" s="3" t="inlineStr">
        <is>
          <t>—</t>
        </is>
      </c>
      <c r="P451" s="3" t="n">
        <v>0</v>
      </c>
      <c r="Q451" s="3" t="inlineStr">
        <is>
          <t>None — no dependent function stands behind it</t>
        </is>
      </c>
      <c r="R451" s="3" t="inlineStr">
        <is>
          <t>No dependent function — it reads its inputs and answers</t>
        </is>
      </c>
      <c r="S451" s="3" t="inlineStr">
        <is>
          <t>—</t>
        </is>
      </c>
      <c r="T451" s="3" t="inlineStr">
        <is>
          <t>—</t>
        </is>
      </c>
      <c r="U451" s="3" t="inlineStr">
        <is>
          <t>ACTIVE</t>
        </is>
      </c>
      <c r="V451" s="3" t="inlineStr">
        <is>
          <t>2026-08-27</t>
        </is>
      </c>
      <c r="W451" s="3" t="n"/>
      <c r="X451" s="3" t="n"/>
      <c r="Y451" s="3" t="inlineStr">
        <is>
          <t>NOTHING OPEN</t>
        </is>
      </c>
    </row>
    <row r="452" ht="60" customHeight="1">
      <c r="A452" s="3" t="inlineStr">
        <is>
          <t>MK-PL-F-055</t>
        </is>
      </c>
      <c r="B452" s="3" t="inlineStr">
        <is>
          <t>projectNestEgg</t>
        </is>
      </c>
      <c r="C452" s="3" t="inlineStr">
        <is>
          <t>src/domain/retirement/index.ts</t>
        </is>
      </c>
      <c r="D452" s="3" t="n">
        <v>669</v>
      </c>
      <c r="E452" s="3" t="inlineStr">
        <is>
          <t>2 · DISPLAYED</t>
        </is>
      </c>
      <c r="F452" s="3" t="inlineStr">
        <is>
          <t>What will the pot be worth at retirement, and how big does it need to be?</t>
        </is>
      </c>
      <c r="G452" s="11" t="inlineStr">
        <is>
          <t>years to retire  n = max(0, retire age − age today)
pot = start balance × (1 + r)^n
    + Σ for year y = 0 … n−1 of ( contribution × (1 + g)^y × (1 + r)^(n − y − 1) )
where r = the assumed return and g = the rate contributions grow</t>
        </is>
      </c>
      <c r="H452"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52" s="3" t="inlineStr">
        <is>
          <t>READ BY HAND 2026-08-26 — checked line by line against the code</t>
        </is>
      </c>
      <c r="J452" s="3" t="inlineStr">
        <is>
          <t>inp: RetirementInputs</t>
        </is>
      </c>
      <c r="K452" s="3" t="inlineStr">
        <is>
          <t>NestEggProjection</t>
        </is>
      </c>
      <c r="L452" s="3" t="inlineStr">
        <is>
          <t>NOT FOUND — a screen calls it, but the words printed beside its answer could not be traced automatically. Needs reading.</t>
        </is>
      </c>
      <c r="M452"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52" s="3" t="inlineStr">
        <is>
          <t>Yes</t>
        </is>
      </c>
      <c r="O452" s="3" t="inlineStr">
        <is>
          <t>1. MK-CF-F-132 map
2. MK-PL-F-050 simulate</t>
        </is>
      </c>
      <c r="P452" s="3" t="n">
        <v>22</v>
      </c>
      <c r="Q452"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52"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52" s="3" t="inlineStr">
        <is>
          <t>MK-PL-M-026 · MK-PL-M-033</t>
        </is>
      </c>
      <c r="T452" s="3" t="inlineStr">
        <is>
          <t>POT_AT_RETIREMENT</t>
        </is>
      </c>
      <c r="U452" s="3" t="inlineStr">
        <is>
          <t>ACTIVE</t>
        </is>
      </c>
      <c r="V452" s="3" t="inlineStr">
        <is>
          <t>2026-08-27</t>
        </is>
      </c>
      <c r="W452" s="3" t="n"/>
      <c r="X452" s="3" t="n"/>
      <c r="Y452" s="3" t="inlineStr">
        <is>
          <t>NOTHING OPEN</t>
        </is>
      </c>
    </row>
    <row r="453" ht="60" customHeight="1">
      <c r="A453" s="3" t="inlineStr">
        <is>
          <t>MK-PL-F-056</t>
        </is>
      </c>
      <c r="B453" s="3" t="inlineStr">
        <is>
          <t>solveRetireAge</t>
        </is>
      </c>
      <c r="C453" s="3" t="inlineStr">
        <is>
          <t>src/domain/retirement/index.ts</t>
        </is>
      </c>
      <c r="D453" s="3" t="n">
        <v>727</v>
      </c>
      <c r="E453" s="3" t="inlineStr">
        <is>
          <t>2 · DISPLAYED</t>
        </is>
      </c>
      <c r="F453" s="3" t="inlineStr">
        <is>
          <t>"Even if you never save another dollar, you can retire at age Y." Earliest retire age where the current pot (no further contributions) already covers the plan.</t>
        </is>
      </c>
      <c r="G453" s="11" t="inlineStr">
        <is>
          <t>p = project nest egg({ ...inp, annual contribution: 0, retire age: age, guaranteed start age: inp.guaranteed start age })
age   when will have ≥ will need
the answer = nothing</t>
        </is>
      </c>
      <c r="H453" s="3" t="inlineStr">
        <is>
          <t>P is project nest egg({ ...inp, annual contribution: 0, retire age: age, guaranteed start age: inp.guaranteed start age }). When will have is at least will need, it answers age. The answer is no answer.</t>
        </is>
      </c>
      <c r="I453" s="3" t="inlineStr">
        <is>
          <t>READ FROM THE CODE — rendered from the expressions the function runs</t>
        </is>
      </c>
      <c r="J453" s="3" t="inlineStr">
        <is>
          <t>1. inp: RetirementInputs
2. maxAge = 80</t>
        </is>
      </c>
      <c r="K453" s="3" t="inlineStr">
        <is>
          <t>number | null</t>
        </is>
      </c>
      <c r="L453" s="3" t="inlineStr">
        <is>
          <t>"IF YOU NEVER SAVE AGAIN" — on the Retirement cockpit screen</t>
        </is>
      </c>
      <c r="M453" s="3" t="inlineStr">
        <is>
          <t>None found in this function — anything it assumes comes from the functions it depends on.</t>
        </is>
      </c>
      <c r="N453" s="3" t="inlineStr">
        <is>
          <t>Yes</t>
        </is>
      </c>
      <c r="O453" s="3" t="inlineStr">
        <is>
          <t>MK-PL-F-055 projectNestEgg</t>
        </is>
      </c>
      <c r="P453" s="3" t="n">
        <v>23</v>
      </c>
      <c r="Q453"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53"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53" s="3" t="inlineStr">
        <is>
          <t>—</t>
        </is>
      </c>
      <c r="T453" s="3" t="inlineStr">
        <is>
          <t>—</t>
        </is>
      </c>
      <c r="U453" s="3" t="inlineStr">
        <is>
          <t>ACTIVE</t>
        </is>
      </c>
      <c r="V453" s="3" t="inlineStr">
        <is>
          <t>2026-08-27</t>
        </is>
      </c>
      <c r="W453" s="3" t="n"/>
      <c r="X453" s="3" t="n"/>
      <c r="Y453" s="3" t="inlineStr">
        <is>
          <t>NOTHING OPEN</t>
        </is>
      </c>
    </row>
    <row r="454" ht="60" customHeight="1">
      <c r="A454" s="3" t="inlineStr">
        <is>
          <t>MK-PL-F-057</t>
        </is>
      </c>
      <c r="B454" s="3" t="inlineStr">
        <is>
          <t>fullRetirementAge</t>
        </is>
      </c>
      <c r="C454" s="3" t="inlineStr">
        <is>
          <t>src/domain/retirement/ssTiming.ts</t>
        </is>
      </c>
      <c r="D454" s="3" t="n">
        <v>49</v>
      </c>
      <c r="E454" s="3" t="inlineStr">
        <is>
          <t>3 · DEPENDENT</t>
        </is>
      </c>
      <c r="F454" s="3" t="inlineStr">
        <is>
          <t>Full retirement age in YEARS (fractional — 66y4m = 66.333…), from the birth year.</t>
        </is>
      </c>
      <c r="G454" s="11" t="inlineStr">
        <is>
          <t>full retirement age = 67                          when born 1960 or later
                      66 + (birth year − 1954) × 2 months   when born 1955-1959
                      66                          when born 1954 or earlier</t>
        </is>
      </c>
      <c r="H454"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54" s="3" t="inlineStr">
        <is>
          <t>READ BY HAND 2026-08-26 — checked line by line against the code</t>
        </is>
      </c>
      <c r="J454" s="3" t="inlineStr">
        <is>
          <t>birthYear?: number | null</t>
        </is>
      </c>
      <c r="K454" s="3" t="inlineStr">
        <is>
          <t>number</t>
        </is>
      </c>
      <c r="L454" s="3" t="inlineStr">
        <is>
          <t>—</t>
        </is>
      </c>
      <c r="M454" s="3" t="inlineStr">
        <is>
          <t>None found in this function — anything it assumes comes from the functions it depends on.</t>
        </is>
      </c>
      <c r="N454" s="3" t="inlineStr">
        <is>
          <t>Yes</t>
        </is>
      </c>
      <c r="O454" s="3" t="inlineStr">
        <is>
          <t>—</t>
        </is>
      </c>
      <c r="P454" s="3" t="n">
        <v>0</v>
      </c>
      <c r="Q454" s="3" t="inlineStr">
        <is>
          <t>None — no dependent function stands behind it</t>
        </is>
      </c>
      <c r="R454" s="3" t="inlineStr">
        <is>
          <t>No dependent function — it reads its inputs and answers</t>
        </is>
      </c>
      <c r="S454" s="3" t="inlineStr">
        <is>
          <t>—</t>
        </is>
      </c>
      <c r="T454" s="3" t="inlineStr">
        <is>
          <t>SS_FULL_RETIREMENT_AGE</t>
        </is>
      </c>
      <c r="U454" s="3" t="inlineStr">
        <is>
          <t>ACTIVE</t>
        </is>
      </c>
      <c r="V454" s="3" t="inlineStr">
        <is>
          <t>2026-08-27</t>
        </is>
      </c>
      <c r="W454" s="3" t="n"/>
      <c r="X454" s="3" t="n"/>
      <c r="Y454" s="3" t="inlineStr">
        <is>
          <t>NOTHING OPEN</t>
        </is>
      </c>
    </row>
    <row r="455" ht="60" customHeight="1">
      <c r="A455" s="3" t="inlineStr">
        <is>
          <t>MK-PL-F-058</t>
        </is>
      </c>
      <c r="B455" s="3" t="inlineStr">
        <is>
          <t>ssClaimFactorFor</t>
        </is>
      </c>
      <c r="C455" s="3" t="inlineStr">
        <is>
          <t>src/domain/retirement/ssTiming.ts</t>
        </is>
      </c>
      <c r="D455" s="3" t="n">
        <v>96</v>
      </c>
      <c r="E455" s="3" t="inlineStr">
        <is>
          <t>3 · DEPENDENT</t>
        </is>
      </c>
      <c r="F455" s="3" t="inlineStr">
        <is>
          <t>SSA factor for a claim age (62–70), relative to the statement amount at the person's OWN full retirement age.</t>
        </is>
      </c>
      <c r="G455" s="11" t="inlineStr">
        <is>
          <t>months = round(claim age) × 12 − full retirement age × 12
factor = 1                                                   when months = 0
         1 − (first 36 early months × 5/9 of 1%)
           − (each further early month × 5/12 of 1%)          when claiming early
         1 + (each month claimed late × 2/3 of 1%)            when claiming late</t>
        </is>
      </c>
      <c r="H455"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55" s="3" t="inlineStr">
        <is>
          <t>READ BY HAND 2026-08-26 — checked line by line against the code</t>
        </is>
      </c>
      <c r="J455" s="3" t="inlineStr">
        <is>
          <t>1. claimAge: number
2. birthYear?: number | null</t>
        </is>
      </c>
      <c r="K455" s="3" t="inlineStr">
        <is>
          <t>number</t>
        </is>
      </c>
      <c r="L455" s="3" t="inlineStr">
        <is>
          <t>—</t>
        </is>
      </c>
      <c r="M455" s="3" t="inlineStr">
        <is>
          <t>1. Turns a monthly figure into a year by multiplying by twelve.
2. Caps early at 36.
3. Rounds the answer to a whole number.</t>
        </is>
      </c>
      <c r="N455" s="3" t="inlineStr">
        <is>
          <t>Yes</t>
        </is>
      </c>
      <c r="O455" s="3" t="inlineStr">
        <is>
          <t>MK-PL-F-057 fullRetirementAge</t>
        </is>
      </c>
      <c r="P455" s="3" t="n">
        <v>1</v>
      </c>
      <c r="Q455" s="3" t="inlineStr">
        <is>
          <t>MK-PL-F-057 fullRetirementAge</t>
        </is>
      </c>
      <c r="R455" s="3" t="inlineStr">
        <is>
          <t>MK-PL-F-057 fullRetirementAge → MK-PL-F-058 ssClaimFactorFor</t>
        </is>
      </c>
      <c r="S455" s="3" t="inlineStr">
        <is>
          <t>MK-PL-M-019</t>
        </is>
      </c>
      <c r="T455" s="3" t="inlineStr">
        <is>
          <t>SS_CLAIM_FACTOR</t>
        </is>
      </c>
      <c r="U455" s="3" t="inlineStr">
        <is>
          <t>ACTIVE</t>
        </is>
      </c>
      <c r="V455" s="3" t="inlineStr">
        <is>
          <t>2026-08-27</t>
        </is>
      </c>
      <c r="W455" s="3" t="n"/>
      <c r="X455" s="3" t="n"/>
      <c r="Y455" s="3" t="inlineStr">
        <is>
          <t>NOTHING OPEN</t>
        </is>
      </c>
    </row>
    <row r="456" ht="45" customHeight="1">
      <c r="A456" s="3" t="inlineStr">
        <is>
          <t>MK-PL-F-059</t>
        </is>
      </c>
      <c r="B456" s="3" t="inlineStr">
        <is>
          <t>ssClaimFactor</t>
        </is>
      </c>
      <c r="C456" s="3" t="inlineStr">
        <is>
          <t>src/domain/retirement/ssTiming.ts</t>
        </is>
      </c>
      <c r="D456" s="3" t="n">
        <v>127</v>
      </c>
      <c r="E456" s="3" t="inlineStr">
        <is>
          <t>3 · DEPENDENT (feeds an action only)</t>
        </is>
      </c>
      <c r="F456" s="3" t="inlineStr">
        <is>
          <t>The pre-table factor, anchored at 67 — unchanged behaviour for anyone born 1960+.</t>
        </is>
      </c>
      <c r="G456" s="11" t="inlineStr">
        <is>
          <t>ss claim factor for(claim age, nothing)</t>
        </is>
      </c>
      <c r="H456" s="3" t="inlineStr">
        <is>
          <t>ss claim factor for(claim age, no answer).</t>
        </is>
      </c>
      <c r="I456" s="3" t="inlineStr">
        <is>
          <t>READ FROM THE CODE — rendered from the expressions the function runs</t>
        </is>
      </c>
      <c r="J456" s="3" t="inlineStr">
        <is>
          <t>claimAge: number</t>
        </is>
      </c>
      <c r="K456" s="3" t="inlineStr">
        <is>
          <t>number</t>
        </is>
      </c>
      <c r="L456" s="3" t="inlineStr">
        <is>
          <t>—</t>
        </is>
      </c>
      <c r="M456" s="3" t="inlineStr">
        <is>
          <t>None found in this function — anything it assumes comes from the functions it depends on.</t>
        </is>
      </c>
      <c r="N456" s="3" t="inlineStr">
        <is>
          <t>No</t>
        </is>
      </c>
      <c r="O456" s="3" t="inlineStr">
        <is>
          <t>MK-PL-F-058 ssClaimFactorFor</t>
        </is>
      </c>
      <c r="P456" s="3" t="n">
        <v>2</v>
      </c>
      <c r="Q456" s="3" t="inlineStr">
        <is>
          <t>1. MK-PL-F-058 ssClaimFactorFor
2. MK-PL-F-057 fullRetirementAge</t>
        </is>
      </c>
      <c r="R456" s="3" t="inlineStr">
        <is>
          <t>MK-PL-F-057 fullRetirementAge → MK-PL-F-058 ssClaimFactorFor → MK-PL-F-059 ssClaimFactor</t>
        </is>
      </c>
      <c r="S456" s="3" t="inlineStr">
        <is>
          <t>—</t>
        </is>
      </c>
      <c r="T456" s="3" t="inlineStr">
        <is>
          <t>—</t>
        </is>
      </c>
      <c r="U456" s="3" t="inlineStr">
        <is>
          <t>ACTIVE</t>
        </is>
      </c>
      <c r="V456" s="3" t="inlineStr">
        <is>
          <t>2026-08-27</t>
        </is>
      </c>
      <c r="W456" s="3" t="n"/>
      <c r="X456" s="3" t="n"/>
      <c r="Y456" s="3" t="inlineStr">
        <is>
          <t>NOTHING OPEN</t>
        </is>
      </c>
    </row>
    <row r="457" ht="60" customHeight="1">
      <c r="A457" s="3" t="inlineStr">
        <is>
          <t>MK-PL-F-060</t>
        </is>
      </c>
      <c r="B457" s="3" t="inlineStr">
        <is>
          <t>ssBenefitAt</t>
        </is>
      </c>
      <c r="C457" s="3" t="inlineStr">
        <is>
          <t>src/domain/retirement/ssTiming.ts</t>
        </is>
      </c>
      <c r="D457" s="3" t="n">
        <v>159</v>
      </c>
      <c r="E457" s="3" t="inlineStr">
        <is>
          <t>2 · DISPLAYED</t>
        </is>
      </c>
      <c r="F457" s="3" t="inlineStr">
        <is>
          <t>Monthly benefit at a claim age from the at-FRA statement amount (today's dollars, whole $).</t>
        </is>
      </c>
      <c r="G457" s="11" t="inlineStr">
        <is>
          <t>monthly benefit = statement amount at full retirement age × factor(claim age)</t>
        </is>
      </c>
      <c r="H457" s="3" t="inlineStr">
        <is>
          <t>The amount on the Social Security statement, scaled by the claim-age factor and rounded to whole dollars. In today's money — no inflation is applied here.</t>
        </is>
      </c>
      <c r="I457" s="3" t="inlineStr">
        <is>
          <t>READ BY HAND 2026-08-26 — checked line by line against the code</t>
        </is>
      </c>
      <c r="J457" s="3" t="inlineStr">
        <is>
          <t>1. statementMonthly: number
2. claimAge: number
3. birthYear?: number | null</t>
        </is>
      </c>
      <c r="K457" s="3" t="inlineStr">
        <is>
          <t>number</t>
        </is>
      </c>
      <c r="L457" s="3" t="inlineStr">
        <is>
          <t>NOT FOUND — a screen calls it, but the words printed beside its answer could not be traced automatically. Needs reading.</t>
        </is>
      </c>
      <c r="M457" s="3" t="inlineStr">
        <is>
          <t>· If statement monthly is missing it counts as zero, so nothing recorded and a real zero look the same.</t>
        </is>
      </c>
      <c r="N457" s="3" t="inlineStr">
        <is>
          <t>Yes</t>
        </is>
      </c>
      <c r="O457" s="3" t="inlineStr">
        <is>
          <t>MK-PL-F-058 ssClaimFactorFor</t>
        </is>
      </c>
      <c r="P457" s="3" t="n">
        <v>2</v>
      </c>
      <c r="Q457" s="3" t="inlineStr">
        <is>
          <t>1. MK-PL-F-058 ssClaimFactorFor
2. MK-PL-F-057 fullRetirementAge</t>
        </is>
      </c>
      <c r="R457" s="3" t="inlineStr">
        <is>
          <t>MK-PL-F-057 fullRetirementAge → MK-PL-F-058 ssClaimFactorFor → MK-PL-F-060 ssBenefitAt</t>
        </is>
      </c>
      <c r="S457" s="3" t="inlineStr">
        <is>
          <t>MK-PL-M-017 · MK-PL-M-019</t>
        </is>
      </c>
      <c r="T457" s="3" t="inlineStr">
        <is>
          <t>SS_BENEFIT_AT_AGE</t>
        </is>
      </c>
      <c r="U457" s="3" t="inlineStr">
        <is>
          <t>ACTIVE</t>
        </is>
      </c>
      <c r="V457" s="3" t="inlineStr">
        <is>
          <t>2026-09-09</t>
        </is>
      </c>
      <c r="W457" s="3" t="n"/>
      <c r="X457" s="3" t="n"/>
      <c r="Y457" s="3" t="inlineStr">
        <is>
          <t>NOTHING OPEN</t>
        </is>
      </c>
    </row>
    <row r="458" ht="45" customHeight="1">
      <c r="A458" s="3" t="inlineStr">
        <is>
          <t>MK-PL-F-061</t>
        </is>
      </c>
      <c r="B458" s="3" t="inlineStr">
        <is>
          <t>ssBenefitAtClaimAge</t>
        </is>
      </c>
      <c r="C458" s="3" t="inlineStr">
        <is>
          <t>src/domain/retirement/ssTiming.ts</t>
        </is>
      </c>
      <c r="D458" s="3" t="n">
        <v>180</v>
      </c>
      <c r="E458" s="3" t="inlineStr">
        <is>
          <t>2 · DISPLAYED</t>
        </is>
      </c>
      <c r="F458" s="3" t="inlineStr">
        <is>
          <t>Kept for callers not yet passing a birth year (behaves as born-1960+).</t>
        </is>
      </c>
      <c r="G458" s="11" t="inlineStr">
        <is>
          <t>ss benefit at(statement monthly, claim age, nothing)</t>
        </is>
      </c>
      <c r="H458" s="3" t="inlineStr">
        <is>
          <t>ss benefit at(statement monthly, claim age, no answer).</t>
        </is>
      </c>
      <c r="I458" s="3" t="inlineStr">
        <is>
          <t>READ FROM THE CODE — rendered from the expressions the function runs</t>
        </is>
      </c>
      <c r="J458" s="3" t="inlineStr">
        <is>
          <t>1. statementMonthly: number
2. claimAge: number</t>
        </is>
      </c>
      <c r="K458" s="3" t="inlineStr">
        <is>
          <t>number</t>
        </is>
      </c>
      <c r="L458" s="3" t="inlineStr">
        <is>
          <t>"When should I claim Social Security?" — on a card used on more than one screen (ClaimAgeRow)</t>
        </is>
      </c>
      <c r="M458" s="3" t="inlineStr">
        <is>
          <t>None found in this function — anything it assumes comes from the functions it depends on.</t>
        </is>
      </c>
      <c r="N458" s="3" t="inlineStr">
        <is>
          <t>Yes</t>
        </is>
      </c>
      <c r="O458" s="3" t="inlineStr">
        <is>
          <t>MK-PL-F-060 ssBenefitAt</t>
        </is>
      </c>
      <c r="P458" s="3" t="n">
        <v>3</v>
      </c>
      <c r="Q458" s="3" t="inlineStr">
        <is>
          <t>1. MK-PL-F-060 ssBenefitAt
2. MK-PL-F-058 ssClaimFactorFor
3. MK-PL-F-057 fullRetirementAge</t>
        </is>
      </c>
      <c r="R458" s="3" t="inlineStr">
        <is>
          <t>MK-PL-F-057 fullRetirementAge → MK-PL-F-058 ssClaimFactorFor → MK-PL-F-060 ssBenefitAt → MK-PL-F-061 ssBenefitAtClaimAge</t>
        </is>
      </c>
      <c r="S458" s="3" t="inlineStr">
        <is>
          <t>—</t>
        </is>
      </c>
      <c r="T458" s="3" t="inlineStr">
        <is>
          <t>—</t>
        </is>
      </c>
      <c r="U458" s="3" t="inlineStr">
        <is>
          <t>ACTIVE</t>
        </is>
      </c>
      <c r="V458" s="3" t="inlineStr">
        <is>
          <t>2026-08-27</t>
        </is>
      </c>
      <c r="W458" s="3" t="n"/>
      <c r="X458" s="3" t="n"/>
      <c r="Y458" s="3" t="inlineStr">
        <is>
          <t>NOTHING OPEN</t>
        </is>
      </c>
    </row>
    <row r="459" ht="60" customHeight="1">
      <c r="A459" s="3" t="inlineStr">
        <is>
          <t>MK-PL-F-062</t>
        </is>
      </c>
      <c r="B459" s="3" t="inlineStr">
        <is>
          <t>ssLifetimeTotal</t>
        </is>
      </c>
      <c r="C459" s="3" t="inlineStr">
        <is>
          <t>src/domain/retirement/ssTiming.ts</t>
        </is>
      </c>
      <c r="D459" s="3" t="n">
        <v>209</v>
      </c>
      <c r="E459" s="3" t="inlineStr">
        <is>
          <t>2 · DISPLAYED</t>
        </is>
      </c>
      <c r="F459" s="3" t="inlineStr">
        <is>
          <t>Total collected from claim age to a live-to age the USER sets (months × monthly, today's dollars).</t>
        </is>
      </c>
      <c r="G459" s="11" t="inlineStr">
        <is>
          <t>months = max(0, round((live to age − claim age) × 12))
the answer = ss benefit at(statement monthly, claim age, birth year) × months</t>
        </is>
      </c>
      <c r="H459" s="3" t="inlineStr">
        <is>
          <t>Months is (live to age minus claim age, to a whole number times 12, never below zero). The answer is ss benefit at(statement monthly, claim age, birth year) times months.</t>
        </is>
      </c>
      <c r="I459" s="3" t="inlineStr">
        <is>
          <t>READ FROM THE CODE — rendered from the expressions the function runs</t>
        </is>
      </c>
      <c r="J459" s="3" t="inlineStr">
        <is>
          <t>1. statementMonthly: number
2. claimAge: number
3. liveToAge: number
4. birthYear?: number | null</t>
        </is>
      </c>
      <c r="K459" s="3" t="inlineStr">
        <is>
          <t>number</t>
        </is>
      </c>
      <c r="L459" s="3" t="inlineStr">
        <is>
          <t>NOT FOUND — a screen calls it, but the words printed beside its answer could not be traced automatically. Needs reading.</t>
        </is>
      </c>
      <c r="M459"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59" s="3" t="inlineStr">
        <is>
          <t>Yes</t>
        </is>
      </c>
      <c r="O459" s="3" t="inlineStr">
        <is>
          <t>MK-PL-F-060 ssBenefitAt</t>
        </is>
      </c>
      <c r="P459" s="3" t="n">
        <v>3</v>
      </c>
      <c r="Q459" s="3" t="inlineStr">
        <is>
          <t>1. MK-PL-F-060 ssBenefitAt
2. MK-PL-F-058 ssClaimFactorFor
3. MK-PL-F-057 fullRetirementAge</t>
        </is>
      </c>
      <c r="R459" s="3" t="inlineStr">
        <is>
          <t>MK-PL-F-057 fullRetirementAge → MK-PL-F-058 ssClaimFactorFor → MK-PL-F-060 ssBenefitAt → MK-PL-F-062 ssLifetimeTotal</t>
        </is>
      </c>
      <c r="S459" s="3" t="inlineStr">
        <is>
          <t>—</t>
        </is>
      </c>
      <c r="T459" s="3" t="inlineStr">
        <is>
          <t>—</t>
        </is>
      </c>
      <c r="U459" s="3" t="inlineStr">
        <is>
          <t>ACTIVE</t>
        </is>
      </c>
      <c r="V459" s="3" t="inlineStr">
        <is>
          <t>2026-08-27</t>
        </is>
      </c>
      <c r="W459" s="3" t="n"/>
      <c r="X459" s="3" t="n"/>
      <c r="Y459" s="3" t="inlineStr">
        <is>
          <t>NOTHING OPEN</t>
        </is>
      </c>
    </row>
    <row r="460" ht="60" customHeight="1">
      <c r="A460" s="3" t="inlineStr">
        <is>
          <t>MK-PL-F-063</t>
        </is>
      </c>
      <c r="B460" s="3" t="inlineStr">
        <is>
          <t>fraLabel</t>
        </is>
      </c>
      <c r="C460" s="3" t="inlineStr">
        <is>
          <t>src/domain/retirement/ssTiming.ts</t>
        </is>
      </c>
      <c r="D460" s="3" t="n">
        <v>240</v>
      </c>
      <c r="E460" s="3" t="inlineStr">
        <is>
          <t>2 · DISPLAYED</t>
        </is>
      </c>
      <c r="F460" s="3" t="inlineStr">
        <is>
          <t>The FRA as words a person recognises — "67", or "66 and 4 months".</t>
        </is>
      </c>
      <c r="G460" s="11" t="inlineStr">
        <is>
          <t>fra = full retirement age(birth year)
years = round down(fra)
months = round((fra − years) × 12)
the answer:
string(years)   if months = 0
`${years} and ${plural(months, 'month')}`   otherwise</t>
        </is>
      </c>
      <c r="H460" s="3" t="inlineStr">
        <is>
          <t>Fra is full retirement age(birth year). Years is fra, rounded down. Months is (fra minus years, to a whole number times 12). The answer is string(years) — when months = 0; `${years} and ${plural(months, 'month')}` — otherwise.</t>
        </is>
      </c>
      <c r="I460" s="3" t="inlineStr">
        <is>
          <t>PARTLY READ — some of the code is still showing through; needs a hand pass</t>
        </is>
      </c>
      <c r="J460" s="3" t="inlineStr">
        <is>
          <t>birthYear?: number | null</t>
        </is>
      </c>
      <c r="K460" s="3" t="inlineStr">
        <is>
          <t>string</t>
        </is>
      </c>
      <c r="L460" s="3" t="inlineStr">
        <is>
          <t>NOT FOUND — a screen calls it, but the words printed beside its answer could not be traced automatically. Needs reading.</t>
        </is>
      </c>
      <c r="M460" s="3" t="inlineStr">
        <is>
          <t>1. Turns a monthly figure into a year by multiplying by twelve.
2. Rounds the answer to a whole number.</t>
        </is>
      </c>
      <c r="N460" s="3" t="inlineStr">
        <is>
          <t>Yes</t>
        </is>
      </c>
      <c r="O460" s="3" t="inlineStr">
        <is>
          <t>1. MK-PL-F-057 fullRetirementAge
2. MK-NW-F-067 plural</t>
        </is>
      </c>
      <c r="P460" s="3" t="n">
        <v>3</v>
      </c>
      <c r="Q460" s="3" t="inlineStr">
        <is>
          <t>1. MK-PL-F-057 fullRetirementAge
2. MK-NW-F-067 plural
3. MK-XS-F-122 n</t>
        </is>
      </c>
      <c r="R460" s="3" t="inlineStr">
        <is>
          <t>1. MK-PL-F-057 fullRetirementAge → MK-PL-F-063 fraLabel
2. MK-XS-F-122 n → MK-NW-F-067 plural → MK-PL-F-063 fraLabel</t>
        </is>
      </c>
      <c r="S460" s="3" t="inlineStr">
        <is>
          <t>—</t>
        </is>
      </c>
      <c r="T460" s="3" t="inlineStr">
        <is>
          <t>—</t>
        </is>
      </c>
      <c r="U460" s="3" t="inlineStr">
        <is>
          <t>ACTIVE</t>
        </is>
      </c>
      <c r="V460" s="3" t="inlineStr">
        <is>
          <t>2026-10-10</t>
        </is>
      </c>
      <c r="W460" s="3" t="n"/>
      <c r="X460" s="3" t="n"/>
      <c r="Y460" s="3" t="inlineStr">
        <is>
          <t>NOTHING OPEN</t>
        </is>
      </c>
    </row>
    <row r="461" ht="60" customHeight="1">
      <c r="A461" s="3" t="inlineStr">
        <is>
          <t>MK-PL-F-064</t>
        </is>
      </c>
      <c r="B461" s="3" t="inlineStr">
        <is>
          <t>claimWindow</t>
        </is>
      </c>
      <c r="C461" s="3" t="inlineStr">
        <is>
          <t>src/domain/retirement/ssTiming.ts</t>
        </is>
      </c>
      <c r="D461" s="3" t="n">
        <v>272</v>
      </c>
      <c r="E461" s="3" t="inlineStr">
        <is>
          <t>2 · DISPLAYED</t>
        </is>
      </c>
      <c r="F461" s="3" t="inlineStr">
        <is>
          <t>The claim window: the month the person turns 62 → the month they turn 70.</t>
        </is>
      </c>
      <c r="G461"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61"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61" s="3" t="inlineStr">
        <is>
          <t>PARTLY READ — some of the code is still showing through; needs a hand pass</t>
        </is>
      </c>
      <c r="J461" s="3" t="inlineStr">
        <is>
          <t>1. birthYear: number | null
2. birthMonth: number | null</t>
        </is>
      </c>
      <c r="K461" s="3" t="inlineStr">
        <is>
          <t>NOT DECLARED — the code does not say what it gives back</t>
        </is>
      </c>
      <c r="L461" s="3" t="inlineStr">
        <is>
          <t>"Your assumption, not our prediction." — on the Social Security timing screen</t>
        </is>
      </c>
      <c r="M461" s="3" t="inlineStr">
        <is>
          <t>None found in this function — anything it assumes comes from the functions it depends on.</t>
        </is>
      </c>
      <c r="N461" s="3" t="inlineStr">
        <is>
          <t>Yes</t>
        </is>
      </c>
      <c r="O461" s="3" t="inlineStr">
        <is>
          <t>—</t>
        </is>
      </c>
      <c r="P461" s="3" t="n">
        <v>0</v>
      </c>
      <c r="Q461" s="3" t="inlineStr">
        <is>
          <t>None — no dependent function stands behind it</t>
        </is>
      </c>
      <c r="R461" s="3" t="inlineStr">
        <is>
          <t>No dependent function — it reads its inputs and answers</t>
        </is>
      </c>
      <c r="S461" s="3" t="inlineStr">
        <is>
          <t>—</t>
        </is>
      </c>
      <c r="T461" s="3" t="inlineStr">
        <is>
          <t>—</t>
        </is>
      </c>
      <c r="U461" s="3" t="inlineStr">
        <is>
          <t>ACTIVE</t>
        </is>
      </c>
      <c r="V461" s="3" t="inlineStr">
        <is>
          <t>2026-08-27</t>
        </is>
      </c>
      <c r="W461" s="3" t="n"/>
      <c r="X461" s="3" t="n"/>
      <c r="Y461" s="3" t="inlineStr">
        <is>
          <t>NOTHING OPEN</t>
        </is>
      </c>
    </row>
    <row r="462" ht="60" customHeight="1">
      <c r="A462" s="3" t="inlineStr">
        <is>
          <t>MK-PL-F-065</t>
        </is>
      </c>
      <c r="B462" s="3" t="inlineStr">
        <is>
          <t>volOf</t>
        </is>
      </c>
      <c r="C462" s="3" t="inlineStr">
        <is>
          <t>src/domain/retirement/willItLast.ts</t>
        </is>
      </c>
      <c r="D462" s="3" t="n">
        <v>86</v>
      </c>
      <c r="E462" s="3" t="inlineStr">
        <is>
          <t>2 · DISPLAYED</t>
        </is>
      </c>
      <c r="F462" s="3" t="inlineStr">
        <is>
          <t>Same volatility convention as the cockpit: higher return ⇒ more volatility.</t>
        </is>
      </c>
      <c r="G462" s="11" t="inlineStr">
        <is>
          <t>hold ret × 1.7 between 0.05 and 0.2</t>
        </is>
      </c>
      <c r="H462" s="3" t="inlineStr">
        <is>
          <t>hold ret times 1.7 between 0.05 and 0.2</t>
        </is>
      </c>
      <c r="I462" s="3" t="inlineStr">
        <is>
          <t>READ FROM THE CODE — rendered from the expressions the function runs</t>
        </is>
      </c>
      <c r="J462" s="3" t="inlineStr">
        <is>
          <t>ret: number</t>
        </is>
      </c>
      <c r="K462" s="3" t="inlineStr">
        <is>
          <t>NOT DECLARED — the code does not say what it gives back</t>
        </is>
      </c>
      <c r="L462" s="3" t="inlineStr">
        <is>
          <t>NOT FOUND — a screen calls it, but the words printed beside its answer could not be traced automatically. Needs reading.</t>
        </is>
      </c>
      <c r="M462" s="3" t="inlineStr">
        <is>
          <t>· Never lets the answer fall below 5% or rise above 20%.</t>
        </is>
      </c>
      <c r="N462" s="3" t="inlineStr">
        <is>
          <t>Yes</t>
        </is>
      </c>
      <c r="O462" s="3" t="inlineStr">
        <is>
          <t>1. MK-PL-F-077 clamp
2. MK-CF-O-002 expenses
3. MK-PL-F-050 simulate</t>
        </is>
      </c>
      <c r="P462" s="3" t="n">
        <v>53</v>
      </c>
      <c r="Q462"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MK-NW-F-110 primaryHomeIdOf
20. MK-CF-F-148 inMonth
21. MK-ST-F-052 toNum
22. MK-CF-F-191 ym
23. MK-ST-F-056 has
24. MK-CF-F-022 paymentShape
25. MK-CF-F-152 isRadarItem
26. MK-CF-F-023 requiredPayment
27. MK-ST-F-024 rmdStartAge
28. MK-NW-F-030 earmarkDefault
29. MK-NW-F-134 carValueNotEnteredNotes
30. MK-NW-F-133 valueEntered
31. MK-NW-F-117 propertyUseMap
32. MK-CF-F-021 defaultPaymentType
33. MK-NW-F-011 assetClassOf
34. MK-ST-F-053 money
35. MK-NW-F-033 retirementEarmarkedValue
36. MK-NW-F-116 rentedIdsOf
37. MK-NW-F-120 classEvidenceOf
38. MK-ST-F-049 formatMoney
39. MK-NW-F-115 liveRent
40. MK-NW-F-008 incomeBearingClassOf
41. MK-NW-F-009 maturityClass
42. MK-ST-F-048 currencySymbol
43. MK-ST-F-039 on
44. MK-NW-F-114 rentAmount
45. MK-ST-F-010 nameEvidence
46. MK-NW-F-124 maturityParts
47. MK-CF-F-216 typed
48. MK-ST-F-047 activeCurrency
49. MK-ST-F-085 rentFigure
50. MK-XS-F-147 call
51. MK-ST-F-027 accountId
52. MK-XS-F-064 currentIdToken
53. MK-XS-F-112 relayUrl</t>
        </is>
      </c>
      <c r="R462" s="3" t="inlineStr">
        <is>
          <t>1. MK-XS-F-122 n → MK-CF-F-155 cash → MK-NW-F-035 blendedVolatility → MK-PL-F-077 clamp → MK-PL-F-065 volOf
2. MK-NW-F-011 assetClassOf → MK-NW-F-030 earmarkDefault → MK-NW-F-032 earmarkedAmount → MK-NW-F-035 blendedVolatility → MK-PL-F-077 clamp → MK-PL-F-065 volOf
3. MK-CF-F-132 map → MK-NW-F-134 carValueNotEnteredNotes → MK-NW-F-031 primaryCarIdOf → MK-NW-F-035 blendedVolatility → MK-PL-F-077 clamp → MK-PL-F-065 volOf
4. MK-ST-F-053 money → MK-NW-F-134 carValueNotEnteredNotes → MK-NW-F-031 primaryCarIdOf → MK-NW-F-035 blendedVolatility → MK-PL-F-077 clamp → MK-PL-F-065 volOf
5. primaryCarIdOf (already above — a loop) → MK-NW-F-134 carValueNotEnteredNotes → MK-NW-F-031 primaryCarIdOf → MK-NW-F-035 blendedVolatility → MK-PL-F-077 clamp → MK-PL-F-065 volOf
6. MK-NW-F-033 retirementEarmarkedValue → MK-NW-F-134 carValueNotEnteredNotes → MK-NW-F-031 primaryCarIdOf → MK-NW-F-035 blendedVolatility → MK-PL-F-077 clamp → MK-PL-F-065 volOf
7. MK-NW-F-133 valueEntered → MK-NW-F-134 carValueNotEnteredNotes → MK-NW-F-031 primaryCarIdOf → MK-NW-F-035 blendedVolatility → MK-PL-F-077 clamp → MK-PL-F-065 volOf
8. MK-NW-F-133 valueEntered → MK-NW-F-031 primaryCarIdOf → MK-NW-F-035 blendedVolatility → MK-PL-F-077 clamp → MK-PL-F-065 volOf
9. … and 5 more paths</t>
        </is>
      </c>
      <c r="S462" s="3" t="inlineStr">
        <is>
          <t>—</t>
        </is>
      </c>
      <c r="T462" s="3" t="inlineStr">
        <is>
          <t>SWING_FROM_RETURN</t>
        </is>
      </c>
      <c r="U462" s="3" t="inlineStr">
        <is>
          <t>ACTIVE</t>
        </is>
      </c>
      <c r="V462" s="3" t="inlineStr">
        <is>
          <t>2026-08-27</t>
        </is>
      </c>
      <c r="W462" s="3" t="n"/>
      <c r="X462" s="3" t="n"/>
      <c r="Y462" s="3" t="inlineStr">
        <is>
          <t>NOTHING OPEN</t>
        </is>
      </c>
    </row>
    <row r="463" ht="60" customHeight="1">
      <c r="A463" s="3" t="inlineStr">
        <is>
          <t>MK-PL-F-066</t>
        </is>
      </c>
      <c r="B463" s="3" t="inlineStr">
        <is>
          <t>displayOdds</t>
        </is>
      </c>
      <c r="C463" s="3" t="inlineStr">
        <is>
          <t>src/domain/retirement/willItLast.ts</t>
        </is>
      </c>
      <c r="D463" s="3" t="n">
        <v>143</v>
      </c>
      <c r="E463" s="3" t="inlineStr">
        <is>
          <t>2 · DISPLAYED</t>
        </is>
      </c>
      <c r="F463" s="3" t="inlineStr">
        <is>
          <t>B6 (founder brief 2026-08-20): the odds a person sees, to the nearest 5 — with one honesty guard at each end: 100 means "every simulated future worked" and 0 means "none did", and neither claim may be minted by rounding.</t>
        </is>
      </c>
      <c r="G463" s="11" t="inlineStr">
        <is>
          <t>min(100, max(0, round(chance, 6 dp)))</t>
        </is>
      </c>
      <c r="H463" s="3" t="inlineStr">
        <is>
          <t>the smaller of 100 and chance, to 6 decimal places, never below zero.</t>
        </is>
      </c>
      <c r="I463" s="3" t="inlineStr">
        <is>
          <t>READ FROM THE CODE — rendered from the expressions the function runs</t>
        </is>
      </c>
      <c r="J463" s="3" t="inlineStr">
        <is>
          <t>chance: number</t>
        </is>
      </c>
      <c r="K463" s="3" t="inlineStr">
        <is>
          <t>number</t>
        </is>
      </c>
      <c r="L463" s="3" t="inlineStr">
        <is>
          <t>"Claim at age" — on the Retirement cockpit screen</t>
        </is>
      </c>
      <c r="M463" s="3" t="inlineStr">
        <is>
          <t>· Rounds the answer to 6 decimal places.</t>
        </is>
      </c>
      <c r="N463" s="3" t="inlineStr">
        <is>
          <t>Yes</t>
        </is>
      </c>
      <c r="O463" s="3" t="inlineStr">
        <is>
          <t>—</t>
        </is>
      </c>
      <c r="P463" s="3" t="n">
        <v>0</v>
      </c>
      <c r="Q463" s="3" t="inlineStr">
        <is>
          <t>None — no dependent function stands behind it</t>
        </is>
      </c>
      <c r="R463" s="3" t="inlineStr">
        <is>
          <t>No dependent function — it reads its inputs and answers</t>
        </is>
      </c>
      <c r="S463" s="3" t="inlineStr">
        <is>
          <t>—</t>
        </is>
      </c>
      <c r="T463" s="3" t="inlineStr">
        <is>
          <t>ODDS_DISPLAY</t>
        </is>
      </c>
      <c r="U463" s="3" t="inlineStr">
        <is>
          <t>ACTIVE</t>
        </is>
      </c>
      <c r="V463" s="3" t="inlineStr">
        <is>
          <t>2026-09-14</t>
        </is>
      </c>
      <c r="W463" s="3" t="n"/>
      <c r="X463" s="3" t="n"/>
      <c r="Y463" s="3" t="inlineStr">
        <is>
          <t>NOTHING OPEN</t>
        </is>
      </c>
    </row>
    <row r="464" ht="60" customHeight="1">
      <c r="A464" s="3" t="inlineStr">
        <is>
          <t>MK-PL-F-067</t>
        </is>
      </c>
      <c r="B464" s="3" t="inlineStr">
        <is>
          <t>willItLastInputs</t>
        </is>
      </c>
      <c r="C464" s="3" t="inlineStr">
        <is>
          <t>src/domain/retirement/willItLast.ts</t>
        </is>
      </c>
      <c r="D464" s="3" t="n">
        <v>197</v>
      </c>
      <c r="E464" s="3" t="inlineStr">
        <is>
          <t>2 · DISPLAYED</t>
        </is>
      </c>
      <c r="F464" s="3" t="inlineStr">
        <is>
          <t>What goes into working out the odds?</t>
        </is>
      </c>
      <c r="G464" s="11" t="inlineStr">
        <is>
          <t>op = op (or none when missing)
a = assumptions (or none when missing)
age = age attained in year(num or zero(op.birth year) or nothing)
nothing   when age = nothing
rentals = op.rentals   if array.is array(op.rentals)
nothing   otherwise
nest egg = retirement earmarked value(accounts, rentals)
bequest = num or zero(op.legacy target)
spendable egg = max(0, nest egg − bequest)
bench blended = blended return(accounts, undefined, rentals) (or 0.06 when missing)
actual blended = portfolio actual return(accounts)
return basis = A.return basis (or 'benchmark' when missing)
… the first steps only — the rest of the body needs reading by hand.</t>
        </is>
      </c>
      <c r="H464" s="3" t="inlineStr">
        <is>
          <t>Op is op (or none — when missing). A is assumptions (or none — when missing). Age is age attained in year(num or zero(op.birth year) or no answer). When age is missing, it answers no answer. Rentals is op.rentals — when array.is array(op.rentals); no answer — otherwise. Nest egg is retirement earmarked value(accounts, rentals). Bequest is num or zero(op.legacy target). Spendable egg is nest egg minus bequest, never below zero. Bench blended is blended return(accounts, undefined, rentals) (or 0.06 — when missing). Actual blended is portfolio actual return(accounts). Return basis is A.return basis (or 'benchmark' — when missing). Only the first steps are shown; the rest of the body needs reading by hand.</t>
        </is>
      </c>
      <c r="I464" s="3" t="inlineStr">
        <is>
          <t>PARTLY READ — some of the code is still showing through; needs a hand pass</t>
        </is>
      </c>
      <c r="J464" s="3" t="inlineStr">
        <is>
          <t>a: WillItLastArgs</t>
        </is>
      </c>
      <c r="K464" s="3" t="inlineStr">
        <is>
          <t>RetirementInputs | null</t>
        </is>
      </c>
      <c r="L464" s="3" t="inlineStr">
        <is>
          <t>NOT FOUND — a screen calls it, but the words printed beside its answer could not be traced automatically. Needs reading.</t>
        </is>
      </c>
      <c r="M464"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64" s="3" t="inlineStr">
        <is>
          <t>Yes</t>
        </is>
      </c>
      <c r="O464"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t>
        </is>
      </c>
      <c r="P464" s="3" t="n">
        <v>114</v>
      </c>
      <c r="Q464"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
23. MK-XS-F-017 currentAge
24. MK-NW-F-034 benchmarkReturn
25. MK-NW-F-032 earmarkedAmount
26. MK-NW-F-031 primaryCarIdOf
27. MK-NW-F-110 primaryHomeIdOf
28. MK-CF-F-155 cash
29. MK-CF-F-101 taxOwedFor
30. MK-CF-F-151 actualSpending
31. MK-CF-F-150 debtPaymentsCountedAsExpenses
32. MK-CF-F-153 radar
33. MK-CF-F-149 recurringDebtPayments
34. MK-ST-F-052 toNum
35. MK-CF-F-053 annual401kLimit
36. MK-CF-F-078 employerMatchMonthly
37. MK-ST-F-053 money
38. MK-XS-F-122 n
39. MK-PL-F-047 colFactor
40. MK-PL-F-058 ssClaimFactorFor
41. MK-NW-F-026 accountDisplayNames
42. MK-PL-F-086 splitBucketOf
43. MK-PL-F-087 taxTypeNotStated
44. MK-CF-F-072 currentRetirementIncomeMonthly
45. MK-CF-F-071 extraIncome
46. MK-CF-F-068 rentalNetAnnual
47. MK-CF-F-066 rsuAnnual
48. MK-CF-F-082 salaryAnnual
49. MK-CF-F-074 tipsAnnual
50. MK-PL-F-077 clamp
51. MK-PL-F-050 simulate
52. MK-NW-F-007 assetKind
53. MK-NW-F-030 earmarkDefault
54. MK-NW-F-134 carValueNotEnteredNotes
55. MK-NW-F-133 valueEntered
56. MK-NW-F-117 propertyUseMap
57. MK-CF-F-100 taxableIncomeFor
58. MK-CF-F-148 inMonth
59. MK-CF-F-191 ym
60. MK-ST-F-056 has
61. MK-CF-F-022 paymentShape
62. MK-CF-F-152 isRadarItem
63. MK-CF-F-023 requiredPayment
64. MK-CF-F-175 sumOverEarners
65. MK-CF-F-178 wageMatchMonthly
66. MK-ST-F-049 formatMoney
67. MK-PL-F-057 fullRetirementAge
68. MK-NW-F-025 accountDisplayName
69. MK-NW-F-012 taxTreatmentOf
70. MK-CF-F-075 retirementIncomeMonthly
71. MK-CF-F-070 benefitAnnual
72. MK-CF-F-067 rentalList
73. MK-CF-F-062 equityRowValue
74. MK-CF-F-063 rowVestYear
75. MK-CF-F-060 salaryGrossByMonth
76. MK-CF-F-081 salaryActiveMonths
77. MK-PL-F-074 median
78. MK-PL-F-072 mulberry32
79. MK-PL-F-073 normal
80. MK-PL-F-075 pctOfSorted
81. MK-ST-F-025 rmdStartAgeFromAge
82. MK-NW-F-011 assetClassOf
83. MK-NW-F-116 rentedIdsOf
84. MK-CF-F-099 deductionFor
85. MK-CF-F-021 defaultPaymentType
86. MK-CF-F-173 earnerWages
87. MK-ST-F-048 currencySymbol
88. MK-NW-F-024 accountLastFour
89. MK-NW-F-023 wrapperWord
90. MK-CF-F-069 benefitActiveMonths
91. MK-ST-F-085 rentFigure
92. MK-CF-F-216 typed
93. MK-CF-F-176 sumMonthsOverEarners
94. MK-CF-F-177 wageGrossByMonth
95. MK-ST-F-024 rmdStartAge
96. MK-NW-F-120 classEvidenceOf
97. MK-NW-F-115 liveRent
98. MK-CF-F-187 seniorDeductionFor
99. MK-CF-F-172 hasWage
100. MK-ST-F-047 activeCurrency
101. MK-CF-F-130 enteredMonthlyRaw
102. MK-CF-F-166 hasMonthlySalaryTable
103. MK-ST-F-036 reconcile
104. MK-CF-F-167 salaryCalendarYear
105. MK-NW-F-008 incomeBearingClassOf
106. MK-NW-F-009 maturityClass
107. MK-NW-F-114 rentAmount
108. MK-CF-F-165 salaryMonths
109. MK-ST-F-010 nameEvidence
110. MK-NW-F-124 maturityParts
111. MK-XS-F-147 call
112. MK-ST-F-027 accountId
113. MK-XS-F-064 currentIdToken
114. MK-XS-F-112 relayUrl</t>
        </is>
      </c>
      <c r="R464"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S464" s="3" t="inlineStr">
        <is>
          <t>MK-PL-M-008 · MK-PL-M-011 · MK-PL-M-029</t>
        </is>
      </c>
      <c r="T464" s="3" t="inlineStr">
        <is>
          <t>WILL_IT_LAST_INPUTS</t>
        </is>
      </c>
      <c r="U464" s="3" t="inlineStr">
        <is>
          <t>ACTIVE</t>
        </is>
      </c>
      <c r="V464" s="3" t="inlineStr">
        <is>
          <t>2026-10-13</t>
        </is>
      </c>
      <c r="W464" s="3" t="n"/>
      <c r="X464" s="3" t="n"/>
      <c r="Y464" s="6" t="inlineStr">
        <is>
          <t>TESTED, NOT VERIFIED (G5, G7, G9)</t>
        </is>
      </c>
    </row>
    <row r="465" ht="60" customHeight="1">
      <c r="A465" s="3" t="inlineStr">
        <is>
          <t>MK-PL-F-068</t>
        </is>
      </c>
      <c r="B465" s="3" t="inlineStr">
        <is>
          <t>selectWillItLast</t>
        </is>
      </c>
      <c r="C465" s="3" t="inlineStr">
        <is>
          <t>src/domain/retirement/willItLast.ts</t>
        </is>
      </c>
      <c r="D465" s="3" t="n">
        <v>321</v>
      </c>
      <c r="E465" s="3" t="inlineStr">
        <is>
          <t>2 · DISPLAYED</t>
        </is>
      </c>
      <c r="F465" s="3" t="inlineStr">
        <is>
          <t>The one will-it-last read.</t>
        </is>
      </c>
      <c r="G465" s="11" t="inlineStr">
        <is>
          <t>op = op (or none when missing)
inputs = will it last inputs(a)
nest egg = retirement earmarked value(accounts, array.is array(op.rentals) ? op.rentals : nothing)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65" s="3" t="inlineStr">
        <is>
          <t>Op is op (or none — when missing). Inputs is will it last inputs(a). Nest egg is retirement earmarked value(accounts, array.is array(op.rentals) ? op.rentals : no answer).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65" s="3" t="inlineStr">
        <is>
          <t>PARTLY READ — some of the code is still showing through; needs a hand pass</t>
        </is>
      </c>
      <c r="J465" s="3" t="inlineStr">
        <is>
          <t>a: WillItLastArgs</t>
        </is>
      </c>
      <c r="K465" s="3" t="inlineStr">
        <is>
          <t>WillItLastResult</t>
        </is>
      </c>
      <c r="L465" s="3" t="inlineStr">
        <is>
          <t>1. "Draw from savings" — on the Cash flow screen, under "YOUR FUTURE PAYCHECK"
2. "WILL MY MONEY LAST?" — on the Cash flow screen, under "WILL MY MONEY LAST?"</t>
        </is>
      </c>
      <c r="M465" s="3" t="inlineStr">
        <is>
          <t>None found in this function — anything it assumes comes from the functions it depends on.</t>
        </is>
      </c>
      <c r="N465" s="3" t="inlineStr">
        <is>
          <t>Yes</t>
        </is>
      </c>
      <c r="O465" s="3" t="inlineStr">
        <is>
          <t>1. MK-PL-F-066 displayOdds
2. MK-PL-F-079 numOrZero
3. MK-NW-F-033 retirementEarmarkedValue
4. MK-PL-F-049 retirementSpendMonthly
5. MK-PL-F-050 simulate
6. MK-PL-F-067 willItLastInputs</t>
        </is>
      </c>
      <c r="P465" s="3" t="n">
        <v>116</v>
      </c>
      <c r="Q465" s="3" t="inlineStr">
        <is>
          <t>1. MK-PL-F-066 displayOdds
2. MK-PL-F-079 numOrZero
3. MK-NW-F-033 retirementEarmarkedValue
4. MK-PL-F-049 retirementSpendMonthly
5. MK-PL-F-050 simulate
6. MK-PL-F-067 willItLastInputs
7. MK-XS-F-122 n
8. MK-NW-F-032 earmarkedAmount
9. MK-NW-F-031 primaryCarIdOf
10. MK-NW-F-110 primaryHomeIdOf
11. MK-PL-F-047 colFactor
12. MK-CF-O-002 expenses
13. MK-PL-F-001 taxBucketSplit
14. MK-ST-F-052 toNum
15. MK-CF-F-132 map
16. MK-PL-F-074 median
17. MK-PL-F-072 mulberry32
18. MK-PL-F-073 normal
19. MK-PL-F-075 pctOfSorted
20. MK-ST-F-025 rmdStartAgeFromAge
21. MK-CF-F-197 ageAttainedInYear
22. MK-XS-F-179 ageToday
23. MK-NW-F-037 blendedReturn
24. MK-NW-F-035 blendedVolatility
25. MK-CF-F-102 effectiveRateOnGrossFor
26. MK-CF-F-085 filingStatusOf
27. MK-CF-F-076 guaranteedOutsideStreams
28. MK-PL-F-083 inflationRateInForce
29. MK-NW-F-041 monthlyContributionsFromOnboarding
30. MK-ST-F-039 on
31. MK-CF-F-089 over65CountOf
32. MK-NW-F-004 portfolioActualReturn
33. MK-PL-F-060 ssBenefitAt
34. MK-CF-F-086 stateRateOf
35. MK-CF-F-083 totalGrossAnnual
36. MK-PL-F-065 volOf
37. MK-NW-F-030 earmarkDefault
38. MK-NW-F-134 carValueNotEnteredNotes
39. MK-NW-F-133 valueEntered
40. MK-NW-F-117 propertyUseMap
41. MK-CF-F-151 actualSpending
42. MK-CF-F-150 debtPaymentsCountedAsExpenses
43. MK-CF-F-153 radar
44. MK-CF-F-149 recurringDebtPayments
45. MK-NW-F-026 accountDisplayNames
46. MK-PL-F-086 splitBucketOf
47. MK-PL-F-087 taxTypeNotStated
48. MK-ST-F-024 rmdStartAge
49. MK-XS-F-017 currentAge
50. MK-NW-F-034 benchmarkReturn
51. MK-CF-F-155 cash
52. MK-CF-F-101 taxOwedFor
53. MK-CF-F-053 annual401kLimit
54. MK-CF-F-078 employerMatchMonthly
55. MK-ST-F-053 money
56. MK-PL-F-058 ssClaimFactorFor
57. MK-CF-F-072 currentRetirementIncomeMonthly
58. MK-CF-F-071 extraIncome
59. MK-CF-F-068 rentalNetAnnual
60. MK-CF-F-066 rsuAnnual
61. MK-CF-F-082 salaryAnnual
62. MK-CF-F-074 tipsAnnual
63. MK-PL-F-077 clamp
64. MK-NW-F-011 assetClassOf
65. MK-ST-F-056 has
66. MK-NW-F-116 rentedIdsOf
67. MK-CF-F-148 inMonth
68. MK-CF-F-191 ym
69. MK-CF-F-022 paymentShape
70. MK-CF-F-152 isRadarItem
71. MK-CF-F-023 requiredPayment
72. MK-NW-F-025 accountDisplayName
73. MK-NW-F-007 assetKind
74. MK-NW-F-012 taxTreatmentOf
75. MK-CF-F-100 taxableIncomeFor
76. MK-CF-F-175 sumOverEarners
77. MK-CF-F-178 wageMatchMonthly
78. MK-ST-F-049 formatMoney
79. MK-PL-F-057 fullRetirementAge
80. MK-CF-F-075 retirementIncomeMonthly
81. MK-CF-F-070 benefitAnnual
82. MK-CF-F-067 rentalList
83. MK-CF-F-062 equityRowValue
84. MK-CF-F-063 rowVestYear
85. MK-CF-F-060 salaryGrossByMonth
86. MK-CF-F-081 salaryActiveMonths
87. MK-NW-F-120 classEvidenceOf
88. MK-NW-F-115 liveRent
89. MK-CF-F-021 defaultPaymentType
90. MK-NW-F-024 accountLastFour
91. MK-NW-F-023 wrapperWord
92. MK-CF-F-099 deductionFor
93. MK-CF-F-173 earnerWages
94. MK-ST-F-048 currencySymbol
95. MK-CF-F-069 benefitActiveMonths
96. MK-ST-F-085 rentFigure
97. MK-CF-F-216 typed
98. MK-CF-F-176 sumMonthsOverEarners
99. MK-CF-F-177 wageGrossByMonth
100. MK-NW-F-008 incomeBearingClassOf
101. MK-NW-F-009 maturityClass
102. MK-NW-F-114 rentAmount
103. MK-CF-F-187 seniorDeductionFor
104. MK-CF-F-172 hasWage
105. MK-ST-F-047 activeCurrency
106. MK-CF-F-130 enteredMonthlyRaw
107. MK-CF-F-166 hasMonthlySalaryTable
108. MK-ST-F-036 reconcile
109. MK-CF-F-167 salaryCalendarYear
110. MK-ST-F-010 nameEvidence
111. MK-NW-F-124 maturityParts
112. MK-CF-F-165 salaryMonths
113. MK-XS-F-147 call
114. MK-ST-F-027 accountId
115. MK-XS-F-064 currentIdToken
116. MK-XS-F-112 relayUrl</t>
        </is>
      </c>
      <c r="R465"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MK-CF-F-132 map → MK-NW-F-134 carValueNotEnteredNotes → MK-NW-F-031 primaryCarIdOf → MK-NW-F-033 retirementEarmarkedValue → MK-PL-F-068 selectWillItLast
5. MK-ST-F-049 formatMoney → MK-ST-F-053 money → MK-NW-F-134 carValueNotEnteredNotes → MK-NW-F-031 primaryCarIdOf → MK-NW-F-033 retirementEarmarkedValue → MK-PL-F-068 selectWillItLast
6. MK-XS-F-122 n → MK-ST-F-053 money → MK-NW-F-134 carValueNotEnteredNotes → MK-NW-F-031 primaryCarIdOf → MK-NW-F-033 retirementEarmarkedValue → MK-PL-F-068 selectWillItLast
7. primaryCarIdOf (already above — a loop) → MK-NW-F-134 carValueNotEnteredNotes → MK-NW-F-031 primaryCarIdOf → MK-NW-F-033 retirementEarmarkedValue → MK-PL-F-068 selectWillItLast
8. retirementEarmarkedValue (already above — a loop) → MK-NW-F-134 carValueNotEnteredNotes → MK-NW-F-031 primaryCarIdOf → MK-NW-F-033 retirementEarmarkedValue → MK-PL-F-068 selectWillItLast
9. … and 5 more paths</t>
        </is>
      </c>
      <c r="S465" s="3" t="inlineStr">
        <is>
          <t>MK-PL-M-034 · MK-XS-M-002</t>
        </is>
      </c>
      <c r="T465" s="3" t="inlineStr">
        <is>
          <t>WILL_IT_LAST_RESULT</t>
        </is>
      </c>
      <c r="U465" s="3" t="inlineStr">
        <is>
          <t>ACTIVE</t>
        </is>
      </c>
      <c r="V465" s="3" t="inlineStr">
        <is>
          <t>2026-10-13</t>
        </is>
      </c>
      <c r="W465" s="3" t="n"/>
      <c r="X465" s="3" t="n"/>
      <c r="Y465" s="3" t="inlineStr">
        <is>
          <t>NOTHING OPEN</t>
        </is>
      </c>
    </row>
    <row r="466" ht="60" customHeight="1">
      <c r="A466" s="3" t="inlineStr">
        <is>
          <t>MK-PL-F-069</t>
        </is>
      </c>
      <c r="B466" s="3" t="inlineStr">
        <is>
          <t>oddsAt</t>
        </is>
      </c>
      <c r="C466" s="3" t="inlineStr">
        <is>
          <t>src/domain/planning/spendMore.ts</t>
        </is>
      </c>
      <c r="D466" s="3" t="n">
        <v>45</v>
      </c>
      <c r="E466" s="3" t="inlineStr">
        <is>
          <t>1 · ACTION</t>
        </is>
      </c>
      <c r="F466" s="3" t="inlineStr">
        <is>
          <t>NOT DETERMINED — the code carries no note saying what this is for, and it has no row in the old inventory. Needs reading.</t>
        </is>
      </c>
      <c r="G466" s="11" t="inlineStr">
        <is>
          <t>the answer = simulate({ …base, retire monthly spend today: monthly spend }).chance of success</t>
        </is>
      </c>
      <c r="H466" s="3" t="inlineStr">
        <is>
          <t>The odds the money lasts when the monthly expenses in retirement are set to a given figure — one full run of the simulation (MK-PL-F-050) with that one input changed.</t>
        </is>
      </c>
      <c r="I466" s="3" t="inlineStr">
        <is>
          <t>READ BY HAND 2026-08-26 — checked line by line against the code</t>
        </is>
      </c>
      <c r="J466" s="3" t="inlineStr">
        <is>
          <t>1. base: RetirementInputs
2. monthlySpend: number</t>
        </is>
      </c>
      <c r="K466" s="3" t="inlineStr">
        <is>
          <t>NOT DECLARED — the code does not say what it gives back</t>
        </is>
      </c>
      <c r="L466" s="3" t="inlineStr">
        <is>
          <t>—</t>
        </is>
      </c>
      <c r="M466" s="3" t="inlineStr">
        <is>
          <t>None found in this function — anything it assumes comes from the functions it depends on.</t>
        </is>
      </c>
      <c r="N466" s="3" t="inlineStr">
        <is>
          <t>Yes</t>
        </is>
      </c>
      <c r="O466" s="3" t="inlineStr">
        <is>
          <t>MK-PL-F-050 simulate</t>
        </is>
      </c>
      <c r="P466" s="3" t="n">
        <v>22</v>
      </c>
      <c r="Q466"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66"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66" s="3" t="inlineStr">
        <is>
          <t>—</t>
        </is>
      </c>
      <c r="T466" s="3" t="inlineStr">
        <is>
          <t>—</t>
        </is>
      </c>
      <c r="U466" s="3" t="inlineStr">
        <is>
          <t>ACTIVE</t>
        </is>
      </c>
      <c r="V466" s="3" t="inlineStr">
        <is>
          <t>2026-09-12</t>
        </is>
      </c>
      <c r="W466" s="3" t="n"/>
      <c r="X466" s="3" t="n"/>
      <c r="Y466" s="3" t="inlineStr">
        <is>
          <t>NOTHING OPEN</t>
        </is>
      </c>
    </row>
    <row r="467" ht="60" customHeight="1">
      <c r="A467" s="3" t="inlineStr">
        <is>
          <t>MK-PL-F-070</t>
        </is>
      </c>
      <c r="B467" s="3" t="inlineStr">
        <is>
          <t>smallestThatWorks</t>
        </is>
      </c>
      <c r="C467" s="3" t="inlineStr">
        <is>
          <t>src/domain/planning/target.ts</t>
        </is>
      </c>
      <c r="D467" s="3" t="n">
        <v>48</v>
      </c>
      <c r="E467" s="3" t="inlineStr">
        <is>
          <t>3 · DEPENDENT</t>
        </is>
      </c>
      <c r="F467" s="3" t="inlineStr">
        <is>
          <t>Smallest x in [lo, hi] where reaching(x) is true, to `tol`.</t>
        </is>
      </c>
      <c r="G467" s="11" t="inlineStr">
        <is>
          <t>lo   when works(lo)
nothing   when !works(hi)
a = lo, b = hi
mid = (a + b) ÷ 2
the answer = b</t>
        </is>
      </c>
      <c r="H467" s="3" t="inlineStr">
        <is>
          <t>When works(lo), it answers lo. When !works(hi), it answers no answer. A is lo, b = hi. Mid is (a plus b) divided by 2. The answer is b.</t>
        </is>
      </c>
      <c r="I467" s="3" t="inlineStr">
        <is>
          <t>READ FROM THE CODE — rendered from the expressions the function runs</t>
        </is>
      </c>
      <c r="J467" s="3" t="inlineStr">
        <is>
          <t>1. lo: number
2. hi: number
3. tol: number
4. works: (x: number) =&gt; boolean</t>
        </is>
      </c>
      <c r="K467" s="3" t="inlineStr">
        <is>
          <t>number | null</t>
        </is>
      </c>
      <c r="L467" s="3" t="inlineStr">
        <is>
          <t>—</t>
        </is>
      </c>
      <c r="M467" s="3" t="inlineStr">
        <is>
          <t>None found in this function — anything it assumes comes from the functions it depends on.</t>
        </is>
      </c>
      <c r="N467" s="3" t="inlineStr">
        <is>
          <t>Yes</t>
        </is>
      </c>
      <c r="O467" s="3" t="inlineStr">
        <is>
          <t>—</t>
        </is>
      </c>
      <c r="P467" s="3" t="n">
        <v>0</v>
      </c>
      <c r="Q467" s="3" t="inlineStr">
        <is>
          <t>None — no dependent function stands behind it</t>
        </is>
      </c>
      <c r="R467" s="3" t="inlineStr">
        <is>
          <t>No dependent function — it reads its inputs and answers</t>
        </is>
      </c>
      <c r="S467" s="3" t="inlineStr">
        <is>
          <t>—</t>
        </is>
      </c>
      <c r="T467" s="3" t="inlineStr">
        <is>
          <t>—</t>
        </is>
      </c>
      <c r="U467" s="3" t="inlineStr">
        <is>
          <t>ACTIVE</t>
        </is>
      </c>
      <c r="V467" s="3" t="inlineStr">
        <is>
          <t>2026-08-27</t>
        </is>
      </c>
      <c r="W467" s="3" t="n"/>
      <c r="X467" s="3" t="n"/>
      <c r="Y467" s="3" t="inlineStr">
        <is>
          <t>NOTHING OPEN</t>
        </is>
      </c>
    </row>
    <row r="468" ht="60" customHeight="1">
      <c r="A468" s="3" t="inlineStr">
        <is>
          <t>MK-PL-F-071</t>
        </is>
      </c>
      <c r="B468" s="3" t="inlineStr">
        <is>
          <t>oddsOf</t>
        </is>
      </c>
      <c r="C468" s="3" t="inlineStr">
        <is>
          <t>src/domain/planning/target.ts</t>
        </is>
      </c>
      <c r="D468" s="3" t="n">
        <v>79</v>
      </c>
      <c r="E468" s="3" t="inlineStr">
        <is>
          <t>1 · ACTION</t>
        </is>
      </c>
      <c r="F468" s="3" t="inlineStr">
        <is>
          <t>NOT DETERMINED — the code carries no note saying what this is for, and it has no row in the old inventory. Needs reading.</t>
        </is>
      </c>
      <c r="G468" s="11" t="inlineStr">
        <is>
          <t>simulate(inp).chance of success</t>
        </is>
      </c>
      <c r="H468" s="3" t="inlineStr">
        <is>
          <t>simulate(inp).chance of success</t>
        </is>
      </c>
      <c r="I468" s="3" t="inlineStr">
        <is>
          <t>PARTLY READ — some of the code is still showing through; needs a hand pass</t>
        </is>
      </c>
      <c r="J468" s="3" t="inlineStr">
        <is>
          <t>inp: RetirementInputs</t>
        </is>
      </c>
      <c r="K468" s="3" t="inlineStr">
        <is>
          <t>NOT DECLARED — the code does not say what it gives back</t>
        </is>
      </c>
      <c r="L468" s="3" t="inlineStr">
        <is>
          <t>—</t>
        </is>
      </c>
      <c r="M468" s="3" t="inlineStr">
        <is>
          <t>None found in this function — anything it assumes comes from the functions it depends on.</t>
        </is>
      </c>
      <c r="N468" s="3" t="inlineStr">
        <is>
          <t>Yes</t>
        </is>
      </c>
      <c r="O468" s="3" t="inlineStr">
        <is>
          <t>MK-PL-F-050 simulate</t>
        </is>
      </c>
      <c r="P468" s="3" t="n">
        <v>22</v>
      </c>
      <c r="Q468"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68"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68" s="3" t="inlineStr">
        <is>
          <t>—</t>
        </is>
      </c>
      <c r="T468" s="3" t="inlineStr">
        <is>
          <t>—</t>
        </is>
      </c>
      <c r="U468" s="3" t="inlineStr">
        <is>
          <t>ACTIVE</t>
        </is>
      </c>
      <c r="V468" s="3" t="inlineStr">
        <is>
          <t>2026-08-27</t>
        </is>
      </c>
      <c r="W468" s="3" t="n"/>
      <c r="X468" s="3" t="n"/>
      <c r="Y468" s="3" t="inlineStr">
        <is>
          <t>NOTHING OPEN</t>
        </is>
      </c>
    </row>
    <row r="469" ht="45" customHeight="1">
      <c r="A469" s="3" t="inlineStr">
        <is>
          <t>MK-PL-F-072</t>
        </is>
      </c>
      <c r="B469" s="3" t="inlineStr">
        <is>
          <t>mulberry32</t>
        </is>
      </c>
      <c r="C469" s="3" t="inlineStr">
        <is>
          <t>src/domain/retirement/index.ts</t>
        </is>
      </c>
      <c r="D469" s="3" t="n">
        <v>218</v>
      </c>
      <c r="E469" s="3" t="inlineStr">
        <is>
          <t>3 · DEPENDENT</t>
        </is>
      </c>
      <c r="F469" s="3" t="inlineStr">
        <is>
          <t>deterministic RNG so results/tests are reproducible</t>
        </is>
      </c>
      <c r="G469" s="11" t="inlineStr">
        <is>
          <t>t = seed += 0x6d2b79f5
the answer = ((t ^ (t &gt;&gt;&gt; 14)) &gt;&gt;&gt; 0) ÷ 4294967296</t>
        </is>
      </c>
      <c r="H469" s="3" t="inlineStr">
        <is>
          <t>T is seed += 0x6d2b79f5. The answer is ((t ^ (t &gt;&gt;&gt; 14)) &gt;&gt;&gt; 0) divided by 4294967296.</t>
        </is>
      </c>
      <c r="I469" s="3" t="inlineStr">
        <is>
          <t>READ FROM THE CODE — rendered from the expressions the function runs</t>
        </is>
      </c>
      <c r="J469" s="3" t="inlineStr">
        <is>
          <t>seed: number</t>
        </is>
      </c>
      <c r="K469" s="3" t="inlineStr">
        <is>
          <t>NOT DECLARED — the code does not say what it gives back</t>
        </is>
      </c>
      <c r="L469" s="3" t="inlineStr">
        <is>
          <t>—</t>
        </is>
      </c>
      <c r="M469" s="3" t="inlineStr">
        <is>
          <t>None found in this function — anything it assumes comes from the functions it depends on.</t>
        </is>
      </c>
      <c r="N469" s="3" t="inlineStr">
        <is>
          <t>Yes</t>
        </is>
      </c>
      <c r="O469" s="3" t="inlineStr">
        <is>
          <t>—</t>
        </is>
      </c>
      <c r="P469" s="3" t="n">
        <v>0</v>
      </c>
      <c r="Q469" s="3" t="inlineStr">
        <is>
          <t>None — no dependent function stands behind it</t>
        </is>
      </c>
      <c r="R469" s="3" t="inlineStr">
        <is>
          <t>No dependent function — it reads its inputs and answers</t>
        </is>
      </c>
      <c r="S469" s="3" t="inlineStr">
        <is>
          <t>—</t>
        </is>
      </c>
      <c r="T469" s="3" t="inlineStr">
        <is>
          <t>—</t>
        </is>
      </c>
      <c r="U469" s="3" t="inlineStr">
        <is>
          <t>ACTIVE</t>
        </is>
      </c>
      <c r="V469" s="3" t="inlineStr">
        <is>
          <t>2026-08-27</t>
        </is>
      </c>
      <c r="W469" s="3" t="n"/>
      <c r="X469" s="3" t="n"/>
      <c r="Y469" s="3" t="inlineStr">
        <is>
          <t>NOTHING OPEN</t>
        </is>
      </c>
    </row>
    <row r="470" ht="60" customHeight="1">
      <c r="A470" s="3" t="inlineStr">
        <is>
          <t>MK-PL-F-073</t>
        </is>
      </c>
      <c r="B470" s="3" t="inlineStr">
        <is>
          <t>normal</t>
        </is>
      </c>
      <c r="C470" s="3" t="inlineStr">
        <is>
          <t>src/domain/retirement/index.ts</t>
        </is>
      </c>
      <c r="D470" s="3" t="n">
        <v>254</v>
      </c>
      <c r="E470" s="3" t="inlineStr">
        <is>
          <t>3 · DEPENDENT</t>
        </is>
      </c>
      <c r="F470" s="3" t="inlineStr">
        <is>
          <t>NOT DETERMINED — the code carries no note saying what this is for, and it has no row in the old inventory. Needs reading.</t>
        </is>
      </c>
      <c r="G470" s="11" t="inlineStr">
        <is>
          <t>u = 0, v = 0
[LOOP — the answer is found inside a loop the extractor cannot render; the steps above are the ones before it. Read by hand.]</t>
        </is>
      </c>
      <c r="H470" s="3" t="inlineStr">
        <is>
          <t>U is 0, v = 0. The answer is mean plus sd times √(-2 times math.log(u)) times math.cos(2 times math.PI times v). The answer is found inside a loop that cannot be rendered here; read the code by hand.</t>
        </is>
      </c>
      <c r="I470" s="3" t="inlineStr">
        <is>
          <t>PARTLY READ — the body has a loop the extractor cannot render; the steps shown are the ones before it. Needs a hand pass (G23).</t>
        </is>
      </c>
      <c r="J470" s="3" t="inlineStr">
        <is>
          <t>rng: () =&gt; number, mean: number, sd: number</t>
        </is>
      </c>
      <c r="K470" s="3" t="inlineStr">
        <is>
          <t>number</t>
        </is>
      </c>
      <c r="L470" s="3" t="inlineStr">
        <is>
          <t>—</t>
        </is>
      </c>
      <c r="M470" s="3" t="inlineStr">
        <is>
          <t>None found in this function — anything it assumes comes from the functions it depends on.</t>
        </is>
      </c>
      <c r="N470" s="3" t="inlineStr">
        <is>
          <t>Yes</t>
        </is>
      </c>
      <c r="O470" s="3" t="inlineStr">
        <is>
          <t>—</t>
        </is>
      </c>
      <c r="P470" s="3" t="n">
        <v>0</v>
      </c>
      <c r="Q470" s="3" t="inlineStr">
        <is>
          <t>None — no dependent function stands behind it</t>
        </is>
      </c>
      <c r="R470" s="3" t="inlineStr">
        <is>
          <t>No dependent function — it reads its inputs and answers</t>
        </is>
      </c>
      <c r="S470" s="3" t="inlineStr">
        <is>
          <t>—</t>
        </is>
      </c>
      <c r="T470" s="3" t="inlineStr">
        <is>
          <t>—</t>
        </is>
      </c>
      <c r="U470" s="3" t="inlineStr">
        <is>
          <t>ACTIVE</t>
        </is>
      </c>
      <c r="V470" s="3" t="inlineStr">
        <is>
          <t>2026-09-08</t>
        </is>
      </c>
      <c r="W470" s="3" t="n"/>
      <c r="X470" s="3" t="n"/>
      <c r="Y470" s="3" t="inlineStr">
        <is>
          <t>NOTHING OPEN</t>
        </is>
      </c>
    </row>
    <row r="471" ht="60" customHeight="1">
      <c r="A471" s="3" t="inlineStr">
        <is>
          <t>MK-PL-F-074</t>
        </is>
      </c>
      <c r="B471" s="3" t="inlineStr">
        <is>
          <t>median</t>
        </is>
      </c>
      <c r="C471" s="3" t="inlineStr">
        <is>
          <t>src/domain/_shared/num.ts</t>
        </is>
      </c>
      <c r="D471" s="3" t="n">
        <v>209</v>
      </c>
      <c r="E471" s="3" t="inlineStr">
        <is>
          <t>2 · DISPLAYED</t>
        </is>
      </c>
      <c r="F471" s="3" t="inlineStr">
        <is>
          <t>The middle value of a list, 0 when it is empty.</t>
        </is>
      </c>
      <c r="G471" s="11" t="inlineStr">
        <is>
          <t>0   when count of xs is missing
s = [...xs].sort((a, b) =&gt; a − b)
m = round down(length ÷ 2)
the answer:
s[m]   if length % 2
(s[m − 1] + s[m]) ÷ 2   otherwise</t>
        </is>
      </c>
      <c r="H471" s="3" t="inlineStr">
        <is>
          <t>When how many xs is missing there are, it answers 0. S is [...xs].sort((a, b) =&gt; a minus b). M is length divided by 2, rounded down. The answer is s[m] — when length % 2; (s[m minus 1] plus s[m]) divided by 2 — otherwise.</t>
        </is>
      </c>
      <c r="I471" s="3" t="inlineStr">
        <is>
          <t>PARTLY READ — some of the code is still showing through; needs a hand pass</t>
        </is>
      </c>
      <c r="J471" s="3" t="inlineStr">
        <is>
          <t>xs: number[]</t>
        </is>
      </c>
      <c r="K471" s="3" t="inlineStr">
        <is>
          <t>number</t>
        </is>
      </c>
      <c r="L471" s="3" t="inlineStr">
        <is>
          <t>NOT FOUND — a screen calls it, but the words printed beside its answer could not be traced automatically. Needs reading.</t>
        </is>
      </c>
      <c r="M471" s="3" t="inlineStr">
        <is>
          <t>None found in this function — anything it assumes comes from the functions it depends on.</t>
        </is>
      </c>
      <c r="N471" s="3" t="inlineStr">
        <is>
          <t>Yes</t>
        </is>
      </c>
      <c r="O471" s="3" t="inlineStr">
        <is>
          <t>—</t>
        </is>
      </c>
      <c r="P471" s="3" t="n">
        <v>0</v>
      </c>
      <c r="Q471" s="3" t="inlineStr">
        <is>
          <t>None — no dependent function stands behind it</t>
        </is>
      </c>
      <c r="R471" s="3" t="inlineStr">
        <is>
          <t>No dependent function — it reads its inputs and answers</t>
        </is>
      </c>
      <c r="S471" s="3" t="inlineStr">
        <is>
          <t>—</t>
        </is>
      </c>
      <c r="T471" s="3" t="inlineStr">
        <is>
          <t>—</t>
        </is>
      </c>
      <c r="U471" s="3" t="inlineStr">
        <is>
          <t>ACTIVE</t>
        </is>
      </c>
      <c r="V471" s="3" t="inlineStr">
        <is>
          <t>2026-08-27</t>
        </is>
      </c>
      <c r="W471" s="3" t="n"/>
      <c r="X471" s="3" t="n"/>
      <c r="Y471" s="3" t="inlineStr">
        <is>
          <t>NOTHING OPEN</t>
        </is>
      </c>
    </row>
    <row r="472" ht="60" customHeight="1">
      <c r="A472" s="3" t="inlineStr">
        <is>
          <t>MK-PL-F-075</t>
        </is>
      </c>
      <c r="B472" s="3" t="inlineStr">
        <is>
          <t>pctOfSorted</t>
        </is>
      </c>
      <c r="C472" s="3" t="inlineStr">
        <is>
          <t>src/domain/retirement/index.ts</t>
        </is>
      </c>
      <c r="D472" s="3" t="n">
        <v>293</v>
      </c>
      <c r="E472" s="3" t="inlineStr">
        <is>
          <t>3 · DEPENDENT</t>
        </is>
      </c>
      <c r="F472" s="3" t="inlineStr">
        <is>
          <t>p in [0,1] over a pre-sorted ascending array (nearest-rank)</t>
        </is>
      </c>
      <c r="G472" s="11" t="inlineStr">
        <is>
          <t>0   when count of sorted is missing
idx = min(sorted.length − 1, max(0, round(p × (sorted.length − 1))))
the answer = sorted[idx]</t>
        </is>
      </c>
      <c r="H472" s="3" t="inlineStr">
        <is>
          <t>When how many sorted is missing there are, it answers 0. Idx: the smaller of sorted.length minus 1 and p times (sorted.length minus 1, to a whole number, never below zero). The answer is sorted[idx].</t>
        </is>
      </c>
      <c r="I472" s="3" t="inlineStr">
        <is>
          <t>READ FROM THE CODE — rendered from the expressions the function runs</t>
        </is>
      </c>
      <c r="J472" s="3" t="inlineStr">
        <is>
          <t>1. sorted: number[]
2. p: number</t>
        </is>
      </c>
      <c r="K472" s="3" t="inlineStr">
        <is>
          <t>number</t>
        </is>
      </c>
      <c r="L472" s="3" t="inlineStr">
        <is>
          <t>—</t>
        </is>
      </c>
      <c r="M472" s="3" t="inlineStr">
        <is>
          <t>· Rounds the answer to a whole number.</t>
        </is>
      </c>
      <c r="N472" s="3" t="inlineStr">
        <is>
          <t>Yes</t>
        </is>
      </c>
      <c r="O472" s="3" t="inlineStr">
        <is>
          <t>—</t>
        </is>
      </c>
      <c r="P472" s="3" t="n">
        <v>0</v>
      </c>
      <c r="Q472" s="3" t="inlineStr">
        <is>
          <t>None — no dependent function stands behind it</t>
        </is>
      </c>
      <c r="R472" s="3" t="inlineStr">
        <is>
          <t>No dependent function — it reads its inputs and answers</t>
        </is>
      </c>
      <c r="S472" s="3" t="inlineStr">
        <is>
          <t>—</t>
        </is>
      </c>
      <c r="T472" s="3" t="inlineStr">
        <is>
          <t>—</t>
        </is>
      </c>
      <c r="U472" s="3" t="inlineStr">
        <is>
          <t>ACTIVE</t>
        </is>
      </c>
      <c r="V472" s="3" t="inlineStr">
        <is>
          <t>2026-08-27</t>
        </is>
      </c>
      <c r="W472" s="3" t="n"/>
      <c r="X472" s="3" t="n"/>
      <c r="Y472" s="3" t="inlineStr">
        <is>
          <t>NOTHING OPEN</t>
        </is>
      </c>
    </row>
    <row r="473" ht="60" customHeight="1">
      <c r="A473" s="3" t="inlineStr">
        <is>
          <t>MK-PL-F-077</t>
        </is>
      </c>
      <c r="B473" s="3" t="inlineStr">
        <is>
          <t>clamp</t>
        </is>
      </c>
      <c r="C473" s="3" t="inlineStr">
        <is>
          <t>src/domain/retirement/willItLast.ts</t>
        </is>
      </c>
      <c r="D473" s="3" t="n">
        <v>56</v>
      </c>
      <c r="E473" s="3" t="inlineStr">
        <is>
          <t>2 · DISPLAYED</t>
        </is>
      </c>
      <c r="F473" s="3" t="inlineStr">
        <is>
          <t>NOT DETERMINED — the code carries no note saying what this is for, and it has no row in the old inventory. Needs reading.</t>
        </is>
      </c>
      <c r="G473" s="11" t="inlineStr">
        <is>
          <t>max(lo, min(hi, v))</t>
        </is>
      </c>
      <c r="H473" s="3" t="inlineStr">
        <is>
          <t>the larger of lo and the smaller of hi and v</t>
        </is>
      </c>
      <c r="I473" s="3" t="inlineStr">
        <is>
          <t>READ FROM THE CODE — rendered from the expressions the function runs</t>
        </is>
      </c>
      <c r="J473" s="3" t="inlineStr">
        <is>
          <t>1. v: number
2. lo: number
3. hi: number</t>
        </is>
      </c>
      <c r="K473" s="3" t="inlineStr">
        <is>
          <t>NOT DECLARED — the code does not say what it gives back</t>
        </is>
      </c>
      <c r="L473" s="3" t="inlineStr">
        <is>
          <t>1. "Claim at age" — on the Retirement cockpit screen
2. "Save" — on the Retirement cockpit screen
3. "Test retiring earlier, saving more, market ups &amp; downs." — on the Retirement cockpit screen
4. "What counts toward retirement?" — on the Retirement cockpit screen</t>
        </is>
      </c>
      <c r="M473" s="3" t="inlineStr">
        <is>
          <t>None found in this function — anything it assumes comes from the functions it depends on.</t>
        </is>
      </c>
      <c r="N473" s="3" t="inlineStr">
        <is>
          <t>Yes</t>
        </is>
      </c>
      <c r="O473" s="3" t="inlineStr">
        <is>
          <t>MK-NW-F-035 blendedVolatility</t>
        </is>
      </c>
      <c r="P473" s="3" t="n">
        <v>45</v>
      </c>
      <c r="Q473" s="3" t="inlineStr">
        <is>
          <t>1. MK-NW-F-035 blendedVolatility
2. MK-CF-F-155 cash
3. MK-NW-F-032 earmarkedAmount
4. MK-NW-F-031 primaryCarIdOf
5. MK-NW-F-110 primaryHomeIdOf
6. MK-XS-F-122 n
7. MK-NW-F-030 earmarkDefault
8. MK-NW-F-134 carValueNotEnteredNotes
9. MK-NW-F-133 valueEntered
10. MK-NW-F-117 propertyUseMap
11. MK-NW-F-011 assetClassOf
12. MK-CF-F-132 map
13. MK-ST-F-053 money
14. MK-NW-F-033 retirementEarmarkedValue
15. MK-ST-F-056 has
16. MK-NW-F-116 rentedIdsOf
17. MK-NW-F-120 classEvidenceOf
18. MK-ST-F-049 formatMoney
19. MK-NW-F-115 liveRent
20. MK-NW-F-008 incomeBearingClassOf
21. MK-NW-F-009 maturityClass
22. MK-ST-F-048 currencySymbol
23. MK-ST-F-039 on
24. MK-CF-O-002 expenses
25. MK-NW-F-114 rentAmount
26. MK-ST-F-010 nameEvidence
27. MK-NW-F-124 maturityParts
28. MK-CF-F-216 typed
29. MK-ST-F-047 activeCurrency
30. MK-CF-F-151 actualSpending
31. MK-CF-F-150 debtPaymentsCountedAsExpenses
32. MK-CF-F-153 radar
33. MK-CF-F-149 recurringDebtPayments
34. MK-ST-F-085 rentFigure
35. MK-XS-F-147 call
36. MK-CF-F-148 inMonth
37. MK-ST-F-052 toNum
38. MK-CF-F-191 ym
39. MK-CF-F-022 paymentShape
40. MK-CF-F-152 isRadarItem
41. MK-CF-F-023 requiredPayment
42. MK-ST-F-027 accountId
43. MK-XS-F-064 currentIdToken
44. MK-XS-F-112 relayUrl
45. MK-CF-F-021 defaultPaymentType</t>
        </is>
      </c>
      <c r="R473" s="3" t="inlineStr">
        <is>
          <t>1. MK-XS-F-122 n → MK-CF-F-155 cash → MK-NW-F-035 blendedVolatility → MK-PL-F-077 clamp
2. MK-NW-F-120 classEvidenceOf → MK-NW-F-011 assetClassOf → MK-NW-F-030 earmarkDefault → MK-NW-F-032 earmarkedAmount → MK-NW-F-035 blendedVolatility → MK-PL-F-077 clamp
3. MK-CF-F-132 map → MK-NW-F-134 carValueNotEnteredNotes → MK-NW-F-031 primaryCarIdOf → MK-NW-F-035 blendedVolatility → MK-PL-F-077 clamp
4. MK-ST-F-049 formatMoney → MK-ST-F-053 money → MK-NW-F-134 carValueNotEnteredNotes → MK-NW-F-031 primaryCarIdOf → MK-NW-F-035 blendedVolatility → MK-PL-F-077 clamp
5. MK-XS-F-122 n → MK-ST-F-053 money → MK-NW-F-134 carValueNotEnteredNotes → MK-NW-F-031 primaryCarIdOf → MK-NW-F-035 blendedVolatility → MK-PL-F-077 clamp
6. primaryCarIdOf (already above — a loop) → MK-NW-F-134 carValueNotEnteredNotes → MK-NW-F-031 primaryCarIdOf → MK-NW-F-035 blendedVolatility → MK-PL-F-077 clamp
7. MK-NW-F-032 earmarkedAmount → MK-NW-F-033 retirementEarmarkedValue → MK-NW-F-134 carValueNotEnteredNotes → MK-NW-F-031 primaryCarIdOf → MK-NW-F-035 blendedVolatility → MK-PL-F-077 clamp
8. primaryCarIdOf (already above — a loop) → MK-NW-F-033 retirementEarmarkedValue → MK-NW-F-134 carValueNotEnteredNotes → MK-NW-F-031 primaryCarIdOf → MK-NW-F-035 blendedVolatility → MK-PL-F-077 clamp
9. … and 4 more paths</t>
        </is>
      </c>
      <c r="S473" s="3" t="inlineStr">
        <is>
          <t>—</t>
        </is>
      </c>
      <c r="T473" s="3" t="inlineStr">
        <is>
          <t>—</t>
        </is>
      </c>
      <c r="U473" s="3" t="inlineStr">
        <is>
          <t>ACTIVE</t>
        </is>
      </c>
      <c r="V473" s="3" t="inlineStr">
        <is>
          <t>2026-08-27</t>
        </is>
      </c>
      <c r="W473" s="3" t="n"/>
      <c r="X473" s="3" t="n"/>
      <c r="Y473" s="3" t="inlineStr">
        <is>
          <t>NOTHING OPEN</t>
        </is>
      </c>
    </row>
    <row r="474" ht="60" customHeight="1">
      <c r="A474" s="3" t="inlineStr">
        <is>
          <t>MK-PL-F-078</t>
        </is>
      </c>
      <c r="B474" s="3" t="inlineStr">
        <is>
          <t>rmdDivisorAtAge</t>
        </is>
      </c>
      <c r="C474" s="3" t="inlineStr">
        <is>
          <t>src/domain/decumulation/index.ts</t>
        </is>
      </c>
      <c r="D474" s="3" t="n">
        <v>401</v>
      </c>
      <c r="E474" s="3" t="inlineStr">
        <is>
          <t>2 · DISPLAYED</t>
        </is>
      </c>
      <c r="F474" s="3" t="inlineStr">
        <is>
          <t>NOT DETERMINED — the code carries no note saying what this is for, and it has no row in the old inventory. Needs reading.</t>
        </is>
      </c>
      <c r="G474" s="11" t="inlineStr">
        <is>
          <t>table rmd divisor(age, now year − age)</t>
        </is>
      </c>
      <c r="H474" s="3" t="inlineStr">
        <is>
          <t>table rmd divisor(age, now year minus age).</t>
        </is>
      </c>
      <c r="I474" s="3" t="inlineStr">
        <is>
          <t>READ FROM THE CODE — rendered from the expressions the function runs</t>
        </is>
      </c>
      <c r="J474" s="3" t="inlineStr">
        <is>
          <t>1. age: number
2. nowYear = new Date().getFullYear()</t>
        </is>
      </c>
      <c r="K474" s="3" t="inlineStr">
        <is>
          <t>number</t>
        </is>
      </c>
      <c r="L474" s="3" t="inlineStr">
        <is>
          <t>"Suggested withdrawal order" — on the Retirement cockpit screen</t>
        </is>
      </c>
      <c r="M474" s="3" t="inlineStr">
        <is>
          <t>· Uses today's date from the device clock, so the answer changes by itself overnight.</t>
        </is>
      </c>
      <c r="N474" s="3" t="inlineStr">
        <is>
          <t>Yes</t>
        </is>
      </c>
      <c r="O474" s="3" t="inlineStr">
        <is>
          <t>—</t>
        </is>
      </c>
      <c r="P474" s="3" t="n">
        <v>0</v>
      </c>
      <c r="Q474" s="3" t="inlineStr">
        <is>
          <t>None — no dependent function stands behind it</t>
        </is>
      </c>
      <c r="R474" s="3" t="inlineStr">
        <is>
          <t>No dependent function — it reads its inputs and answers</t>
        </is>
      </c>
      <c r="S474" s="3" t="inlineStr">
        <is>
          <t>—</t>
        </is>
      </c>
      <c r="T474" s="3" t="inlineStr">
        <is>
          <t>—</t>
        </is>
      </c>
      <c r="U474" s="3" t="inlineStr">
        <is>
          <t>ACTIVE</t>
        </is>
      </c>
      <c r="V474" s="3" t="inlineStr">
        <is>
          <t>2026-09-13</t>
        </is>
      </c>
      <c r="W474" s="3" t="n"/>
      <c r="X474" s="3" t="n"/>
      <c r="Y474" s="3" t="inlineStr">
        <is>
          <t>NOTHING OPEN</t>
        </is>
      </c>
    </row>
    <row r="475" ht="60" customHeight="1">
      <c r="A475" s="3" t="inlineStr">
        <is>
          <t>MK-PL-F-079</t>
        </is>
      </c>
      <c r="B475" s="3" t="inlineStr">
        <is>
          <t>numOrZero</t>
        </is>
      </c>
      <c r="C475" s="3" t="inlineStr">
        <is>
          <t>src/domain/retirement/willItLast.ts</t>
        </is>
      </c>
      <c r="D475" s="3" t="n">
        <v>35</v>
      </c>
      <c r="E475" s="3" t="inlineStr">
        <is>
          <t>3 · DEPENDENT</t>
        </is>
      </c>
      <c r="F475" s="3" t="inlineStr">
        <is>
          <t>NOT DETERMINED — the code carries no note saying what this is for, and it has no row in the old inventory. Needs reading.</t>
        </is>
      </c>
      <c r="G475" s="11" t="inlineStr">
        <is>
          <t>n = the number in the text after every character but digits and the decimal point is removed
the answer = 0 when that is not a number, else n</t>
        </is>
      </c>
      <c r="H475" s="3" t="inlineStr">
        <is>
          <t>Reads a typed amount as a number — strips dollar signs, commas and spaces — and gives 0 when nothing numeric is left.</t>
        </is>
      </c>
      <c r="I475" s="3" t="inlineStr">
        <is>
          <t>READ BY HAND 2026-08-26 — checked line by line against the code</t>
        </is>
      </c>
      <c r="J475" s="3" t="inlineStr">
        <is>
          <t>v: any</t>
        </is>
      </c>
      <c r="K475" s="3" t="inlineStr">
        <is>
          <t>n; };</t>
        </is>
      </c>
      <c r="L475" s="3" t="inlineStr">
        <is>
          <t>—</t>
        </is>
      </c>
      <c r="M475" s="3" t="inlineStr">
        <is>
          <t>None found in this function — anything it assumes comes from the functions it depends on.</t>
        </is>
      </c>
      <c r="N475" s="3" t="inlineStr">
        <is>
          <t>Yes</t>
        </is>
      </c>
      <c r="O475" s="3" t="inlineStr">
        <is>
          <t>MK-XS-F-122 n</t>
        </is>
      </c>
      <c r="P475" s="3" t="n">
        <v>1</v>
      </c>
      <c r="Q475" s="3" t="inlineStr">
        <is>
          <t>MK-XS-F-122 n</t>
        </is>
      </c>
      <c r="R475" s="3" t="inlineStr">
        <is>
          <t>MK-XS-F-122 n → MK-PL-F-079 numOrZero</t>
        </is>
      </c>
      <c r="S475" s="3" t="inlineStr">
        <is>
          <t>—</t>
        </is>
      </c>
      <c r="T475" s="3" t="inlineStr">
        <is>
          <t>—</t>
        </is>
      </c>
      <c r="U475" s="3" t="inlineStr">
        <is>
          <t>ACTIVE</t>
        </is>
      </c>
      <c r="V475" s="3" t="inlineStr">
        <is>
          <t>2026-09-12</t>
        </is>
      </c>
      <c r="W475" s="3" t="n"/>
      <c r="X475" s="3" t="n"/>
      <c r="Y475" s="3" t="inlineStr">
        <is>
          <t>NOTHING OPEN</t>
        </is>
      </c>
    </row>
    <row r="476" ht="60" customHeight="1">
      <c r="A476" s="3" t="inlineStr">
        <is>
          <t>MK-PL-F-080</t>
        </is>
      </c>
      <c r="B476" s="3" t="inlineStr">
        <is>
          <t>rmdRequiredThisYear</t>
        </is>
      </c>
      <c r="C476" s="3" t="inlineStr">
        <is>
          <t>src/domain/decumulation/index.ts</t>
        </is>
      </c>
      <c r="D476" s="3" t="n">
        <v>465</v>
      </c>
      <c r="E476" s="3" t="inlineStr">
        <is>
          <t>2 · DISPLAYED</t>
        </is>
      </c>
      <c r="F476" s="3" t="inlineStr">
        <is>
          <t>What must be taken out this year, and which balance is it based on?</t>
        </is>
      </c>
      <c r="G476" s="11" t="inlineStr">
        <is>
          <t>balance used = the pre-tax balance on 31 December last year, when the person entered one (&gt; 0); otherwise today's pre-tax balance
amount = rmd at age(balance used, age)
basis = 'prior_year_end' or 'today' — so the screen can say which</t>
        </is>
      </c>
      <c r="H476" s="3" t="inlineStr">
        <is>
          <t>If the person has entered last 31 December's pre-tax balance, the required amount is that balance divided by the life-expectancy factor for their age. If not, today's balance is used instead, and the answer carries a flag saying so, which the screen prints.</t>
        </is>
      </c>
      <c r="I476" s="3" t="inlineStr">
        <is>
          <t>READ BY HAND 2026-08-26 — checked line by line against the code</t>
        </is>
      </c>
      <c r="J476" s="3" t="inlineStr">
        <is>
          <t>1. preTaxToday: number
2. priorYearEndPreTax: number | null | undefined
3. age: number</t>
        </is>
      </c>
      <c r="K476" s="3" t="inlineStr">
        <is>
          <t>RmdThisYear</t>
        </is>
      </c>
      <c r="L476" s="3" t="inlineStr">
        <is>
          <t>NOT FOUND — a screen calls it, but the words printed beside its answer could not be traced automatically. Needs reading.</t>
        </is>
      </c>
      <c r="M476"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76" s="3" t="inlineStr">
        <is>
          <t>Yes</t>
        </is>
      </c>
      <c r="O476" s="3" t="inlineStr">
        <is>
          <t>MK-PL-F-007 rmdAtAge</t>
        </is>
      </c>
      <c r="P476" s="3" t="n">
        <v>2</v>
      </c>
      <c r="Q476" s="3" t="inlineStr">
        <is>
          <t>1. MK-PL-F-007 rmdAtAge
2. MK-PL-F-078 rmdDivisorAtAge</t>
        </is>
      </c>
      <c r="R476" s="3" t="inlineStr">
        <is>
          <t>MK-PL-F-078 rmdDivisorAtAge → MK-PL-F-007 rmdAtAge → MK-PL-F-080 rmdRequiredThisYear</t>
        </is>
      </c>
      <c r="S476" s="3" t="inlineStr">
        <is>
          <t>MK-PL-M-013</t>
        </is>
      </c>
      <c r="T476" s="3" t="inlineStr">
        <is>
          <t>—</t>
        </is>
      </c>
      <c r="U476" s="3" t="inlineStr">
        <is>
          <t>ACTIVE</t>
        </is>
      </c>
      <c r="V476" s="3" t="inlineStr">
        <is>
          <t>2026-09-08</t>
        </is>
      </c>
      <c r="W476" s="3" t="n"/>
      <c r="X476" s="3" t="n"/>
      <c r="Y476" s="6" t="inlineStr">
        <is>
          <t>TESTED, NOT VERIFIED (G8)</t>
        </is>
      </c>
    </row>
    <row r="477" ht="60" customHeight="1">
      <c r="A477" s="3" t="inlineStr">
        <is>
          <t>MK-PL-F-081</t>
        </is>
      </c>
      <c r="B477" s="3" t="inlineStr">
        <is>
          <t>taxableGainShare</t>
        </is>
      </c>
      <c r="C477" s="3" t="inlineStr">
        <is>
          <t>src/domain/decumulation/index.ts</t>
        </is>
      </c>
      <c r="D477" s="3" t="n">
        <v>672</v>
      </c>
      <c r="E477" s="3" t="inlineStr">
        <is>
          <t>2 · DISPLAYED</t>
        </is>
      </c>
      <c r="F477" s="3" t="inlineStr">
        <is>
          <t>What share of the person's taxable holdings is unrealised gain?</t>
        </is>
      </c>
      <c r="G477" s="11" t="inlineStr">
        <is>
          <t>over every holding in a TAXABLE account that has a price (the broker's mark, else the price feed): value += market value(holding, price) · basis += cost basis(holding)
nothing   when value ≤ 0 (no priced taxable holding)
the answer = min(1, max(0, (value − basis) ÷ value))</t>
        </is>
      </c>
      <c r="H477" s="3" t="inlineStr">
        <is>
          <t>Add up what the taxable holdings are worth today and what was paid for them; the gain share is the difference as a fraction of today's value, never below zero and never above one. With no priced taxable holding there is no answer.</t>
        </is>
      </c>
      <c r="I477" s="3" t="inlineStr">
        <is>
          <t>READ BY HAND 2026-08-26 — checked line by line against the code</t>
        </is>
      </c>
      <c r="J477" s="3" t="inlineStr">
        <is>
          <t>1. accounts: AssetAccount[]
2. priceOf: (ticker: string) =&gt; number | null</t>
        </is>
      </c>
      <c r="K477" s="3" t="inlineStr">
        <is>
          <t>number | null</t>
        </is>
      </c>
      <c r="L477" s="3" t="inlineStr">
        <is>
          <t>NOT FOUND — a screen calls it, but the words printed beside its answer could not be traced automatically. Needs reading.</t>
        </is>
      </c>
      <c r="M477" s="3" t="inlineStr">
        <is>
          <t>1. A holding with no price is left out; no priced taxable holding at all → nothing, never a guessed 50% (founder ruling 2026-09-08, G6).
2. A loss overall counts as a 0% gain share (no tax on drawing at a loss), never negative.</t>
        </is>
      </c>
      <c r="N477" s="3" t="inlineStr">
        <is>
          <t>Yes</t>
        </is>
      </c>
      <c r="O477" s="3" t="inlineStr">
        <is>
          <t>1. MK-PF-F-002 costBasis
2. MK-PF-F-004 marketValue
3. MK-PL-F-086 splitBucketOf</t>
        </is>
      </c>
      <c r="P477" s="3" t="n">
        <v>23</v>
      </c>
      <c r="Q477" s="3" t="inlineStr">
        <is>
          <t>1. MK-PF-F-002 costBasis
2. MK-PF-F-004 marketValue
3. MK-PL-F-086 splitBucketOf
4. MK-PF-F-031 contractMultiplier
5. MK-PF-F-035 unknownFigure
6. MK-PF-F-001 totalShares
7. MK-NW-F-007 assetKind
8. MK-NW-F-012 taxTreatmentOf
9. MK-NW-F-011 assetClassOf
10. MK-CF-F-155 cash
11. MK-NW-F-120 classEvidenceOf
12. MK-XS-F-122 n
13. MK-NW-F-008 incomeBearingClassOf
14. MK-NW-F-009 maturityClass
15. MK-ST-F-010 nameEvidence
16. MK-NW-F-124 maturityParts
17. MK-CF-F-216 typed
18. MK-XS-F-147 call
19. MK-ST-F-056 has
20. MK-CF-F-132 map
21. MK-ST-F-027 accountId
22. MK-XS-F-064 currentIdToken
23. MK-XS-F-112 relayUrl</t>
        </is>
      </c>
      <c r="R477" s="3" t="inlineStr">
        <is>
          <t>1. MK-PF-F-031 contractMultiplier → MK-PF-F-002 costBasis → MK-PL-F-081 taxableGainShare
2. MK-PF-F-035 unknownFigure → MK-PF-F-002 costBasis → MK-PL-F-081 taxableGainShare
3. MK-PF-F-031 contractMultiplier → MK-PF-F-004 marketValue → MK-PL-F-081 taxableGainShare
4. MK-PF-F-001 totalShares → MK-PF-F-004 marketValue → MK-PL-F-081 taxableGainShare
5. MK-CF-F-155 cash → MK-NW-F-120 classEvidenceOf → MK-NW-F-011 assetClassOf → MK-NW-F-007 assetKind → MK-PL-F-086 splitBucketOf → MK-PL-F-081 taxableGainShare
6. MK-NW-F-008 incomeBearingClassOf → MK-NW-F-120 classEvidenceOf → MK-NW-F-011 assetClassOf → MK-NW-F-007 assetKind → MK-PL-F-086 splitBucketOf → MK-PL-F-081 taxableGainShare
7. MK-NW-F-009 maturityClass → MK-NW-F-120 classEvidenceOf → MK-NW-F-011 assetClassOf → MK-NW-F-007 assetKind → MK-PL-F-086 splitBucketOf → MK-PL-F-081 taxableGainShare
8. MK-XS-F-122 n → MK-CF-F-155 cash → MK-NW-F-007 assetKind → MK-PL-F-086 splitBucketOf → MK-PL-F-081 taxableGainShare
9. … and 2 more paths</t>
        </is>
      </c>
      <c r="S477" s="3" t="inlineStr">
        <is>
          <t>—</t>
        </is>
      </c>
      <c r="T477" s="3" t="inlineStr">
        <is>
          <t>—</t>
        </is>
      </c>
      <c r="U477" s="3" t="inlineStr">
        <is>
          <t>ACTIVE</t>
        </is>
      </c>
      <c r="V477" s="3" t="inlineStr">
        <is>
          <t>2026-09-08</t>
        </is>
      </c>
      <c r="W477" s="3" t="n"/>
      <c r="X477" s="3" t="n"/>
      <c r="Y477" s="6" t="inlineStr">
        <is>
          <t>TESTED, NOT VERIFIED (G6)</t>
        </is>
      </c>
    </row>
    <row r="478" ht="60" customHeight="1">
      <c r="A478" s="3" t="inlineStr">
        <is>
          <t>MK-PL-F-082</t>
        </is>
      </c>
      <c r="B478" s="3" t="inlineStr">
        <is>
          <t>taxableIncomeSteps</t>
        </is>
      </c>
      <c r="C478" s="3" t="inlineStr">
        <is>
          <t>src/domain/planning/index.ts</t>
        </is>
      </c>
      <c r="D478" s="3" t="n">
        <v>65</v>
      </c>
      <c r="E478" s="3" t="inlineStr">
        <is>
          <t>3 · DEPENDENT</t>
        </is>
      </c>
      <c r="F478" s="3" t="inlineStr">
        <is>
          <t>From everything earned to what is actually taxed — the four lines a return shows (founder ruling brief Q-46 (2026-08-20), 2026-09-08).</t>
        </is>
      </c>
      <c r="G478"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78"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78" s="3" t="inlineStr">
        <is>
          <t>READ BY HAND 2026-08-26 — checked line by line against the code</t>
        </is>
      </c>
      <c r="J478" s="3" t="inlineStr">
        <is>
          <t>1. op: OnboardingProfile | null
2. grossIncome: number</t>
        </is>
      </c>
      <c r="K478" s="3" t="inlineStr">
        <is>
          <t>TaxableIncomeSteps</t>
        </is>
      </c>
      <c r="L478" s="3" t="inlineStr">
        <is>
          <t>—</t>
        </is>
      </c>
      <c r="M478"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78" s="3" t="inlineStr">
        <is>
          <t>Yes</t>
        </is>
      </c>
      <c r="O478" s="3" t="inlineStr">
        <is>
          <t>1. MK-CF-F-099 deductionFor
2. MK-CF-F-085 filingStatusOf
3. MK-CF-F-188 householdPreTaxContributionsAnnual
4. MK-ST-F-039 on
5. MK-CF-F-089 over65CountOf
6. MK-CF-F-187 seniorDeductionFor</t>
        </is>
      </c>
      <c r="P478" s="3" t="n">
        <v>12</v>
      </c>
      <c r="Q478"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78"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78" s="3" t="inlineStr">
        <is>
          <t>MK-MN-M-027 · MK-MN-M-028</t>
        </is>
      </c>
      <c r="T478" s="3" t="inlineStr">
        <is>
          <t>—</t>
        </is>
      </c>
      <c r="U478" s="3" t="inlineStr">
        <is>
          <t>ACTIVE</t>
        </is>
      </c>
      <c r="V478" s="3" t="inlineStr">
        <is>
          <t>2026-09-08</t>
        </is>
      </c>
      <c r="W478" s="3" t="n"/>
      <c r="X478" s="3" t="n"/>
      <c r="Y478" s="6" t="inlineStr">
        <is>
          <t>TESTED, NOT VERIFIED (G22 / Q46)</t>
        </is>
      </c>
    </row>
    <row r="479" ht="60" customHeight="1">
      <c r="A479" s="3" t="inlineStr">
        <is>
          <t>MK-PL-F-083</t>
        </is>
      </c>
      <c r="B479" s="3" t="inlineStr">
        <is>
          <t>inflationRateInForce</t>
        </is>
      </c>
      <c r="C479" s="3" t="inlineStr">
        <is>
          <t>src/domain/retirement/inflation.ts</t>
        </is>
      </c>
      <c r="D479" s="3" t="n">
        <v>48</v>
      </c>
      <c r="E479" s="3" t="inlineStr">
        <is>
          <t>2 · DISPLAYED</t>
        </is>
      </c>
      <c r="F479" s="3" t="inlineStr">
        <is>
          <t>The inflation rate a plan runs on, and where it came from.</t>
        </is>
      </c>
      <c r="G479"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79" s="3" t="inlineStr">
        <is>
          <t>The person's own inflation rate when they set one on the cockpit; otherwise the dated default — 2.5% a year, the 30-year average of consumer prices — with its source, so the screen can say where the figure came from.</t>
        </is>
      </c>
      <c r="I479" s="3" t="inlineStr">
        <is>
          <t>READ BY HAND 2026-08-26 — checked line by line against the code</t>
        </is>
      </c>
      <c r="J479" s="3" t="inlineStr">
        <is>
          <t>entered: number | null | undefined</t>
        </is>
      </c>
      <c r="K479" s="3" t="inlineStr">
        <is>
          <t>InflationInForce</t>
        </is>
      </c>
      <c r="L479" s="3" t="inlineStr">
        <is>
          <t>NOT FOUND — a screen calls it, but the words printed beside its answer could not be traced automatically. Needs reading.</t>
        </is>
      </c>
      <c r="M479" s="3" t="inlineStr">
        <is>
          <t>· Founder ruling brief Q-50 (2026-08-20), executed 2026-09-08 (G30): the default is the dated 30-year average — 2.5% a year, Bureau of Labor Statistics CPI-U 1996–2025, checked 2026-09-08 — never a live feed; the person's own rate outranks it.</t>
        </is>
      </c>
      <c r="N479" s="3" t="inlineStr">
        <is>
          <t>Yes</t>
        </is>
      </c>
      <c r="O479" s="3" t="inlineStr">
        <is>
          <t>—</t>
        </is>
      </c>
      <c r="P479" s="3" t="n">
        <v>0</v>
      </c>
      <c r="Q479" s="3" t="inlineStr">
        <is>
          <t>None — no dependent function stands behind it</t>
        </is>
      </c>
      <c r="R479" s="3" t="inlineStr">
        <is>
          <t>No dependent function — it reads its inputs and answers</t>
        </is>
      </c>
      <c r="S479" s="3" t="inlineStr">
        <is>
          <t>—</t>
        </is>
      </c>
      <c r="T479" s="3" t="inlineStr">
        <is>
          <t>—</t>
        </is>
      </c>
      <c r="U479" s="3" t="inlineStr">
        <is>
          <t>ACTIVE</t>
        </is>
      </c>
      <c r="V479" s="3" t="inlineStr">
        <is>
          <t>2026-09-11</t>
        </is>
      </c>
      <c r="W479" s="3" t="n"/>
      <c r="X479" s="3" t="n"/>
      <c r="Y479" s="6" t="inlineStr">
        <is>
          <t>TESTED, NOT VERIFIED (Brief D7 — inflation lever, G30)</t>
        </is>
      </c>
    </row>
    <row r="480" ht="60" customHeight="1">
      <c r="A480" s="3" t="inlineStr">
        <is>
          <t>MK-PL-F-084</t>
        </is>
      </c>
      <c r="B480" s="3" t="inlineStr">
        <is>
          <t>rateBandWords</t>
        </is>
      </c>
      <c r="C480" s="3" t="inlineStr">
        <is>
          <t>src/domain/decumulation/index.ts</t>
        </is>
      </c>
      <c r="D480" s="3" t="n">
        <v>185</v>
      </c>
      <c r="E480" s="3" t="inlineStr">
        <is>
          <t>2 · DISPLAYED</t>
        </is>
      </c>
      <c r="F480" s="3" t="inlineStr">
        <is>
          <t>HOW A WITHDRAWAL RATE READS, IN HIS OWN-MATH FRAMING — DEC-0036, and ONE place for it (DEC-0215).</t>
        </is>
      </c>
      <c r="G480" s="11" t="inlineStr">
        <is>
          <t>NOT READ YET — the body is not a shape this can render faithfully, so nothing is claimed rather than something being guessed. It needs reading by hand.</t>
        </is>
      </c>
      <c r="H480" s="3" t="inlineStr">
        <is>
          <t>NOT READ YET — the body is not a shape this can render faithfully, so nothing is claimed rather than something being guessed. It needs reading by hand.</t>
        </is>
      </c>
      <c r="I480" s="3" t="inlineStr">
        <is>
          <t>NOT READ — nothing is claimed rather than something guessed</t>
        </is>
      </c>
      <c r="J480" s="3" t="inlineStr">
        <is>
          <t>1. band: RateBand | null | undefined
2. opts?: { short?: boolean }</t>
        </is>
      </c>
      <c r="K480" s="3" t="inlineStr">
        <is>
          <t>string</t>
        </is>
      </c>
      <c r="L480" s="3" t="inlineStr">
        <is>
          <t>1. "From your portfolio" — on the Retirement cockpit screen
2. "WILL YOUR MONEY LAST?" — on the Retirement cockpit screen, under "RETIREMENT
3. WHERE YOU STAND"</t>
        </is>
      </c>
      <c r="M480" s="3" t="inlineStr">
        <is>
          <t>None found in this function — anything it assumes comes from the functions it depends on.</t>
        </is>
      </c>
      <c r="N480" s="3" t="inlineStr">
        <is>
          <t>Yes</t>
        </is>
      </c>
      <c r="O480" s="3" t="inlineStr">
        <is>
          <t>—</t>
        </is>
      </c>
      <c r="P480" s="3" t="n">
        <v>0</v>
      </c>
      <c r="Q480" s="3" t="inlineStr">
        <is>
          <t>None — no dependent function stands behind it</t>
        </is>
      </c>
      <c r="R480" s="3" t="inlineStr">
        <is>
          <t>No dependent function — it reads its inputs and answers</t>
        </is>
      </c>
      <c r="S480" s="3" t="inlineStr">
        <is>
          <t>—</t>
        </is>
      </c>
      <c r="T480" s="3" t="inlineStr">
        <is>
          <t>—</t>
        </is>
      </c>
      <c r="U480" s="3" t="inlineStr">
        <is>
          <t>ACTIVE</t>
        </is>
      </c>
      <c r="V480" s="3" t="inlineStr">
        <is>
          <t>2026-10-01</t>
        </is>
      </c>
      <c r="W480" s="3" t="n"/>
      <c r="X480" s="3" t="n"/>
      <c r="Y480" s="3" t="inlineStr">
        <is>
          <t>NOTHING OPEN</t>
        </is>
      </c>
    </row>
    <row r="481" ht="45" customHeight="1">
      <c r="A481" s="3" t="inlineStr">
        <is>
          <t>MK-PL-F-085</t>
        </is>
      </c>
      <c r="B481" s="3" t="inlineStr">
        <is>
          <t>oddsTail</t>
        </is>
      </c>
      <c r="C481" s="3" t="inlineStr">
        <is>
          <t>src/domain/planning/hub.ts</t>
        </is>
      </c>
      <c r="D481" s="3" t="n">
        <v>69</v>
      </c>
      <c r="E481" s="3" t="inlineStr">
        <is>
          <t>2 · DISPLAYED</t>
        </is>
      </c>
      <c r="F481" s="3" t="inlineStr">
        <is>
          <t>THE WORDS WITHOUT THE NUMBER — for the gauge, which prints the number large and the words beneath it.</t>
        </is>
      </c>
      <c r="G481" s="11" t="inlineStr">
        <is>
          <t>`odds of lasting to age ${horizon age}`</t>
        </is>
      </c>
      <c r="H481" s="3" t="inlineStr">
        <is>
          <t>`odds of lasting to age ${horizon age}`.</t>
        </is>
      </c>
      <c r="I481" s="3" t="inlineStr">
        <is>
          <t>PARTLY READ — some of the code is still showing through; needs a hand pass</t>
        </is>
      </c>
      <c r="J481" s="3" t="inlineStr">
        <is>
          <t>horizonAge: number</t>
        </is>
      </c>
      <c r="K481" s="3" t="inlineStr">
        <is>
          <t>string</t>
        </is>
      </c>
      <c r="L481" s="3" t="inlineStr">
        <is>
          <t>NOT FOUND — a screen calls it, but the words printed beside its answer could not be traced automatically. Needs reading.</t>
        </is>
      </c>
      <c r="M481" s="3" t="inlineStr">
        <is>
          <t>None found in this function — anything it assumes comes from the functions it depends on.</t>
        </is>
      </c>
      <c r="N481" s="3" t="inlineStr">
        <is>
          <t>Yes</t>
        </is>
      </c>
      <c r="O481" s="3" t="inlineStr">
        <is>
          <t>—</t>
        </is>
      </c>
      <c r="P481" s="3" t="n">
        <v>0</v>
      </c>
      <c r="Q481" s="3" t="inlineStr">
        <is>
          <t>None — no dependent function stands behind it</t>
        </is>
      </c>
      <c r="R481" s="3" t="inlineStr">
        <is>
          <t>No dependent function — it reads its inputs and answers</t>
        </is>
      </c>
      <c r="S481" s="3" t="inlineStr">
        <is>
          <t>—</t>
        </is>
      </c>
      <c r="T481" s="3" t="inlineStr">
        <is>
          <t>—</t>
        </is>
      </c>
      <c r="U481" s="3" t="inlineStr">
        <is>
          <t>ACTIVE</t>
        </is>
      </c>
      <c r="V481" s="3" t="inlineStr">
        <is>
          <t>2026-10-01</t>
        </is>
      </c>
      <c r="W481" s="3" t="n"/>
      <c r="X481" s="3" t="n"/>
      <c r="Y481" s="3" t="inlineStr">
        <is>
          <t>NOTHING OPEN</t>
        </is>
      </c>
    </row>
    <row r="482" ht="60" customHeight="1">
      <c r="A482" s="3" t="inlineStr">
        <is>
          <t>MK-PL-F-086</t>
        </is>
      </c>
      <c r="B482" s="3" t="inlineStr">
        <is>
          <t>splitBucketOf</t>
        </is>
      </c>
      <c r="C482" s="3" t="inlineStr">
        <is>
          <t>src/domain/decumulation/index.ts</t>
        </is>
      </c>
      <c r="D482" s="3" t="n">
        <v>54</v>
      </c>
      <c r="E482" s="3" t="inlineStr">
        <is>
          <t>3 · DEPENDENT</t>
        </is>
      </c>
      <c r="F482" s="3" t="inlineStr">
        <is>
          <t>WHICH OF THE SPLIT'S BUCKETS AN ACCOUNT FALLS IN — the one rule taxBucketSplit and taxableGainShare share, so the same money is taxable in both (DEC-4105, 2026-10-10, tenet 4).</t>
        </is>
      </c>
      <c r="G482" s="11" t="inlineStr">
        <is>
          <t>nothing   when tax bucket = 'PROPERTY'
'cash'   when tax bucket = 'CASH' (or !tax bucket and asset kind(kind).bucket = 'CASH' when missing or zero)
t = tax treatment of(a)
the answer:
'preTax'   if t = 'tax_deferred'
'roth'   if t = 'tax_free'
'taxable'   otherwise   otherwise</t>
        </is>
      </c>
      <c r="H482" s="3" t="inlineStr">
        <is>
          <t>When tax bucket = 'PROPERTY', it answers no answer. When tax bucket = 'CASH' (or !tax bucket and asset kind(kind).bucket = 'CASH' — when missing or zero), it answers 'cash'. T is tax treatment of(a). The answer is 'preTax' — when t = 'tax_deferred'; 'roth' — when t = 'tax_free'; 'taxable' — otherwise — otherwise.</t>
        </is>
      </c>
      <c r="I482" s="3" t="inlineStr">
        <is>
          <t>PARTLY READ — some of the code is still showing through; needs a hand pass</t>
        </is>
      </c>
      <c r="J482" s="3" t="inlineStr">
        <is>
          <t>a: AssetAccount</t>
        </is>
      </c>
      <c r="K482" s="3" t="inlineStr">
        <is>
          <t>keyof BucketSplit | null</t>
        </is>
      </c>
      <c r="L482" s="3" t="inlineStr">
        <is>
          <t>—</t>
        </is>
      </c>
      <c r="M482" s="3" t="inlineStr">
        <is>
          <t>None found in this function — anything it assumes comes from the functions it depends on.</t>
        </is>
      </c>
      <c r="N482" s="3" t="inlineStr">
        <is>
          <t>Yes</t>
        </is>
      </c>
      <c r="O482" s="3" t="inlineStr">
        <is>
          <t>1. MK-NW-F-007 assetKind
2. MK-NW-F-012 taxTreatmentOf</t>
        </is>
      </c>
      <c r="P482" s="3" t="n">
        <v>17</v>
      </c>
      <c r="Q482" s="3" t="inlineStr">
        <is>
          <t>1. MK-NW-F-007 assetKind
2. MK-NW-F-012 taxTreatmentOf
3. MK-NW-F-011 assetClassOf
4. MK-CF-F-155 cash
5. MK-NW-F-120 classEvidenceOf
6. MK-XS-F-122 n
7. MK-NW-F-008 incomeBearingClassOf
8. MK-NW-F-009 maturityClass
9. MK-ST-F-010 nameEvidence
10. MK-NW-F-124 maturityParts
11. MK-CF-F-216 typed
12. MK-XS-F-147 call
13. MK-ST-F-056 has
14. MK-CF-F-132 map
15. MK-ST-F-027 accountId
16. MK-XS-F-064 currentIdToken
17. MK-XS-F-112 relayUrl</t>
        </is>
      </c>
      <c r="R482" s="3" t="inlineStr">
        <is>
          <t>1. MK-XS-F-122 n → MK-CF-F-155 cash → MK-NW-F-120 classEvidenceOf → MK-NW-F-011 assetClassOf → MK-NW-F-007 assetKind → MK-PL-F-086 splitBucketOf
2. MK-CF-F-155 cash → MK-NW-F-008 incomeBearingClassOf → MK-NW-F-120 classEvidenceOf → MK-NW-F-011 assetClassOf → MK-NW-F-007 assetKind → MK-PL-F-086 splitBucketOf
3. MK-ST-F-010 nameEvidence → MK-NW-F-008 incomeBearingClassOf → MK-NW-F-120 classEvidenceOf → MK-NW-F-011 assetClassOf → MK-NW-F-007 assetKind → MK-PL-F-086 splitBucketOf
4. assetClassOf (already above — a loop) → MK-NW-F-009 maturityClass → MK-NW-F-120 classEvidenceOf → MK-NW-F-011 assetClassOf → MK-NW-F-007 assetKind → MK-PL-F-086 splitBucketOf
5. MK-NW-F-124 maturityParts → MK-NW-F-009 maturityClass → MK-NW-F-120 classEvidenceOf → MK-NW-F-011 assetClassOf → MK-NW-F-007 assetKind → MK-PL-F-086 splitBucketOf
6. MK-CF-F-216 typed → MK-NW-F-009 maturityClass → MK-NW-F-120 classEvidenceOf → MK-NW-F-011 assetClassOf → MK-NW-F-007 assetKind → MK-PL-F-086 splitBucketOf
7. MK-XS-F-122 n → MK-CF-F-155 cash → MK-NW-F-007 assetKind → MK-PL-F-086 splitBucketOf
8. MK-CF-F-155 cash → MK-NW-F-120 classEvidenceOf → MK-NW-F-011 assetClassOf → MK-NW-F-007 assetKind → MK-NW-F-012 taxTreatmentOf → MK-PL-F-086 splitBucketOf
9. … and 3 more paths</t>
        </is>
      </c>
      <c r="S482" s="3" t="inlineStr">
        <is>
          <t>—</t>
        </is>
      </c>
      <c r="T482" s="3" t="inlineStr">
        <is>
          <t>—</t>
        </is>
      </c>
      <c r="U482" s="3" t="inlineStr">
        <is>
          <t>ACTIVE</t>
        </is>
      </c>
      <c r="V482" s="3" t="inlineStr">
        <is>
          <t>2026-10-10</t>
        </is>
      </c>
      <c r="W482" s="3" t="n"/>
      <c r="X482" s="3" t="n"/>
      <c r="Y482" s="3" t="inlineStr">
        <is>
          <t>NOTHING OPEN</t>
        </is>
      </c>
    </row>
    <row r="483" ht="60" customHeight="1">
      <c r="A483" s="3" t="inlineStr">
        <is>
          <t>MK-PL-F-087</t>
        </is>
      </c>
      <c r="B483" s="3" t="inlineStr">
        <is>
          <t>taxTypeNotStated</t>
        </is>
      </c>
      <c r="C483" s="3" t="inlineStr">
        <is>
          <t>src/domain/decumulation/index.ts</t>
        </is>
      </c>
      <c r="D483" s="3" t="n">
        <v>82</v>
      </c>
      <c r="E483" s="3" t="inlineStr">
        <is>
          <t>1 · ACTION</t>
        </is>
      </c>
      <c r="F483" s="3" t="inlineStr">
        <is>
          <t>counted taxable only because no tax type is stated on it (DEC-4105, 2026-10-10)</t>
        </is>
      </c>
      <c r="G483" s="11" t="inlineStr">
        <is>
          <t>split bucket of(a) = 'taxable' and tax treatment of(a) = 'not_stated'</t>
        </is>
      </c>
      <c r="H483" s="3" t="inlineStr">
        <is>
          <t>split bucket of(a) = 'taxable' and tax treatment of(a) = 'not_stated'</t>
        </is>
      </c>
      <c r="I483" s="3" t="inlineStr">
        <is>
          <t>READ FROM THE CODE — rendered from the expressions the function runs</t>
        </is>
      </c>
      <c r="J483" s="3" t="inlineStr">
        <is>
          <t>a: AssetAccount</t>
        </is>
      </c>
      <c r="K483" s="3" t="inlineStr">
        <is>
          <t>NOT DECLARED — the code does not say what it gives back</t>
        </is>
      </c>
      <c r="L483" s="3" t="inlineStr">
        <is>
          <t>—</t>
        </is>
      </c>
      <c r="M483" s="3" t="inlineStr">
        <is>
          <t>None found in this function — anything it assumes comes from the functions it depends on.</t>
        </is>
      </c>
      <c r="N483" s="3" t="inlineStr">
        <is>
          <t>Yes</t>
        </is>
      </c>
      <c r="O483" s="3" t="inlineStr">
        <is>
          <t>1. MK-PL-F-086 splitBucketOf
2. MK-NW-F-012 taxTreatmentOf</t>
        </is>
      </c>
      <c r="P483" s="3" t="n">
        <v>18</v>
      </c>
      <c r="Q483" s="3" t="inlineStr">
        <is>
          <t>1. MK-PL-F-086 splitBucketOf
2. MK-NW-F-012 taxTreatmentOf
3. MK-NW-F-007 assetKind
4. MK-NW-F-011 assetClassOf
5. MK-CF-F-155 cash
6. MK-NW-F-120 classEvidenceOf
7. MK-XS-F-122 n
8. MK-NW-F-008 incomeBearingClassOf
9. MK-NW-F-009 maturityClass
10. MK-ST-F-010 nameEvidence
11. MK-NW-F-124 maturityParts
12. MK-CF-F-216 typed
13. MK-XS-F-147 call
14. MK-ST-F-056 has
15. MK-CF-F-132 map
16. MK-ST-F-027 accountId
17. MK-XS-F-064 currentIdToken
18. MK-XS-F-112 relayUrl</t>
        </is>
      </c>
      <c r="R483" s="3" t="inlineStr">
        <is>
          <t>1. MK-CF-F-155 cash → MK-NW-F-120 classEvidenceOf → MK-NW-F-011 assetClassOf → MK-NW-F-007 assetKind → MK-PL-F-086 splitBucketOf → MK-PL-F-087 taxTypeNotStated
2. MK-NW-F-008 incomeBearingClassOf → MK-NW-F-120 classEvidenceOf → MK-NW-F-011 assetClassOf → MK-NW-F-007 assetKind → MK-PL-F-086 splitBucketOf → MK-PL-F-087 taxTypeNotStated
3. MK-NW-F-009 maturityClass → MK-NW-F-120 classEvidenceOf → MK-NW-F-011 assetClassOf → MK-NW-F-007 assetKind → MK-PL-F-086 splitBucketOf → MK-PL-F-087 taxTypeNotStated
4. MK-XS-F-122 n → MK-CF-F-155 cash → MK-NW-F-007 assetKind → MK-PL-F-086 splitBucketOf → MK-PL-F-087 taxTypeNotStated
5. MK-NW-F-120 classEvidenceOf → MK-NW-F-011 assetClassOf → MK-NW-F-007 assetKind → MK-NW-F-012 taxTreatmentOf → MK-PL-F-086 splitBucketOf → MK-PL-F-087 taxTypeNotStated
6. MK-XS-F-122 n → MK-CF-F-155 cash → MK-NW-F-007 assetKind → MK-NW-F-012 taxTreatmentOf → MK-PL-F-086 splitBucketOf → MK-PL-F-087 taxTypeNotStated
7. MK-CF-F-155 cash → MK-NW-F-120 classEvidenceOf → MK-NW-F-011 assetClassOf → MK-NW-F-007 assetKind → MK-NW-F-012 taxTreatmentOf → MK-PL-F-087 taxTypeNotStated
8. MK-NW-F-008 incomeBearingClassOf → MK-NW-F-120 classEvidenceOf → MK-NW-F-011 assetClassOf → MK-NW-F-007 assetKind → MK-NW-F-012 taxTreatmentOf → MK-PL-F-087 taxTypeNotStated
9. … and 2 more paths</t>
        </is>
      </c>
      <c r="S483" s="3" t="inlineStr">
        <is>
          <t>—</t>
        </is>
      </c>
      <c r="T483" s="3" t="inlineStr">
        <is>
          <t>—</t>
        </is>
      </c>
      <c r="U483" s="3" t="inlineStr">
        <is>
          <t>ACTIVE</t>
        </is>
      </c>
      <c r="V483" s="3" t="inlineStr">
        <is>
          <t>2026-10-10</t>
        </is>
      </c>
      <c r="W483" s="3" t="n"/>
      <c r="X483" s="3" t="n"/>
      <c r="Y483" s="3" t="inlineStr">
        <is>
          <t>NOTHING OPEN</t>
        </is>
      </c>
    </row>
    <row r="484" ht="60" customHeight="1">
      <c r="A484" s="3" t="inlineStr">
        <is>
          <t>MK-PL-F-088</t>
        </is>
      </c>
      <c r="B484" s="3" t="inlineStr">
        <is>
          <t>countedTaxableLine</t>
        </is>
      </c>
      <c r="C484" s="3" t="inlineStr">
        <is>
          <t>src/domain/decumulation/index.ts</t>
        </is>
      </c>
      <c r="D484" s="3" t="n">
        <v>151</v>
      </c>
      <c r="E484" s="3" t="inlineStr">
        <is>
          <t>1 · ACTION</t>
        </is>
      </c>
      <c r="F484" s="3" t="inlineStr">
        <is>
          <t>THE LINE THAT NAMES IT (DEC-4105, 2026-10-10) — his words, one per account the split counted taxable for want of a tax type.</t>
        </is>
      </c>
      <c r="G484" s="11" t="inlineStr">
        <is>
          <t>NOT READ YET — the body is not a shape this can render faithfully, so nothing is claimed rather than something being guessed. It needs reading by hand.</t>
        </is>
      </c>
      <c r="H484" s="3" t="inlineStr">
        <is>
          <t>NOT READ YET — the body is not a shape this can render faithfully, so nothing is claimed rather than something being guessed. It needs reading by hand.</t>
        </is>
      </c>
      <c r="I484" s="3" t="inlineStr">
        <is>
          <t>NOT READ — nothing is claimed rather than something guessed</t>
        </is>
      </c>
      <c r="J484" s="3" t="inlineStr">
        <is>
          <t>name: string</t>
        </is>
      </c>
      <c r="K484" s="3" t="inlineStr">
        <is>
          <t>NOT DECLARED — the code does not say what it gives back</t>
        </is>
      </c>
      <c r="L484" s="3" t="inlineStr">
        <is>
          <t>—</t>
        </is>
      </c>
      <c r="M484" s="3" t="inlineStr">
        <is>
          <t>None found in this function — anything it assumes comes from the functions it depends on.</t>
        </is>
      </c>
      <c r="N484" s="3" t="inlineStr">
        <is>
          <t>Yes</t>
        </is>
      </c>
      <c r="O484" s="3" t="inlineStr">
        <is>
          <t>—</t>
        </is>
      </c>
      <c r="P484" s="3" t="n">
        <v>0</v>
      </c>
      <c r="Q484" s="3" t="inlineStr">
        <is>
          <t>None — no dependent function stands behind it</t>
        </is>
      </c>
      <c r="R484" s="3" t="inlineStr">
        <is>
          <t>No dependent function — it reads its inputs and answers</t>
        </is>
      </c>
      <c r="S484" s="3" t="inlineStr">
        <is>
          <t>—</t>
        </is>
      </c>
      <c r="T484" s="3" t="inlineStr">
        <is>
          <t>—</t>
        </is>
      </c>
      <c r="U484" s="3" t="inlineStr">
        <is>
          <t>ACTIVE</t>
        </is>
      </c>
      <c r="V484" s="3" t="inlineStr">
        <is>
          <t>2026-10-10</t>
        </is>
      </c>
      <c r="W484" s="3" t="n"/>
      <c r="X484" s="3" t="n"/>
      <c r="Y484" s="3" t="inlineStr">
        <is>
          <t>NOTHING OPEN</t>
        </is>
      </c>
    </row>
    <row r="485" ht="60" customHeight="1">
      <c r="A485" s="3" t="inlineStr">
        <is>
          <t>MK-ST-F-001</t>
        </is>
      </c>
      <c r="B485" s="3" t="inlineStr">
        <is>
          <t>looksFixedIncome</t>
        </is>
      </c>
      <c r="C485" s="3" t="inlineStr">
        <is>
          <t>Calculation Module code/engines/classify.ts</t>
        </is>
      </c>
      <c r="D485" s="3" t="n">
        <v>271</v>
      </c>
      <c r="E485" s="3" t="inlineStr">
        <is>
          <t>3 · DEPENDENT (feeds an action only)</t>
        </is>
      </c>
      <c r="F485" s="3" t="inlineStr">
        <is>
          <t>Fixed income by its words.</t>
        </is>
      </c>
      <c r="G485"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85"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85" s="3" t="inlineStr">
        <is>
          <t>PARTLY READ — some of the code is still showing through; needs a hand pass</t>
        </is>
      </c>
      <c r="J485" s="3" t="inlineStr">
        <is>
          <t>text: string</t>
        </is>
      </c>
      <c r="K485" s="3" t="inlineStr">
        <is>
          <t>boolean</t>
        </is>
      </c>
      <c r="L485" s="3" t="inlineStr">
        <is>
          <t>—</t>
        </is>
      </c>
      <c r="M485" s="3" t="inlineStr">
        <is>
          <t>None found in this function — anything it assumes comes from the functions it depends on.</t>
        </is>
      </c>
      <c r="N485" s="3" t="inlineStr">
        <is>
          <t>No</t>
        </is>
      </c>
      <c r="O485" s="3" t="inlineStr">
        <is>
          <t>—</t>
        </is>
      </c>
      <c r="P485" s="3" t="n">
        <v>0</v>
      </c>
      <c r="Q485" s="3" t="inlineStr">
        <is>
          <t>None — no dependent function stands behind it</t>
        </is>
      </c>
      <c r="R485" s="3" t="inlineStr">
        <is>
          <t>No dependent function — it reads its inputs and answers</t>
        </is>
      </c>
      <c r="S485" s="3" t="inlineStr">
        <is>
          <t>—</t>
        </is>
      </c>
      <c r="T485" s="3" t="inlineStr">
        <is>
          <t>—</t>
        </is>
      </c>
      <c r="U485" s="3" t="inlineStr">
        <is>
          <t>ACTIVE</t>
        </is>
      </c>
      <c r="V485" s="3" t="inlineStr">
        <is>
          <t>2026-08-27</t>
        </is>
      </c>
      <c r="W485" s="3" t="n"/>
      <c r="X485" s="3" t="n"/>
      <c r="Y485" s="3" t="inlineStr">
        <is>
          <t>NOTHING OPEN</t>
        </is>
      </c>
    </row>
    <row r="486" ht="45" customHeight="1">
      <c r="A486" s="3" t="inlineStr">
        <is>
          <t>MK-ST-F-002</t>
        </is>
      </c>
      <c r="B486" s="3" t="inlineStr">
        <is>
          <t>monthWords</t>
        </is>
      </c>
      <c r="C486" s="3" t="inlineStr">
        <is>
          <t>Calculation Module code/engines/coverage.ts</t>
        </is>
      </c>
      <c r="D486" s="3" t="n">
        <v>55</v>
      </c>
      <c r="E486" s="3" t="inlineStr">
        <is>
          <t>3 · DEPENDENT</t>
        </is>
      </c>
      <c r="F486" s="3" t="inlineStr">
        <is>
          <t>"March 2022" — a month a person reads, not a date stamp.</t>
        </is>
      </c>
      <c r="G486" s="11" t="inlineStr">
        <is>
          <t>''   when iso is missing
`${MONTHS[m − 1]} ${y}`   if m
string(y)   otherwise</t>
        </is>
      </c>
      <c r="H486" s="3" t="inlineStr">
        <is>
          <t>When iso is missing, it answers ''. `${MONTHS[m minus 1]} ${y}` — when m; string(y) — otherwise.</t>
        </is>
      </c>
      <c r="I486" s="3" t="inlineStr">
        <is>
          <t>PARTLY READ — some of the code is still showing through; needs a hand pass</t>
        </is>
      </c>
      <c r="J486" s="3" t="inlineStr">
        <is>
          <t>iso: string | null</t>
        </is>
      </c>
      <c r="K486" s="3" t="inlineStr">
        <is>
          <t>string</t>
        </is>
      </c>
      <c r="L486" s="3" t="inlineStr">
        <is>
          <t>—</t>
        </is>
      </c>
      <c r="M486" s="3" t="inlineStr">
        <is>
          <t>None found in this function — anything it assumes comes from the functions it depends on.</t>
        </is>
      </c>
      <c r="N486" s="3" t="inlineStr">
        <is>
          <t>Yes</t>
        </is>
      </c>
      <c r="O486" s="3" t="inlineStr">
        <is>
          <t>MK-CF-F-132 map</t>
        </is>
      </c>
      <c r="P486" s="3" t="n">
        <v>1</v>
      </c>
      <c r="Q486" s="3" t="inlineStr">
        <is>
          <t>MK-CF-F-132 map</t>
        </is>
      </c>
      <c r="R486" s="3" t="inlineStr">
        <is>
          <t>MK-CF-F-132 map → MK-ST-F-002 monthWords</t>
        </is>
      </c>
      <c r="S486" s="3" t="inlineStr">
        <is>
          <t>—</t>
        </is>
      </c>
      <c r="T486" s="3" t="inlineStr">
        <is>
          <t>—</t>
        </is>
      </c>
      <c r="U486" s="3" t="inlineStr">
        <is>
          <t>ACTIVE</t>
        </is>
      </c>
      <c r="V486" s="3" t="inlineStr">
        <is>
          <t>2026-08-27</t>
        </is>
      </c>
      <c r="W486" s="3" t="n"/>
      <c r="X486" s="3" t="n"/>
      <c r="Y486" s="3" t="inlineStr">
        <is>
          <t>NOTHING OPEN</t>
        </is>
      </c>
    </row>
    <row r="487" ht="45" customHeight="1">
      <c r="A487" s="3" t="inlineStr">
        <is>
          <t>MK-ST-F-003</t>
        </is>
      </c>
      <c r="B487" s="3" t="inlineStr">
        <is>
          <t>dayWords</t>
        </is>
      </c>
      <c r="C487" s="3" t="inlineStr">
        <is>
          <t>Calculation Module code/engines/coverage.ts</t>
        </is>
      </c>
      <c r="D487" s="3" t="n">
        <v>83</v>
      </c>
      <c r="E487" s="3" t="inlineStr">
        <is>
          <t>2 · DISPLAYED</t>
        </is>
      </c>
      <c r="F487" s="3" t="inlineStr">
        <is>
          <t>"14 March 2022".</t>
        </is>
      </c>
      <c r="G487" s="11" t="inlineStr">
        <is>
          <t>''   when iso is missing
`${d} ${MONTHS[m − 1]} ${y}`   if m and d
month words(iso)   otherwise</t>
        </is>
      </c>
      <c r="H487" s="3" t="inlineStr">
        <is>
          <t>When iso is missing, it answers ''. `${d} ${MONTHS[m minus 1]} ${y}` — when m and d; month words(iso) — otherwise.</t>
        </is>
      </c>
      <c r="I487" s="3" t="inlineStr">
        <is>
          <t>PARTLY READ — some of the code is still showing through; needs a hand pass</t>
        </is>
      </c>
      <c r="J487" s="3" t="inlineStr">
        <is>
          <t>iso: string | null</t>
        </is>
      </c>
      <c r="K487" s="3" t="inlineStr">
        <is>
          <t>string</t>
        </is>
      </c>
      <c r="L487" s="3" t="inlineStr">
        <is>
          <t>"Nothing received yet this month." — on the Cash flow screen, under "current ?"</t>
        </is>
      </c>
      <c r="M487" s="3" t="inlineStr">
        <is>
          <t>None found in this function — anything it assumes comes from the functions it depends on.</t>
        </is>
      </c>
      <c r="N487" s="3" t="inlineStr">
        <is>
          <t>Yes</t>
        </is>
      </c>
      <c r="O487" s="3" t="inlineStr">
        <is>
          <t>1. MK-CF-F-132 map
2. MK-ST-F-002 monthWords</t>
        </is>
      </c>
      <c r="P487" s="3" t="n">
        <v>2</v>
      </c>
      <c r="Q487" s="3" t="inlineStr">
        <is>
          <t>1. MK-CF-F-132 map
2. MK-ST-F-002 monthWords</t>
        </is>
      </c>
      <c r="R487" s="3" t="inlineStr">
        <is>
          <t>1. MK-CF-F-132 map → MK-ST-F-003 dayWords
2. MK-CF-F-132 map → MK-ST-F-002 monthWords → MK-ST-F-003 dayWords</t>
        </is>
      </c>
      <c r="S487" s="3" t="inlineStr">
        <is>
          <t>—</t>
        </is>
      </c>
      <c r="T487" s="3" t="inlineStr">
        <is>
          <t>—</t>
        </is>
      </c>
      <c r="U487" s="3" t="inlineStr">
        <is>
          <t>ACTIVE</t>
        </is>
      </c>
      <c r="V487" s="3" t="inlineStr">
        <is>
          <t>2026-10-03</t>
        </is>
      </c>
      <c r="W487" s="3" t="n"/>
      <c r="X487" s="3" t="n"/>
      <c r="Y487" s="3" t="inlineStr">
        <is>
          <t>NOTHING OPEN</t>
        </is>
      </c>
    </row>
    <row r="488" ht="60" customHeight="1">
      <c r="A488" s="3" t="inlineStr">
        <is>
          <t>MK-ST-F-004</t>
        </is>
      </c>
      <c r="B488" s="3" t="inlineStr">
        <is>
          <t>coverageFor</t>
        </is>
      </c>
      <c r="C488" s="3" t="inlineStr">
        <is>
          <t>Calculation Module code/engines/coverage.ts</t>
        </is>
      </c>
      <c r="D488" s="3" t="n">
        <v>123</v>
      </c>
      <c r="E488" s="3" t="inlineStr">
        <is>
          <t>3 · DEPENDENT</t>
        </is>
      </c>
      <c r="F488" s="3" t="inlineStr">
        <is>
          <t>What can we honestly say about a window starting on `from`?</t>
        </is>
      </c>
      <c r="G488"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88"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88" s="3" t="inlineStr">
        <is>
          <t>PARTLY READ — some of the code is still showing through; needs a hand pass</t>
        </is>
      </c>
      <c r="J488" s="3" t="inlineStr">
        <is>
          <t>1. days: Dated[]
2. from: string
3. today: string</t>
        </is>
      </c>
      <c r="K488" s="3" t="inlineStr">
        <is>
          <t>Coverage</t>
        </is>
      </c>
      <c r="L488" s="3" t="inlineStr">
        <is>
          <t>—</t>
        </is>
      </c>
      <c r="M488" s="3" t="inlineStr">
        <is>
          <t>None found in this function — anything it assumes comes from the functions it depends on.</t>
        </is>
      </c>
      <c r="N488" s="3" t="inlineStr">
        <is>
          <t>Yes</t>
        </is>
      </c>
      <c r="O488" s="3" t="inlineStr">
        <is>
          <t>1. MK-ST-F-003 dayWords
2. MK-ST-F-034 firstDate
3. MK-ST-F-002 monthWords</t>
        </is>
      </c>
      <c r="P488" s="3" t="n">
        <v>4</v>
      </c>
      <c r="Q488" s="3" t="inlineStr">
        <is>
          <t>1. MK-ST-F-003 dayWords
2. MK-ST-F-034 firstDate
3. MK-ST-F-002 monthWords
4. MK-CF-F-132 map</t>
        </is>
      </c>
      <c r="R488" s="3" t="inlineStr">
        <is>
          <t>1. MK-CF-F-132 map → MK-ST-F-003 dayWords → MK-ST-F-004 coverageFor
2. MK-CF-F-132 map → MK-ST-F-002 monthWords → MK-ST-F-003 dayWords → MK-ST-F-004 coverageFor
3. MK-ST-F-034 firstDate → MK-ST-F-004 coverageFor
4. MK-CF-F-132 map → MK-ST-F-002 monthWords → MK-ST-F-004 coverageFor</t>
        </is>
      </c>
      <c r="S488" s="3" t="inlineStr">
        <is>
          <t>—</t>
        </is>
      </c>
      <c r="T488" s="3" t="inlineStr">
        <is>
          <t>—</t>
        </is>
      </c>
      <c r="U488" s="3" t="inlineStr">
        <is>
          <t>ACTIVE</t>
        </is>
      </c>
      <c r="V488" s="3" t="inlineStr">
        <is>
          <t>2026-10-12</t>
        </is>
      </c>
      <c r="W488" s="3" t="n"/>
      <c r="X488" s="3" t="n"/>
      <c r="Y488" s="3" t="inlineStr">
        <is>
          <t>NOTHING OPEN</t>
        </is>
      </c>
    </row>
    <row r="489" ht="60" customHeight="1">
      <c r="A489" s="3" t="inlineStr">
        <is>
          <t>MK-ST-F-005</t>
        </is>
      </c>
      <c r="B489" s="3" t="inlineStr">
        <is>
          <t>measuredFromLabel</t>
        </is>
      </c>
      <c r="C489" s="3" t="inlineStr">
        <is>
          <t>Calculation Module code/engines/coverage.ts</t>
        </is>
      </c>
      <c r="D489" s="3" t="n">
        <v>172</v>
      </c>
      <c r="E489" s="3" t="inlineStr">
        <is>
          <t>2 · DISPLAYED</t>
        </is>
      </c>
      <c r="F489" s="3" t="inlineStr">
        <is>
          <t>The short label that rides beside a change figure, always — whether the window is covered or not.</t>
        </is>
      </c>
      <c r="G489" s="11" t="inlineStr">
        <is>
          <t>start = first date(days)
''   when start is missing
actual = start   if start &gt; from
from   otherwise
the answer = `since ${day words(actual)}`</t>
        </is>
      </c>
      <c r="H489" s="3" t="inlineStr">
        <is>
          <t>Start is first date(days). When start is missing, it answers ''. Actual is start — when start &gt; from; from — otherwise. The answer is `since ${day words(actual)}`.</t>
        </is>
      </c>
      <c r="I489" s="3" t="inlineStr">
        <is>
          <t>PARTLY READ — some of the code is still showing through; needs a hand pass</t>
        </is>
      </c>
      <c r="J489" s="3" t="inlineStr">
        <is>
          <t>1. days: Dated[]
2. from: string</t>
        </is>
      </c>
      <c r="K489" s="3" t="inlineStr">
        <is>
          <t>string</t>
        </is>
      </c>
      <c r="L489" s="3" t="inlineStr">
        <is>
          <t>NOT FOUND — a screen calls it, but the words printed beside its answer could not be traced automatically. Needs reading.</t>
        </is>
      </c>
      <c r="M489" s="3" t="inlineStr">
        <is>
          <t>None found in this function — anything it assumes comes from the functions it depends on.</t>
        </is>
      </c>
      <c r="N489" s="3" t="inlineStr">
        <is>
          <t>Yes</t>
        </is>
      </c>
      <c r="O489" s="3" t="inlineStr">
        <is>
          <t>1. MK-ST-F-003 dayWords
2. MK-ST-F-034 firstDate</t>
        </is>
      </c>
      <c r="P489" s="3" t="n">
        <v>4</v>
      </c>
      <c r="Q489" s="3" t="inlineStr">
        <is>
          <t>1. MK-ST-F-003 dayWords
2. MK-ST-F-034 firstDate
3. MK-CF-F-132 map
4. MK-ST-F-002 monthWords</t>
        </is>
      </c>
      <c r="R489" s="3" t="inlineStr">
        <is>
          <t>1. MK-CF-F-132 map → MK-ST-F-003 dayWords → MK-ST-F-005 measuredFromLabel
2. MK-CF-F-132 map → MK-ST-F-002 monthWords → MK-ST-F-003 dayWords → MK-ST-F-005 measuredFromLabel
3. MK-ST-F-034 firstDate → MK-ST-F-005 measuredFromLabel</t>
        </is>
      </c>
      <c r="S489" s="3" t="inlineStr">
        <is>
          <t>—</t>
        </is>
      </c>
      <c r="T489" s="3" t="inlineStr">
        <is>
          <t>—</t>
        </is>
      </c>
      <c r="U489" s="3" t="inlineStr">
        <is>
          <t>ACTIVE</t>
        </is>
      </c>
      <c r="V489" s="3" t="inlineStr">
        <is>
          <t>2026-08-27</t>
        </is>
      </c>
      <c r="W489" s="3" t="n"/>
      <c r="X489" s="3" t="n"/>
      <c r="Y489" s="3" t="inlineStr">
        <is>
          <t>NOTHING OPEN</t>
        </is>
      </c>
    </row>
    <row r="490" ht="45" customHeight="1">
      <c r="A490" s="3" t="inlineStr">
        <is>
          <t>MK-ST-F-006</t>
        </is>
      </c>
      <c r="B490" s="3" t="inlineStr">
        <is>
          <t>canAnswer</t>
        </is>
      </c>
      <c r="C490" s="3" t="inlineStr">
        <is>
          <t>Calculation Module code/engines/coverage.ts</t>
        </is>
      </c>
      <c r="D490" s="3" t="n">
        <v>196</v>
      </c>
      <c r="E490" s="3" t="inlineStr">
        <is>
          <t>3 · DEPENDENT (feeds an action only)</t>
        </is>
      </c>
      <c r="F490" s="3" t="inlineStr">
        <is>
          <t>Is there any record at all on or before this date?</t>
        </is>
      </c>
      <c r="G490" s="11" t="inlineStr">
        <is>
          <t>on or before(days, from) ≠ nothing</t>
        </is>
      </c>
      <c r="H490" s="3" t="inlineStr">
        <is>
          <t>on or before(days, from) is not no answer.</t>
        </is>
      </c>
      <c r="I490" s="3" t="inlineStr">
        <is>
          <t>READ FROM THE CODE — rendered from the expressions the function runs</t>
        </is>
      </c>
      <c r="J490" s="3" t="inlineStr">
        <is>
          <t>1. days: Dated[]
2. from: string</t>
        </is>
      </c>
      <c r="K490" s="3" t="inlineStr">
        <is>
          <t>boolean</t>
        </is>
      </c>
      <c r="L490" s="3" t="inlineStr">
        <is>
          <t>—</t>
        </is>
      </c>
      <c r="M490" s="3" t="inlineStr">
        <is>
          <t>None found in this function — anything it assumes comes from the functions it depends on.</t>
        </is>
      </c>
      <c r="N490" s="3" t="inlineStr">
        <is>
          <t>No</t>
        </is>
      </c>
      <c r="O490" s="3" t="inlineStr">
        <is>
          <t>1. MK-ST-F-034 firstDate
2. MK-ST-F-033 onOrBefore</t>
        </is>
      </c>
      <c r="P490" s="3" t="n">
        <v>2</v>
      </c>
      <c r="Q490" s="3" t="inlineStr">
        <is>
          <t>1. MK-ST-F-034 firstDate
2. MK-ST-F-033 onOrBefore</t>
        </is>
      </c>
      <c r="R490" s="3" t="inlineStr">
        <is>
          <t>1. MK-ST-F-034 firstDate → MK-ST-F-006 canAnswer
2. MK-ST-F-033 onOrBefore → MK-ST-F-006 canAnswer</t>
        </is>
      </c>
      <c r="S490" s="3" t="inlineStr">
        <is>
          <t>—</t>
        </is>
      </c>
      <c r="T490" s="3" t="inlineStr">
        <is>
          <t>—</t>
        </is>
      </c>
      <c r="U490" s="3" t="inlineStr">
        <is>
          <t>ACTIVE</t>
        </is>
      </c>
      <c r="V490" s="3" t="inlineStr">
        <is>
          <t>2026-08-27</t>
        </is>
      </c>
      <c r="W490" s="3" t="n"/>
      <c r="X490" s="3" t="n"/>
      <c r="Y490" s="3" t="inlineStr">
        <is>
          <t>NOTHING OPEN</t>
        </is>
      </c>
    </row>
    <row r="491" ht="60" customHeight="1">
      <c r="A491" s="3" t="inlineStr">
        <is>
          <t>MK-ST-F-007</t>
        </is>
      </c>
      <c r="B491" s="3" t="inlineStr">
        <is>
          <t>classifyEvent</t>
        </is>
      </c>
      <c r="C491" s="3" t="inlineStr">
        <is>
          <t>Calculation Module code/engines/events.ts</t>
        </is>
      </c>
      <c r="D491" s="3" t="n">
        <v>208</v>
      </c>
      <c r="E491" s="3" t="inlineStr">
        <is>
          <t>3 · DEPENDENT (feeds an action only)</t>
        </is>
      </c>
      <c r="F491" s="3" t="inlineStr">
        <is>
          <t>Classify one institution word.</t>
        </is>
      </c>
      <c r="G491"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91"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91" s="3" t="inlineStr">
        <is>
          <t>PARTLY READ — the body has a loop the extractor cannot render; the steps shown are the ones before it. Needs a hand pass (G23).</t>
        </is>
      </c>
      <c r="J491" s="3" t="inlineStr">
        <is>
          <t>word: string | null | undefined</t>
        </is>
      </c>
      <c r="K491" s="3" t="inlineStr">
        <is>
          <t>Classified</t>
        </is>
      </c>
      <c r="L491" s="3" t="inlineStr">
        <is>
          <t>—</t>
        </is>
      </c>
      <c r="M491" s="3" t="inlineStr">
        <is>
          <t>None found in this function — anything it assumes comes from the functions it depends on.</t>
        </is>
      </c>
      <c r="N491" s="3" t="inlineStr">
        <is>
          <t>No</t>
        </is>
      </c>
      <c r="O491" s="3" t="inlineStr">
        <is>
          <t>—</t>
        </is>
      </c>
      <c r="P491" s="3" t="n">
        <v>0</v>
      </c>
      <c r="Q491" s="3" t="inlineStr">
        <is>
          <t>None — no dependent function stands behind it</t>
        </is>
      </c>
      <c r="R491" s="3" t="inlineStr">
        <is>
          <t>No dependent function — it reads its inputs and answers</t>
        </is>
      </c>
      <c r="S491" s="3" t="inlineStr">
        <is>
          <t>—</t>
        </is>
      </c>
      <c r="T491" s="3" t="inlineStr">
        <is>
          <t>—</t>
        </is>
      </c>
      <c r="U491" s="3" t="inlineStr">
        <is>
          <t>ACTIVE</t>
        </is>
      </c>
      <c r="V491" s="3" t="inlineStr">
        <is>
          <t>2026-09-08</t>
        </is>
      </c>
      <c r="W491" s="3" t="n"/>
      <c r="X491" s="3" t="n"/>
      <c r="Y491" s="3" t="inlineStr">
        <is>
          <t>NOTHING OPEN</t>
        </is>
      </c>
    </row>
    <row r="492" ht="60" customHeight="1">
      <c r="A492" s="3" t="inlineStr">
        <is>
          <t>MK-ST-F-008</t>
        </is>
      </c>
      <c r="B492" s="3" t="inlineStr">
        <is>
          <t>touches</t>
        </is>
      </c>
      <c r="C492" s="3" t="inlineStr">
        <is>
          <t>Calculation Module code/engines/events.ts</t>
        </is>
      </c>
      <c r="D492" s="3" t="n">
        <v>236</v>
      </c>
      <c r="E492" s="3" t="inlineStr">
        <is>
          <t>3 · DEPENDENT (feeds an action only)</t>
        </is>
      </c>
      <c r="F492" s="3" t="inlineStr">
        <is>
          <t>Does this event add to that total?</t>
        </is>
      </c>
      <c r="G492" s="11" t="inlineStr">
        <is>
          <t>EVENTS[e].totals.includes(total)</t>
        </is>
      </c>
      <c r="H492" s="3" t="inlineStr">
        <is>
          <t>EVENTS[e].totals.includes(total).</t>
        </is>
      </c>
      <c r="I492" s="3" t="inlineStr">
        <is>
          <t>PARTLY READ — some of the code is still showing through; needs a hand pass</t>
        </is>
      </c>
      <c r="J492" s="3" t="inlineStr">
        <is>
          <t>1. e: CanonicalEvent
2. total: 'contributions' | 'withdrawals' | 'income' | 'costs' | 'units' | 'costBasis' | 'realisedGain'</t>
        </is>
      </c>
      <c r="K492" s="3" t="inlineStr">
        <is>
          <t>boolean</t>
        </is>
      </c>
      <c r="L492" s="3" t="inlineStr">
        <is>
          <t>—</t>
        </is>
      </c>
      <c r="M492" s="3" t="inlineStr">
        <is>
          <t>None found in this function — anything it assumes comes from the functions it depends on.</t>
        </is>
      </c>
      <c r="N492" s="3" t="inlineStr">
        <is>
          <t>No</t>
        </is>
      </c>
      <c r="O492" s="3" t="inlineStr">
        <is>
          <t>—</t>
        </is>
      </c>
      <c r="P492" s="3" t="n">
        <v>0</v>
      </c>
      <c r="Q492" s="3" t="inlineStr">
        <is>
          <t>None — no dependent function stands behind it</t>
        </is>
      </c>
      <c r="R492" s="3" t="inlineStr">
        <is>
          <t>No dependent function — it reads its inputs and answers</t>
        </is>
      </c>
      <c r="S492" s="3" t="inlineStr">
        <is>
          <t>—</t>
        </is>
      </c>
      <c r="T492" s="3" t="inlineStr">
        <is>
          <t>—</t>
        </is>
      </c>
      <c r="U492" s="3" t="inlineStr">
        <is>
          <t>ACTIVE</t>
        </is>
      </c>
      <c r="V492" s="3" t="inlineStr">
        <is>
          <t>2026-08-27</t>
        </is>
      </c>
      <c r="W492" s="3" t="n"/>
      <c r="X492" s="3" t="n"/>
      <c r="Y492" s="3" t="inlineStr">
        <is>
          <t>NOTHING OPEN</t>
        </is>
      </c>
    </row>
    <row r="493" ht="45" customHeight="1">
      <c r="A493" s="3" t="inlineStr">
        <is>
          <t>MK-ST-F-009</t>
        </is>
      </c>
      <c r="B493" s="3" t="inlineStr">
        <is>
          <t>directionOf</t>
        </is>
      </c>
      <c r="C493" s="3" t="inlineStr">
        <is>
          <t>Calculation Module code/engines/events.ts</t>
        </is>
      </c>
      <c r="D493" s="3" t="n">
        <v>256</v>
      </c>
      <c r="E493" s="3" t="inlineStr">
        <is>
          <t>3 · DEPENDENT (feeds an action only)</t>
        </is>
      </c>
      <c r="F493" s="3" t="inlineStr">
        <is>
          <t>The direction an event implies, where the event itself decides it.</t>
        </is>
      </c>
      <c r="G493" s="11" t="inlineStr">
        <is>
          <t>EVENTS[e].direction (or 'NONE' when missing)</t>
        </is>
      </c>
      <c r="H493" s="3" t="inlineStr">
        <is>
          <t>EVENTS[e].direction (or 'NONE' — when missing).</t>
        </is>
      </c>
      <c r="I493" s="3" t="inlineStr">
        <is>
          <t>PARTLY READ — some of the code is still showing through; needs a hand pass</t>
        </is>
      </c>
      <c r="J493" s="3" t="inlineStr">
        <is>
          <t>e: CanonicalEvent</t>
        </is>
      </c>
      <c r="K493" s="3" t="inlineStr">
        <is>
          <t>Money['direction']</t>
        </is>
      </c>
      <c r="L493" s="3" t="inlineStr">
        <is>
          <t>—</t>
        </is>
      </c>
      <c r="M493" s="3" t="inlineStr">
        <is>
          <t>None found in this function — anything it assumes comes from the functions it depends on.</t>
        </is>
      </c>
      <c r="N493" s="3" t="inlineStr">
        <is>
          <t>No</t>
        </is>
      </c>
      <c r="O493" s="3" t="inlineStr">
        <is>
          <t>—</t>
        </is>
      </c>
      <c r="P493" s="3" t="n">
        <v>0</v>
      </c>
      <c r="Q493" s="3" t="inlineStr">
        <is>
          <t>None — no dependent function stands behind it</t>
        </is>
      </c>
      <c r="R493" s="3" t="inlineStr">
        <is>
          <t>No dependent function — it reads its inputs and answers</t>
        </is>
      </c>
      <c r="S493" s="3" t="inlineStr">
        <is>
          <t>—</t>
        </is>
      </c>
      <c r="T493" s="3" t="inlineStr">
        <is>
          <t>—</t>
        </is>
      </c>
      <c r="U493" s="3" t="inlineStr">
        <is>
          <t>ACTIVE</t>
        </is>
      </c>
      <c r="V493" s="3" t="inlineStr">
        <is>
          <t>2026-08-27</t>
        </is>
      </c>
      <c r="W493" s="3" t="n"/>
      <c r="X493" s="3" t="n"/>
      <c r="Y493" s="3" t="inlineStr">
        <is>
          <t>NOTHING OPEN</t>
        </is>
      </c>
    </row>
    <row r="494" ht="60" customHeight="1">
      <c r="A494" s="3" t="inlineStr">
        <is>
          <t>MK-ST-F-010</t>
        </is>
      </c>
      <c r="B494" s="3" t="inlineStr">
        <is>
          <t>nameEvidence</t>
        </is>
      </c>
      <c r="C494" s="3" t="inlineStr">
        <is>
          <t>Calculation Module code/engines/holding-class.ts</t>
        </is>
      </c>
      <c r="D494" s="3" t="n">
        <v>101</v>
      </c>
      <c r="E494" s="3" t="inlineStr">
        <is>
          <t>3 · DEPENDENT</t>
        </is>
      </c>
      <c r="F494" s="3" t="inlineStr">
        <is>
          <t>What the NAME (symbol + description together) says, or null when it says nothing.</t>
        </is>
      </c>
      <c r="G494" s="11" t="inlineStr">
        <is>
          <t>t = string(label ?? '').trim()
nothing   when t is missing
words = for each of split( ÷ [\s·—-]+ ÷ ): to upper case()
'stocks_etf'   when MONEY_MARKET_RE.test(t) (or words.some((w) =&gt; MONEY_MARKET_TICKERS.has(w)) when missing or zero)
'cash'   when SWEEP_RE.test(t)
'bonds'   when words.some((w) =&gt; TBILL_ETF_TICKERS.has(w))
'alternatives'   when OCC_OPTION.test(replace( ÷ \s+ ÷ g, '').to upper case())
option shape = ÷ \d{4}-\d{2}-\d{2}|\d{1,2}\ ÷ \d{1,2}(\ ÷ \d{2,4})?|\$\s?\d|\b\d+(\.\d+)?\s × (c|p|call|put)s?\b ÷ test(t)
a fund = ÷ \b(etf|fund|trust|covered call)\b ÷ test(t)
'alternatives'   when DATE_STYLE_OPTION.test(t) (or ÷ \b(put|call)s?\b ÷ test(t) and option shape and !a fund when missing or zero)
'stocks_etf'   when ÷ \b(put|call)s?\b ÷ test(t) and a fund
… the first steps only — the rest of the body needs reading by hand.</t>
        </is>
      </c>
      <c r="H494" s="3" t="inlineStr">
        <is>
          <t>T is string(label ?? '').trim(). When t is missing, it answers no answer. Words is for each of split( divided by [\s·—-]+ divided by ): to upper case(). When MONEY_MARKET_RE.test(t) (or words.some((w) =&gt; MONEY_MARKET_TICKERS.has(w)) — when missing or zero), it answers 'stocks_etf'. When SWEEP_RE.test(t), it answers 'cash'. When words.some((w) =&gt; TBILL_ETF_TICKERS.has(w)), it answers 'bonds'. When OCC_OPTION.test(replace( divided by \s+ divided by g, '').to upper case()), it answers 'alternatives'. Option shape is ÷ \d{4}-\d{2}-\d{2}|\d{1,2}\ divided by \d{1,2}(\ divided by \d{2,4})?|\$\s?\d|\b\d+(\.\d+)?\s times (c|p|call|put)s?\b divided by test(t). A fund is ÷ \b(etf|fund|trust|covered call)\b divided by test(t). When DATE_STYLE_OPTION.test(t) (or divided by \b(put|call)s?\b divided by test(t) and option shape and !a fund — when missing or zero), it answers 'alternatives'. When ÷ \b(put|call)s?\b divided by test(t) and a fund, it answers 'stocks_etf'. Only the first steps are shown; the rest of the body needs reading by hand.</t>
        </is>
      </c>
      <c r="I494" s="3" t="inlineStr">
        <is>
          <t>PARTLY READ — some of the code is still showing through; needs a hand pass</t>
        </is>
      </c>
      <c r="J494" s="3" t="inlineStr">
        <is>
          <t>label?: string | null</t>
        </is>
      </c>
      <c r="K494" s="3" t="inlineStr">
        <is>
          <t>HoldingClass | null</t>
        </is>
      </c>
      <c r="L494" s="3" t="inlineStr">
        <is>
          <t>—</t>
        </is>
      </c>
      <c r="M494" s="3" t="inlineStr">
        <is>
          <t>None found in this function — anything it assumes comes from the functions it depends on.</t>
        </is>
      </c>
      <c r="N494" s="3" t="inlineStr">
        <is>
          <t>Yes</t>
        </is>
      </c>
      <c r="O494" s="3" t="inlineStr">
        <is>
          <t>1. MK-XS-F-147 call
2. MK-ST-F-056 has
3. MK-CF-F-132 map</t>
        </is>
      </c>
      <c r="P494" s="3" t="n">
        <v>6</v>
      </c>
      <c r="Q494" s="3" t="inlineStr">
        <is>
          <t>1. MK-XS-F-147 call
2. MK-ST-F-056 has
3. MK-CF-F-132 map
4. MK-ST-F-027 accountId
5. MK-XS-F-064 currentIdToken
6. MK-XS-F-112 relayUrl</t>
        </is>
      </c>
      <c r="R494"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494" s="3" t="inlineStr">
        <is>
          <t>—</t>
        </is>
      </c>
      <c r="T494" s="3" t="inlineStr">
        <is>
          <t>—</t>
        </is>
      </c>
      <c r="U494" s="3" t="inlineStr">
        <is>
          <t>ACTIVE</t>
        </is>
      </c>
      <c r="V494" s="3" t="inlineStr">
        <is>
          <t>2026-10-07</t>
        </is>
      </c>
      <c r="W494" s="3" t="n"/>
      <c r="X494" s="3" t="n"/>
      <c r="Y494" s="3" t="inlineStr">
        <is>
          <t>NOTHING OPEN</t>
        </is>
      </c>
    </row>
    <row r="495" ht="60" customHeight="1">
      <c r="A495" s="3" t="inlineStr">
        <is>
          <t>MK-ST-F-011</t>
        </is>
      </c>
      <c r="B495" s="3" t="inlineStr">
        <is>
          <t>classifyHoldingClass</t>
        </is>
      </c>
      <c r="C495" s="3" t="inlineStr">
        <is>
          <t>Calculation Module code/engines/holding-class.ts</t>
        </is>
      </c>
      <c r="D495" s="3" t="n">
        <v>220</v>
      </c>
      <c r="E495" s="3" t="inlineStr">
        <is>
          <t>3 · DEPENDENT</t>
        </is>
      </c>
      <c r="F495" s="3" t="inlineStr">
        <is>
          <t>NOT DETERMINED — the code carries no note saying what this is for, and it has no row in the old inventory. Needs reading.</t>
        </is>
      </c>
      <c r="G495"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parts(maturity date)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495"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parts(maturity date),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495" s="3" t="inlineStr">
        <is>
          <t>PARTLY READ — some of the code is still showing through; needs a hand pass</t>
        </is>
      </c>
      <c r="J495" s="3" t="inlineStr">
        <is>
          <t>e: ClassEvidence</t>
        </is>
      </c>
      <c r="K495" s="3" t="inlineStr">
        <is>
          <t>ClassVerdict</t>
        </is>
      </c>
      <c r="L495" s="3" t="inlineStr">
        <is>
          <t>—</t>
        </is>
      </c>
      <c r="M495" s="3" t="inlineStr">
        <is>
          <t>None found in this function — anything it assumes comes from the functions it depends on.</t>
        </is>
      </c>
      <c r="N495" s="3" t="inlineStr">
        <is>
          <t>Yes</t>
        </is>
      </c>
      <c r="O495" s="3" t="inlineStr">
        <is>
          <t>1. MK-NW-F-124 maturityParts
2. MK-ST-F-010 nameEvidence</t>
        </is>
      </c>
      <c r="P495" s="3" t="n">
        <v>15</v>
      </c>
      <c r="Q495" s="3" t="inlineStr">
        <is>
          <t>1. MK-NW-F-124 maturityParts
2. MK-ST-F-010 nameEvidence
3. MK-NW-F-009 maturityClass
4. MK-CF-F-216 typed
5. MK-XS-F-147 call
6. MK-ST-F-056 has
7. MK-CF-F-132 map
8. MK-NW-F-011 assetClassOf
9. MK-ST-F-027 accountId
10. MK-XS-F-064 currentIdToken
11. MK-XS-F-112 relayUrl
12. MK-NW-F-120 classEvidenceOf
13. MK-CF-F-155 cash
14. MK-NW-F-008 incomeBearingClassOf
15. MK-XS-F-122 n</t>
        </is>
      </c>
      <c r="R495" s="3" t="inlineStr">
        <is>
          <t>1. MK-CF-F-155 cash → MK-NW-F-120 classEvidenceOf → MK-NW-F-011 assetClassOf → MK-NW-F-009 maturityClass → MK-NW-F-124 maturityParts → MK-ST-F-011 classifyHoldingClass
2. MK-NW-F-008 incomeBearingClassOf → MK-NW-F-120 classEvidenceOf → MK-NW-F-011 assetClassOf → MK-NW-F-009 maturityClass → MK-NW-F-124 maturityParts → MK-ST-F-011 classifyHoldingClass
3. maturityClass (already above — a loop) → MK-NW-F-120 classEvidenceOf → MK-NW-F-011 assetClassOf → MK-NW-F-009 maturityClass → MK-NW-F-124 maturityParts → MK-ST-F-011 classifyHoldingClass
4. maturityParts (already above — a loop) → MK-NW-F-009 maturityClass → MK-NW-F-124 maturityParts → MK-ST-F-011 classifyHoldingClass
5. MK-CF-F-216 typed → MK-NW-F-009 maturityClass → MK-NW-F-124 maturityParts → MK-ST-F-011 classifyHoldingClass
6. MK-CF-F-216 typed → MK-NW-F-124 maturityParts → MK-ST-F-011 classifyHoldingClass
7. MK-ST-F-027 accountId → MK-XS-F-147 call → MK-ST-F-010 nameEvidence → MK-ST-F-011 classifyHoldingClass
8. MK-XS-F-064 currentIdToken → MK-XS-F-147 call → MK-ST-F-010 nameEvidence → MK-ST-F-011 classifyHoldingClass
9. … and 3 more paths</t>
        </is>
      </c>
      <c r="S495" s="3" t="inlineStr">
        <is>
          <t>—</t>
        </is>
      </c>
      <c r="T495" s="3" t="inlineStr">
        <is>
          <t>—</t>
        </is>
      </c>
      <c r="U495" s="3" t="inlineStr">
        <is>
          <t>ACTIVE</t>
        </is>
      </c>
      <c r="V495" s="3" t="inlineStr">
        <is>
          <t>2026-10-13</t>
        </is>
      </c>
      <c r="W495" s="3" t="n"/>
      <c r="X495" s="3" t="n"/>
      <c r="Y495" s="3" t="inlineStr">
        <is>
          <t>NOTHING OPEN</t>
        </is>
      </c>
    </row>
    <row r="496" ht="60" customHeight="1">
      <c r="A496" s="3" t="inlineStr">
        <is>
          <t>MK-ST-F-012</t>
        </is>
      </c>
      <c r="B496" s="3" t="inlineStr">
        <is>
          <t>toLedgerRow</t>
        </is>
      </c>
      <c r="C496" s="3" t="inlineStr">
        <is>
          <t>Calculation Module code/engines/ledger.ts</t>
        </is>
      </c>
      <c r="D496" s="3" t="n">
        <v>131</v>
      </c>
      <c r="E496" s="3" t="inlineStr">
        <is>
          <t>3 · DEPENDENT (feeds an action only)</t>
        </is>
      </c>
      <c r="F496" s="3" t="inlineStr">
        <is>
          <t>Read one institution row into one ledger row.</t>
        </is>
      </c>
      <c r="G496" s="11" t="inlineStr">
        <is>
          <t>c = classify event(raw.word)
money = read money(raw.amount, convention, rule.direction)
units = number or undefined(raw.units)
legacy = TO_LEGACY[event]
is trade = legacy = 'BUY' (or legacy = 'SELL' when missing or zero)</t>
        </is>
      </c>
      <c r="H496" s="3" t="inlineStr">
        <is>
          <t>C is classify event(raw.word). Money is read money(raw.amount, convention, rule.direction). Units is number or undefined(raw.units). Legacy is TO_LEGACY[event]. Is trade is legacy = 'BUY' (or legacy = 'SELL' — when missing or zero).</t>
        </is>
      </c>
      <c r="I496" s="3" t="inlineStr">
        <is>
          <t>PARTLY READ — some of the code is still showing through; needs a hand pass</t>
        </is>
      </c>
      <c r="J496" s="3" t="inlineStr">
        <is>
          <t>1. raw: RawActivity
2. convention: SignConvention</t>
        </is>
      </c>
      <c r="K496" s="3" t="inlineStr">
        <is>
          <t>LedgerRow</t>
        </is>
      </c>
      <c r="L496" s="3" t="inlineStr">
        <is>
          <t>—</t>
        </is>
      </c>
      <c r="M496" s="3" t="inlineStr">
        <is>
          <t>None found in this function — anything it assumes comes from the functions it depends on.</t>
        </is>
      </c>
      <c r="N496" s="3" t="inlineStr">
        <is>
          <t>No</t>
        </is>
      </c>
      <c r="O496" s="3" t="inlineStr">
        <is>
          <t>1. MK-ST-F-007 classifyEvent
2. MK-ST-F-053 money
3. MK-ST-F-058 numberOrUndefined
4. MK-ST-F-018 readMoney
5. MK-ST-F-019 signed
6. MK-ST-F-021 toNumber</t>
        </is>
      </c>
      <c r="P496" s="3" t="n">
        <v>11</v>
      </c>
      <c r="Q496" s="3" t="inlineStr">
        <is>
          <t>1. MK-ST-F-007 classifyEvent
2. MK-ST-F-053 money
3. MK-ST-F-058 numberOrUndefined
4. MK-ST-F-018 readMoney
5. MK-ST-F-019 signed
6. MK-ST-F-021 toNumber
7. MK-ST-F-049 formatMoney
8. MK-XS-F-122 n
9. MK-ST-F-048 currencySymbol
10. MK-ST-F-039 on
11. MK-ST-F-047 activeCurrency</t>
        </is>
      </c>
      <c r="R496"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496" s="3" t="inlineStr">
        <is>
          <t>—</t>
        </is>
      </c>
      <c r="T496" s="3" t="inlineStr">
        <is>
          <t>—</t>
        </is>
      </c>
      <c r="U496" s="3" t="inlineStr">
        <is>
          <t>ACTIVE</t>
        </is>
      </c>
      <c r="V496" s="3" t="inlineStr">
        <is>
          <t>2026-08-27</t>
        </is>
      </c>
      <c r="W496" s="3" t="n"/>
      <c r="X496" s="3" t="n"/>
      <c r="Y496" s="3" t="inlineStr">
        <is>
          <t>NOTHING OPEN</t>
        </is>
      </c>
    </row>
    <row r="497" ht="60" customHeight="1">
      <c r="A497" s="3" t="inlineStr">
        <is>
          <t>MK-ST-F-013</t>
        </is>
      </c>
      <c r="B497" s="3" t="inlineStr">
        <is>
          <t>personalFlowTotals</t>
        </is>
      </c>
      <c r="C497" s="3" t="inlineStr">
        <is>
          <t>Calculation Module code/engines/ledger.ts</t>
        </is>
      </c>
      <c r="D497" s="3" t="n">
        <v>227</v>
      </c>
      <c r="E497" s="3" t="inlineStr">
        <is>
          <t>2 · DISPLAYED</t>
        </is>
      </c>
      <c r="F497" s="3" t="inlineStr">
        <is>
          <t>NOT DETERMINED — the code carries no note saying what this is for, and it has no row in the old inventory. Needs reading.</t>
        </is>
      </c>
      <c r="G497" s="11" t="inlineStr">
        <is>
          <t>bucket = STORED_TYPE_BUCKET[string(type ?? '')] (or 'none' when missing)
d = dec.parse(amount)
the answer = t</t>
        </is>
      </c>
      <c r="H497" s="3" t="inlineStr">
        <is>
          <t>Bucket is STORED_TYPE_BUCKET[string(type ?? '')] (or 'none' — when missing). D is dec.parse(amount). The answer is t.</t>
        </is>
      </c>
      <c r="I497" s="3" t="inlineStr">
        <is>
          <t>PARTLY READ — some of the code is still showing through; needs a hand pass</t>
        </is>
      </c>
      <c r="J497" s="3" t="inlineStr">
        <is>
          <t>rows: StoredFlowRow[]</t>
        </is>
      </c>
      <c r="K497" s="3" t="inlineStr">
        <is>
          <t>PersonalFlowTotals</t>
        </is>
      </c>
      <c r="L497" s="3" t="inlineStr">
        <is>
          <t>NOT FOUND — a screen calls it, but the words printed beside its answer could not be traced automatically. Needs reading.</t>
        </is>
      </c>
      <c r="M497" s="3" t="inlineStr">
        <is>
          <t>None found in this function — anything it assumes comes from the functions it depends on.</t>
        </is>
      </c>
      <c r="N497" s="3" t="inlineStr">
        <is>
          <t>Yes</t>
        </is>
      </c>
      <c r="O497" s="3" t="inlineStr">
        <is>
          <t>—</t>
        </is>
      </c>
      <c r="P497" s="3" t="n">
        <v>0</v>
      </c>
      <c r="Q497" s="3" t="inlineStr">
        <is>
          <t>None — no dependent function stands behind it</t>
        </is>
      </c>
      <c r="R497" s="3" t="inlineStr">
        <is>
          <t>No dependent function — it reads its inputs and answers</t>
        </is>
      </c>
      <c r="S497" s="3" t="inlineStr">
        <is>
          <t>—</t>
        </is>
      </c>
      <c r="T497" s="3" t="inlineStr">
        <is>
          <t>—</t>
        </is>
      </c>
      <c r="U497" s="3" t="inlineStr">
        <is>
          <t>ACTIVE</t>
        </is>
      </c>
      <c r="V497" s="3" t="inlineStr">
        <is>
          <t>2026-08-27</t>
        </is>
      </c>
      <c r="W497" s="3" t="n"/>
      <c r="X497" s="3" t="n"/>
      <c r="Y497" s="3" t="inlineStr">
        <is>
          <t>NOTHING OPEN</t>
        </is>
      </c>
    </row>
    <row r="498" ht="60" customHeight="1">
      <c r="A498" s="3" t="inlineStr">
        <is>
          <t>MK-ST-F-014</t>
        </is>
      </c>
      <c r="B498" s="3" t="inlineStr">
        <is>
          <t>importKey</t>
        </is>
      </c>
      <c r="C498" s="3" t="inlineStr">
        <is>
          <t>Calculation Module code/engines/ledger.ts</t>
        </is>
      </c>
      <c r="D498" s="3" t="n">
        <v>279</v>
      </c>
      <c r="E498" s="3" t="inlineStr">
        <is>
          <t>3 · DEPENDENT (feeds an action only)</t>
        </is>
      </c>
      <c r="F498" s="3" t="inlineStr">
        <is>
          <t>NOT DETERMINED — the code carries no note saying what this is for, and it has no row in the old inventory. Needs reading.</t>
        </is>
      </c>
      <c r="G498" s="11" t="inlineStr">
        <is>
          <t>the answer = account | date | WORD | amount | units | security | ref | description, joined with '|' (missing parts empty)</t>
        </is>
      </c>
      <c r="H498"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498" s="3" t="inlineStr">
        <is>
          <t>READ BY HAND 2026-08-26 — checked line by line against the code</t>
        </is>
      </c>
      <c r="J498" s="3" t="inlineStr">
        <is>
          <t>id: ImportIdentity</t>
        </is>
      </c>
      <c r="K498" s="3" t="inlineStr">
        <is>
          <t>string</t>
        </is>
      </c>
      <c r="L498" s="3" t="inlineStr">
        <is>
          <t>—</t>
        </is>
      </c>
      <c r="M498" s="3" t="inlineStr">
        <is>
          <t>None found in this function — anything it assumes comes from the functions it depends on.</t>
        </is>
      </c>
      <c r="N498" s="3" t="inlineStr">
        <is>
          <t>No</t>
        </is>
      </c>
      <c r="O498" s="3" t="inlineStr">
        <is>
          <t>—</t>
        </is>
      </c>
      <c r="P498" s="3" t="n">
        <v>0</v>
      </c>
      <c r="Q498" s="3" t="inlineStr">
        <is>
          <t>None — no dependent function stands behind it</t>
        </is>
      </c>
      <c r="R498" s="3" t="inlineStr">
        <is>
          <t>No dependent function — it reads its inputs and answers</t>
        </is>
      </c>
      <c r="S498" s="3" t="inlineStr">
        <is>
          <t>—</t>
        </is>
      </c>
      <c r="T498" s="3" t="inlineStr">
        <is>
          <t>—</t>
        </is>
      </c>
      <c r="U498" s="3" t="inlineStr">
        <is>
          <t>ACTIVE</t>
        </is>
      </c>
      <c r="V498" s="3" t="inlineStr">
        <is>
          <t>2026-09-12</t>
        </is>
      </c>
      <c r="W498" s="3" t="n"/>
      <c r="X498" s="3" t="n"/>
      <c r="Y498" s="3" t="inlineStr">
        <is>
          <t>NOTHING OPEN</t>
        </is>
      </c>
    </row>
    <row r="499" ht="60" customHeight="1">
      <c r="A499" s="3" t="inlineStr">
        <is>
          <t>MK-ST-F-015</t>
        </is>
      </c>
      <c r="B499" s="3" t="inlineStr">
        <is>
          <t>rowsFor</t>
        </is>
      </c>
      <c r="C499" s="3" t="inlineStr">
        <is>
          <t>Calculation Module code/engines/ledger.ts</t>
        </is>
      </c>
      <c r="D499" s="3" t="n">
        <v>310</v>
      </c>
      <c r="E499" s="3" t="inlineStr">
        <is>
          <t>3 · DEPENDENT (feeds an action only)</t>
        </is>
      </c>
      <c r="F499" s="3" t="inlineStr">
        <is>
          <t>NOT DETERMINED — the code carries no note saying what this is for, and it has no row in the old inventory. Needs reading.</t>
        </is>
      </c>
      <c r="G499" s="11" t="inlineStr">
        <is>
          <t>rows where EVENTS[event].totals.includes(total)</t>
        </is>
      </c>
      <c r="H499" s="3" t="inlineStr">
        <is>
          <t>rows where EVENTS[event].totals.includes(total).</t>
        </is>
      </c>
      <c r="I499" s="3" t="inlineStr">
        <is>
          <t>PARTLY READ — some of the code is still showing through; needs a hand pass</t>
        </is>
      </c>
      <c r="J499" s="3" t="inlineStr">
        <is>
          <t>Nothing is handed to it</t>
        </is>
      </c>
      <c r="K499" s="3" t="inlineStr">
        <is>
          <t>NOT DECLARED — the code does not say what it gives back</t>
        </is>
      </c>
      <c r="L499" s="3" t="inlineStr">
        <is>
          <t>—</t>
        </is>
      </c>
      <c r="M499" s="3" t="inlineStr">
        <is>
          <t>None found in this function — anything it assumes comes from the functions it depends on.</t>
        </is>
      </c>
      <c r="N499" s="3" t="inlineStr">
        <is>
          <t>No</t>
        </is>
      </c>
      <c r="O499" s="3" t="inlineStr">
        <is>
          <t>—</t>
        </is>
      </c>
      <c r="P499" s="3" t="n">
        <v>0</v>
      </c>
      <c r="Q499" s="3" t="inlineStr">
        <is>
          <t>None — no dependent function stands behind it</t>
        </is>
      </c>
      <c r="R499" s="3" t="inlineStr">
        <is>
          <t>No dependent function — it reads its inputs and answers</t>
        </is>
      </c>
      <c r="S499" s="3" t="inlineStr">
        <is>
          <t>—</t>
        </is>
      </c>
      <c r="T499" s="3" t="inlineStr">
        <is>
          <t>—</t>
        </is>
      </c>
      <c r="U499" s="3" t="inlineStr">
        <is>
          <t>ACTIVE</t>
        </is>
      </c>
      <c r="V499" s="3" t="inlineStr">
        <is>
          <t>2026-08-27</t>
        </is>
      </c>
      <c r="W499" s="3" t="n"/>
      <c r="X499" s="3" t="n"/>
      <c r="Y499" s="3" t="inlineStr">
        <is>
          <t>NOTHING OPEN</t>
        </is>
      </c>
    </row>
    <row r="500" ht="45" customHeight="1">
      <c r="A500" s="3" t="inlineStr">
        <is>
          <t>MK-ST-F-016</t>
        </is>
      </c>
      <c r="B500" s="3" t="inlineStr">
        <is>
          <t>totalOf</t>
        </is>
      </c>
      <c r="C500" s="3" t="inlineStr">
        <is>
          <t>Calculation Module code/engines/ledger.ts</t>
        </is>
      </c>
      <c r="D500" s="3" t="n">
        <v>334</v>
      </c>
      <c r="E500" s="3" t="inlineStr">
        <is>
          <t>3 · DEPENDENT (feeds an action only)</t>
        </is>
      </c>
      <c r="F500" s="3" t="inlineStr">
        <is>
          <t>A total, summed SIGNED and EXACT — a reversal reduces its total instead of inflating it.</t>
        </is>
      </c>
      <c r="G500" s="11" t="inlineStr">
        <is>
          <t>dec.sum(rows for(rows, total).map((r) =&gt; signed amount))</t>
        </is>
      </c>
      <c r="H500" s="3" t="inlineStr">
        <is>
          <t>dec.sum(rows for(rows, total).map((r) =&gt; signed amount)).</t>
        </is>
      </c>
      <c r="I500" s="3" t="inlineStr">
        <is>
          <t>PARTLY READ — some of the code is still showing through; needs a hand pass</t>
        </is>
      </c>
      <c r="J500" s="3" t="inlineStr">
        <is>
          <t>1. rows: LedgerRow[]
2. total: 'contributions' | 'withdrawals' | 'income' | 'costs'</t>
        </is>
      </c>
      <c r="K500" s="3" t="inlineStr">
        <is>
          <t>Dec</t>
        </is>
      </c>
      <c r="L500" s="3" t="inlineStr">
        <is>
          <t>—</t>
        </is>
      </c>
      <c r="M500" s="3" t="inlineStr">
        <is>
          <t>None found in this function — anything it assumes comes from the functions it depends on.</t>
        </is>
      </c>
      <c r="N500" s="3" t="inlineStr">
        <is>
          <t>No</t>
        </is>
      </c>
      <c r="O500" s="3" t="inlineStr">
        <is>
          <t>1. MK-CF-F-132 map
2. MK-ST-F-015 rowsFor</t>
        </is>
      </c>
      <c r="P500" s="3" t="n">
        <v>2</v>
      </c>
      <c r="Q500" s="3" t="inlineStr">
        <is>
          <t>1. MK-CF-F-132 map
2. MK-ST-F-015 rowsFor</t>
        </is>
      </c>
      <c r="R500" s="3" t="inlineStr">
        <is>
          <t>1. MK-CF-F-132 map → MK-ST-F-016 totalOf
2. MK-ST-F-015 rowsFor → MK-ST-F-016 totalOf</t>
        </is>
      </c>
      <c r="S500" s="3" t="inlineStr">
        <is>
          <t>—</t>
        </is>
      </c>
      <c r="T500" s="3" t="inlineStr">
        <is>
          <t>—</t>
        </is>
      </c>
      <c r="U500" s="3" t="inlineStr">
        <is>
          <t>ACTIVE</t>
        </is>
      </c>
      <c r="V500" s="3" t="inlineStr">
        <is>
          <t>2026-08-27</t>
        </is>
      </c>
      <c r="W500" s="3" t="n"/>
      <c r="X500" s="3" t="n"/>
      <c r="Y500" s="3" t="inlineStr">
        <is>
          <t>NOTHING OPEN</t>
        </is>
      </c>
    </row>
    <row r="501" ht="45" customHeight="1">
      <c r="A501" s="3" t="inlineStr">
        <is>
          <t>MK-ST-F-017</t>
        </is>
      </c>
      <c r="B501" s="3" t="inlineStr">
        <is>
          <t>unclassified</t>
        </is>
      </c>
      <c r="C501" s="3" t="inlineStr">
        <is>
          <t>Calculation Module code/engines/ledger.ts</t>
        </is>
      </c>
      <c r="D501" s="3" t="n">
        <v>354</v>
      </c>
      <c r="E501" s="3" t="inlineStr">
        <is>
          <t>3 · DEPENDENT (feeds an action only)</t>
        </is>
      </c>
      <c r="F501" s="3" t="inlineStr">
        <is>
          <t>Everything we could not name, for the honest line on screen: "12 entries we could not classify".</t>
        </is>
      </c>
      <c r="G501" s="11" t="inlineStr">
        <is>
          <t>rows where recognised is missing</t>
        </is>
      </c>
      <c r="H501" s="3" t="inlineStr">
        <is>
          <t>rows where recognised is missing.</t>
        </is>
      </c>
      <c r="I501" s="3" t="inlineStr">
        <is>
          <t>READ FROM THE CODE — rendered from the expressions the function runs</t>
        </is>
      </c>
      <c r="J501" s="3" t="inlineStr">
        <is>
          <t>rows: LedgerRow[]</t>
        </is>
      </c>
      <c r="K501" s="3" t="inlineStr">
        <is>
          <t>LedgerRow[]</t>
        </is>
      </c>
      <c r="L501" s="3" t="inlineStr">
        <is>
          <t>—</t>
        </is>
      </c>
      <c r="M501" s="3" t="inlineStr">
        <is>
          <t>None found in this function — anything it assumes comes from the functions it depends on.</t>
        </is>
      </c>
      <c r="N501" s="3" t="inlineStr">
        <is>
          <t>No</t>
        </is>
      </c>
      <c r="O501" s="3" t="inlineStr">
        <is>
          <t>—</t>
        </is>
      </c>
      <c r="P501" s="3" t="n">
        <v>0</v>
      </c>
      <c r="Q501" s="3" t="inlineStr">
        <is>
          <t>None — no dependent function stands behind it</t>
        </is>
      </c>
      <c r="R501" s="3" t="inlineStr">
        <is>
          <t>No dependent function — it reads its inputs and answers</t>
        </is>
      </c>
      <c r="S501" s="3" t="inlineStr">
        <is>
          <t>—</t>
        </is>
      </c>
      <c r="T501" s="3" t="inlineStr">
        <is>
          <t>—</t>
        </is>
      </c>
      <c r="U501" s="3" t="inlineStr">
        <is>
          <t>ACTIVE</t>
        </is>
      </c>
      <c r="V501" s="3" t="inlineStr">
        <is>
          <t>2026-08-27</t>
        </is>
      </c>
      <c r="W501" s="3" t="n"/>
      <c r="X501" s="3" t="n"/>
      <c r="Y501" s="3" t="inlineStr">
        <is>
          <t>NOTHING OPEN</t>
        </is>
      </c>
    </row>
    <row r="502" ht="60" customHeight="1">
      <c r="A502" s="3" t="inlineStr">
        <is>
          <t>MK-ST-F-018</t>
        </is>
      </c>
      <c r="B502" s="3" t="inlineStr">
        <is>
          <t>readMoney</t>
        </is>
      </c>
      <c r="C502" s="3" t="inlineStr">
        <is>
          <t>Calculation Module code/engines/money.ts</t>
        </is>
      </c>
      <c r="D502" s="3" t="n">
        <v>65</v>
      </c>
      <c r="E502" s="3" t="inlineStr">
        <is>
          <t>3 · DEPENDENT (feeds an action only)</t>
        </is>
      </c>
      <c r="F502" s="3" t="inlineStr">
        <is>
          <t>Read a raw amount into a Money, given how that source signs things.</t>
        </is>
      </c>
      <c r="G502"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502"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502" s="3" t="inlineStr">
        <is>
          <t>PARTLY READ — some of the code is still showing through; needs a hand pass</t>
        </is>
      </c>
      <c r="J502" s="3" t="inlineStr">
        <is>
          <t>Nothing is handed to it</t>
        </is>
      </c>
      <c r="K502" s="3" t="inlineStr">
        <is>
          <t>NOT DECLARED — the code does not say what it gives back</t>
        </is>
      </c>
      <c r="L502" s="3" t="inlineStr">
        <is>
          <t>—</t>
        </is>
      </c>
      <c r="M502" s="3" t="inlineStr">
        <is>
          <t>None found in this function — anything it assumes comes from the functions it depends on.</t>
        </is>
      </c>
      <c r="N502" s="3" t="inlineStr">
        <is>
          <t>No</t>
        </is>
      </c>
      <c r="O502" s="3" t="inlineStr">
        <is>
          <t>—</t>
        </is>
      </c>
      <c r="P502" s="3" t="n">
        <v>0</v>
      </c>
      <c r="Q502" s="3" t="inlineStr">
        <is>
          <t>None — no dependent function stands behind it</t>
        </is>
      </c>
      <c r="R502" s="3" t="inlineStr">
        <is>
          <t>No dependent function — it reads its inputs and answers</t>
        </is>
      </c>
      <c r="S502" s="3" t="inlineStr">
        <is>
          <t>—</t>
        </is>
      </c>
      <c r="T502" s="3" t="inlineStr">
        <is>
          <t>—</t>
        </is>
      </c>
      <c r="U502" s="3" t="inlineStr">
        <is>
          <t>ACTIVE</t>
        </is>
      </c>
      <c r="V502" s="3" t="inlineStr">
        <is>
          <t>2026-08-27</t>
        </is>
      </c>
      <c r="W502" s="3" t="n"/>
      <c r="X502" s="3" t="n"/>
      <c r="Y502" s="3" t="inlineStr">
        <is>
          <t>NOTHING OPEN</t>
        </is>
      </c>
    </row>
    <row r="503" ht="60" customHeight="1">
      <c r="A503" s="3" t="inlineStr">
        <is>
          <t>MK-ST-F-019</t>
        </is>
      </c>
      <c r="B503" s="3" t="inlineStr">
        <is>
          <t>signed</t>
        </is>
      </c>
      <c r="C503" s="3" t="inlineStr">
        <is>
          <t>Calculation Module code/engines/money.ts</t>
        </is>
      </c>
      <c r="D503" s="3" t="n">
        <v>108</v>
      </c>
      <c r="E503" s="3" t="inlineStr">
        <is>
          <t>2 · DISPLAYED</t>
        </is>
      </c>
      <c r="F503" s="3" t="inlineStr">
        <is>
          <t>The signed value, for arithmetic.</t>
        </is>
      </c>
      <c r="G503" s="11" t="inlineStr">
        <is>
          <t>amount.neg()   if direction = 'OUT'
amount   if direction = 'IN'
dec.ZERO   otherwise   otherwise</t>
        </is>
      </c>
      <c r="H503" s="3" t="inlineStr">
        <is>
          <t>amount.neg() — when direction = 'OUT'; amount — when direction = 'IN'; dec.ZERO — otherwise — otherwise.</t>
        </is>
      </c>
      <c r="I503" s="3" t="inlineStr">
        <is>
          <t>PARTLY READ — some of the code is still showing through; needs a hand pass</t>
        </is>
      </c>
      <c r="J503" s="3" t="inlineStr">
        <is>
          <t>m: Money</t>
        </is>
      </c>
      <c r="K503" s="3" t="inlineStr">
        <is>
          <t>Dec</t>
        </is>
      </c>
      <c r="L503" s="3" t="inlineStr">
        <is>
          <t>1. "ACTUAL
2. SO FAR" — on the Cash flow screen, under "ACTUAL
3. SO FAR"
4. "Surplus after your budget" — on the Cash flow screen, under "PLANNED
5. $"</t>
        </is>
      </c>
      <c r="M503" s="3" t="inlineStr">
        <is>
          <t>None found in this function — anything it assumes comes from the functions it depends on.</t>
        </is>
      </c>
      <c r="N503" s="3" t="inlineStr">
        <is>
          <t>Yes</t>
        </is>
      </c>
      <c r="O503" s="3" t="inlineStr">
        <is>
          <t>—</t>
        </is>
      </c>
      <c r="P503" s="3" t="n">
        <v>0</v>
      </c>
      <c r="Q503" s="3" t="inlineStr">
        <is>
          <t>None — no dependent function stands behind it</t>
        </is>
      </c>
      <c r="R503" s="3" t="inlineStr">
        <is>
          <t>No dependent function — it reads its inputs and answers</t>
        </is>
      </c>
      <c r="S503" s="3" t="inlineStr">
        <is>
          <t>—</t>
        </is>
      </c>
      <c r="T503" s="3" t="inlineStr">
        <is>
          <t>—</t>
        </is>
      </c>
      <c r="U503" s="3" t="inlineStr">
        <is>
          <t>ACTIVE</t>
        </is>
      </c>
      <c r="V503" s="3" t="inlineStr">
        <is>
          <t>2026-10-03</t>
        </is>
      </c>
      <c r="W503" s="3" t="n"/>
      <c r="X503" s="3" t="n"/>
      <c r="Y503" s="3" t="inlineStr">
        <is>
          <t>NOTHING OPEN</t>
        </is>
      </c>
    </row>
    <row r="504" ht="60" customHeight="1">
      <c r="A504" s="3" t="inlineStr">
        <is>
          <t>MK-ST-F-020</t>
        </is>
      </c>
      <c r="B504" s="3" t="inlineStr">
        <is>
          <t>sumSigned</t>
        </is>
      </c>
      <c r="C504" s="3" t="inlineStr">
        <is>
          <t>Calculation Module code/engines/money.ts</t>
        </is>
      </c>
      <c r="D504" s="3" t="n">
        <v>129</v>
      </c>
      <c r="E504" s="3" t="inlineStr">
        <is>
          <t>3 · DEPENDENT (feeds an action only)</t>
        </is>
      </c>
      <c r="F504" s="3" t="inlineStr">
        <is>
          <t>Add money SIGNED and EXACTLY — a credit and its reversal cancel to true zero, so a reconciliation can assert equality rather than a tolerance.</t>
        </is>
      </c>
      <c r="G504" s="11" t="inlineStr">
        <is>
          <t>dec.sum(items.map(signed))</t>
        </is>
      </c>
      <c r="H504" s="3" t="inlineStr">
        <is>
          <t>dec.sum(items.map(signed)).</t>
        </is>
      </c>
      <c r="I504" s="3" t="inlineStr">
        <is>
          <t>PARTLY READ — some of the code is still showing through; needs a hand pass</t>
        </is>
      </c>
      <c r="J504" s="3" t="inlineStr">
        <is>
          <t>items: Money[]</t>
        </is>
      </c>
      <c r="K504" s="3" t="inlineStr">
        <is>
          <t>Dec</t>
        </is>
      </c>
      <c r="L504" s="3" t="inlineStr">
        <is>
          <t>—</t>
        </is>
      </c>
      <c r="M504" s="3" t="inlineStr">
        <is>
          <t>None found in this function — anything it assumes comes from the functions it depends on.</t>
        </is>
      </c>
      <c r="N504" s="3" t="inlineStr">
        <is>
          <t>No</t>
        </is>
      </c>
      <c r="O504" s="3" t="inlineStr">
        <is>
          <t>1. MK-CF-F-132 map
2. MK-ST-F-019 signed</t>
        </is>
      </c>
      <c r="P504" s="3" t="n">
        <v>2</v>
      </c>
      <c r="Q504" s="3" t="inlineStr">
        <is>
          <t>1. MK-CF-F-132 map
2. MK-ST-F-019 signed</t>
        </is>
      </c>
      <c r="R504" s="3" t="inlineStr">
        <is>
          <t>1. MK-CF-F-132 map → MK-ST-F-020 sumSigned
2. MK-ST-F-019 signed → MK-ST-F-020 sumSigned</t>
        </is>
      </c>
      <c r="S504" s="3" t="inlineStr">
        <is>
          <t>—</t>
        </is>
      </c>
      <c r="T504" s="3" t="inlineStr">
        <is>
          <t>—</t>
        </is>
      </c>
      <c r="U504" s="3" t="inlineStr">
        <is>
          <t>ACTIVE</t>
        </is>
      </c>
      <c r="V504" s="3" t="inlineStr">
        <is>
          <t>2026-08-27</t>
        </is>
      </c>
      <c r="W504" s="3" t="n"/>
      <c r="X504" s="3" t="n"/>
      <c r="Y504" s="3" t="inlineStr">
        <is>
          <t>NOTHING OPEN</t>
        </is>
      </c>
    </row>
    <row r="505" ht="60" customHeight="1">
      <c r="A505" s="3" t="inlineStr">
        <is>
          <t>MK-ST-F-021</t>
        </is>
      </c>
      <c r="B505" s="3" t="inlineStr">
        <is>
          <t>toNumber</t>
        </is>
      </c>
      <c r="C505" s="3" t="inlineStr">
        <is>
          <t>Calculation Module code/engines/money.ts</t>
        </is>
      </c>
      <c r="D505" s="3" t="n">
        <v>172</v>
      </c>
      <c r="E505" s="3" t="inlineStr">
        <is>
          <t>2 · DISPLAYED</t>
        </is>
      </c>
      <c r="F505" s="3" t="inlineStr">
        <is>
          <t>Institution files write money as text: "$8,502.00 ", "($0.53)", "--", "1,234.56".</t>
        </is>
      </c>
      <c r="G505"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505"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505" s="3" t="inlineStr">
        <is>
          <t>PARTLY READ — some of the code is still showing through; needs a hand pass</t>
        </is>
      </c>
      <c r="J505" s="3" t="inlineStr">
        <is>
          <t>raw: number | string | null | undefined</t>
        </is>
      </c>
      <c r="K505" s="3" t="inlineStr">
        <is>
          <t>number | null</t>
        </is>
      </c>
      <c r="L505" s="3" t="inlineStr">
        <is>
          <t>NOT FOUND — a screen calls it, but the words printed beside its answer could not be traced automatically. Needs reading.</t>
        </is>
      </c>
      <c r="M505" s="3" t="inlineStr">
        <is>
          <t>None found in this function — anything it assumes comes from the functions it depends on.</t>
        </is>
      </c>
      <c r="N505" s="3" t="inlineStr">
        <is>
          <t>Yes</t>
        </is>
      </c>
      <c r="O505" s="3" t="inlineStr">
        <is>
          <t>MK-XS-F-122 n</t>
        </is>
      </c>
      <c r="P505" s="3" t="n">
        <v>1</v>
      </c>
      <c r="Q505" s="3" t="inlineStr">
        <is>
          <t>MK-XS-F-122 n</t>
        </is>
      </c>
      <c r="R505" s="3" t="inlineStr">
        <is>
          <t>MK-XS-F-122 n → MK-ST-F-021 toNumber</t>
        </is>
      </c>
      <c r="S505" s="3" t="inlineStr">
        <is>
          <t>—</t>
        </is>
      </c>
      <c r="T505" s="3" t="inlineStr">
        <is>
          <t>—</t>
        </is>
      </c>
      <c r="U505" s="3" t="inlineStr">
        <is>
          <t>ACTIVE</t>
        </is>
      </c>
      <c r="V505" s="3" t="inlineStr">
        <is>
          <t>2026-08-27</t>
        </is>
      </c>
      <c r="W505" s="3" t="n"/>
      <c r="X505" s="3" t="n"/>
      <c r="Y505" s="3" t="inlineStr">
        <is>
          <t>NOTHING OPEN</t>
        </is>
      </c>
    </row>
    <row r="506" ht="60" customHeight="1">
      <c r="A506" s="3" t="inlineStr">
        <is>
          <t>MK-ST-F-022</t>
        </is>
      </c>
      <c r="B506" s="3" t="inlineStr">
        <is>
          <t>reconcileAccountTotal</t>
        </is>
      </c>
      <c r="C506" s="3" t="inlineStr">
        <is>
          <t>Calculation Module code/engines/reconcile.ts</t>
        </is>
      </c>
      <c r="D506" s="3" t="n">
        <v>82</v>
      </c>
      <c r="E506" s="3" t="inlineStr">
        <is>
          <t>3 · DEPENDENT (feeds an action only)</t>
        </is>
      </c>
      <c r="F506" s="3" t="inlineStr">
        <is>
          <t>ASSERTION 1 — holdings + cash = the broker's stated total.</t>
        </is>
      </c>
      <c r="G506" s="11" t="inlineStr">
        <is>
          <t>stated = dec.parse(stated total) (or dec.ZERO when missing)
the answer = verdict(parts, stated, 'what the account holds and the broker\'s own total')</t>
        </is>
      </c>
      <c r="H506" s="3" t="inlineStr">
        <is>
          <t>Stated is dec.parse(stated total) (or dec.ZERO — when missing). The answer is verdict(parts, stated, 'what the account holds and the broker\'s own total').</t>
        </is>
      </c>
      <c r="I506" s="3" t="inlineStr">
        <is>
          <t>PARTLY READ — some of the code is still showing through; needs a hand pass</t>
        </is>
      </c>
      <c r="J506" s="3" t="inlineStr">
        <is>
          <t>Nothing is handed to it</t>
        </is>
      </c>
      <c r="K506" s="3" t="inlineStr">
        <is>
          <t>NOT DECLARED — the code does not say what it gives back</t>
        </is>
      </c>
      <c r="L506" s="3" t="inlineStr">
        <is>
          <t>—</t>
        </is>
      </c>
      <c r="M506" s="3" t="inlineStr">
        <is>
          <t>None found in this function — anything it assumes comes from the functions it depends on.</t>
        </is>
      </c>
      <c r="N506" s="3" t="inlineStr">
        <is>
          <t>No</t>
        </is>
      </c>
      <c r="O506" s="3" t="inlineStr">
        <is>
          <t>1. MK-CF-F-132 map
2. MK-ST-F-060 verdict</t>
        </is>
      </c>
      <c r="P506" s="3" t="n">
        <v>2</v>
      </c>
      <c r="Q506" s="3" t="inlineStr">
        <is>
          <t>1. MK-CF-F-132 map
2. MK-ST-F-060 verdict</t>
        </is>
      </c>
      <c r="R506" s="3" t="inlineStr">
        <is>
          <t>1. MK-CF-F-132 map → MK-ST-F-022 reconcileAccountTotal
2. MK-ST-F-060 verdict → MK-ST-F-022 reconcileAccountTotal</t>
        </is>
      </c>
      <c r="S506" s="3" t="inlineStr">
        <is>
          <t>—</t>
        </is>
      </c>
      <c r="T506" s="3" t="inlineStr">
        <is>
          <t>—</t>
        </is>
      </c>
      <c r="U506" s="3" t="inlineStr">
        <is>
          <t>ACTIVE</t>
        </is>
      </c>
      <c r="V506" s="3" t="inlineStr">
        <is>
          <t>2026-08-27</t>
        </is>
      </c>
      <c r="W506" s="3" t="n"/>
      <c r="X506" s="3" t="n"/>
      <c r="Y506" s="3" t="inlineStr">
        <is>
          <t>NOTHING OPEN</t>
        </is>
      </c>
    </row>
    <row r="507" ht="60" customHeight="1">
      <c r="A507" s="3" t="inlineStr">
        <is>
          <t>MK-ST-F-023</t>
        </is>
      </c>
      <c r="B507" s="3" t="inlineStr">
        <is>
          <t>reconcileLedgerIdentity</t>
        </is>
      </c>
      <c r="C507" s="3" t="inlineStr">
        <is>
          <t>Calculation Module code/engines/reconcile.ts</t>
        </is>
      </c>
      <c r="D507" s="3" t="n">
        <v>110</v>
      </c>
      <c r="E507" s="3" t="inlineStr">
        <is>
          <t>3 · DEPENDENT (feeds an action only)</t>
        </is>
      </c>
      <c r="F507" s="3" t="inlineStr">
        <is>
          <t>ASSERTION 2 — the accounting identity every statement satisfies, exactly.</t>
        </is>
      </c>
      <c r="G507" s="11" t="inlineStr">
        <is>
          <t>d = (v: unknown) =&gt; dec.parse(v) (or dec.ZERO when missing)
the answer = verdict(computed, D(ending), 'the change walk and the ending value')</t>
        </is>
      </c>
      <c r="H507" s="3" t="inlineStr">
        <is>
          <t>D is (v: unknown) =&gt; dec.parse(v) (or dec.ZERO — when missing). The answer is verdict(computed, D(ending), 'the change walk and the ending value').</t>
        </is>
      </c>
      <c r="I507" s="3" t="inlineStr">
        <is>
          <t>PARTLY READ — some of the code is still showing through; needs a hand pass</t>
        </is>
      </c>
      <c r="J507" s="3" t="inlineStr">
        <is>
          <t>Nothing is handed to it</t>
        </is>
      </c>
      <c r="K507" s="3" t="inlineStr">
        <is>
          <t>NOT DECLARED — the code does not say what it gives back</t>
        </is>
      </c>
      <c r="L507" s="3" t="inlineStr">
        <is>
          <t>—</t>
        </is>
      </c>
      <c r="M507" s="3" t="inlineStr">
        <is>
          <t>None found in this function — anything it assumes comes from the functions it depends on.</t>
        </is>
      </c>
      <c r="N507" s="3" t="inlineStr">
        <is>
          <t>No</t>
        </is>
      </c>
      <c r="O507" s="3" t="inlineStr">
        <is>
          <t>MK-ST-F-060 verdict</t>
        </is>
      </c>
      <c r="P507" s="3" t="n">
        <v>1</v>
      </c>
      <c r="Q507" s="3" t="inlineStr">
        <is>
          <t>MK-ST-F-060 verdict</t>
        </is>
      </c>
      <c r="R507" s="3" t="inlineStr">
        <is>
          <t>MK-ST-F-060 verdict → MK-ST-F-023 reconcileLedgerIdentity</t>
        </is>
      </c>
      <c r="S507" s="3" t="inlineStr">
        <is>
          <t>—</t>
        </is>
      </c>
      <c r="T507" s="3" t="inlineStr">
        <is>
          <t>—</t>
        </is>
      </c>
      <c r="U507" s="3" t="inlineStr">
        <is>
          <t>ACTIVE</t>
        </is>
      </c>
      <c r="V507" s="3" t="inlineStr">
        <is>
          <t>2026-08-27</t>
        </is>
      </c>
      <c r="W507" s="3" t="n"/>
      <c r="X507" s="3" t="n"/>
      <c r="Y507" s="3" t="inlineStr">
        <is>
          <t>NOTHING OPEN</t>
        </is>
      </c>
    </row>
    <row r="508" ht="60" customHeight="1">
      <c r="A508" s="3" t="inlineStr">
        <is>
          <t>MK-ST-F-024</t>
        </is>
      </c>
      <c r="B508" s="3" t="inlineStr">
        <is>
          <t>rmdStartAge</t>
        </is>
      </c>
      <c r="C508" s="3" t="inlineStr">
        <is>
          <t>Calculation Module code/engines/rmd.ts</t>
        </is>
      </c>
      <c r="D508" s="3" t="n">
        <v>55</v>
      </c>
      <c r="E508" s="3" t="inlineStr">
        <is>
          <t>2 · DISPLAYED</t>
        </is>
      </c>
      <c r="F508" s="3" t="inlineStr">
        <is>
          <t>The age required withdrawals begin, by birth year.</t>
        </is>
      </c>
      <c r="G508" s="11" t="inlineStr">
        <is>
          <t>start age = 75   when born 1960 or later
            73   otherwise</t>
        </is>
      </c>
      <c r="H508" s="3" t="inlineStr">
        <is>
          <t>The age required withdrawals begin. Born 1960 or later, 75; everyone else, 73 — including birth years before 1951, whose real start age was 72 or 70 and a half. An unknown birth year silently answers 73 rather than refusing. Finding A36.</t>
        </is>
      </c>
      <c r="I508" s="3" t="inlineStr">
        <is>
          <t>READ BY HAND 2026-08-26 — checked line by line against the code</t>
        </is>
      </c>
      <c r="J508" s="3" t="inlineStr">
        <is>
          <t>birthYear?: number | null</t>
        </is>
      </c>
      <c r="K508" s="3" t="inlineStr">
        <is>
          <t>number</t>
        </is>
      </c>
      <c r="L508"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508" s="3" t="inlineStr">
        <is>
          <t>· When the birth year is missing the start age is taken as 73 — the rule for those born 1951–1959, the middle of the 55–70 audience (A36). The whole schedule is coded: 70½ before 1949, 72 for 1949–1950, 73 for 1951–1959, 75 from 1960.</t>
        </is>
      </c>
      <c r="N508" s="3" t="inlineStr">
        <is>
          <t>Yes</t>
        </is>
      </c>
      <c r="O508" s="3" t="inlineStr">
        <is>
          <t>MK-ST-F-056 has</t>
        </is>
      </c>
      <c r="P508" s="3" t="n">
        <v>1</v>
      </c>
      <c r="Q508" s="3" t="inlineStr">
        <is>
          <t>MK-ST-F-056 has</t>
        </is>
      </c>
      <c r="R508" s="3" t="inlineStr">
        <is>
          <t>MK-ST-F-056 has → MK-ST-F-024 rmdStartAge</t>
        </is>
      </c>
      <c r="S508" s="3" t="inlineStr">
        <is>
          <t>—</t>
        </is>
      </c>
      <c r="T508" s="3" t="inlineStr">
        <is>
          <t>—</t>
        </is>
      </c>
      <c r="U508" s="3" t="inlineStr">
        <is>
          <t>ACTIVE</t>
        </is>
      </c>
      <c r="V508" s="3" t="inlineStr">
        <is>
          <t>2026-08-27</t>
        </is>
      </c>
      <c r="W508" s="3" t="n"/>
      <c r="X508" s="3" t="n"/>
      <c r="Y508" s="3" t="inlineStr">
        <is>
          <t>NOTHING OPEN</t>
        </is>
      </c>
    </row>
    <row r="509" ht="60" customHeight="1">
      <c r="A509" s="3" t="inlineStr">
        <is>
          <t>MK-ST-F-025</t>
        </is>
      </c>
      <c r="B509" s="3" t="inlineStr">
        <is>
          <t>rmdStartAgeFromAge</t>
        </is>
      </c>
      <c r="C509" s="3" t="inlineStr">
        <is>
          <t>Calculation Module code/engines/rmd.ts</t>
        </is>
      </c>
      <c r="D509" s="3" t="n">
        <v>94</v>
      </c>
      <c r="E509" s="3" t="inlineStr">
        <is>
          <t>3 · DEPENDENT</t>
        </is>
      </c>
      <c r="F509" s="3" t="inlineStr">
        <is>
          <t>The same rule when only an age is known (birth year ≈ this year − age; ±1 year of precision, which is what an age-only caller has).</t>
        </is>
      </c>
      <c r="G509" s="11" t="inlineStr">
        <is>
          <t>rmd start age(now year − age)</t>
        </is>
      </c>
      <c r="H509" s="3" t="inlineStr">
        <is>
          <t>rmd start age(now year minus age).</t>
        </is>
      </c>
      <c r="I509" s="3" t="inlineStr">
        <is>
          <t>READ FROM THE CODE — rendered from the expressions the function runs</t>
        </is>
      </c>
      <c r="J509" s="3" t="inlineStr">
        <is>
          <t>1. age: number
2. nowYear: number</t>
        </is>
      </c>
      <c r="K509" s="3" t="inlineStr">
        <is>
          <t>number</t>
        </is>
      </c>
      <c r="L509" s="3" t="inlineStr">
        <is>
          <t>—</t>
        </is>
      </c>
      <c r="M509" s="3" t="inlineStr">
        <is>
          <t>None found in this function — anything it assumes comes from the functions it depends on.</t>
        </is>
      </c>
      <c r="N509" s="3" t="inlineStr">
        <is>
          <t>Yes</t>
        </is>
      </c>
      <c r="O509" s="3" t="inlineStr">
        <is>
          <t>MK-ST-F-024 rmdStartAge</t>
        </is>
      </c>
      <c r="P509" s="3" t="n">
        <v>2</v>
      </c>
      <c r="Q509" s="3" t="inlineStr">
        <is>
          <t>1. MK-ST-F-024 rmdStartAge
2. MK-ST-F-056 has</t>
        </is>
      </c>
      <c r="R509" s="3" t="inlineStr">
        <is>
          <t>MK-ST-F-056 has → MK-ST-F-024 rmdStartAge → MK-ST-F-025 rmdStartAgeFromAge</t>
        </is>
      </c>
      <c r="S509" s="3" t="inlineStr">
        <is>
          <t>—</t>
        </is>
      </c>
      <c r="T509" s="3" t="inlineStr">
        <is>
          <t>—</t>
        </is>
      </c>
      <c r="U509" s="3" t="inlineStr">
        <is>
          <t>ACTIVE</t>
        </is>
      </c>
      <c r="V509" s="3" t="inlineStr">
        <is>
          <t>2026-08-27</t>
        </is>
      </c>
      <c r="W509" s="3" t="n"/>
      <c r="X509" s="3" t="n"/>
      <c r="Y509" s="3" t="inlineStr">
        <is>
          <t>NOTHING OPEN</t>
        </is>
      </c>
    </row>
    <row r="510" ht="60" customHeight="1">
      <c r="A510" s="3" t="inlineStr">
        <is>
          <t>MK-ST-F-026</t>
        </is>
      </c>
      <c r="B510" s="3" t="inlineStr">
        <is>
          <t>holdingId</t>
        </is>
      </c>
      <c r="C510" s="3" t="inlineStr">
        <is>
          <t>Calculation Module code/engines/snapshots.ts</t>
        </is>
      </c>
      <c r="D510" s="3" t="n">
        <v>81</v>
      </c>
      <c r="E510" s="3" t="inlineStr">
        <is>
          <t>1 · ACTION</t>
        </is>
      </c>
      <c r="F510" s="3" t="inlineStr">
        <is>
          <t>NOT DETERMINED — the code carries no note saying what this is for, and it has no row in the old inventory. Needs reading.</t>
        </is>
      </c>
      <c r="G510" s="11" t="inlineStr">
        <is>
          <t>the answer = date | account id | security key</t>
        </is>
      </c>
      <c r="H510" s="3" t="inlineStr">
        <is>
          <t>The identity of one holding snapshot: its date, account and security, joined with vertical bars. No arithmetic.</t>
        </is>
      </c>
      <c r="I510" s="3" t="inlineStr">
        <is>
          <t>READ BY HAND 2026-08-26 — checked line by line against the code</t>
        </is>
      </c>
      <c r="J510" s="3" t="inlineStr">
        <is>
          <t>s: Pick&lt;HoldingSnapshot, 'date' | 'accountId' | 'securityKey'&gt;</t>
        </is>
      </c>
      <c r="K510" s="3" t="inlineStr">
        <is>
          <t>string</t>
        </is>
      </c>
      <c r="L510" s="3" t="inlineStr">
        <is>
          <t>—</t>
        </is>
      </c>
      <c r="M510" s="3" t="inlineStr">
        <is>
          <t>None found in this function — anything it assumes comes from the functions it depends on.</t>
        </is>
      </c>
      <c r="N510" s="3" t="inlineStr">
        <is>
          <t>No</t>
        </is>
      </c>
      <c r="O510" s="3" t="inlineStr">
        <is>
          <t>—</t>
        </is>
      </c>
      <c r="P510" s="3" t="n">
        <v>0</v>
      </c>
      <c r="Q510" s="3" t="inlineStr">
        <is>
          <t>None — no dependent function stands behind it</t>
        </is>
      </c>
      <c r="R510" s="3" t="inlineStr">
        <is>
          <t>No dependent function — it reads its inputs and answers</t>
        </is>
      </c>
      <c r="S510" s="3" t="inlineStr">
        <is>
          <t>—</t>
        </is>
      </c>
      <c r="T510" s="3" t="inlineStr">
        <is>
          <t>—</t>
        </is>
      </c>
      <c r="U510" s="3" t="inlineStr">
        <is>
          <t>ACTIVE</t>
        </is>
      </c>
      <c r="V510" s="3" t="inlineStr">
        <is>
          <t>2026-09-12</t>
        </is>
      </c>
      <c r="W510" s="3" t="n"/>
      <c r="X510" s="3" t="n"/>
      <c r="Y510" s="3" t="inlineStr">
        <is>
          <t>NOTHING OPEN</t>
        </is>
      </c>
    </row>
    <row r="511" ht="60" customHeight="1">
      <c r="A511" s="3" t="inlineStr">
        <is>
          <t>MK-ST-F-027</t>
        </is>
      </c>
      <c r="B511" s="3" t="inlineStr">
        <is>
          <t>accountId</t>
        </is>
      </c>
      <c r="C511" s="3" t="inlineStr">
        <is>
          <t>Calculation Module code/engines/snapshots.ts</t>
        </is>
      </c>
      <c r="D511" s="3" t="n">
        <v>120</v>
      </c>
      <c r="E511" s="3" t="inlineStr">
        <is>
          <t>1 · ACTION</t>
        </is>
      </c>
      <c r="F511" s="3" t="inlineStr">
        <is>
          <t>NOT DETERMINED — the code carries no note saying what this is for, and it has no row in the old inventory. Needs reading.</t>
        </is>
      </c>
      <c r="G511" s="11" t="inlineStr">
        <is>
          <t>the answer = date | account id</t>
        </is>
      </c>
      <c r="H511" s="3" t="inlineStr">
        <is>
          <t>The identity of one account snapshot: its date and account, joined with a vertical bar. No arithmetic.</t>
        </is>
      </c>
      <c r="I511" s="3" t="inlineStr">
        <is>
          <t>READ BY HAND 2026-08-26 — checked line by line against the code</t>
        </is>
      </c>
      <c r="J511" s="3" t="inlineStr">
        <is>
          <t>s: Pick&lt;AccountSnapshot, 'date' | 'accountId'&gt;</t>
        </is>
      </c>
      <c r="K511" s="3" t="inlineStr">
        <is>
          <t>string</t>
        </is>
      </c>
      <c r="L511" s="3" t="inlineStr">
        <is>
          <t>—</t>
        </is>
      </c>
      <c r="M511" s="3" t="inlineStr">
        <is>
          <t>None found in this function — anything it assumes comes from the functions it depends on.</t>
        </is>
      </c>
      <c r="N511" s="3" t="inlineStr">
        <is>
          <t>No</t>
        </is>
      </c>
      <c r="O511" s="3" t="inlineStr">
        <is>
          <t>—</t>
        </is>
      </c>
      <c r="P511" s="3" t="n">
        <v>0</v>
      </c>
      <c r="Q511" s="3" t="inlineStr">
        <is>
          <t>None — no dependent function stands behind it</t>
        </is>
      </c>
      <c r="R511" s="3" t="inlineStr">
        <is>
          <t>No dependent function — it reads its inputs and answers</t>
        </is>
      </c>
      <c r="S511" s="3" t="inlineStr">
        <is>
          <t>—</t>
        </is>
      </c>
      <c r="T511" s="3" t="inlineStr">
        <is>
          <t>—</t>
        </is>
      </c>
      <c r="U511" s="3" t="inlineStr">
        <is>
          <t>ACTIVE</t>
        </is>
      </c>
      <c r="V511" s="3" t="inlineStr">
        <is>
          <t>2026-09-12</t>
        </is>
      </c>
      <c r="W511" s="3" t="n"/>
      <c r="X511" s="3" t="n"/>
      <c r="Y511" s="3" t="inlineStr">
        <is>
          <t>NOTHING OPEN</t>
        </is>
      </c>
    </row>
    <row r="512" ht="60" customHeight="1">
      <c r="A512" s="3" t="inlineStr">
        <is>
          <t>MK-ST-F-028</t>
        </is>
      </c>
      <c r="B512" s="3" t="inlineStr">
        <is>
          <t>buildDayFromAccounts</t>
        </is>
      </c>
      <c r="C512" s="3" t="inlineStr">
        <is>
          <t>Calculation Module code/engines/snapshots.ts</t>
        </is>
      </c>
      <c r="D512" s="3" t="n">
        <v>194</v>
      </c>
      <c r="E512" s="3" t="inlineStr">
        <is>
          <t>3 · DEPENDENT</t>
        </is>
      </c>
      <c r="F512" s="3" t="inlineStr">
        <is>
          <t>Today's SnapshotDay, observed from the live account state.</t>
        </is>
      </c>
      <c r="G512"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512"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512" s="3" t="inlineStr">
        <is>
          <t>READ FROM THE CODE — rendered from the expressions the function runs</t>
        </is>
      </c>
      <c r="J512" s="3" t="inlineStr">
        <is>
          <t>1. accounts: AccountLike[]
2. date: string
3. writtenAt: string</t>
        </is>
      </c>
      <c r="K512" s="3" t="inlineStr">
        <is>
          <t>SnapshotDay</t>
        </is>
      </c>
      <c r="L512" s="3" t="inlineStr">
        <is>
          <t>—</t>
        </is>
      </c>
      <c r="M512"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512" s="3" t="inlineStr">
        <is>
          <t>Yes</t>
        </is>
      </c>
      <c r="O512" s="3" t="inlineStr">
        <is>
          <t>—</t>
        </is>
      </c>
      <c r="P512" s="3" t="n">
        <v>0</v>
      </c>
      <c r="Q512" s="3" t="inlineStr">
        <is>
          <t>None — no dependent function stands behind it</t>
        </is>
      </c>
      <c r="R512" s="3" t="inlineStr">
        <is>
          <t>No dependent function — it reads its inputs and answers</t>
        </is>
      </c>
      <c r="S512" s="3" t="inlineStr">
        <is>
          <t>—</t>
        </is>
      </c>
      <c r="T512" s="3" t="inlineStr">
        <is>
          <t>—</t>
        </is>
      </c>
      <c r="U512" s="3" t="inlineStr">
        <is>
          <t>ACTIVE</t>
        </is>
      </c>
      <c r="V512" s="3" t="inlineStr">
        <is>
          <t>2026-09-12</t>
        </is>
      </c>
      <c r="W512" s="3" t="n"/>
      <c r="X512" s="3" t="n"/>
      <c r="Y512" s="3" t="inlineStr">
        <is>
          <t>NOTHING OPEN</t>
        </is>
      </c>
    </row>
    <row r="513" ht="60" customHeight="1">
      <c r="A513" s="3" t="inlineStr">
        <is>
          <t>MK-ST-F-029</t>
        </is>
      </c>
      <c r="B513" s="3" t="inlineStr">
        <is>
          <t>prune</t>
        </is>
      </c>
      <c r="C513" s="3" t="inlineStr">
        <is>
          <t>Calculation Module code/engines/snapshots.ts</t>
        </is>
      </c>
      <c r="D513" s="3" t="n">
        <v>328</v>
      </c>
      <c r="E513" s="3" t="inlineStr">
        <is>
          <t>3 · DEPENDENT (feeds an action only)</t>
        </is>
      </c>
      <c r="F513" s="3" t="inlineStr">
        <is>
          <t>Which days survive.</t>
        </is>
      </c>
      <c r="G513" s="11" t="inlineStr">
        <is>
          <t>cutoff key = daily window start(today)
all = a list with no repeats of for each of days: date
the answer = days where date ≥ cutoff key (or is month end(date, all) when missing or zero)</t>
        </is>
      </c>
      <c r="H513" s="3" t="inlineStr">
        <is>
          <t>Cutoff key is daily window start(today). All is a list with no repeats of for each of days: date. The answer is days where date is at least cutoff key (or is month end(date, all) — when missing or zero).</t>
        </is>
      </c>
      <c r="I513" s="3" t="inlineStr">
        <is>
          <t>READ FROM THE CODE — rendered from the expressions the function runs</t>
        </is>
      </c>
      <c r="J513" s="3" t="inlineStr">
        <is>
          <t>1. days: SnapshotDay[]
2. today: string</t>
        </is>
      </c>
      <c r="K513" s="3" t="inlineStr">
        <is>
          <t>SnapshotDay[]</t>
        </is>
      </c>
      <c r="L513" s="3" t="inlineStr">
        <is>
          <t>—</t>
        </is>
      </c>
      <c r="M513" s="3" t="inlineStr">
        <is>
          <t>None found in this function — anything it assumes comes from the functions it depends on.</t>
        </is>
      </c>
      <c r="N513" s="3" t="inlineStr">
        <is>
          <t>No</t>
        </is>
      </c>
      <c r="O513" s="3" t="inlineStr">
        <is>
          <t>1. MK-ST-F-079 dailyWindowStart
2. MK-ST-F-061 isMonthEnd
3. MK-CF-F-132 map</t>
        </is>
      </c>
      <c r="P513" s="3" t="n">
        <v>4</v>
      </c>
      <c r="Q513" s="3" t="inlineStr">
        <is>
          <t>1. MK-ST-F-079 dailyWindowStart
2. MK-ST-F-061 isMonthEnd
3. MK-CF-F-132 map
4. MK-ST-F-056 has</t>
        </is>
      </c>
      <c r="R513" s="3" t="inlineStr">
        <is>
          <t>1. MK-ST-F-079 dailyWindowStart → MK-ST-F-029 prune
2. MK-ST-F-056 has → MK-ST-F-061 isMonthEnd → MK-ST-F-029 prune
3. MK-CF-F-132 map → MK-ST-F-061 isMonthEnd → MK-ST-F-029 prune
4. MK-CF-F-132 map → MK-ST-F-029 prune</t>
        </is>
      </c>
      <c r="S513" s="3" t="inlineStr">
        <is>
          <t>—</t>
        </is>
      </c>
      <c r="T513" s="3" t="inlineStr">
        <is>
          <t>—</t>
        </is>
      </c>
      <c r="U513" s="3" t="inlineStr">
        <is>
          <t>ACTIVE</t>
        </is>
      </c>
      <c r="V513" s="3" t="inlineStr">
        <is>
          <t>2026-10-03</t>
        </is>
      </c>
      <c r="W513" s="3" t="n"/>
      <c r="X513" s="3" t="n"/>
      <c r="Y513" s="3" t="inlineStr">
        <is>
          <t>NOTHING OPEN</t>
        </is>
      </c>
    </row>
    <row r="514" ht="45" customHeight="1">
      <c r="A514" s="3" t="inlineStr">
        <is>
          <t>MK-ST-F-030</t>
        </is>
      </c>
      <c r="B514" s="3" t="inlineStr">
        <is>
          <t>record</t>
        </is>
      </c>
      <c r="C514" s="3" t="inlineStr">
        <is>
          <t>Calculation Module code/engines/snapshots.ts</t>
        </is>
      </c>
      <c r="D514" s="3" t="n">
        <v>371</v>
      </c>
      <c r="E514" s="3" t="inlineStr">
        <is>
          <t>2 · DISPLAYED</t>
        </is>
      </c>
      <c r="F514" s="3" t="inlineStr">
        <is>
          <t>── writing ───────────────────────────────────────────────────────────────────────────────────── Add a day.</t>
        </is>
      </c>
      <c r="G514" s="11" t="inlineStr">
        <is>
          <t>rest = days where date ! = day.date
the answer = [...rest, day].sort((a, b) =&gt; date.locale compare(date))</t>
        </is>
      </c>
      <c r="H514" s="3" t="inlineStr">
        <is>
          <t>Rest is days where date ! = day.date. The answer is [...rest, day].sort((a, b) =&gt; date.locale compare(date)).</t>
        </is>
      </c>
      <c r="I514" s="3" t="inlineStr">
        <is>
          <t>PARTLY READ — some of the code is still showing through; needs a hand pass</t>
        </is>
      </c>
      <c r="J514" s="3" t="inlineStr">
        <is>
          <t>1. days: SnapshotDay[]
2. day: SnapshotDay</t>
        </is>
      </c>
      <c r="K514" s="3" t="inlineStr">
        <is>
          <t>SnapshotDay[]</t>
        </is>
      </c>
      <c r="L514" s="3" t="inlineStr">
        <is>
          <t>NOT FOUND — a screen calls it, but the words printed beside its answer could not be traced automatically. Needs reading.</t>
        </is>
      </c>
      <c r="M514" s="3" t="inlineStr">
        <is>
          <t>None found in this function — anything it assumes comes from the functions it depends on.</t>
        </is>
      </c>
      <c r="N514" s="3" t="inlineStr">
        <is>
          <t>Yes</t>
        </is>
      </c>
      <c r="O514" s="3" t="inlineStr">
        <is>
          <t>—</t>
        </is>
      </c>
      <c r="P514" s="3" t="n">
        <v>0</v>
      </c>
      <c r="Q514" s="3" t="inlineStr">
        <is>
          <t>None — no dependent function stands behind it</t>
        </is>
      </c>
      <c r="R514" s="3" t="inlineStr">
        <is>
          <t>No dependent function — it reads its inputs and answers</t>
        </is>
      </c>
      <c r="S514" s="3" t="inlineStr">
        <is>
          <t>—</t>
        </is>
      </c>
      <c r="T514" s="3" t="inlineStr">
        <is>
          <t>—</t>
        </is>
      </c>
      <c r="U514" s="3" t="inlineStr">
        <is>
          <t>ACTIVE</t>
        </is>
      </c>
      <c r="V514" s="3" t="inlineStr">
        <is>
          <t>2026-09-25</t>
        </is>
      </c>
      <c r="W514" s="3" t="n"/>
      <c r="X514" s="3" t="n"/>
      <c r="Y514" s="3" t="inlineStr">
        <is>
          <t>NOTHING OPEN</t>
        </is>
      </c>
    </row>
    <row r="515" ht="60" customHeight="1">
      <c r="A515" s="3" t="inlineStr">
        <is>
          <t>MK-ST-F-031</t>
        </is>
      </c>
      <c r="B515" s="3" t="inlineStr">
        <is>
          <t>valueOn</t>
        </is>
      </c>
      <c r="C515" s="3" t="inlineStr">
        <is>
          <t>Calculation Module code/engines/snapshots.ts</t>
        </is>
      </c>
      <c r="D515" s="3" t="n">
        <v>413</v>
      </c>
      <c r="E515" s="3" t="inlineStr">
        <is>
          <t>2 · DISPLAYED</t>
        </is>
      </c>
      <c r="F515" s="3" t="inlineStr">
        <is>
          <t>── reading ───────────────────────────────────────────────────────────────────────────────────── What one account was worth on a date — the figure the old code had to back-solve.</t>
        </is>
      </c>
      <c r="G515" s="11" t="inlineStr">
        <is>
          <t>day = on or before(days, date)
nothing   when day is missing
in set = (id: string) =&gt; account ids.size = 0 (or account ids.has(id) when missing or zero)
each = account values on(day, in set)
nothing   when each.size = 0
total = 0; for (const v of each.values()) total += v
[LOOP — the answer is found inside a loop the extractor cannot render; the steps above are the ones before it. Read by hand.]</t>
        </is>
      </c>
      <c r="H515" s="3" t="inlineStr">
        <is>
          <t>Day is on or before(days, date). When day is missing, it answers no answer. In set is (id: string) =&gt; account ids.size = 0 (or account ids.has(id) — when missing or zero). Each is account values on(day, in set). When each.size = 0, it answers no answer. Total is 0; for (const v of each.values()) total += v. The answer is total. The answer is found inside a loop that cannot be rendered here; read the code by hand.</t>
        </is>
      </c>
      <c r="I515" s="3" t="inlineStr">
        <is>
          <t>PARTLY READ — the body has a loop the extractor cannot render; the steps shown are the ones before it. Needs a hand pass (G23).</t>
        </is>
      </c>
      <c r="J515" s="3" t="inlineStr">
        <is>
          <t>1. days: SnapshotDay[]
2. accountIds: Set&lt;string&gt;
3. date: string</t>
        </is>
      </c>
      <c r="K515" s="3" t="inlineStr">
        <is>
          <t>number | null</t>
        </is>
      </c>
      <c r="L515" s="3" t="inlineStr">
        <is>
          <t>NOT FOUND — a screen calls it, but the words printed beside its answer could not be traced automatically. Needs reading.</t>
        </is>
      </c>
      <c r="M515" s="3" t="inlineStr">
        <is>
          <t>· Uses a built-in total of 0.</t>
        </is>
      </c>
      <c r="N515" s="3" t="inlineStr">
        <is>
          <t>Yes</t>
        </is>
      </c>
      <c r="O515" s="3" t="inlineStr">
        <is>
          <t>1. MK-ST-F-083 accountValuesOn
2. MK-ST-F-056 has
3. MK-ST-F-033 onOrBefore</t>
        </is>
      </c>
      <c r="P515" s="3" t="n">
        <v>4</v>
      </c>
      <c r="Q515" s="3" t="inlineStr">
        <is>
          <t>1. MK-ST-F-083 accountValuesOn
2. MK-ST-F-056 has
3. MK-ST-F-033 onOrBefore
4. MK-ST-F-027 accountId</t>
        </is>
      </c>
      <c r="R515" s="3" t="inlineStr">
        <is>
          <t>1. MK-ST-F-027 accountId → MK-ST-F-083 accountValuesOn → MK-ST-F-031 valueOn
2. MK-ST-F-056 has → MK-ST-F-083 accountValuesOn → MK-ST-F-031 valueOn
3. MK-ST-F-056 has → MK-ST-F-031 valueOn
4. MK-ST-F-033 onOrBefore → MK-ST-F-031 valueOn</t>
        </is>
      </c>
      <c r="S515" s="3" t="inlineStr">
        <is>
          <t>MK-PF-M-001 · MK-PF-M-004</t>
        </is>
      </c>
      <c r="T515" s="3" t="inlineStr">
        <is>
          <t>—</t>
        </is>
      </c>
      <c r="U515" s="3" t="inlineStr">
        <is>
          <t>ACTIVE</t>
        </is>
      </c>
      <c r="V515" s="3" t="inlineStr">
        <is>
          <t>2026-10-04</t>
        </is>
      </c>
      <c r="W515" s="3" t="n"/>
      <c r="X515" s="3" t="n"/>
      <c r="Y515" s="3" t="inlineStr">
        <is>
          <t>NOTHING OPEN</t>
        </is>
      </c>
    </row>
    <row r="516" ht="60" customHeight="1">
      <c r="A516" s="3" t="inlineStr">
        <is>
          <t>MK-ST-F-032</t>
        </is>
      </c>
      <c r="B516" s="3" t="inlineStr">
        <is>
          <t>unitsOn</t>
        </is>
      </c>
      <c r="C516" s="3" t="inlineStr">
        <is>
          <t>Calculation Module code/engines/snapshots.ts</t>
        </is>
      </c>
      <c r="D516" s="3" t="n">
        <v>497</v>
      </c>
      <c r="E516" s="3" t="inlineStr">
        <is>
          <t>3 · DEPENDENT (feeds an action only)</t>
        </is>
      </c>
      <c r="F516" s="3" t="inlineStr">
        <is>
          <t>How many units of one holding were held on a date — what the trend chart needs and never had.</t>
        </is>
      </c>
      <c r="G516" s="11" t="inlineStr">
        <is>
          <t>day = on or before(days, date)
h = day.holdings.find((x) =&gt; account id = acc id and security key = security key)
the answer:
units   if h
nothing   otherwise</t>
        </is>
      </c>
      <c r="H516" s="3" t="inlineStr">
        <is>
          <t>Day is on or before(days, date). H is day.holdings.find((x) =&gt; account id = acc id and security key = security key). The answer is units — when h; no answer — otherwise.</t>
        </is>
      </c>
      <c r="I516" s="3" t="inlineStr">
        <is>
          <t>PARTLY READ — some of the code is still showing through; needs a hand pass</t>
        </is>
      </c>
      <c r="J516" s="3" t="inlineStr">
        <is>
          <t>1. days: SnapshotDay[]
2. accId: string
3. securityKey: string
4. date: string</t>
        </is>
      </c>
      <c r="K516" s="3" t="inlineStr">
        <is>
          <t>number | null</t>
        </is>
      </c>
      <c r="L516" s="3" t="inlineStr">
        <is>
          <t>—</t>
        </is>
      </c>
      <c r="M516" s="3" t="inlineStr">
        <is>
          <t>None found in this function — anything it assumes comes from the functions it depends on.</t>
        </is>
      </c>
      <c r="N516" s="3" t="inlineStr">
        <is>
          <t>No</t>
        </is>
      </c>
      <c r="O516" s="3" t="inlineStr">
        <is>
          <t>MK-ST-F-033 onOrBefore</t>
        </is>
      </c>
      <c r="P516" s="3" t="n">
        <v>1</v>
      </c>
      <c r="Q516" s="3" t="inlineStr">
        <is>
          <t>MK-ST-F-033 onOrBefore</t>
        </is>
      </c>
      <c r="R516" s="3" t="inlineStr">
        <is>
          <t>MK-ST-F-033 onOrBefore → MK-ST-F-032 unitsOn</t>
        </is>
      </c>
      <c r="S516" s="3" t="inlineStr">
        <is>
          <t>—</t>
        </is>
      </c>
      <c r="T516" s="3" t="inlineStr">
        <is>
          <t>—</t>
        </is>
      </c>
      <c r="U516" s="3" t="inlineStr">
        <is>
          <t>ACTIVE</t>
        </is>
      </c>
      <c r="V516" s="3" t="inlineStr">
        <is>
          <t>2026-08-27</t>
        </is>
      </c>
      <c r="W516" s="3" t="n"/>
      <c r="X516" s="3" t="n"/>
      <c r="Y516" s="3" t="inlineStr">
        <is>
          <t>NOTHING OPEN</t>
        </is>
      </c>
    </row>
    <row r="517" ht="60" customHeight="1">
      <c r="A517" s="3" t="inlineStr">
        <is>
          <t>MK-ST-F-033</t>
        </is>
      </c>
      <c r="B517" s="3" t="inlineStr">
        <is>
          <t>onOrBefore</t>
        </is>
      </c>
      <c r="C517" s="3" t="inlineStr">
        <is>
          <t>Calculation Module code/engines/snapshots.ts</t>
        </is>
      </c>
      <c r="D517" s="3" t="n">
        <v>528</v>
      </c>
      <c r="E517" s="3" t="inlineStr">
        <is>
          <t>3 · DEPENDENT</t>
        </is>
      </c>
      <c r="F517" s="3" t="inlineStr">
        <is>
          <t>The latest day at or before a date, or nothing when the record does not reach back that far.</t>
        </is>
      </c>
      <c r="G517" s="11" t="inlineStr">
        <is>
          <t>best = nothing
[LOOP — the answer is found inside a loop the extractor cannot render; the steps above are the ones before it. Read by hand.]</t>
        </is>
      </c>
      <c r="H517" s="3" t="inlineStr">
        <is>
          <t>Best is no answer. The answer is best. The answer is found inside a loop that cannot be rendered here; read the code by hand.</t>
        </is>
      </c>
      <c r="I517" s="3" t="inlineStr">
        <is>
          <t>PARTLY READ — the body has a loop the extractor cannot render; the steps shown are the ones before it. Needs a hand pass (G23).</t>
        </is>
      </c>
      <c r="J517" s="3" t="inlineStr">
        <is>
          <t>1. days: T[]
2. date: string</t>
        </is>
      </c>
      <c r="K517" s="3" t="inlineStr">
        <is>
          <t>T | null</t>
        </is>
      </c>
      <c r="L517" s="3" t="inlineStr">
        <is>
          <t>—</t>
        </is>
      </c>
      <c r="M517" s="3" t="inlineStr">
        <is>
          <t>None found in this function — anything it assumes comes from the functions it depends on.</t>
        </is>
      </c>
      <c r="N517" s="3" t="inlineStr">
        <is>
          <t>Yes</t>
        </is>
      </c>
      <c r="O517" s="3" t="inlineStr">
        <is>
          <t>—</t>
        </is>
      </c>
      <c r="P517" s="3" t="n">
        <v>0</v>
      </c>
      <c r="Q517" s="3" t="inlineStr">
        <is>
          <t>None — no dependent function stands behind it</t>
        </is>
      </c>
      <c r="R517" s="3" t="inlineStr">
        <is>
          <t>No dependent function — it reads its inputs and answers</t>
        </is>
      </c>
      <c r="S517" s="3" t="inlineStr">
        <is>
          <t>—</t>
        </is>
      </c>
      <c r="T517" s="3" t="inlineStr">
        <is>
          <t>—</t>
        </is>
      </c>
      <c r="U517" s="3" t="inlineStr">
        <is>
          <t>ACTIVE</t>
        </is>
      </c>
      <c r="V517" s="3" t="inlineStr">
        <is>
          <t>2026-09-08</t>
        </is>
      </c>
      <c r="W517" s="3" t="n"/>
      <c r="X517" s="3" t="n"/>
      <c r="Y517" s="3" t="inlineStr">
        <is>
          <t>NOTHING OPEN</t>
        </is>
      </c>
    </row>
    <row r="518" ht="60" customHeight="1">
      <c r="A518" s="3" t="inlineStr">
        <is>
          <t>MK-ST-F-034</t>
        </is>
      </c>
      <c r="B518" s="3" t="inlineStr">
        <is>
          <t>firstDate</t>
        </is>
      </c>
      <c r="C518" s="3" t="inlineStr">
        <is>
          <t>Calculation Module code/engines/snapshots.ts</t>
        </is>
      </c>
      <c r="D518" s="3" t="n">
        <v>565</v>
      </c>
      <c r="E518" s="3" t="inlineStr">
        <is>
          <t>3 · DEPENDENT</t>
        </is>
      </c>
      <c r="F518" s="3" t="inlineStr">
        <is>
          <t>The first date the record covers — so a change figure can say what it is measured FROM, rather than presenting a figure measured from install day as though it covered the year.</t>
        </is>
      </c>
      <c r="G518" s="11" t="inlineStr">
        <is>
          <t>days.reduce((a, b) =&gt; (date &lt; date ? a : b)).date   if count of days
nothing   otherwise</t>
        </is>
      </c>
      <c r="H518" s="3" t="inlineStr">
        <is>
          <t>days.reduce((a, b) =&gt; (date &lt; date ? a : b)).date — when how many days there are; no answer — otherwise.</t>
        </is>
      </c>
      <c r="I518" s="3" t="inlineStr">
        <is>
          <t>PARTLY READ — some of the code is still showing through; needs a hand pass</t>
        </is>
      </c>
      <c r="J518" s="3" t="inlineStr">
        <is>
          <t>days: T[]</t>
        </is>
      </c>
      <c r="K518" s="3" t="inlineStr">
        <is>
          <t>string | null</t>
        </is>
      </c>
      <c r="L518" s="3" t="inlineStr">
        <is>
          <t>—</t>
        </is>
      </c>
      <c r="M518" s="3" t="inlineStr">
        <is>
          <t>None found in this function — anything it assumes comes from the functions it depends on.</t>
        </is>
      </c>
      <c r="N518" s="3" t="inlineStr">
        <is>
          <t>Yes</t>
        </is>
      </c>
      <c r="O518" s="3" t="inlineStr">
        <is>
          <t>—</t>
        </is>
      </c>
      <c r="P518" s="3" t="n">
        <v>0</v>
      </c>
      <c r="Q518" s="3" t="inlineStr">
        <is>
          <t>None — no dependent function stands behind it</t>
        </is>
      </c>
      <c r="R518" s="3" t="inlineStr">
        <is>
          <t>No dependent function — it reads its inputs and answers</t>
        </is>
      </c>
      <c r="S518" s="3" t="inlineStr">
        <is>
          <t>—</t>
        </is>
      </c>
      <c r="T518" s="3" t="inlineStr">
        <is>
          <t>—</t>
        </is>
      </c>
      <c r="U518" s="3" t="inlineStr">
        <is>
          <t>ACTIVE</t>
        </is>
      </c>
      <c r="V518" s="3" t="inlineStr">
        <is>
          <t>2026-08-27</t>
        </is>
      </c>
      <c r="W518" s="3" t="n"/>
      <c r="X518" s="3" t="n"/>
      <c r="Y518" s="3" t="inlineStr">
        <is>
          <t>NOTHING OPEN</t>
        </is>
      </c>
    </row>
    <row r="519" ht="45" customHeight="1">
      <c r="A519" s="3" t="inlineStr">
        <is>
          <t>MK-ST-F-035</t>
        </is>
      </c>
      <c r="B519" s="3" t="inlineStr">
        <is>
          <t>covers</t>
        </is>
      </c>
      <c r="C519" s="3" t="inlineStr">
        <is>
          <t>Calculation Module code/engines/snapshots.ts</t>
        </is>
      </c>
      <c r="D519" s="3" t="n">
        <v>601</v>
      </c>
      <c r="E519" s="3" t="inlineStr">
        <is>
          <t>3 · DEPENDENT (feeds an action only)</t>
        </is>
      </c>
      <c r="F519" s="3" t="inlineStr">
        <is>
          <t>Does the record actually cover this window?</t>
        </is>
      </c>
      <c r="G519" s="11" t="inlineStr">
        <is>
          <t>f = first date(days)
the answer = f ≠ nothing and f ≤ from</t>
        </is>
      </c>
      <c r="H519" s="3" t="inlineStr">
        <is>
          <t>F is first date(days). The answer is f is not no answer and f is at most from.</t>
        </is>
      </c>
      <c r="I519" s="3" t="inlineStr">
        <is>
          <t>READ FROM THE CODE — rendered from the expressions the function runs</t>
        </is>
      </c>
      <c r="J519" s="3" t="inlineStr">
        <is>
          <t>1. days: SnapshotDay[]
2. from: string</t>
        </is>
      </c>
      <c r="K519" s="3" t="inlineStr">
        <is>
          <t>boolean</t>
        </is>
      </c>
      <c r="L519" s="3" t="inlineStr">
        <is>
          <t>—</t>
        </is>
      </c>
      <c r="M519" s="3" t="inlineStr">
        <is>
          <t>None found in this function — anything it assumes comes from the functions it depends on.</t>
        </is>
      </c>
      <c r="N519" s="3" t="inlineStr">
        <is>
          <t>No</t>
        </is>
      </c>
      <c r="O519" s="3" t="inlineStr">
        <is>
          <t>MK-ST-F-034 firstDate</t>
        </is>
      </c>
      <c r="P519" s="3" t="n">
        <v>1</v>
      </c>
      <c r="Q519" s="3" t="inlineStr">
        <is>
          <t>MK-ST-F-034 firstDate</t>
        </is>
      </c>
      <c r="R519" s="3" t="inlineStr">
        <is>
          <t>MK-ST-F-034 firstDate → MK-ST-F-035 covers</t>
        </is>
      </c>
      <c r="S519" s="3" t="inlineStr">
        <is>
          <t>—</t>
        </is>
      </c>
      <c r="T519" s="3" t="inlineStr">
        <is>
          <t>—</t>
        </is>
      </c>
      <c r="U519" s="3" t="inlineStr">
        <is>
          <t>ACTIVE</t>
        </is>
      </c>
      <c r="V519" s="3" t="inlineStr">
        <is>
          <t>2026-08-27</t>
        </is>
      </c>
      <c r="W519" s="3" t="n"/>
      <c r="X519" s="3" t="n"/>
      <c r="Y519" s="3" t="inlineStr">
        <is>
          <t>NOTHING OPEN</t>
        </is>
      </c>
    </row>
    <row r="520" ht="60" customHeight="1">
      <c r="A520" s="3" t="inlineStr">
        <is>
          <t>MK-ST-F-036</t>
        </is>
      </c>
      <c r="B520" s="3" t="inlineStr">
        <is>
          <t>reconcile</t>
        </is>
      </c>
      <c r="C520" s="3" t="inlineStr">
        <is>
          <t>Calculation Module code/engines/snapshots.ts</t>
        </is>
      </c>
      <c r="D520" s="3" t="n">
        <v>645</v>
      </c>
      <c r="E520" s="3" t="inlineStr">
        <is>
          <t>3 · DEPENDENT (feeds an action only)</t>
        </is>
      </c>
      <c r="F520" s="3" t="inlineStr">
        <is>
          <t>── the outside check ─────────────────────────────────────────────────────────────────────────── Our figure against the broker's own stated total.</t>
        </is>
      </c>
      <c r="G520" s="11" t="inlineStr">
        <is>
          <t>theirs = day.accounts.find((a) =&gt; account id = acc id).stated total (or nothing when missing)
the answer:
ours = ours
theirs = theirs
difference = nothing   if theirs = nothing
ours − theirs   otherwise</t>
        </is>
      </c>
      <c r="H520" s="3" t="inlineStr">
        <is>
          <t>Theirs is day.accounts.find((a) =&gt; account id = acc id).stated total (or no answer — when missing). The answer is ours = ours; theirs = theirs; difference is missing — when theirs is missing; ours minus theirs — otherwise.</t>
        </is>
      </c>
      <c r="I520" s="3" t="inlineStr">
        <is>
          <t>PARTLY READ — some of the code is still showing through; needs a hand pass</t>
        </is>
      </c>
      <c r="J520" s="3" t="inlineStr">
        <is>
          <t>1. day: SnapshotDay
2. accId: string</t>
        </is>
      </c>
      <c r="K520" s="3" t="inlineStr">
        <is>
          <t>NOT DECLARED — the code does not say what it gives back</t>
        </is>
      </c>
      <c r="L520" s="3" t="inlineStr">
        <is>
          <t>—</t>
        </is>
      </c>
      <c r="M520" s="3" t="inlineStr">
        <is>
          <t>· If cash is missing it uses 0.</t>
        </is>
      </c>
      <c r="N520" s="3" t="inlineStr">
        <is>
          <t>No</t>
        </is>
      </c>
      <c r="O520" s="3" t="inlineStr">
        <is>
          <t>—</t>
        </is>
      </c>
      <c r="P520" s="3" t="n">
        <v>0</v>
      </c>
      <c r="Q520" s="3" t="inlineStr">
        <is>
          <t>None — no dependent function stands behind it</t>
        </is>
      </c>
      <c r="R520" s="3" t="inlineStr">
        <is>
          <t>No dependent function — it reads its inputs and answers</t>
        </is>
      </c>
      <c r="S520" s="3" t="inlineStr">
        <is>
          <t>—</t>
        </is>
      </c>
      <c r="T520" s="3" t="inlineStr">
        <is>
          <t>—</t>
        </is>
      </c>
      <c r="U520" s="3" t="inlineStr">
        <is>
          <t>ACTIVE</t>
        </is>
      </c>
      <c r="V520" s="3" t="inlineStr">
        <is>
          <t>2026-09-09</t>
        </is>
      </c>
      <c r="W520" s="3" t="n"/>
      <c r="X520" s="3" t="n"/>
      <c r="Y520" s="3" t="inlineStr">
        <is>
          <t>NOTHING OPEN</t>
        </is>
      </c>
    </row>
    <row r="521" ht="60" customHeight="1">
      <c r="A521" s="3" t="inlineStr">
        <is>
          <t>MK-ST-F-037</t>
        </is>
      </c>
      <c r="B521" s="3" t="inlineStr">
        <is>
          <t>pendingUpload</t>
        </is>
      </c>
      <c r="C521" s="3" t="inlineStr">
        <is>
          <t>Calculation Module code/engines/snapshots.ts</t>
        </is>
      </c>
      <c r="D521" s="3" t="n">
        <v>673</v>
      </c>
      <c r="E521" s="3" t="inlineStr">
        <is>
          <t>3 · DEPENDENT (feeds an action only)</t>
        </is>
      </c>
      <c r="F521" s="3" t="inlineStr">
        <is>
          <t>── the later cloud sync ──────────────────────────────────────────────────────────────────────── Everything not yet uploaded, oldest first.</t>
        </is>
      </c>
      <c r="G521" s="11" t="inlineStr">
        <is>
          <t>days where last uploaded is missing (or date &gt; last uploaded when missing or zero)</t>
        </is>
      </c>
      <c r="H521" s="3" t="inlineStr">
        <is>
          <t>days where last uploaded is missing (or date &gt; last uploaded — when missing or zero).</t>
        </is>
      </c>
      <c r="I521" s="3" t="inlineStr">
        <is>
          <t>READ FROM THE CODE — rendered from the expressions the function runs</t>
        </is>
      </c>
      <c r="J521" s="3" t="inlineStr">
        <is>
          <t>1. days: SnapshotDay[]
2. lastUploaded: string | null</t>
        </is>
      </c>
      <c r="K521" s="3" t="inlineStr">
        <is>
          <t>SnapshotDay[]</t>
        </is>
      </c>
      <c r="L521" s="3" t="inlineStr">
        <is>
          <t>—</t>
        </is>
      </c>
      <c r="M521" s="3" t="inlineStr">
        <is>
          <t>None found in this function — anything it assumes comes from the functions it depends on.</t>
        </is>
      </c>
      <c r="N521" s="3" t="inlineStr">
        <is>
          <t>No</t>
        </is>
      </c>
      <c r="O521" s="3" t="inlineStr">
        <is>
          <t>—</t>
        </is>
      </c>
      <c r="P521" s="3" t="n">
        <v>0</v>
      </c>
      <c r="Q521" s="3" t="inlineStr">
        <is>
          <t>None — no dependent function stands behind it</t>
        </is>
      </c>
      <c r="R521" s="3" t="inlineStr">
        <is>
          <t>No dependent function — it reads its inputs and answers</t>
        </is>
      </c>
      <c r="S521" s="3" t="inlineStr">
        <is>
          <t>—</t>
        </is>
      </c>
      <c r="T521" s="3" t="inlineStr">
        <is>
          <t>—</t>
        </is>
      </c>
      <c r="U521" s="3" t="inlineStr">
        <is>
          <t>ACTIVE</t>
        </is>
      </c>
      <c r="V521" s="3" t="inlineStr">
        <is>
          <t>2026-08-27</t>
        </is>
      </c>
      <c r="W521" s="3" t="n"/>
      <c r="X521" s="3" t="n"/>
      <c r="Y521" s="3" t="inlineStr">
        <is>
          <t>NOTHING OPEN</t>
        </is>
      </c>
    </row>
    <row r="522" ht="60" customHeight="1">
      <c r="A522" s="3" t="inlineStr">
        <is>
          <t>MK-ST-F-038</t>
        </is>
      </c>
      <c r="B522" s="3" t="inlineStr">
        <is>
          <t>windowBounds</t>
        </is>
      </c>
      <c r="C522" s="3" t="inlineStr">
        <is>
          <t>Calculation Module code/engines/window-return.ts</t>
        </is>
      </c>
      <c r="D522" s="3" t="n">
        <v>89</v>
      </c>
      <c r="E522" s="3" t="inlineStr">
        <is>
          <t>2 · DISPLAYED</t>
        </is>
      </c>
      <c r="F522" s="3" t="inlineStr">
        <is>
          <t>NOT DETERMINED — the code carries no note saying what this is for, and it has no row in the old inventory. Needs reading.</t>
        </is>
      </c>
      <c r="G522" s="11" t="inlineStr">
        <is>
          <t>beginning as of = the day before the start
days = round((end − start) in days) + 1</t>
        </is>
      </c>
      <c r="H522" s="3" t="inlineStr">
        <is>
          <t>The bounds of a return window: the beginning value is read on the day BEFORE the start, and the window's length counts both boundary days (brief D3, 2026-08-20).</t>
        </is>
      </c>
      <c r="I522" s="3" t="inlineStr">
        <is>
          <t>READ BY HAND 2026-08-26 — checked line by line against the code</t>
        </is>
      </c>
      <c r="J522" s="3" t="inlineStr">
        <is>
          <t>1. start: string
2. end: string</t>
        </is>
      </c>
      <c r="K522" s="3" t="inlineStr">
        <is>
          <t>WindowBounds</t>
        </is>
      </c>
      <c r="L522" s="3" t="inlineStr">
        <is>
          <t>NOT FOUND — a screen calls it, but the words printed beside its answer could not be traced automatically. Needs reading.</t>
        </is>
      </c>
      <c r="M522" s="3" t="inlineStr">
        <is>
          <t>· Rounds the answer to a whole number.</t>
        </is>
      </c>
      <c r="N522" s="3" t="inlineStr">
        <is>
          <t>Yes</t>
        </is>
      </c>
      <c r="O522" s="3" t="inlineStr">
        <is>
          <t>1. MK-ST-F-063 shiftDay
2. MK-ST-F-062 toUtc</t>
        </is>
      </c>
      <c r="P522" s="3" t="n">
        <v>2</v>
      </c>
      <c r="Q522" s="3" t="inlineStr">
        <is>
          <t>1. MK-ST-F-063 shiftDay
2. MK-ST-F-062 toUtc</t>
        </is>
      </c>
      <c r="R522" s="3" t="inlineStr">
        <is>
          <t>1. MK-ST-F-062 toUtc → MK-ST-F-063 shiftDay → MK-ST-F-038 windowBounds
2. MK-ST-F-062 toUtc → MK-ST-F-038 windowBounds</t>
        </is>
      </c>
      <c r="S522" s="3" t="inlineStr">
        <is>
          <t>—</t>
        </is>
      </c>
      <c r="T522" s="3" t="inlineStr">
        <is>
          <t>—</t>
        </is>
      </c>
      <c r="U522" s="3" t="inlineStr">
        <is>
          <t>ACTIVE</t>
        </is>
      </c>
      <c r="V522" s="3" t="inlineStr">
        <is>
          <t>2026-09-12</t>
        </is>
      </c>
      <c r="W522" s="3" t="n"/>
      <c r="X522" s="3" t="n"/>
      <c r="Y522" s="3" t="inlineStr">
        <is>
          <t>NOTHING OPEN</t>
        </is>
      </c>
    </row>
    <row r="523" ht="60" customHeight="1">
      <c r="A523" s="3" t="inlineStr">
        <is>
          <t>MK-ST-F-039</t>
        </is>
      </c>
      <c r="B523" s="3" t="inlineStr">
        <is>
          <t>on</t>
        </is>
      </c>
      <c r="C523" s="3" t="inlineStr">
        <is>
          <t>src/domain/_shared/eventBus.ts</t>
        </is>
      </c>
      <c r="D523" s="3" t="n">
        <v>43</v>
      </c>
      <c r="E523" s="3" t="inlineStr">
        <is>
          <t>2 · DISPLAYED</t>
        </is>
      </c>
      <c r="F523" s="3" t="inlineStr">
        <is>
          <t>NOT DETERMINED — the code carries no note saying what this is for, and it has no row in the old inventory. Needs reading.</t>
        </is>
      </c>
      <c r="G523" s="11" t="inlineStr">
        <is>
          <t>() =&gt; handlers[event type].delete(handler as handler)</t>
        </is>
      </c>
      <c r="H523" s="3" t="inlineStr">
        <is>
          <t>() =&gt; handlers[event type].delete(handler as handler).</t>
        </is>
      </c>
      <c r="I523" s="3" t="inlineStr">
        <is>
          <t>PARTLY READ — some of the code is still showing through; needs a hand pass</t>
        </is>
      </c>
      <c r="J523" s="3" t="inlineStr">
        <is>
          <t>1. eventType: string
2. handler: Handler&lt;T&gt;</t>
        </is>
      </c>
      <c r="K523" s="3" t="inlineStr">
        <is>
          <t>()</t>
        </is>
      </c>
      <c r="L523" s="3" t="inlineStr">
        <is>
          <t>NOT FOUND — a screen calls it, but the words printed beside its answer could not be traced automatically. Needs reading.</t>
        </is>
      </c>
      <c r="M523" s="3" t="inlineStr">
        <is>
          <t>None found in this function — anything it assumes comes from the functions it depends on.</t>
        </is>
      </c>
      <c r="N523" s="3" t="inlineStr">
        <is>
          <t>Yes</t>
        </is>
      </c>
      <c r="O523" s="3" t="inlineStr">
        <is>
          <t>—</t>
        </is>
      </c>
      <c r="P523" s="3" t="n">
        <v>0</v>
      </c>
      <c r="Q523" s="3" t="inlineStr">
        <is>
          <t>None — no dependent function stands behind it</t>
        </is>
      </c>
      <c r="R523" s="3" t="inlineStr">
        <is>
          <t>No dependent function — it reads its inputs and answers</t>
        </is>
      </c>
      <c r="S523" s="3" t="inlineStr">
        <is>
          <t>—</t>
        </is>
      </c>
      <c r="T523" s="3" t="inlineStr">
        <is>
          <t>—</t>
        </is>
      </c>
      <c r="U523" s="3" t="inlineStr">
        <is>
          <t>ACTIVE</t>
        </is>
      </c>
      <c r="V523" s="3" t="inlineStr">
        <is>
          <t>2026-08-27</t>
        </is>
      </c>
      <c r="W523" s="3" t="n"/>
      <c r="X523" s="3" t="n"/>
      <c r="Y523" s="3" t="inlineStr">
        <is>
          <t>NOTHING OPEN</t>
        </is>
      </c>
    </row>
    <row r="524" ht="60" customHeight="1">
      <c r="A524" s="3" t="inlineStr">
        <is>
          <t>MK-ST-F-040</t>
        </is>
      </c>
      <c r="B524" s="3" t="inlineStr">
        <is>
          <t>emit</t>
        </is>
      </c>
      <c r="C524" s="3" t="inlineStr">
        <is>
          <t>src/domain/_shared/eventBus.ts</t>
        </is>
      </c>
      <c r="D524" s="3" t="n">
        <v>68</v>
      </c>
      <c r="E524" s="3" t="inlineStr">
        <is>
          <t>1 · ACTION</t>
        </is>
      </c>
      <c r="F524" s="3" t="inlineStr">
        <is>
          <t>NOT DETERMINED — the code carries no note saying what this is for, and it has no row in the old inventory. Needs reading.</t>
        </is>
      </c>
      <c r="G524" s="11" t="inlineStr">
        <is>
          <t>It records or announces something and returns no figure — no arithmetic of its own.</t>
        </is>
      </c>
      <c r="H524" s="3" t="inlineStr">
        <is>
          <t>It records or announces something and returns no figure — no arithmetic of its own.</t>
        </is>
      </c>
      <c r="I524" s="3" t="inlineStr">
        <is>
          <t>NO ARITHMETIC — there is no formula to state</t>
        </is>
      </c>
      <c r="J524" s="3" t="inlineStr">
        <is>
          <t>1. eventType: string
2. payload: T</t>
        </is>
      </c>
      <c r="K524" s="3" t="inlineStr">
        <is>
          <t>void</t>
        </is>
      </c>
      <c r="L524" s="3" t="inlineStr">
        <is>
          <t>—</t>
        </is>
      </c>
      <c r="M524" s="3" t="inlineStr">
        <is>
          <t>None found in this function — anything it assumes comes from the functions it depends on.</t>
        </is>
      </c>
      <c r="N524" s="3" t="inlineStr">
        <is>
          <t>Yes</t>
        </is>
      </c>
      <c r="O524" s="3" t="inlineStr">
        <is>
          <t>—</t>
        </is>
      </c>
      <c r="P524" s="3" t="n">
        <v>0</v>
      </c>
      <c r="Q524" s="3" t="inlineStr">
        <is>
          <t>None — no dependent function stands behind it</t>
        </is>
      </c>
      <c r="R524" s="3" t="inlineStr">
        <is>
          <t>No dependent function — it reads its inputs and answers</t>
        </is>
      </c>
      <c r="S524" s="3" t="inlineStr">
        <is>
          <t>—</t>
        </is>
      </c>
      <c r="T524" s="3" t="inlineStr">
        <is>
          <t>—</t>
        </is>
      </c>
      <c r="U524" s="3" t="inlineStr">
        <is>
          <t>ACTIVE</t>
        </is>
      </c>
      <c r="V524" s="3" t="inlineStr">
        <is>
          <t>2026-08-27</t>
        </is>
      </c>
      <c r="W524" s="3" t="n"/>
      <c r="X524" s="3" t="n"/>
      <c r="Y524" s="3" t="inlineStr">
        <is>
          <t>NOTHING OPEN</t>
        </is>
      </c>
    </row>
    <row r="525" ht="60" customHeight="1">
      <c r="A525" s="3" t="inlineStr">
        <is>
          <t>MK-ST-F-041</t>
        </is>
      </c>
      <c r="B525" s="3" t="inlineStr">
        <is>
          <t>getUserDoc</t>
        </is>
      </c>
      <c r="C525" s="3" t="inlineStr">
        <is>
          <t>src/domain/_shared/firestore.ts</t>
        </is>
      </c>
      <c r="D525" s="3" t="n">
        <v>27</v>
      </c>
      <c r="E525" s="3" t="inlineStr">
        <is>
          <t>4 · BRINGS DATA IN</t>
        </is>
      </c>
      <c r="F525" s="3" t="inlineStr">
        <is>
          <t>Read a single-document-per-user collection (e.g.</t>
        </is>
      </c>
      <c r="G525" s="11" t="inlineStr">
        <is>
          <t>snap = await get doc(doc(db, collection name, uid))
the answer:
snap.data() as T   if snap.exists()
nothing   otherwise</t>
        </is>
      </c>
      <c r="H525" s="3" t="inlineStr">
        <is>
          <t>Snap is await get doc(doc(db, collection name, uid)). The answer is snap.data() as T — when snap.exists(); no answer — otherwise.</t>
        </is>
      </c>
      <c r="I525" s="3" t="inlineStr">
        <is>
          <t>PARTLY READ — some of the code is still showing through; needs a hand pass</t>
        </is>
      </c>
      <c r="J525" s="3" t="inlineStr">
        <is>
          <t>1. collectionName: string
2. uid: UserId</t>
        </is>
      </c>
      <c r="K525" s="3" t="inlineStr">
        <is>
          <t>Promise&lt;T | null&gt;</t>
        </is>
      </c>
      <c r="L525" s="3" t="inlineStr">
        <is>
          <t>—</t>
        </is>
      </c>
      <c r="M525" s="3" t="inlineStr">
        <is>
          <t>None found in this function — anything it assumes comes from the functions it depends on.</t>
        </is>
      </c>
      <c r="N525" s="3" t="inlineStr">
        <is>
          <t>No</t>
        </is>
      </c>
      <c r="O525" s="3" t="inlineStr">
        <is>
          <t>MK-XS-F-175 uid</t>
        </is>
      </c>
      <c r="P525" s="3" t="n">
        <v>206</v>
      </c>
      <c r="Q525"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525"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525" s="3" t="inlineStr">
        <is>
          <t>—</t>
        </is>
      </c>
      <c r="T525" s="3" t="inlineStr">
        <is>
          <t>—</t>
        </is>
      </c>
      <c r="U525" s="3" t="inlineStr">
        <is>
          <t>ACTIVE</t>
        </is>
      </c>
      <c r="V525" s="3" t="inlineStr">
        <is>
          <t>2026-08-27</t>
        </is>
      </c>
      <c r="W525" s="3" t="n"/>
      <c r="X525" s="3" t="n"/>
      <c r="Y525" s="3" t="inlineStr">
        <is>
          <t>NOTHING OPEN</t>
        </is>
      </c>
    </row>
    <row r="526" ht="60" customHeight="1">
      <c r="A526" s="3" t="inlineStr">
        <is>
          <t>MK-ST-F-042</t>
        </is>
      </c>
      <c r="B526" s="3" t="inlineStr">
        <is>
          <t>setUserDoc</t>
        </is>
      </c>
      <c r="C526" s="3" t="inlineStr">
        <is>
          <t>src/domain/_shared/firestore.ts</t>
        </is>
      </c>
      <c r="D526" s="3" t="n">
        <v>55</v>
      </c>
      <c r="E526" s="3" t="inlineStr">
        <is>
          <t>1 · ACTION</t>
        </is>
      </c>
      <c r="F526" s="3" t="inlineStr">
        <is>
          <t>Write/merge a single-document-per-user collection, stamping last_updated.</t>
        </is>
      </c>
      <c r="G526" s="11" t="inlineStr">
        <is>
          <t>It reaches outside the app for data and hands back what came back — no arithmetic of its own.</t>
        </is>
      </c>
      <c r="H526" s="3" t="inlineStr">
        <is>
          <t>It reaches outside the app for data and hands back what came back — no arithmetic of its own.</t>
        </is>
      </c>
      <c r="I526" s="3" t="inlineStr">
        <is>
          <t>NO ARITHMETIC — there is no formula to state</t>
        </is>
      </c>
      <c r="J526" s="3" t="inlineStr">
        <is>
          <t>1. collectionName: string
2. uid: UserId
3. data: T</t>
        </is>
      </c>
      <c r="K526" s="3" t="inlineStr">
        <is>
          <t>Promise&lt;void&gt;</t>
        </is>
      </c>
      <c r="L526" s="3" t="inlineStr">
        <is>
          <t>—</t>
        </is>
      </c>
      <c r="M526" s="3" t="inlineStr">
        <is>
          <t>None found in this function — anything it assumes comes from the functions it depends on.</t>
        </is>
      </c>
      <c r="N526" s="3" t="inlineStr">
        <is>
          <t>Yes</t>
        </is>
      </c>
      <c r="O526" s="3" t="inlineStr">
        <is>
          <t>MK-XS-F-175 uid</t>
        </is>
      </c>
      <c r="P526" s="3" t="n">
        <v>206</v>
      </c>
      <c r="Q526"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526"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526" s="3" t="inlineStr">
        <is>
          <t>—</t>
        </is>
      </c>
      <c r="T526" s="3" t="inlineStr">
        <is>
          <t>—</t>
        </is>
      </c>
      <c r="U526" s="3" t="inlineStr">
        <is>
          <t>ACTIVE</t>
        </is>
      </c>
      <c r="V526" s="3" t="inlineStr">
        <is>
          <t>2026-08-27</t>
        </is>
      </c>
      <c r="W526" s="3" t="n"/>
      <c r="X526" s="3" t="n"/>
      <c r="Y526" s="3" t="inlineStr">
        <is>
          <t>NOTHING OPEN</t>
        </is>
      </c>
    </row>
    <row r="527" ht="45" customHeight="1">
      <c r="A527" s="3" t="inlineStr">
        <is>
          <t>MK-ST-F-043</t>
        </is>
      </c>
      <c r="B527" s="3" t="inlineStr">
        <is>
          <t>newEntityId</t>
        </is>
      </c>
      <c r="C527" s="3" t="inlineStr">
        <is>
          <t>src/domain/_shared/ids.ts</t>
        </is>
      </c>
      <c r="D527" s="3" t="n">
        <v>40</v>
      </c>
      <c r="E527" s="3" t="inlineStr">
        <is>
          <t>2 · DISPLAYED</t>
        </is>
      </c>
      <c r="F527" s="3" t="inlineStr">
        <is>
          <t>What do we call this new thing?</t>
        </is>
      </c>
      <c r="G527" s="11" t="inlineStr">
        <is>
          <t>`${prefix}_${date.now().to string(36)}${math.random().to string(36).slice(2, 8)}`</t>
        </is>
      </c>
      <c r="H527" s="3" t="inlineStr">
        <is>
          <t>`${prefix}_${date.now().to string(36)}${math.random().to string(36).slice(2, 8)}`.</t>
        </is>
      </c>
      <c r="I527" s="3" t="inlineStr">
        <is>
          <t>PARTLY READ — some of the code is still showing through; needs a hand pass</t>
        </is>
      </c>
      <c r="J527" s="3" t="inlineStr">
        <is>
          <t>prefix: string</t>
        </is>
      </c>
      <c r="K527" s="3" t="inlineStr">
        <is>
          <t>EntityId</t>
        </is>
      </c>
      <c r="L527" s="3" t="inlineStr">
        <is>
          <t>NOT FOUND — a screen calls it, but the words printed beside its answer could not be traced automatically. Needs reading.</t>
        </is>
      </c>
      <c r="M527" s="3" t="inlineStr">
        <is>
          <t>· Uses today's date from the device clock, so the answer changes by itself overnight.</t>
        </is>
      </c>
      <c r="N527" s="3" t="inlineStr">
        <is>
          <t>Yes</t>
        </is>
      </c>
      <c r="O527" s="3" t="inlineStr">
        <is>
          <t>—</t>
        </is>
      </c>
      <c r="P527" s="3" t="n">
        <v>0</v>
      </c>
      <c r="Q527" s="3" t="inlineStr">
        <is>
          <t>None — no dependent function stands behind it</t>
        </is>
      </c>
      <c r="R527" s="3" t="inlineStr">
        <is>
          <t>No dependent function — it reads its inputs and answers</t>
        </is>
      </c>
      <c r="S527" s="3" t="inlineStr">
        <is>
          <t>—</t>
        </is>
      </c>
      <c r="T527" s="3" t="inlineStr">
        <is>
          <t>NEW_ID</t>
        </is>
      </c>
      <c r="U527" s="3" t="inlineStr">
        <is>
          <t>ACTIVE</t>
        </is>
      </c>
      <c r="V527" s="3" t="inlineStr">
        <is>
          <t>2026-08-27</t>
        </is>
      </c>
      <c r="W527" s="3" t="n"/>
      <c r="X527" s="3" t="n"/>
      <c r="Y527" s="3" t="inlineStr">
        <is>
          <t>NOTHING OPEN</t>
        </is>
      </c>
    </row>
    <row r="528" ht="60" customHeight="1">
      <c r="A528" s="3" t="inlineStr">
        <is>
          <t>MK-ST-F-044</t>
        </is>
      </c>
      <c r="B528" s="3" t="inlineStr">
        <is>
          <t>setMoneyFormat</t>
        </is>
      </c>
      <c r="C528" s="3" t="inlineStr">
        <is>
          <t>src/domain/_shared/money.ts</t>
        </is>
      </c>
      <c r="D528" s="3" t="n">
        <v>56</v>
      </c>
      <c r="E528" s="3" t="inlineStr">
        <is>
          <t>1 · ACTION</t>
        </is>
      </c>
      <c r="F528" s="3" t="inlineStr">
        <is>
          <t>NOT DETERMINED — the code carries no note saying what this is for, and it has no row in the old inventory. Needs reading.</t>
        </is>
      </c>
      <c r="G528" s="11" t="inlineStr">
        <is>
          <t>c = CURRENCIES.find((x) =&gt; code = currency)</t>
        </is>
      </c>
      <c r="H528" s="3" t="inlineStr">
        <is>
          <t>C is CURRENCIES.find((x) =&gt; code = currency).</t>
        </is>
      </c>
      <c r="I528" s="3" t="inlineStr">
        <is>
          <t>PARTLY READ — some of the code is still showing through; needs a hand pass</t>
        </is>
      </c>
      <c r="J528" s="3" t="inlineStr">
        <is>
          <t>1. currency?: string | null
2. locale?: string | null</t>
        </is>
      </c>
      <c r="K528" s="3" t="inlineStr">
        <is>
          <t>NOT DECLARED — the code does not say what it gives back</t>
        </is>
      </c>
      <c r="L528" s="3" t="inlineStr">
        <is>
          <t>—</t>
        </is>
      </c>
      <c r="M528" s="3" t="inlineStr">
        <is>
          <t>None found in this function — anything it assumes comes from the functions it depends on.</t>
        </is>
      </c>
      <c r="N528" s="3" t="inlineStr">
        <is>
          <t>Yes</t>
        </is>
      </c>
      <c r="O528" s="3" t="inlineStr">
        <is>
          <t>1. MK-ST-F-053 money
2. MK-ST-F-055 round2</t>
        </is>
      </c>
      <c r="P528" s="3" t="n">
        <v>7</v>
      </c>
      <c r="Q528" s="3" t="inlineStr">
        <is>
          <t>1. MK-ST-F-053 money
2. MK-ST-F-055 round2
3. MK-ST-F-049 formatMoney
4. MK-XS-F-122 n
5. MK-ST-F-048 currencySymbol
6. MK-ST-F-039 on
7. MK-ST-F-047 activeCurrency</t>
        </is>
      </c>
      <c r="R528"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528" s="3" t="inlineStr">
        <is>
          <t>—</t>
        </is>
      </c>
      <c r="T528" s="3" t="inlineStr">
        <is>
          <t>—</t>
        </is>
      </c>
      <c r="U528" s="3" t="inlineStr">
        <is>
          <t>ACTIVE</t>
        </is>
      </c>
      <c r="V528" s="3" t="inlineStr">
        <is>
          <t>2026-08-27</t>
        </is>
      </c>
      <c r="W528" s="3" t="n"/>
      <c r="X528" s="3" t="n"/>
      <c r="Y528" s="3" t="inlineStr">
        <is>
          <t>NOTHING OPEN</t>
        </is>
      </c>
    </row>
    <row r="529" ht="60" customHeight="1">
      <c r="A529" s="3" t="inlineStr">
        <is>
          <t>MK-ST-F-045</t>
        </is>
      </c>
      <c r="B529" s="3" t="inlineStr">
        <is>
          <t>setHideBalances</t>
        </is>
      </c>
      <c r="C529" s="3" t="inlineStr">
        <is>
          <t>src/domain/_shared/money.ts</t>
        </is>
      </c>
      <c r="D529" s="3" t="n">
        <v>88</v>
      </c>
      <c r="E529" s="3" t="inlineStr">
        <is>
          <t>1 · ACTION</t>
        </is>
      </c>
      <c r="F529" s="3" t="inlineStr">
        <is>
          <t>NOT DETERMINED — the code carries no note saying what this is for, and it has no row in the old inventory. Needs reading.</t>
        </is>
      </c>
      <c r="G529" s="11" t="inlineStr">
        <is>
          <t>It records or announces something and returns no figure — no arithmetic of its own.</t>
        </is>
      </c>
      <c r="H529" s="3" t="inlineStr">
        <is>
          <t>It records or announces something and returns no figure — no arithmetic of its own.</t>
        </is>
      </c>
      <c r="I529" s="3" t="inlineStr">
        <is>
          <t>NO ARITHMETIC — there is no formula to state</t>
        </is>
      </c>
      <c r="J529" s="3" t="inlineStr">
        <is>
          <t>b: boolean</t>
        </is>
      </c>
      <c r="K529" s="3" t="inlineStr">
        <is>
          <t>NOT DECLARED — the code does not say what it gives back</t>
        </is>
      </c>
      <c r="L529" s="3" t="inlineStr">
        <is>
          <t>—</t>
        </is>
      </c>
      <c r="M529" s="3" t="inlineStr">
        <is>
          <t>None found in this function — anything it assumes comes from the functions it depends on.</t>
        </is>
      </c>
      <c r="N529" s="3" t="inlineStr">
        <is>
          <t>Yes</t>
        </is>
      </c>
      <c r="O529" s="3" t="inlineStr">
        <is>
          <t>—</t>
        </is>
      </c>
      <c r="P529" s="3" t="n">
        <v>0</v>
      </c>
      <c r="Q529" s="3" t="inlineStr">
        <is>
          <t>None — no dependent function stands behind it</t>
        </is>
      </c>
      <c r="R529" s="3" t="inlineStr">
        <is>
          <t>No dependent function — it reads its inputs and answers</t>
        </is>
      </c>
      <c r="S529" s="3" t="inlineStr">
        <is>
          <t>—</t>
        </is>
      </c>
      <c r="T529" s="3" t="inlineStr">
        <is>
          <t>—</t>
        </is>
      </c>
      <c r="U529" s="3" t="inlineStr">
        <is>
          <t>ACTIVE</t>
        </is>
      </c>
      <c r="V529" s="3" t="inlineStr">
        <is>
          <t>2026-08-27</t>
        </is>
      </c>
      <c r="W529" s="3" t="n"/>
      <c r="X529" s="3" t="n"/>
      <c r="Y529" s="3" t="inlineStr">
        <is>
          <t>NOTHING OPEN</t>
        </is>
      </c>
    </row>
    <row r="530" ht="60" customHeight="1">
      <c r="A530" s="3" t="inlineStr">
        <is>
          <t>MK-ST-F-046</t>
        </is>
      </c>
      <c r="B530" s="3" t="inlineStr">
        <is>
          <t>balancesHidden</t>
        </is>
      </c>
      <c r="C530" s="3" t="inlineStr">
        <is>
          <t>src/domain/_shared/money.ts</t>
        </is>
      </c>
      <c r="D530" s="3" t="n">
        <v>104</v>
      </c>
      <c r="E530" s="3" t="inlineStr">
        <is>
          <t>3 · DEPENDENT (feeds an action only)</t>
        </is>
      </c>
      <c r="F530" s="3" t="inlineStr">
        <is>
          <t>NOT DETERMINED — the code carries no note saying what this is for, and it has no row in the old inventory. Needs reading.</t>
        </is>
      </c>
      <c r="G530" s="11" t="inlineStr">
        <is>
          <t>the answer = the hide-balances switch</t>
        </is>
      </c>
      <c r="H530" s="3" t="inlineStr">
        <is>
          <t>Whether the person has hidden balances on screen. No arithmetic.</t>
        </is>
      </c>
      <c r="I530" s="3" t="inlineStr">
        <is>
          <t>READ BY HAND 2026-08-26 — checked line by line against the code</t>
        </is>
      </c>
      <c r="J530" s="3" t="inlineStr">
        <is>
          <t>Nothing is handed to it</t>
        </is>
      </c>
      <c r="K530" s="3" t="inlineStr">
        <is>
          <t>boolean</t>
        </is>
      </c>
      <c r="L530" s="3" t="inlineStr">
        <is>
          <t>—</t>
        </is>
      </c>
      <c r="M530" s="3" t="inlineStr">
        <is>
          <t>None found in this function — anything it assumes comes from the functions it depends on.</t>
        </is>
      </c>
      <c r="N530" s="3" t="inlineStr">
        <is>
          <t>No</t>
        </is>
      </c>
      <c r="O530" s="3" t="inlineStr">
        <is>
          <t>—</t>
        </is>
      </c>
      <c r="P530" s="3" t="n">
        <v>0</v>
      </c>
      <c r="Q530" s="3" t="inlineStr">
        <is>
          <t>None — no dependent function stands behind it</t>
        </is>
      </c>
      <c r="R530" s="3" t="inlineStr">
        <is>
          <t>No dependent function — it reads its inputs and answers</t>
        </is>
      </c>
      <c r="S530" s="3" t="inlineStr">
        <is>
          <t>—</t>
        </is>
      </c>
      <c r="T530" s="3" t="inlineStr">
        <is>
          <t>—</t>
        </is>
      </c>
      <c r="U530" s="3" t="inlineStr">
        <is>
          <t>ACTIVE</t>
        </is>
      </c>
      <c r="V530" s="3" t="inlineStr">
        <is>
          <t>2026-09-12</t>
        </is>
      </c>
      <c r="W530" s="3" t="n"/>
      <c r="X530" s="3" t="n"/>
      <c r="Y530" s="3" t="inlineStr">
        <is>
          <t>NOTHING OPEN</t>
        </is>
      </c>
    </row>
    <row r="531" ht="45" customHeight="1">
      <c r="A531" s="3" t="inlineStr">
        <is>
          <t>MK-ST-F-047</t>
        </is>
      </c>
      <c r="B531" s="3" t="inlineStr">
        <is>
          <t>activeCurrency</t>
        </is>
      </c>
      <c r="C531" s="3" t="inlineStr">
        <is>
          <t>src/domain/_shared/money.ts</t>
        </is>
      </c>
      <c r="D531" s="3" t="n">
        <v>133</v>
      </c>
      <c r="E531" s="3" t="inlineStr">
        <is>
          <t>3 · DEPENDENT</t>
        </is>
      </c>
      <c r="F531" s="3" t="inlineStr">
        <is>
          <t>Which currency is the app showing?</t>
        </is>
      </c>
      <c r="G531" s="11" t="inlineStr">
        <is>
          <t>the first of CURRENCIES.find((c) =&gt; code = code) (or CURRENCIES when missing)</t>
        </is>
      </c>
      <c r="H531" s="3" t="inlineStr">
        <is>
          <t>the first of CURRENCIES.find((c) =&gt; code = code) (or CURRENCIES — when missing).</t>
        </is>
      </c>
      <c r="I531" s="3" t="inlineStr">
        <is>
          <t>PARTLY READ — some of the code is still showing through; needs a hand pass</t>
        </is>
      </c>
      <c r="J531" s="3" t="inlineStr">
        <is>
          <t>Nothing is handed to it</t>
        </is>
      </c>
      <c r="K531" s="3" t="inlineStr">
        <is>
          <t>Currency</t>
        </is>
      </c>
      <c r="L531" s="3" t="inlineStr">
        <is>
          <t>—</t>
        </is>
      </c>
      <c r="M531" s="3" t="inlineStr">
        <is>
          <t>None found in this function — anything it assumes comes from the functions it depends on.</t>
        </is>
      </c>
      <c r="N531" s="3" t="inlineStr">
        <is>
          <t>Yes</t>
        </is>
      </c>
      <c r="O531" s="3" t="inlineStr">
        <is>
          <t>—</t>
        </is>
      </c>
      <c r="P531" s="3" t="n">
        <v>0</v>
      </c>
      <c r="Q531" s="3" t="inlineStr">
        <is>
          <t>None — no dependent function stands behind it</t>
        </is>
      </c>
      <c r="R531" s="3" t="inlineStr">
        <is>
          <t>No dependent function — it reads its inputs and answers</t>
        </is>
      </c>
      <c r="S531" s="3" t="inlineStr">
        <is>
          <t>—</t>
        </is>
      </c>
      <c r="T531" s="3" t="inlineStr">
        <is>
          <t>CURRENCY</t>
        </is>
      </c>
      <c r="U531" s="3" t="inlineStr">
        <is>
          <t>ACTIVE</t>
        </is>
      </c>
      <c r="V531" s="3" t="inlineStr">
        <is>
          <t>2026-08-27</t>
        </is>
      </c>
      <c r="W531" s="3" t="n"/>
      <c r="X531" s="3" t="n"/>
      <c r="Y531" s="3" t="inlineStr">
        <is>
          <t>NOTHING OPEN</t>
        </is>
      </c>
    </row>
    <row r="532" ht="60" customHeight="1">
      <c r="A532" s="3" t="inlineStr">
        <is>
          <t>MK-ST-F-048</t>
        </is>
      </c>
      <c r="B532" s="3" t="inlineStr">
        <is>
          <t>currencySymbol</t>
        </is>
      </c>
      <c r="C532" s="3" t="inlineStr">
        <is>
          <t>src/domain/_shared/money.ts</t>
        </is>
      </c>
      <c r="D532" s="3" t="n">
        <v>164</v>
      </c>
      <c r="E532" s="3" t="inlineStr">
        <is>
          <t>2 · DISPLAYED</t>
        </is>
      </c>
      <c r="F532" s="3" t="inlineStr">
        <is>
          <t>NOT DETERMINED — the code carries no note saying what this is for, and it has no row in the old inventory. Needs reading.</t>
        </is>
      </c>
      <c r="G532" s="11" t="inlineStr">
        <is>
          <t>active currency().symbol</t>
        </is>
      </c>
      <c r="H532" s="3" t="inlineStr">
        <is>
          <t>active currency().symbol.</t>
        </is>
      </c>
      <c r="I532" s="3" t="inlineStr">
        <is>
          <t>PARTLY READ — some of the code is still showing through; needs a hand pass</t>
        </is>
      </c>
      <c r="J532" s="3" t="inlineStr">
        <is>
          <t>Nothing is handed to it</t>
        </is>
      </c>
      <c r="K532" s="3" t="inlineStr">
        <is>
          <t>string</t>
        </is>
      </c>
      <c r="L532"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532" s="3" t="inlineStr">
        <is>
          <t>None found in this function — anything it assumes comes from the functions it depends on.</t>
        </is>
      </c>
      <c r="N532" s="3" t="inlineStr">
        <is>
          <t>Yes</t>
        </is>
      </c>
      <c r="O532" s="3" t="inlineStr">
        <is>
          <t>MK-ST-F-047 activeCurrency</t>
        </is>
      </c>
      <c r="P532" s="3" t="n">
        <v>1</v>
      </c>
      <c r="Q532" s="3" t="inlineStr">
        <is>
          <t>MK-ST-F-047 activeCurrency</t>
        </is>
      </c>
      <c r="R532" s="3" t="inlineStr">
        <is>
          <t>MK-ST-F-047 activeCurrency → MK-ST-F-048 currencySymbol</t>
        </is>
      </c>
      <c r="S532" s="3" t="inlineStr">
        <is>
          <t>—</t>
        </is>
      </c>
      <c r="T532" s="3" t="inlineStr">
        <is>
          <t>—</t>
        </is>
      </c>
      <c r="U532" s="3" t="inlineStr">
        <is>
          <t>ACTIVE</t>
        </is>
      </c>
      <c r="V532" s="3" t="inlineStr">
        <is>
          <t>2026-08-27</t>
        </is>
      </c>
      <c r="W532" s="3" t="n"/>
      <c r="X532" s="3" t="n"/>
      <c r="Y532" s="3" t="inlineStr">
        <is>
          <t>NOTHING OPEN</t>
        </is>
      </c>
    </row>
    <row r="533" ht="60" customHeight="1">
      <c r="A533" s="3" t="inlineStr">
        <is>
          <t>MK-ST-F-049</t>
        </is>
      </c>
      <c r="B533" s="3" t="inlineStr">
        <is>
          <t>formatMoney</t>
        </is>
      </c>
      <c r="C533" s="3" t="inlineStr">
        <is>
          <t>src/domain/_shared/money.ts</t>
        </is>
      </c>
      <c r="D533" s="3" t="n">
        <v>208</v>
      </c>
      <c r="E533" s="3" t="inlineStr">
        <is>
          <t>2 · DISPLAYED</t>
        </is>
      </c>
      <c r="F533" s="3" t="inlineStr">
        <is>
          <t>Full amount, no minor units (matches the app's whole-number money style), locale-grouped.</t>
        </is>
      </c>
      <c r="G533" s="11" t="inlineStr">
        <is>
          <t>BALANCE_MASK   when hide
NOT_A_NUMBER   when !number.is finite(n)
v = round(n)
the answer = new intl.number format(locale, { style: 'currency', currency: code, maximum fraction digits: 0 }).format(v)
neg = '-'   if v &lt; 0
''   otherwise</t>
        </is>
      </c>
      <c r="H533" s="3" t="inlineStr">
        <is>
          <t>When hide, it answers BALANCE_MASK. When !number.is finite(n), it answers NOT_A_NUMBER. V is n, to a whole number. The answer is new intl.number format(locale, { style: 'currency', currency: code, maximum fraction digits: 0 }).format(v). Neg is '-' — when v &lt; 0; '' — otherwise.</t>
        </is>
      </c>
      <c r="I533" s="3" t="inlineStr">
        <is>
          <t>PARTLY READ — some of the code is still showing through; needs a hand pass</t>
        </is>
      </c>
      <c r="J533" s="3" t="inlineStr">
        <is>
          <t>n: number</t>
        </is>
      </c>
      <c r="K533" s="3" t="inlineStr">
        <is>
          <t>string</t>
        </is>
      </c>
      <c r="L533" s="3" t="inlineStr">
        <is>
          <t>NOT FOUND — a screen calls it, but the words printed beside its answer could not be traced automatically. Needs reading.</t>
        </is>
      </c>
      <c r="M533" s="3" t="inlineStr">
        <is>
          <t>· Rounds the answer to a whole number.</t>
        </is>
      </c>
      <c r="N533" s="3" t="inlineStr">
        <is>
          <t>Yes</t>
        </is>
      </c>
      <c r="O533" s="3" t="inlineStr">
        <is>
          <t>1. MK-ST-F-048 currencySymbol
2. MK-XS-F-122 n
3. MK-ST-F-039 on</t>
        </is>
      </c>
      <c r="P533" s="3" t="n">
        <v>4</v>
      </c>
      <c r="Q533" s="3" t="inlineStr">
        <is>
          <t>1. MK-ST-F-048 currencySymbol
2. MK-XS-F-122 n
3. MK-ST-F-039 on
4. MK-ST-F-047 activeCurrency</t>
        </is>
      </c>
      <c r="R533" s="3" t="inlineStr">
        <is>
          <t>1. MK-ST-F-047 activeCurrency → MK-ST-F-048 currencySymbol → MK-ST-F-049 formatMoney
2. MK-XS-F-122 n → MK-ST-F-049 formatMoney
3. MK-ST-F-039 on → MK-ST-F-049 formatMoney</t>
        </is>
      </c>
      <c r="S533" s="3" t="inlineStr">
        <is>
          <t>—</t>
        </is>
      </c>
      <c r="T533" s="3" t="inlineStr">
        <is>
          <t>MONEY_IN_WORDS</t>
        </is>
      </c>
      <c r="U533" s="3" t="inlineStr">
        <is>
          <t>ACTIVE</t>
        </is>
      </c>
      <c r="V533" s="3" t="inlineStr">
        <is>
          <t>2026-08-27</t>
        </is>
      </c>
      <c r="W533" s="3" t="n"/>
      <c r="X533" s="3" t="n"/>
      <c r="Y533" s="3" t="inlineStr">
        <is>
          <t>NOTHING OPEN</t>
        </is>
      </c>
    </row>
    <row r="534" ht="60" customHeight="1">
      <c r="A534" s="3" t="inlineStr">
        <is>
          <t>MK-ST-F-050</t>
        </is>
      </c>
      <c r="B534" s="3" t="inlineStr">
        <is>
          <t>formatMoneyCents</t>
        </is>
      </c>
      <c r="C534" s="3" t="inlineStr">
        <is>
          <t>src/domain/_shared/money.ts</t>
        </is>
      </c>
      <c r="D534" s="3" t="n">
        <v>247</v>
      </c>
      <c r="E534" s="3" t="inlineStr">
        <is>
          <t>3 · DEPENDENT</t>
        </is>
      </c>
      <c r="F534" s="3" t="inlineStr">
        <is>
          <t>Same as formatMoney but keeps 2 decimal places — for precise amounts (transactions, holdings, recurring lines).</t>
        </is>
      </c>
      <c r="G534" s="11" t="inlineStr">
        <is>
          <t>BALANCE_MASK   when hide
NOT_A_NUMBER   when !number.is finite(n)
v = n
the answer = new intl.number format(locale, { style: 'currency', currency: code, minimum fraction digits: 2, maximum fraction digits: 2 }).format(v)
neg = '-'   if v &lt; 0
''   otherwise</t>
        </is>
      </c>
      <c r="H534"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534" s="3" t="inlineStr">
        <is>
          <t>PARTLY READ — some of the code is still showing through; needs a hand pass</t>
        </is>
      </c>
      <c r="J534" s="3" t="inlineStr">
        <is>
          <t>n: number</t>
        </is>
      </c>
      <c r="K534" s="3" t="inlineStr">
        <is>
          <t>string</t>
        </is>
      </c>
      <c r="L534" s="3" t="inlineStr">
        <is>
          <t>—</t>
        </is>
      </c>
      <c r="M534" s="3" t="inlineStr">
        <is>
          <t>None found in this function — anything it assumes comes from the functions it depends on.</t>
        </is>
      </c>
      <c r="N534" s="3" t="inlineStr">
        <is>
          <t>Yes</t>
        </is>
      </c>
      <c r="O534" s="3" t="inlineStr">
        <is>
          <t>1. MK-ST-F-048 currencySymbol
2. MK-XS-F-122 n</t>
        </is>
      </c>
      <c r="P534" s="3" t="n">
        <v>3</v>
      </c>
      <c r="Q534" s="3" t="inlineStr">
        <is>
          <t>1. MK-ST-F-048 currencySymbol
2. MK-XS-F-122 n
3. MK-ST-F-047 activeCurrency</t>
        </is>
      </c>
      <c r="R534" s="3" t="inlineStr">
        <is>
          <t>1. MK-ST-F-047 activeCurrency → MK-ST-F-048 currencySymbol → MK-ST-F-050 formatMoneyCents
2. MK-XS-F-122 n → MK-ST-F-050 formatMoneyCents</t>
        </is>
      </c>
      <c r="S534" s="3" t="inlineStr">
        <is>
          <t>—</t>
        </is>
      </c>
      <c r="T534" s="3" t="inlineStr">
        <is>
          <t>MONEY_IN_WORDS_WITH_CENTS</t>
        </is>
      </c>
      <c r="U534" s="3" t="inlineStr">
        <is>
          <t>ACTIVE</t>
        </is>
      </c>
      <c r="V534" s="3" t="inlineStr">
        <is>
          <t>2026-08-27</t>
        </is>
      </c>
      <c r="W534" s="3" t="n"/>
      <c r="X534" s="3" t="n"/>
      <c r="Y534" s="3" t="inlineStr">
        <is>
          <t>NOTHING OPEN</t>
        </is>
      </c>
    </row>
    <row r="535" ht="60" customHeight="1">
      <c r="A535" s="3" t="inlineStr">
        <is>
          <t>MK-ST-F-051</t>
        </is>
      </c>
      <c r="B535" s="3" t="inlineStr">
        <is>
          <t>moneyCompact</t>
        </is>
      </c>
      <c r="C535" s="3" t="inlineStr">
        <is>
          <t>src/domain/_shared/money.ts</t>
        </is>
      </c>
      <c r="D535" s="3" t="n">
        <v>290</v>
      </c>
      <c r="E535" s="3" t="inlineStr">
        <is>
          <t>2 · DISPLAYED</t>
        </is>
      </c>
      <c r="F535" s="3" t="inlineStr">
        <is>
          <t>Compact form for tight spaces (chart labels, donut center).</t>
        </is>
      </c>
      <c r="G535" s="11" t="inlineStr">
        <is>
          <t>BALANCE_MASK   when hide
s = currency symbol()
neg = '-'   if n &lt; 0
''   otherwise
a = size of(n)
`${neg}${s}${(a ÷ 1e6).to fixed(2).replace( ÷ \.?0+$ ÷ , '')}${style}`   when a ≥ 1e6
`${neg}${s}${math.round(a ÷ 1e3)}K`   when a ≥ 1e3
the answer = `${neg}${s}${math.round(a)}`</t>
        </is>
      </c>
      <c r="H535"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535" s="3" t="inlineStr">
        <is>
          <t>PARTLY READ — some of the code is still showing through; needs a hand pass</t>
        </is>
      </c>
      <c r="J535" s="3" t="inlineStr">
        <is>
          <t>1. n: number
2. style: 'M' | 'MM' = 'MM'</t>
        </is>
      </c>
      <c r="K535" s="3" t="inlineStr">
        <is>
          <t>string</t>
        </is>
      </c>
      <c r="L535"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535" s="3" t="inlineStr">
        <is>
          <t>1. Rounds the answer to a whole number.
2. Shows 2 decimal places.</t>
        </is>
      </c>
      <c r="N535" s="3" t="inlineStr">
        <is>
          <t>Yes</t>
        </is>
      </c>
      <c r="O535" s="3" t="inlineStr">
        <is>
          <t>1. MK-ST-F-048 currencySymbol
2. MK-XS-F-122 n</t>
        </is>
      </c>
      <c r="P535" s="3" t="n">
        <v>3</v>
      </c>
      <c r="Q535" s="3" t="inlineStr">
        <is>
          <t>1. MK-ST-F-048 currencySymbol
2. MK-XS-F-122 n
3. MK-ST-F-047 activeCurrency</t>
        </is>
      </c>
      <c r="R535" s="3" t="inlineStr">
        <is>
          <t>1. MK-ST-F-047 activeCurrency → MK-ST-F-048 currencySymbol → MK-ST-F-051 moneyCompact
2. MK-XS-F-122 n → MK-ST-F-051 moneyCompact</t>
        </is>
      </c>
      <c r="S535" s="3" t="inlineStr">
        <is>
          <t>—</t>
        </is>
      </c>
      <c r="T535" s="3" t="inlineStr">
        <is>
          <t>—</t>
        </is>
      </c>
      <c r="U535" s="3" t="inlineStr">
        <is>
          <t>ACTIVE</t>
        </is>
      </c>
      <c r="V535" s="3" t="inlineStr">
        <is>
          <t>2026-08-27</t>
        </is>
      </c>
      <c r="W535" s="3" t="n"/>
      <c r="X535" s="3" t="n"/>
      <c r="Y535" s="3" t="inlineStr">
        <is>
          <t>NOTHING OPEN</t>
        </is>
      </c>
    </row>
    <row r="536" ht="60" customHeight="1">
      <c r="A536" s="3" t="inlineStr">
        <is>
          <t>MK-ST-F-052</t>
        </is>
      </c>
      <c r="B536" s="3" t="inlineStr">
        <is>
          <t>toNum</t>
        </is>
      </c>
      <c r="C536" s="3" t="inlineStr">
        <is>
          <t>src/domain/_shared/num.ts</t>
        </is>
      </c>
      <c r="D536" s="3" t="n">
        <v>66</v>
      </c>
      <c r="E536" s="3" t="inlineStr">
        <is>
          <t>3 · DEPENDENT</t>
        </is>
      </c>
      <c r="F536" s="3" t="inlineStr">
        <is>
          <t>What number did the person actually type?</t>
        </is>
      </c>
      <c r="G536" s="11" t="inlineStr">
        <is>
          <t>n = parse float(string(v ?? '').replace( ÷ [^0 − 9.\-] ÷ g, ''))
the answer:
n   if number.is finite(n)
0   otherwise</t>
        </is>
      </c>
      <c r="H536" s="3" t="inlineStr">
        <is>
          <t>N is parse float(string(v ?? '').replace( divided by [^0 minus 9.\-] divided by g, '')). The answer is n — when number.is finite(n); 0 — otherwise.</t>
        </is>
      </c>
      <c r="I536" s="3" t="inlineStr">
        <is>
          <t>PARTLY READ — some of the code is still showing through; needs a hand pass</t>
        </is>
      </c>
      <c r="J536" s="3" t="inlineStr">
        <is>
          <t>v: any</t>
        </is>
      </c>
      <c r="K536" s="3" t="inlineStr">
        <is>
          <t>number</t>
        </is>
      </c>
      <c r="L536" s="3" t="inlineStr">
        <is>
          <t>—</t>
        </is>
      </c>
      <c r="M536" s="3" t="inlineStr">
        <is>
          <t>None found in this function — anything it assumes comes from the functions it depends on.</t>
        </is>
      </c>
      <c r="N536" s="3" t="inlineStr">
        <is>
          <t>Yes</t>
        </is>
      </c>
      <c r="O536" s="3" t="inlineStr">
        <is>
          <t>MK-XS-F-122 n</t>
        </is>
      </c>
      <c r="P536" s="3" t="n">
        <v>1</v>
      </c>
      <c r="Q536" s="3" t="inlineStr">
        <is>
          <t>MK-XS-F-122 n</t>
        </is>
      </c>
      <c r="R536" s="3" t="inlineStr">
        <is>
          <t>MK-XS-F-122 n → MK-ST-F-052 toNum</t>
        </is>
      </c>
      <c r="S536" s="3" t="inlineStr">
        <is>
          <t>—</t>
        </is>
      </c>
      <c r="T536" s="3" t="inlineStr">
        <is>
          <t>READ_A_NUMBER</t>
        </is>
      </c>
      <c r="U536" s="3" t="inlineStr">
        <is>
          <t>ACTIVE</t>
        </is>
      </c>
      <c r="V536" s="3" t="inlineStr">
        <is>
          <t>2026-08-27</t>
        </is>
      </c>
      <c r="W536" s="3" t="n"/>
      <c r="X536" s="3" t="n"/>
      <c r="Y536" s="3" t="inlineStr">
        <is>
          <t>NOTHING OPEN</t>
        </is>
      </c>
    </row>
    <row r="537" ht="60" customHeight="1">
      <c r="A537" s="3" t="inlineStr">
        <is>
          <t>MK-ST-F-053</t>
        </is>
      </c>
      <c r="B537" s="3" t="inlineStr">
        <is>
          <t>money</t>
        </is>
      </c>
      <c r="C537" s="3" t="inlineStr">
        <is>
          <t>src/domain/_shared/num.ts</t>
        </is>
      </c>
      <c r="D537" s="3" t="n">
        <v>156</v>
      </c>
      <c r="E537" s="3" t="inlineStr">
        <is>
          <t>1 · ACTION</t>
        </is>
      </c>
      <c r="F537" s="3" t="inlineStr">
        <is>
          <t>Currency/locale-aware (delegates to the active money format; defaults to USD/en-US).</t>
        </is>
      </c>
      <c r="G537" s="11" t="inlineStr">
        <is>
          <t>format money(n)</t>
        </is>
      </c>
      <c r="H537" s="3" t="inlineStr">
        <is>
          <t>format money(n)</t>
        </is>
      </c>
      <c r="I537" s="3" t="inlineStr">
        <is>
          <t>READ FROM THE CODE — rendered from the expressions the function runs</t>
        </is>
      </c>
      <c r="J537" s="3" t="inlineStr">
        <is>
          <t>n: number</t>
        </is>
      </c>
      <c r="K537" s="3" t="inlineStr">
        <is>
          <t>string</t>
        </is>
      </c>
      <c r="L537" s="3" t="inlineStr">
        <is>
          <t>1. "ACCOUNTS (year-end)" — on the Tax organiser screen, under "ACCOUNTS (year-end)"
2. "Add the property first ›" — on the setup questions, which appear on more than one screen
3. "Allocate to this goal ›" — on the Goals screen, under "YOUR GOALS"
4. "Annual vesting cash flow" — on the setup questions, which appear on more than one screen
5. "Annuity / other" — on the setup questions, which appear on more than one screen
6. "Available /year" — on the setup questions, which appear on more than one screen</t>
        </is>
      </c>
      <c r="M537" s="3" t="inlineStr">
        <is>
          <t>None found in this function — anything it assumes comes from the functions it depends on.</t>
        </is>
      </c>
      <c r="N537" s="3" t="inlineStr">
        <is>
          <t>Yes</t>
        </is>
      </c>
      <c r="O537" s="3" t="inlineStr">
        <is>
          <t>1. MK-ST-F-049 formatMoney
2. MK-XS-F-122 n</t>
        </is>
      </c>
      <c r="P537" s="3" t="n">
        <v>5</v>
      </c>
      <c r="Q537" s="3" t="inlineStr">
        <is>
          <t>1. MK-ST-F-049 formatMoney
2. MK-XS-F-122 n
3. MK-ST-F-048 currencySymbol
4. MK-ST-F-039 on
5. MK-ST-F-047 activeCurrency</t>
        </is>
      </c>
      <c r="R537" s="3" t="inlineStr">
        <is>
          <t>1. MK-ST-F-047 activeCurrency → MK-ST-F-048 currencySymbol → MK-ST-F-049 formatMoney → MK-ST-F-053 money
2. MK-XS-F-122 n → MK-ST-F-049 formatMoney → MK-ST-F-053 money
3. MK-ST-F-039 on → MK-ST-F-049 formatMoney → MK-ST-F-053 money
4. MK-XS-F-122 n → MK-ST-F-053 money</t>
        </is>
      </c>
      <c r="S537" s="3" t="inlineStr">
        <is>
          <t>—</t>
        </is>
      </c>
      <c r="T537" s="3" t="inlineStr">
        <is>
          <t>—</t>
        </is>
      </c>
      <c r="U537" s="3" t="inlineStr">
        <is>
          <t>ACTIVE</t>
        </is>
      </c>
      <c r="V537" s="3" t="inlineStr">
        <is>
          <t>2026-08-27</t>
        </is>
      </c>
      <c r="W537" s="3" t="n"/>
      <c r="X537" s="3" t="n"/>
      <c r="Y537" s="3" t="inlineStr">
        <is>
          <t>NOTHING OPEN</t>
        </is>
      </c>
    </row>
    <row r="538" ht="60" customHeight="1">
      <c r="A538" s="3" t="inlineStr">
        <is>
          <t>MK-ST-F-054</t>
        </is>
      </c>
      <c r="B538" s="3" t="inlineStr">
        <is>
          <t>money2</t>
        </is>
      </c>
      <c r="C538" s="3" t="inlineStr">
        <is>
          <t>src/domain/_shared/num.ts</t>
        </is>
      </c>
      <c r="D538" s="3" t="n">
        <v>173</v>
      </c>
      <c r="E538" s="3" t="inlineStr">
        <is>
          <t>1 · ACTION</t>
        </is>
      </c>
      <c r="F538" s="3" t="inlineStr">
        <is>
          <t>Same, but keeps cents — for precise amounts (transactions, holdings).</t>
        </is>
      </c>
      <c r="G538" s="11" t="inlineStr">
        <is>
          <t>format money cents(n)</t>
        </is>
      </c>
      <c r="H538" s="3" t="inlineStr">
        <is>
          <t>format money cents(n)</t>
        </is>
      </c>
      <c r="I538" s="3" t="inlineStr">
        <is>
          <t>READ FROM THE CODE — rendered from the expressions the function runs</t>
        </is>
      </c>
      <c r="J538" s="3" t="inlineStr">
        <is>
          <t>n: number</t>
        </is>
      </c>
      <c r="K538" s="3" t="inlineStr">
        <is>
          <t>string</t>
        </is>
      </c>
      <c r="L538" s="3" t="inlineStr">
        <is>
          <t>1. "Total" — on the Import holdings screen
2. "Value" — on the Import holdings screen, under "REVIEW YOUR HOLDINGS"</t>
        </is>
      </c>
      <c r="M538" s="3" t="inlineStr">
        <is>
          <t>None found in this function — anything it assumes comes from the functions it depends on.</t>
        </is>
      </c>
      <c r="N538" s="3" t="inlineStr">
        <is>
          <t>Yes</t>
        </is>
      </c>
      <c r="O538" s="3" t="inlineStr">
        <is>
          <t>1. MK-ST-F-050 formatMoneyCents
2. MK-XS-F-122 n</t>
        </is>
      </c>
      <c r="P538" s="3" t="n">
        <v>4</v>
      </c>
      <c r="Q538" s="3" t="inlineStr">
        <is>
          <t>1. MK-ST-F-050 formatMoneyCents
2. MK-XS-F-122 n
3. MK-ST-F-048 currencySymbol
4. MK-ST-F-047 activeCurrency</t>
        </is>
      </c>
      <c r="R538" s="3" t="inlineStr">
        <is>
          <t>1. MK-ST-F-047 activeCurrency → MK-ST-F-048 currencySymbol → MK-ST-F-050 formatMoneyCents → MK-ST-F-054 money2
2. MK-XS-F-122 n → MK-ST-F-050 formatMoneyCents → MK-ST-F-054 money2
3. MK-XS-F-122 n → MK-ST-F-054 money2</t>
        </is>
      </c>
      <c r="S538" s="3" t="inlineStr">
        <is>
          <t>—</t>
        </is>
      </c>
      <c r="T538" s="3" t="inlineStr">
        <is>
          <t>—</t>
        </is>
      </c>
      <c r="U538" s="3" t="inlineStr">
        <is>
          <t>ACTIVE</t>
        </is>
      </c>
      <c r="V538" s="3" t="inlineStr">
        <is>
          <t>2026-08-27</t>
        </is>
      </c>
      <c r="W538" s="3" t="n"/>
      <c r="X538" s="3" t="n"/>
      <c r="Y538" s="3" t="inlineStr">
        <is>
          <t>NOTHING OPEN</t>
        </is>
      </c>
    </row>
    <row r="539" ht="60" customHeight="1">
      <c r="A539" s="3" t="inlineStr">
        <is>
          <t>MK-ST-F-055</t>
        </is>
      </c>
      <c r="B539" s="3" t="inlineStr">
        <is>
          <t>round2</t>
        </is>
      </c>
      <c r="C539" s="3" t="inlineStr">
        <is>
          <t>Calculation Module code/engines/money.ts</t>
        </is>
      </c>
      <c r="D539" s="3" t="n">
        <v>217</v>
      </c>
      <c r="E539" s="3" t="inlineStr">
        <is>
          <t>3 · DEPENDENT</t>
        </is>
      </c>
      <c r="F539" s="3" t="inlineStr">
        <is>
          <t>Rounds a money figure to the cent — two decimals.</t>
        </is>
      </c>
      <c r="G539" s="11" t="inlineStr">
        <is>
          <t>round2(n) = round(n × 100) ÷ 100</t>
        </is>
      </c>
      <c r="H539" s="3" t="inlineStr">
        <is>
          <t>Rounds to two decimal places — the cent. The hundred is the rounding scale, nothing to do with percentages or with an option contract being a hundred shares.</t>
        </is>
      </c>
      <c r="I539" s="3" t="inlineStr">
        <is>
          <t>READ BY HAND 2026-08-26 — checked line by line against the code</t>
        </is>
      </c>
      <c r="J539" s="3" t="inlineStr">
        <is>
          <t>n: number</t>
        </is>
      </c>
      <c r="K539" s="3" t="inlineStr">
        <is>
          <t>number</t>
        </is>
      </c>
      <c r="L539" s="3" t="inlineStr">
        <is>
          <t>—</t>
        </is>
      </c>
      <c r="M539" s="3" t="inlineStr">
        <is>
          <t>· Rounds the answer to two decimals (cents).</t>
        </is>
      </c>
      <c r="N539" s="3" t="inlineStr">
        <is>
          <t>Yes</t>
        </is>
      </c>
      <c r="O539" s="3" t="inlineStr">
        <is>
          <t>—</t>
        </is>
      </c>
      <c r="P539" s="3" t="n">
        <v>0</v>
      </c>
      <c r="Q539" s="3" t="inlineStr">
        <is>
          <t>None — no dependent function stands behind it</t>
        </is>
      </c>
      <c r="R539" s="3" t="inlineStr">
        <is>
          <t>No dependent function — it reads its inputs and answers</t>
        </is>
      </c>
      <c r="S539" s="3" t="inlineStr">
        <is>
          <t>—</t>
        </is>
      </c>
      <c r="T539" s="3" t="inlineStr">
        <is>
          <t>—</t>
        </is>
      </c>
      <c r="U539" s="3" t="inlineStr">
        <is>
          <t>ACTIVE</t>
        </is>
      </c>
      <c r="V539" s="3" t="inlineStr">
        <is>
          <t>2026-09-08</t>
        </is>
      </c>
      <c r="W539" s="3" t="inlineStr">
        <is>
          <t>[from MK-NW-M-043, Assumptions; typed A15] does it round to 2 decimals or a whole number? Two contradicting statements.</t>
        </is>
      </c>
      <c r="X539" s="6" t="inlineStr">
        <is>
          <t>Two decimals: round(n × 100) ÷ 100. Both file lines are false (A15, C4); the generator misreads the idiom. Fix the generator and re-extract; the row then reads 'Rounds to two decimals (cents)'. Code right.</t>
        </is>
      </c>
      <c r="Y539" s="6" t="inlineStr">
        <is>
          <t>WAITING ON YOU — answer to read · CODED, NOT TESTED (C4)</t>
        </is>
      </c>
    </row>
    <row r="540" ht="60" customHeight="1">
      <c r="A540" s="3" t="inlineStr">
        <is>
          <t>MK-ST-F-056</t>
        </is>
      </c>
      <c r="B540" s="3" t="inlineStr">
        <is>
          <t>has</t>
        </is>
      </c>
      <c r="C540" s="3" t="inlineStr">
        <is>
          <t>Calculation Module code/engines/classify.ts</t>
        </is>
      </c>
      <c r="D540" s="3" t="n">
        <v>126</v>
      </c>
      <c r="E540" s="3" t="inlineStr">
        <is>
          <t>1 · ACTION</t>
        </is>
      </c>
      <c r="F540" s="3" t="inlineStr">
        <is>
          <t>NOT DETERMINED — the code carries no note saying what this is for, and it has no row in the old inventory. Needs reading.</t>
        </is>
      </c>
      <c r="G540" s="11" t="inlineStr">
        <is>
          <t>re.test(s)</t>
        </is>
      </c>
      <c r="H540" s="3" t="inlineStr">
        <is>
          <t>re.test(s)</t>
        </is>
      </c>
      <c r="I540" s="3" t="inlineStr">
        <is>
          <t>PARTLY READ — some of the code is still showing through; needs a hand pass</t>
        </is>
      </c>
      <c r="J540" s="3" t="inlineStr">
        <is>
          <t>1. s: string
2. re: RegExp</t>
        </is>
      </c>
      <c r="K540" s="3" t="inlineStr">
        <is>
          <t>NOT DECLARED — the code does not say what it gives back</t>
        </is>
      </c>
      <c r="L540" s="3" t="inlineStr">
        <is>
          <t>—</t>
        </is>
      </c>
      <c r="M540" s="3" t="inlineStr">
        <is>
          <t>None found in this function — anything it assumes comes from the functions it depends on.</t>
        </is>
      </c>
      <c r="N540" s="3" t="inlineStr">
        <is>
          <t>Yes</t>
        </is>
      </c>
      <c r="O540" s="3" t="inlineStr">
        <is>
          <t>—</t>
        </is>
      </c>
      <c r="P540" s="3" t="n">
        <v>0</v>
      </c>
      <c r="Q540" s="3" t="inlineStr">
        <is>
          <t>None — no dependent function stands behind it</t>
        </is>
      </c>
      <c r="R540" s="3" t="inlineStr">
        <is>
          <t>No dependent function — it reads its inputs and answers</t>
        </is>
      </c>
      <c r="S540" s="3" t="inlineStr">
        <is>
          <t>—</t>
        </is>
      </c>
      <c r="T540" s="3" t="inlineStr">
        <is>
          <t>—</t>
        </is>
      </c>
      <c r="U540" s="3" t="inlineStr">
        <is>
          <t>ACTIVE</t>
        </is>
      </c>
      <c r="V540" s="3" t="inlineStr">
        <is>
          <t>2026-08-27</t>
        </is>
      </c>
      <c r="W540" s="3" t="n"/>
      <c r="X540" s="3" t="n"/>
      <c r="Y540" s="3" t="inlineStr">
        <is>
          <t>NOTHING OPEN</t>
        </is>
      </c>
    </row>
    <row r="541" ht="60" customHeight="1">
      <c r="A541" s="3" t="inlineStr">
        <is>
          <t>MK-ST-F-057</t>
        </is>
      </c>
      <c r="B541" s="3" t="inlineStr">
        <is>
          <t>divRounded</t>
        </is>
      </c>
      <c r="C541" s="3" t="inlineStr">
        <is>
          <t>Calculation Module code/engines/decimal.ts</t>
        </is>
      </c>
      <c r="D541" s="3" t="n">
        <v>127</v>
      </c>
      <c r="E541" s="3" t="inlineStr">
        <is>
          <t>3 · DEPENDENT (feeds an action only)</t>
        </is>
      </c>
      <c r="F541" s="3" t="inlineStr">
        <is>
          <t>Round-half-even division on bigints.</t>
        </is>
      </c>
      <c r="G541" s="11" t="inlineStr">
        <is>
          <t>negative = (num &lt; 0n) ! = (den &lt; 0n)
n = -num   if num &lt; 0n
-den   if num, d = den &lt; 0n
den   otherwise   otherwise
q = n ÷ d, r = (n % d) × 2n
out = q
the answer:
-out   if negative
out   otherwise</t>
        </is>
      </c>
      <c r="H541" s="3" t="inlineStr">
        <is>
          <t>Negative is (num &lt; 0n) ! = (den &lt; 0n). N is -num — when num &lt; 0n; -den — when num, d = den &lt; 0n; den — otherwise — otherwise. Q is n divided by d, r = (n % d) times 2n. Out is q. The answer is -out — when negative; out — otherwise.</t>
        </is>
      </c>
      <c r="I541" s="3" t="inlineStr">
        <is>
          <t>READ FROM THE CODE — rendered from the expressions the function runs</t>
        </is>
      </c>
      <c r="J541" s="3" t="inlineStr">
        <is>
          <t>1. num: bigint
2. den: bigint</t>
        </is>
      </c>
      <c r="K541" s="3" t="inlineStr">
        <is>
          <t>bigint</t>
        </is>
      </c>
      <c r="L541" s="3" t="inlineStr">
        <is>
          <t>—</t>
        </is>
      </c>
      <c r="M541" s="3" t="inlineStr">
        <is>
          <t>None found in this function — anything it assumes comes from the functions it depends on.</t>
        </is>
      </c>
      <c r="N541" s="3" t="inlineStr">
        <is>
          <t>No</t>
        </is>
      </c>
      <c r="O541" s="3" t="inlineStr">
        <is>
          <t>—</t>
        </is>
      </c>
      <c r="P541" s="3" t="n">
        <v>0</v>
      </c>
      <c r="Q541" s="3" t="inlineStr">
        <is>
          <t>None — no dependent function stands behind it</t>
        </is>
      </c>
      <c r="R541" s="3" t="inlineStr">
        <is>
          <t>No dependent function — it reads its inputs and answers</t>
        </is>
      </c>
      <c r="S541" s="3" t="inlineStr">
        <is>
          <t>—</t>
        </is>
      </c>
      <c r="T541" s="3" t="inlineStr">
        <is>
          <t>—</t>
        </is>
      </c>
      <c r="U541" s="3" t="inlineStr">
        <is>
          <t>ACTIVE</t>
        </is>
      </c>
      <c r="V541" s="3" t="inlineStr">
        <is>
          <t>2026-08-27</t>
        </is>
      </c>
      <c r="W541" s="3" t="n"/>
      <c r="X541" s="3" t="n"/>
      <c r="Y541" s="3" t="inlineStr">
        <is>
          <t>NOTHING OPEN</t>
        </is>
      </c>
    </row>
    <row r="542" ht="60" customHeight="1">
      <c r="A542" s="3" t="inlineStr">
        <is>
          <t>MK-ST-F-058</t>
        </is>
      </c>
      <c r="B542" s="3" t="inlineStr">
        <is>
          <t>numberOrUndefined</t>
        </is>
      </c>
      <c r="C542" s="3" t="inlineStr">
        <is>
          <t>Calculation Module code/engines/ledger.ts</t>
        </is>
      </c>
      <c r="D542" s="3" t="n">
        <v>381</v>
      </c>
      <c r="E542" s="3" t="inlineStr">
        <is>
          <t>3 · DEPENDENT (feeds an action only)</t>
        </is>
      </c>
      <c r="F542" s="3" t="inlineStr">
        <is>
          <t>NOT DETERMINED — the code carries no note saying what this is for, and it has no row in the old inventory. Needs reading.</t>
        </is>
      </c>
      <c r="G542" s="11" t="inlineStr">
        <is>
          <t>n = v   if v is a number
na n   if v = nothing
parse float(string(v).replace( ÷ [$,\s] ÷ g, ''))   otherwise   otherwise
the answer:
n   if number.is finite(n)
undefined   otherwise</t>
        </is>
      </c>
      <c r="H542" s="3" t="inlineStr">
        <is>
          <t>N is v — when v is a number; na n — when v is missing; parse float(string(v).replace( divided by [$,\s] divided by g, '')) — otherwise — otherwise. The answer is n — when number.is finite(n); undefined — otherwise.</t>
        </is>
      </c>
      <c r="I542" s="3" t="inlineStr">
        <is>
          <t>PARTLY READ — some of the code is still showing through; needs a hand pass</t>
        </is>
      </c>
      <c r="J542" s="3" t="inlineStr">
        <is>
          <t>v: unknown</t>
        </is>
      </c>
      <c r="K542" s="3" t="inlineStr">
        <is>
          <t>number | undefined</t>
        </is>
      </c>
      <c r="L542" s="3" t="inlineStr">
        <is>
          <t>—</t>
        </is>
      </c>
      <c r="M542" s="3" t="inlineStr">
        <is>
          <t>None found in this function — anything it assumes comes from the functions it depends on.</t>
        </is>
      </c>
      <c r="N542" s="3" t="inlineStr">
        <is>
          <t>No</t>
        </is>
      </c>
      <c r="O542" s="3" t="inlineStr">
        <is>
          <t>MK-XS-F-122 n</t>
        </is>
      </c>
      <c r="P542" s="3" t="n">
        <v>1</v>
      </c>
      <c r="Q542" s="3" t="inlineStr">
        <is>
          <t>MK-XS-F-122 n</t>
        </is>
      </c>
      <c r="R542" s="3" t="inlineStr">
        <is>
          <t>MK-XS-F-122 n → MK-ST-F-058 numberOrUndefined</t>
        </is>
      </c>
      <c r="S542" s="3" t="inlineStr">
        <is>
          <t>—</t>
        </is>
      </c>
      <c r="T542" s="3" t="inlineStr">
        <is>
          <t>—</t>
        </is>
      </c>
      <c r="U542" s="3" t="inlineStr">
        <is>
          <t>ACTIVE</t>
        </is>
      </c>
      <c r="V542" s="3" t="inlineStr">
        <is>
          <t>2026-08-27</t>
        </is>
      </c>
      <c r="W542" s="3" t="n"/>
      <c r="X542" s="3" t="n"/>
      <c r="Y542" s="3" t="inlineStr">
        <is>
          <t>NOTHING OPEN</t>
        </is>
      </c>
    </row>
    <row r="543" ht="60" customHeight="1">
      <c r="A543" s="3" t="inlineStr">
        <is>
          <t>MK-ST-F-059</t>
        </is>
      </c>
      <c r="B543" s="3" t="inlineStr">
        <is>
          <t>round8</t>
        </is>
      </c>
      <c r="C543" s="3" t="inlineStr">
        <is>
          <t>Calculation Module code/engines/ledger.ts</t>
        </is>
      </c>
      <c r="D543" s="3" t="n">
        <v>403</v>
      </c>
      <c r="E543" s="3" t="inlineStr">
        <is>
          <t>1 · ACTION</t>
        </is>
      </c>
      <c r="F543" s="3" t="inlineStr">
        <is>
          <t>NOT DETERMINED — the code carries no note saying what this is for, and it has no row in the old inventory. Needs reading.</t>
        </is>
      </c>
      <c r="G543" s="11" t="inlineStr">
        <is>
          <t>round(n × 1e8) ÷ 1e8</t>
        </is>
      </c>
      <c r="H543" s="3" t="inlineStr">
        <is>
          <t>n times 1e8, to a whole number divided by 1e8</t>
        </is>
      </c>
      <c r="I543" s="3" t="inlineStr">
        <is>
          <t>READ FROM THE CODE — rendered from the expressions the function runs</t>
        </is>
      </c>
      <c r="J543" s="3" t="inlineStr">
        <is>
          <t>n: number</t>
        </is>
      </c>
      <c r="K543" s="3" t="inlineStr">
        <is>
          <t>NOT DECLARED — the code does not say what it gives back</t>
        </is>
      </c>
      <c r="L543" s="3" t="inlineStr">
        <is>
          <t>—</t>
        </is>
      </c>
      <c r="M543" s="3" t="inlineStr">
        <is>
          <t>· Rounds the answer to 8 decimal places.</t>
        </is>
      </c>
      <c r="N543" s="3" t="inlineStr">
        <is>
          <t>No</t>
        </is>
      </c>
      <c r="O543" s="3" t="inlineStr">
        <is>
          <t>—</t>
        </is>
      </c>
      <c r="P543" s="3" t="n">
        <v>0</v>
      </c>
      <c r="Q543" s="3" t="inlineStr">
        <is>
          <t>None — no dependent function stands behind it</t>
        </is>
      </c>
      <c r="R543" s="3" t="inlineStr">
        <is>
          <t>No dependent function — it reads its inputs and answers</t>
        </is>
      </c>
      <c r="S543" s="3" t="inlineStr">
        <is>
          <t>—</t>
        </is>
      </c>
      <c r="T543" s="3" t="inlineStr">
        <is>
          <t>—</t>
        </is>
      </c>
      <c r="U543" s="3" t="inlineStr">
        <is>
          <t>ACTIVE</t>
        </is>
      </c>
      <c r="V543" s="3" t="inlineStr">
        <is>
          <t>2026-08-27</t>
        </is>
      </c>
      <c r="W543" s="3" t="n"/>
      <c r="X543" s="3" t="n"/>
      <c r="Y543" s="3" t="inlineStr">
        <is>
          <t>NOTHING OPEN</t>
        </is>
      </c>
    </row>
    <row r="544" ht="60" customHeight="1">
      <c r="A544" s="3" t="inlineStr">
        <is>
          <t>MK-ST-F-060</t>
        </is>
      </c>
      <c r="B544" s="3" t="inlineStr">
        <is>
          <t>verdict</t>
        </is>
      </c>
      <c r="C544" s="3" t="inlineStr">
        <is>
          <t>Calculation Module code/engines/reconcile.ts</t>
        </is>
      </c>
      <c r="D544" s="3" t="n">
        <v>50</v>
      </c>
      <c r="E544" s="3" t="inlineStr">
        <is>
          <t>2 · DISPLAYED</t>
        </is>
      </c>
      <c r="F544" s="3" t="inlineStr">
        <is>
          <t>NOT DETERMINED — the code carries no note saying what this is for, and it has no row in the old inventory. Needs reading.</t>
        </is>
      </c>
      <c r="G544" s="11" t="inlineStr">
        <is>
          <t>difference = computed.sub(stated)</t>
        </is>
      </c>
      <c r="H544" s="3" t="inlineStr">
        <is>
          <t>Difference is computed.sub(stated).</t>
        </is>
      </c>
      <c r="I544" s="3" t="inlineStr">
        <is>
          <t>PARTLY READ — some of the code is still showing through; needs a hand pass</t>
        </is>
      </c>
      <c r="J544" s="3" t="inlineStr">
        <is>
          <t>1. computed: Dec
2. stated: Dec
3. what: string</t>
        </is>
      </c>
      <c r="K544" s="3" t="inlineStr">
        <is>
          <t>Reconciliation</t>
        </is>
      </c>
      <c r="L544" s="3" t="inlineStr">
        <is>
          <t>NOT FOUND — a screen calls it, but the words printed beside its answer could not be traced automatically. Needs reading.</t>
        </is>
      </c>
      <c r="M544" s="3" t="inlineStr">
        <is>
          <t>None found in this function — anything it assumes comes from the functions it depends on.</t>
        </is>
      </c>
      <c r="N544" s="3" t="inlineStr">
        <is>
          <t>Yes</t>
        </is>
      </c>
      <c r="O544" s="3" t="inlineStr">
        <is>
          <t>—</t>
        </is>
      </c>
      <c r="P544" s="3" t="n">
        <v>0</v>
      </c>
      <c r="Q544" s="3" t="inlineStr">
        <is>
          <t>None — no dependent function stands behind it</t>
        </is>
      </c>
      <c r="R544" s="3" t="inlineStr">
        <is>
          <t>No dependent function — it reads its inputs and answers</t>
        </is>
      </c>
      <c r="S544" s="3" t="inlineStr">
        <is>
          <t>—</t>
        </is>
      </c>
      <c r="T544" s="3" t="inlineStr">
        <is>
          <t>—</t>
        </is>
      </c>
      <c r="U544" s="3" t="inlineStr">
        <is>
          <t>ACTIVE</t>
        </is>
      </c>
      <c r="V544" s="3" t="inlineStr">
        <is>
          <t>2026-08-27</t>
        </is>
      </c>
      <c r="W544" s="3" t="n"/>
      <c r="X544" s="3" t="n"/>
      <c r="Y544" s="3" t="inlineStr">
        <is>
          <t>NOTHING OPEN</t>
        </is>
      </c>
    </row>
    <row r="545" ht="60" customHeight="1">
      <c r="A545" s="3" t="inlineStr">
        <is>
          <t>MK-ST-F-061</t>
        </is>
      </c>
      <c r="B545" s="3" t="inlineStr">
        <is>
          <t>isMonthEnd</t>
        </is>
      </c>
      <c r="C545" s="3" t="inlineStr">
        <is>
          <t>Calculation Module code/engines/snapshots.ts</t>
        </is>
      </c>
      <c r="D545" s="3" t="n">
        <v>297</v>
      </c>
      <c r="E545" s="3" t="inlineStr">
        <is>
          <t>3 · DEPENDENT (feeds an action only)</t>
        </is>
      </c>
      <c r="F545" s="3" t="inlineStr">
        <is>
          <t>NOT DETERMINED — the code carries no note saying what this is for, and it has no row in the old inventory. Needs reading.</t>
        </is>
      </c>
      <c r="G545" s="11" t="inlineStr">
        <is>
          <t>last = the date y, m, 0).get date(
false   when the first 7)}-${string(d).pad start(2, '0')}` of all dates.has(`${date
the answer = true</t>
        </is>
      </c>
      <c r="H545" s="3" t="inlineStr">
        <is>
          <t>Last: the date y, m, 0).get date(. When the first 7)}-${string(d).pad start(2, '0')}` of all dates.has(`${date, it answers false. The answer is true.</t>
        </is>
      </c>
      <c r="I545" s="3" t="inlineStr">
        <is>
          <t>PARTLY READ — some of the code is still showing through; needs a hand pass</t>
        </is>
      </c>
      <c r="J545" s="3" t="inlineStr">
        <is>
          <t>1. date: string
2. allDates: Set&lt;string&gt;</t>
        </is>
      </c>
      <c r="K545" s="3" t="inlineStr">
        <is>
          <t>boolean</t>
        </is>
      </c>
      <c r="L545" s="3" t="inlineStr">
        <is>
          <t>—</t>
        </is>
      </c>
      <c r="M545" s="3" t="inlineStr">
        <is>
          <t>None found in this function — anything it assumes comes from the functions it depends on.</t>
        </is>
      </c>
      <c r="N545" s="3" t="inlineStr">
        <is>
          <t>No</t>
        </is>
      </c>
      <c r="O545" s="3" t="inlineStr">
        <is>
          <t>1. MK-ST-F-056 has
2. MK-CF-F-132 map</t>
        </is>
      </c>
      <c r="P545" s="3" t="n">
        <v>2</v>
      </c>
      <c r="Q545" s="3" t="inlineStr">
        <is>
          <t>1. MK-ST-F-056 has
2. MK-CF-F-132 map</t>
        </is>
      </c>
      <c r="R545" s="3" t="inlineStr">
        <is>
          <t>1. MK-ST-F-056 has → MK-ST-F-061 isMonthEnd
2. MK-CF-F-132 map → MK-ST-F-061 isMonthEnd</t>
        </is>
      </c>
      <c r="S545" s="3" t="inlineStr">
        <is>
          <t>—</t>
        </is>
      </c>
      <c r="T545" s="3" t="inlineStr">
        <is>
          <t>—</t>
        </is>
      </c>
      <c r="U545" s="3" t="inlineStr">
        <is>
          <t>ACTIVE</t>
        </is>
      </c>
      <c r="V545" s="3" t="inlineStr">
        <is>
          <t>2026-08-27</t>
        </is>
      </c>
      <c r="W545" s="3" t="n"/>
      <c r="X545" s="3" t="n"/>
      <c r="Y545" s="3" t="inlineStr">
        <is>
          <t>NOTHING OPEN</t>
        </is>
      </c>
    </row>
    <row r="546" ht="60" customHeight="1">
      <c r="A546" s="3" t="inlineStr">
        <is>
          <t>MK-ST-F-062</t>
        </is>
      </c>
      <c r="B546" s="3" t="inlineStr">
        <is>
          <t>toUtc</t>
        </is>
      </c>
      <c r="C546" s="3" t="inlineStr">
        <is>
          <t>Calculation Module code/engines/window-return.ts</t>
        </is>
      </c>
      <c r="D546" s="3" t="n">
        <v>35</v>
      </c>
      <c r="E546" s="3" t="inlineStr">
        <is>
          <t>1 · ACTION</t>
        </is>
      </c>
      <c r="F546" s="3" t="inlineStr">
        <is>
          <t>NOT DETERMINED — the code carries no note saying what this is for, and it has no row in the old inventory. Needs reading.</t>
        </is>
      </c>
      <c r="G546" s="11" t="inlineStr">
        <is>
          <t>the answer = the milliseconds since 1970 of the date at midnight UTC</t>
        </is>
      </c>
      <c r="H546" s="3" t="inlineStr">
        <is>
          <t>A 'YYYY-MM-DD' text as a moment in time at midnight UTC, so day arithmetic is unaffected by the device's timezone.</t>
        </is>
      </c>
      <c r="I546" s="3" t="inlineStr">
        <is>
          <t>READ BY HAND 2026-08-26 — checked line by line against the code</t>
        </is>
      </c>
      <c r="J546" s="3" t="inlineStr">
        <is>
          <t>d: string</t>
        </is>
      </c>
      <c r="K546" s="3" t="inlineStr">
        <is>
          <t>00:00Z`);</t>
        </is>
      </c>
      <c r="L546" s="3" t="inlineStr">
        <is>
          <t>—</t>
        </is>
      </c>
      <c r="M546" s="3" t="inlineStr">
        <is>
          <t>None found in this function — anything it assumes comes from the functions it depends on.</t>
        </is>
      </c>
      <c r="N546" s="3" t="inlineStr">
        <is>
          <t>Yes</t>
        </is>
      </c>
      <c r="O546" s="3" t="inlineStr">
        <is>
          <t>—</t>
        </is>
      </c>
      <c r="P546" s="3" t="n">
        <v>0</v>
      </c>
      <c r="Q546" s="3" t="inlineStr">
        <is>
          <t>None — no dependent function stands behind it</t>
        </is>
      </c>
      <c r="R546" s="3" t="inlineStr">
        <is>
          <t>No dependent function — it reads its inputs and answers</t>
        </is>
      </c>
      <c r="S546" s="3" t="inlineStr">
        <is>
          <t>—</t>
        </is>
      </c>
      <c r="T546" s="3" t="inlineStr">
        <is>
          <t>—</t>
        </is>
      </c>
      <c r="U546" s="3" t="inlineStr">
        <is>
          <t>ACTIVE</t>
        </is>
      </c>
      <c r="V546" s="3" t="inlineStr">
        <is>
          <t>2026-09-12</t>
        </is>
      </c>
      <c r="W546" s="3" t="n"/>
      <c r="X546" s="3" t="n"/>
      <c r="Y546" s="3" t="inlineStr">
        <is>
          <t>NOTHING OPEN</t>
        </is>
      </c>
    </row>
    <row r="547" ht="60" customHeight="1">
      <c r="A547" s="3" t="inlineStr">
        <is>
          <t>MK-ST-F-063</t>
        </is>
      </c>
      <c r="B547" s="3" t="inlineStr">
        <is>
          <t>shiftDay</t>
        </is>
      </c>
      <c r="C547" s="3" t="inlineStr">
        <is>
          <t>Calculation Module code/engines/window-return.ts</t>
        </is>
      </c>
      <c r="D547" s="3" t="n">
        <v>56</v>
      </c>
      <c r="E547" s="3" t="inlineStr">
        <is>
          <t>1 · ACTION</t>
        </is>
      </c>
      <c r="F547" s="3" t="inlineStr">
        <is>
          <t>NOT DETERMINED — the code carries no note saying what this is for, and it has no row in the old inventory. Needs reading.</t>
        </is>
      </c>
      <c r="G547" s="11" t="inlineStr">
        <is>
          <t>the first 10 of the date to utc(d) + by × day ms).to isostring(</t>
        </is>
      </c>
      <c r="H547" s="3" t="inlineStr">
        <is>
          <t>the first 10 of the date to utc(d) plus by times day ms).to isostring(</t>
        </is>
      </c>
      <c r="I547" s="3" t="inlineStr">
        <is>
          <t>PARTLY READ — some of the code is still showing through; needs a hand pass</t>
        </is>
      </c>
      <c r="J547" s="3" t="inlineStr">
        <is>
          <t>1. d: string
2. by: number</t>
        </is>
      </c>
      <c r="K547" s="3" t="inlineStr">
        <is>
          <t>NOT DECLARED — the code does not say what it gives back</t>
        </is>
      </c>
      <c r="L547" s="3" t="inlineStr">
        <is>
          <t>—</t>
        </is>
      </c>
      <c r="M547" s="3" t="inlineStr">
        <is>
          <t>None found in this function — anything it assumes comes from the functions it depends on.</t>
        </is>
      </c>
      <c r="N547" s="3" t="inlineStr">
        <is>
          <t>Yes</t>
        </is>
      </c>
      <c r="O547" s="3" t="inlineStr">
        <is>
          <t>MK-ST-F-062 toUtc</t>
        </is>
      </c>
      <c r="P547" s="3" t="n">
        <v>1</v>
      </c>
      <c r="Q547" s="3" t="inlineStr">
        <is>
          <t>MK-ST-F-062 toUtc</t>
        </is>
      </c>
      <c r="R547" s="3" t="inlineStr">
        <is>
          <t>MK-ST-F-062 toUtc → MK-ST-F-063 shiftDay</t>
        </is>
      </c>
      <c r="S547" s="3" t="inlineStr">
        <is>
          <t>—</t>
        </is>
      </c>
      <c r="T547" s="3" t="inlineStr">
        <is>
          <t>—</t>
        </is>
      </c>
      <c r="U547" s="3" t="inlineStr">
        <is>
          <t>ACTIVE</t>
        </is>
      </c>
      <c r="V547" s="3" t="inlineStr">
        <is>
          <t>2026-08-27</t>
        </is>
      </c>
      <c r="W547" s="3" t="n"/>
      <c r="X547" s="3" t="n"/>
      <c r="Y547" s="3" t="inlineStr">
        <is>
          <t>NOTHING OPEN</t>
        </is>
      </c>
    </row>
    <row r="548" ht="60" customHeight="1">
      <c r="A548" s="3" t="inlineStr">
        <is>
          <t>MK-ST-F-065</t>
        </is>
      </c>
      <c r="B548" s="3" t="inlineStr">
        <is>
          <t>isoLocalDate</t>
        </is>
      </c>
      <c r="C548" s="3" t="inlineStr">
        <is>
          <t>src/domain/_shared/dates.ts</t>
        </is>
      </c>
      <c r="D548" s="3" t="n">
        <v>39</v>
      </c>
      <c r="E548" s="3" t="inlineStr">
        <is>
          <t>2 · DISPLAYED</t>
        </is>
      </c>
      <c r="F548" s="3" t="inlineStr">
        <is>
          <t>THE DATE A PERSON IS LIVING IN, not the one UTC is.</t>
        </is>
      </c>
      <c r="G548" s="11" t="inlineStr">
        <is>
          <t>`${get full year()}-${string(get month() + 1).pad start(2, '0')}-${string(get date()).pad start(2, '0')}`</t>
        </is>
      </c>
      <c r="H548" s="3" t="inlineStr">
        <is>
          <t>`${get full year()}-${string(get month() plus 1).pad start(2, '0')}-${string(get date()).pad start(2, '0')}`.</t>
        </is>
      </c>
      <c r="I548" s="3" t="inlineStr">
        <is>
          <t>PARTLY READ — some of the code is still showing through; needs a hand pass</t>
        </is>
      </c>
      <c r="J548" s="3" t="inlineStr">
        <is>
          <t>d: Date</t>
        </is>
      </c>
      <c r="K548" s="3" t="inlineStr">
        <is>
          <t>string</t>
        </is>
      </c>
      <c r="L548" s="3" t="inlineStr">
        <is>
          <t>1. "Date (opt)" — on the Performance screen
2. "Matures (CDs and dated bonds count under Bonds &amp; CDs)" — on the Net worth screen
3. "Matures (optional)" — on the Net worth screen
4. "Nothing needs you today — nice." — on the Home screen, under "CHIEF OF STAFF — WHAT NEEDS YOU $"
5. "Performance" — on the Performance screen</t>
        </is>
      </c>
      <c r="M548" s="3" t="inlineStr">
        <is>
          <t>None found in this function — anything it assumes comes from the functions it depends on.</t>
        </is>
      </c>
      <c r="N548" s="3" t="inlineStr">
        <is>
          <t>Yes</t>
        </is>
      </c>
      <c r="O548" s="3" t="inlineStr">
        <is>
          <t>—</t>
        </is>
      </c>
      <c r="P548" s="3" t="n">
        <v>0</v>
      </c>
      <c r="Q548" s="3" t="inlineStr">
        <is>
          <t>None — no dependent function stands behind it</t>
        </is>
      </c>
      <c r="R548" s="3" t="inlineStr">
        <is>
          <t>No dependent function — it reads its inputs and answers</t>
        </is>
      </c>
      <c r="S548" s="3" t="inlineStr">
        <is>
          <t>—</t>
        </is>
      </c>
      <c r="T548" s="3" t="inlineStr">
        <is>
          <t>—</t>
        </is>
      </c>
      <c r="U548" s="3" t="inlineStr">
        <is>
          <t>ACTIVE</t>
        </is>
      </c>
      <c r="V548" s="3" t="inlineStr">
        <is>
          <t>2026-08-27</t>
        </is>
      </c>
      <c r="W548" s="3" t="n"/>
      <c r="X548" s="3" t="n"/>
      <c r="Y548" s="3" t="inlineStr">
        <is>
          <t>NOTHING OPEN</t>
        </is>
      </c>
    </row>
    <row r="549" ht="60" customHeight="1">
      <c r="A549" s="3" t="inlineStr">
        <is>
          <t>MK-ST-F-066</t>
        </is>
      </c>
      <c r="B549" s="3" t="inlineStr">
        <is>
          <t>isDayKey</t>
        </is>
      </c>
      <c r="C549" s="3" t="inlineStr">
        <is>
          <t>Calculation Module code/engines/rebuild-history.ts</t>
        </is>
      </c>
      <c r="D549" s="3" t="n">
        <v>72</v>
      </c>
      <c r="E549" s="3" t="inlineStr">
        <is>
          <t>1 · ACTION</t>
        </is>
      </c>
      <c r="F549" s="3" t="inlineStr">
        <is>
          <t>NOT DETERMINED — the code carries no note saying what this is for, and it has no row in the old inventory. Needs reading.</t>
        </is>
      </c>
      <c r="G549" s="11" t="inlineStr">
        <is>
          <t>NOT READ YET — the body is not a shape this can render faithfully, so nothing is claimed rather than something being guessed. It needs reading by hand.</t>
        </is>
      </c>
      <c r="H549" s="3" t="inlineStr">
        <is>
          <t>NOT READ YET — the body is not a shape this can render faithfully, so nothing is claimed rather than something being guessed. It needs reading by hand.</t>
        </is>
      </c>
      <c r="I549" s="3" t="inlineStr">
        <is>
          <t>NOT READ — nothing is claimed rather than something guessed</t>
        </is>
      </c>
      <c r="J549" s="3" t="inlineStr">
        <is>
          <t>d: unknown</t>
        </is>
      </c>
      <c r="K549" s="3" t="inlineStr">
        <is>
          <t>d is string</t>
        </is>
      </c>
      <c r="L549" s="3" t="inlineStr">
        <is>
          <t>—</t>
        </is>
      </c>
      <c r="M549" s="3" t="inlineStr">
        <is>
          <t>None found in this function — anything it assumes comes from the functions it depends on.</t>
        </is>
      </c>
      <c r="N549" s="3" t="inlineStr">
        <is>
          <t>Yes</t>
        </is>
      </c>
      <c r="O549" s="3" t="inlineStr">
        <is>
          <t>—</t>
        </is>
      </c>
      <c r="P549" s="3" t="n">
        <v>0</v>
      </c>
      <c r="Q549" s="3" t="inlineStr">
        <is>
          <t>None — no dependent function stands behind it</t>
        </is>
      </c>
      <c r="R549" s="3" t="inlineStr">
        <is>
          <t>No dependent function — it reads its inputs and answers</t>
        </is>
      </c>
      <c r="S549" s="3" t="inlineStr">
        <is>
          <t>—</t>
        </is>
      </c>
      <c r="T549" s="3" t="inlineStr">
        <is>
          <t>—</t>
        </is>
      </c>
      <c r="U549" s="3" t="inlineStr">
        <is>
          <t>ACTIVE</t>
        </is>
      </c>
      <c r="V549" s="3" t="inlineStr">
        <is>
          <t>2026-09-25</t>
        </is>
      </c>
      <c r="W549" s="3" t="n"/>
      <c r="X549" s="3" t="n"/>
      <c r="Y549" s="3" t="inlineStr">
        <is>
          <t>NOTHING OPEN</t>
        </is>
      </c>
    </row>
    <row r="550" ht="60" customHeight="1">
      <c r="A550" s="3" t="inlineStr">
        <is>
          <t>MK-ST-F-067</t>
        </is>
      </c>
      <c r="B550" s="3" t="inlineStr">
        <is>
          <t>utcOfDay</t>
        </is>
      </c>
      <c r="C550" s="3" t="inlineStr">
        <is>
          <t>Calculation Module code/engines/rebuild-history.ts</t>
        </is>
      </c>
      <c r="D550" s="3" t="n">
        <v>100</v>
      </c>
      <c r="E550" s="3" t="inlineStr">
        <is>
          <t>1 · ACTION</t>
        </is>
      </c>
      <c r="F550" s="3" t="inlineStr">
        <is>
          <t>NOT DETERMINED — the code carries no note saying what this is for, and it has no row in the old inventory. Needs reading.</t>
        </is>
      </c>
      <c r="G550" s="11" t="inlineStr">
        <is>
          <t>the first 4), +slice(5, 7) − 1, +slice(8, 10) of date.UTC(+d</t>
        </is>
      </c>
      <c r="H550" s="3" t="inlineStr">
        <is>
          <t>the first 4), +slice(5, 7) minus 1, +slice(8, 10) of date.UTC(+d</t>
        </is>
      </c>
      <c r="I550" s="3" t="inlineStr">
        <is>
          <t>PARTLY READ — some of the code is still showing through; needs a hand pass</t>
        </is>
      </c>
      <c r="J550" s="3" t="inlineStr">
        <is>
          <t>d: string</t>
        </is>
      </c>
      <c r="K550" s="3" t="inlineStr">
        <is>
          <t>NOT DECLARED — the code does not say what it gives back</t>
        </is>
      </c>
      <c r="L550" s="3" t="inlineStr">
        <is>
          <t>—</t>
        </is>
      </c>
      <c r="M550" s="3" t="inlineStr">
        <is>
          <t>None found in this function — anything it assumes comes from the functions it depends on.</t>
        </is>
      </c>
      <c r="N550" s="3" t="inlineStr">
        <is>
          <t>Yes</t>
        </is>
      </c>
      <c r="O550" s="3" t="inlineStr">
        <is>
          <t>—</t>
        </is>
      </c>
      <c r="P550" s="3" t="n">
        <v>0</v>
      </c>
      <c r="Q550" s="3" t="inlineStr">
        <is>
          <t>None — no dependent function stands behind it</t>
        </is>
      </c>
      <c r="R550" s="3" t="inlineStr">
        <is>
          <t>No dependent function — it reads its inputs and answers</t>
        </is>
      </c>
      <c r="S550" s="3" t="inlineStr">
        <is>
          <t>—</t>
        </is>
      </c>
      <c r="T550" s="3" t="inlineStr">
        <is>
          <t>—</t>
        </is>
      </c>
      <c r="U550" s="3" t="inlineStr">
        <is>
          <t>ACTIVE</t>
        </is>
      </c>
      <c r="V550" s="3" t="inlineStr">
        <is>
          <t>2026-09-25</t>
        </is>
      </c>
      <c r="W550" s="3" t="n"/>
      <c r="X550" s="3" t="n"/>
      <c r="Y550" s="3" t="inlineStr">
        <is>
          <t>NOTHING OPEN</t>
        </is>
      </c>
    </row>
    <row r="551" ht="60" customHeight="1">
      <c r="A551" s="3" t="inlineStr">
        <is>
          <t>MK-ST-F-068</t>
        </is>
      </c>
      <c r="B551" s="3" t="inlineStr">
        <is>
          <t>stepDay</t>
        </is>
      </c>
      <c r="C551" s="3" t="inlineStr">
        <is>
          <t>Calculation Module code/engines/rebuild-history.ts</t>
        </is>
      </c>
      <c r="D551" s="3" t="n">
        <v>128</v>
      </c>
      <c r="E551" s="3" t="inlineStr">
        <is>
          <t>1 · ACTION</t>
        </is>
      </c>
      <c r="F551" s="3" t="inlineStr">
        <is>
          <t>NOT DETERMINED — the code carries no note saying what this is for, and it has no row in the old inventory. Needs reading.</t>
        </is>
      </c>
      <c r="G551" s="11" t="inlineStr">
        <is>
          <t>the first 10 of the date utc of day(d) + days × DAY).to isostring(</t>
        </is>
      </c>
      <c r="H551" s="3" t="inlineStr">
        <is>
          <t>the first 10 of the date utc of day(d) plus days times DAY).to isostring(</t>
        </is>
      </c>
      <c r="I551" s="3" t="inlineStr">
        <is>
          <t>PARTLY READ — some of the code is still showing through; needs a hand pass</t>
        </is>
      </c>
      <c r="J551" s="3" t="inlineStr">
        <is>
          <t>1. d: string
2. days: number</t>
        </is>
      </c>
      <c r="K551" s="3" t="inlineStr">
        <is>
          <t>NOT DECLARED — the code does not say what it gives back</t>
        </is>
      </c>
      <c r="L551" s="3" t="inlineStr">
        <is>
          <t>—</t>
        </is>
      </c>
      <c r="M551" s="3" t="inlineStr">
        <is>
          <t>None found in this function — anything it assumes comes from the functions it depends on.</t>
        </is>
      </c>
      <c r="N551" s="3" t="inlineStr">
        <is>
          <t>Yes</t>
        </is>
      </c>
      <c r="O551" s="3" t="inlineStr">
        <is>
          <t>MK-ST-F-067 utcOfDay</t>
        </is>
      </c>
      <c r="P551" s="3" t="n">
        <v>1</v>
      </c>
      <c r="Q551" s="3" t="inlineStr">
        <is>
          <t>MK-ST-F-067 utcOfDay</t>
        </is>
      </c>
      <c r="R551" s="3" t="inlineStr">
        <is>
          <t>MK-ST-F-067 utcOfDay → MK-ST-F-068 stepDay</t>
        </is>
      </c>
      <c r="S551" s="3" t="inlineStr">
        <is>
          <t>—</t>
        </is>
      </c>
      <c r="T551" s="3" t="inlineStr">
        <is>
          <t>—</t>
        </is>
      </c>
      <c r="U551" s="3" t="inlineStr">
        <is>
          <t>ACTIVE</t>
        </is>
      </c>
      <c r="V551" s="3" t="inlineStr">
        <is>
          <t>2026-09-25</t>
        </is>
      </c>
      <c r="W551" s="3" t="n"/>
      <c r="X551" s="3" t="n"/>
      <c r="Y551" s="3" t="inlineStr">
        <is>
          <t>NOTHING OPEN</t>
        </is>
      </c>
    </row>
    <row r="552" ht="60" customHeight="1">
      <c r="A552" s="3" t="inlineStr">
        <is>
          <t>MK-ST-F-069</t>
        </is>
      </c>
      <c r="B552" s="3" t="inlineStr">
        <is>
          <t>amountOf</t>
        </is>
      </c>
      <c r="C552" s="3" t="inlineStr">
        <is>
          <t>Calculation Module code/engines/rebuild-history.ts</t>
        </is>
      </c>
      <c r="D552" s="3" t="n">
        <v>157</v>
      </c>
      <c r="E552" s="3" t="inlineStr">
        <is>
          <t>1 · ACTION</t>
        </is>
      </c>
      <c r="F552" s="3" t="inlineStr">
        <is>
          <t>NOT DETERMINED — the code carries no note saying what this is for, and it has no row in the old inventory. Needs reading.</t>
        </is>
      </c>
      <c r="G552" s="11" t="inlineStr">
        <is>
          <t>v   if typeof v = 'number' and number.is finite(v)
0   otherwise</t>
        </is>
      </c>
      <c r="H552" s="3" t="inlineStr">
        <is>
          <t>v — when typeof v = 'number' and number.is finite(v); 0 — otherwise</t>
        </is>
      </c>
      <c r="I552" s="3" t="inlineStr">
        <is>
          <t>PARTLY READ — some of the code is still showing through; needs a hand pass</t>
        </is>
      </c>
      <c r="J552" s="3" t="inlineStr">
        <is>
          <t>v: unknown</t>
        </is>
      </c>
      <c r="K552" s="3" t="inlineStr">
        <is>
          <t>0);</t>
        </is>
      </c>
      <c r="L552"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52" s="3" t="inlineStr">
        <is>
          <t>None found in this function — anything it assumes comes from the functions it depends on.</t>
        </is>
      </c>
      <c r="N552" s="3" t="inlineStr">
        <is>
          <t>Yes</t>
        </is>
      </c>
      <c r="O552" s="3" t="inlineStr">
        <is>
          <t>—</t>
        </is>
      </c>
      <c r="P552" s="3" t="n">
        <v>0</v>
      </c>
      <c r="Q552" s="3" t="inlineStr">
        <is>
          <t>None — no dependent function stands behind it</t>
        </is>
      </c>
      <c r="R552" s="3" t="inlineStr">
        <is>
          <t>No dependent function — it reads its inputs and answers</t>
        </is>
      </c>
      <c r="S552" s="3" t="inlineStr">
        <is>
          <t>—</t>
        </is>
      </c>
      <c r="T552" s="3" t="inlineStr">
        <is>
          <t>—</t>
        </is>
      </c>
      <c r="U552" s="3" t="inlineStr">
        <is>
          <t>ACTIVE</t>
        </is>
      </c>
      <c r="V552" s="3" t="inlineStr">
        <is>
          <t>2026-09-28</t>
        </is>
      </c>
      <c r="W552" s="3" t="n"/>
      <c r="X552" s="3" t="n"/>
      <c r="Y552" s="3" t="inlineStr">
        <is>
          <t>NOTHING OPEN</t>
        </is>
      </c>
    </row>
    <row r="553" ht="45" customHeight="1">
      <c r="A553" s="3" t="inlineStr">
        <is>
          <t>MK-ST-F-070</t>
        </is>
      </c>
      <c r="B553" s="3" t="inlineStr">
        <is>
          <t>isOpening</t>
        </is>
      </c>
      <c r="C553" s="3" t="inlineStr">
        <is>
          <t>Calculation Module code/engines/rebuild-history.ts</t>
        </is>
      </c>
      <c r="D553" s="3" t="n">
        <v>188</v>
      </c>
      <c r="E553" s="3" t="inlineStr">
        <is>
          <t>1 · ACTION</t>
        </is>
      </c>
      <c r="F553" s="3" t="inlineStr">
        <is>
          <t>An opening row is the first capture of something that already existed — proof that the records do NOT reach behind it.</t>
        </is>
      </c>
      <c r="G553" s="11" t="inlineStr">
        <is>
          <t>type = 'OPENING_POSITION' (or type = 'OPENING_CASH' when missing or zero)</t>
        </is>
      </c>
      <c r="H553" s="3" t="inlineStr">
        <is>
          <t>type = 'OPENING_POSITION' (or type = 'OPENING_CASH' — when missing or zero)</t>
        </is>
      </c>
      <c r="I553" s="3" t="inlineStr">
        <is>
          <t>READ FROM THE CODE — rendered from the expressions the function runs</t>
        </is>
      </c>
      <c r="J553" s="3" t="inlineStr">
        <is>
          <t>t: RebuildTxn</t>
        </is>
      </c>
      <c r="K553" s="3" t="inlineStr">
        <is>
          <t>NOT DECLARED — the code does not say what it gives back</t>
        </is>
      </c>
      <c r="L553" s="3" t="inlineStr">
        <is>
          <t>—</t>
        </is>
      </c>
      <c r="M553" s="3" t="inlineStr">
        <is>
          <t>None found in this function — anything it assumes comes from the functions it depends on.</t>
        </is>
      </c>
      <c r="N553" s="3" t="inlineStr">
        <is>
          <t>Yes</t>
        </is>
      </c>
      <c r="O553" s="3" t="inlineStr">
        <is>
          <t>—</t>
        </is>
      </c>
      <c r="P553" s="3" t="n">
        <v>0</v>
      </c>
      <c r="Q553" s="3" t="inlineStr">
        <is>
          <t>None — no dependent function stands behind it</t>
        </is>
      </c>
      <c r="R553" s="3" t="inlineStr">
        <is>
          <t>No dependent function — it reads its inputs and answers</t>
        </is>
      </c>
      <c r="S553" s="3" t="inlineStr">
        <is>
          <t>—</t>
        </is>
      </c>
      <c r="T553" s="3" t="inlineStr">
        <is>
          <t>—</t>
        </is>
      </c>
      <c r="U553" s="3" t="inlineStr">
        <is>
          <t>ACTIVE</t>
        </is>
      </c>
      <c r="V553" s="3" t="inlineStr">
        <is>
          <t>2026-09-25</t>
        </is>
      </c>
      <c r="W553" s="3" t="n"/>
      <c r="X553" s="3" t="n"/>
      <c r="Y553" s="3" t="inlineStr">
        <is>
          <t>NOTHING OPEN</t>
        </is>
      </c>
    </row>
    <row r="554" ht="60" customHeight="1">
      <c r="A554" s="3" t="inlineStr">
        <is>
          <t>MK-ST-F-071</t>
        </is>
      </c>
      <c r="B554" s="3" t="inlineStr">
        <is>
          <t>rebuildableFrom</t>
        </is>
      </c>
      <c r="C554" s="3" t="inlineStr">
        <is>
          <t>Calculation Module code/engines/rebuild-history.ts</t>
        </is>
      </c>
      <c r="D554" s="3" t="n">
        <v>229</v>
      </c>
      <c r="E554" s="3" t="inlineStr">
        <is>
          <t>3 · DEPENDENT</t>
        </is>
      </c>
      <c r="F554" s="3" t="inlineStr">
        <is>
          <t>The earliest day this account's past can honestly be rebuilt to: the first record it gave us, but never behind an opening capture, because nothing explains what sat there before it.</t>
        </is>
      </c>
      <c r="G554" s="11" t="inlineStr">
        <is>
          <t>first = nothing
last opening = nothing
nothing   when first = nothing
the answer:
last opening   if last opening ≠ nothing and last opening &gt; first
first   otherwise</t>
        </is>
      </c>
      <c r="H554" s="3" t="inlineStr">
        <is>
          <t>First is no answer. Last opening is no answer. When first is missing, it answers no answer. The answer is last opening — when last opening is not no answer and last opening &gt; first; first — otherwise.</t>
        </is>
      </c>
      <c r="I554" s="3" t="inlineStr">
        <is>
          <t>READ FROM THE CODE — rendered from the expressions the function runs</t>
        </is>
      </c>
      <c r="J554" s="3" t="inlineStr">
        <is>
          <t>1. txns: RebuildTxn[]
2. accountId: string</t>
        </is>
      </c>
      <c r="K554" s="3" t="inlineStr">
        <is>
          <t>string | null</t>
        </is>
      </c>
      <c r="L554" s="3" t="inlineStr">
        <is>
          <t>—</t>
        </is>
      </c>
      <c r="M554" s="3" t="inlineStr">
        <is>
          <t>None found in this function — anything it assumes comes from the functions it depends on.</t>
        </is>
      </c>
      <c r="N554" s="3" t="inlineStr">
        <is>
          <t>Yes</t>
        </is>
      </c>
      <c r="O554" s="3" t="inlineStr">
        <is>
          <t>1. MK-ST-F-066 isDayKey
2. MK-ST-F-070 isOpening</t>
        </is>
      </c>
      <c r="P554" s="3" t="n">
        <v>2</v>
      </c>
      <c r="Q554" s="3" t="inlineStr">
        <is>
          <t>1. MK-ST-F-066 isDayKey
2. MK-ST-F-070 isOpening</t>
        </is>
      </c>
      <c r="R554" s="3" t="inlineStr">
        <is>
          <t>1. MK-ST-F-066 isDayKey → MK-ST-F-071 rebuildableFrom
2. MK-ST-F-070 isOpening → MK-ST-F-071 rebuildableFrom</t>
        </is>
      </c>
      <c r="S554" s="3" t="inlineStr">
        <is>
          <t>—</t>
        </is>
      </c>
      <c r="T554" s="3" t="inlineStr">
        <is>
          <t>—</t>
        </is>
      </c>
      <c r="U554" s="3" t="inlineStr">
        <is>
          <t>ACTIVE</t>
        </is>
      </c>
      <c r="V554" s="3" t="inlineStr">
        <is>
          <t>2026-09-25</t>
        </is>
      </c>
      <c r="W554" s="3" t="n"/>
      <c r="X554" s="3" t="n"/>
      <c r="Y554" s="3" t="inlineStr">
        <is>
          <t>NOTHING OPEN</t>
        </is>
      </c>
    </row>
    <row r="555" ht="60" customHeight="1">
      <c r="A555" s="3" t="inlineStr">
        <is>
          <t>MK-ST-F-072</t>
        </is>
      </c>
      <c r="B555" s="3" t="inlineStr">
        <is>
          <t>undo</t>
        </is>
      </c>
      <c r="C555" s="3" t="inlineStr">
        <is>
          <t>Calculation Module code/engines/rebuild-history.ts</t>
        </is>
      </c>
      <c r="D555" s="3" t="n">
        <v>279</v>
      </c>
      <c r="E555" s="3" t="inlineStr">
        <is>
          <t>1 · ACTION</t>
        </is>
      </c>
      <c r="F555" s="3" t="inlineStr">
        <is>
          <t>Undo one record: take the state on the day AFTER it back to the state before it happened.</t>
        </is>
      </c>
      <c r="G555" s="11" t="inlineStr">
        <is>
          <t>acc = account id
key = (ticker ?? '').trim().to upper case()
cash = (id: string, by: number) =&gt; cash of.set(id, (cash of.get(id) ?? 0) + by)
m = `${id}|${k}`
cur = held.get(m) (or units = 0 when missing)
came = -1   if direction = 'OUT'
1   otherwise</t>
        </is>
      </c>
      <c r="H555" s="3" t="inlineStr">
        <is>
          <t>Acc is account id. Key is (ticker ?? '').trim().to upper case(). Cash is (id: string, by: number) =&gt; cash of.set(id, (cash of.get(id) ?? 0) plus by). M is `${id}|${k}`. Cur is held.get(m) (or units = 0 — when missing). Came is -1 — when direction = 'OUT'; 1 — otherwise.</t>
        </is>
      </c>
      <c r="I555" s="3" t="inlineStr">
        <is>
          <t>PARTLY READ — some of the code is still showing through; needs a hand pass</t>
        </is>
      </c>
      <c r="J555" s="3" t="inlineStr">
        <is>
          <t>1. t: RebuildTxn
2. held: Map&lt;string, Held&gt;
3. cashOf: Map&lt;string, number&gt;</t>
        </is>
      </c>
      <c r="K555" s="3" t="inlineStr">
        <is>
          <t>void</t>
        </is>
      </c>
      <c r="L555" s="3" t="inlineStr">
        <is>
          <t>—</t>
        </is>
      </c>
      <c r="M555" s="3" t="inlineStr">
        <is>
          <t>None found in this function — anything it assumes comes from the functions it depends on.</t>
        </is>
      </c>
      <c r="N555" s="3" t="inlineStr">
        <is>
          <t>Yes</t>
        </is>
      </c>
      <c r="O555" s="3" t="inlineStr">
        <is>
          <t>1. MK-ST-F-069 amountOf
2. MK-CF-F-155 cash
3. MK-ST-F-035 covers</t>
        </is>
      </c>
      <c r="P555" s="3" t="n">
        <v>5</v>
      </c>
      <c r="Q555" s="3" t="inlineStr">
        <is>
          <t>1. MK-ST-F-069 amountOf
2. MK-CF-F-155 cash
3. MK-ST-F-035 covers
4. MK-XS-F-122 n
5. MK-ST-F-034 firstDate</t>
        </is>
      </c>
      <c r="R555" s="3" t="inlineStr">
        <is>
          <t>1. MK-ST-F-069 amountOf → MK-ST-F-072 undo
2. MK-XS-F-122 n → MK-CF-F-155 cash → MK-ST-F-072 undo
3. MK-ST-F-034 firstDate → MK-ST-F-035 covers → MK-ST-F-072 undo</t>
        </is>
      </c>
      <c r="S555" s="3" t="inlineStr">
        <is>
          <t>—</t>
        </is>
      </c>
      <c r="T555" s="3" t="inlineStr">
        <is>
          <t>—</t>
        </is>
      </c>
      <c r="U555" s="3" t="inlineStr">
        <is>
          <t>ACTIVE</t>
        </is>
      </c>
      <c r="V555" s="3" t="inlineStr">
        <is>
          <t>2026-10-04</t>
        </is>
      </c>
      <c r="W555" s="3" t="n"/>
      <c r="X555" s="3" t="n"/>
      <c r="Y555" s="3" t="inlineStr">
        <is>
          <t>NOTHING OPEN</t>
        </is>
      </c>
    </row>
    <row r="556" ht="60" customHeight="1">
      <c r="A556" s="3" t="inlineStr">
        <is>
          <t>MK-ST-F-073</t>
        </is>
      </c>
      <c r="B556" s="3" t="inlineStr">
        <is>
          <t>rebuildDays</t>
        </is>
      </c>
      <c r="C556" s="3" t="inlineStr">
        <is>
          <t>Calculation Module code/engines/rebuild-history.ts</t>
        </is>
      </c>
      <c r="D556" s="3" t="n">
        <v>415</v>
      </c>
      <c r="E556" s="3" t="inlineStr">
        <is>
          <t>3 · DEPENDENT</t>
        </is>
      </c>
      <c r="F556" s="3" t="inlineStr">
        <is>
          <t>Rebuild the daily record backwards from today, for the accounts whose records can explain it.</t>
        </is>
      </c>
      <c r="G556"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56"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56" s="3" t="inlineStr">
        <is>
          <t>PARTLY READ — some of the code is still showing through; needs a hand pass</t>
        </is>
      </c>
      <c r="J556" s="3" t="inlineStr">
        <is>
          <t>input: RebuildInput</t>
        </is>
      </c>
      <c r="K556" s="3" t="inlineStr">
        <is>
          <t>RebuildResult</t>
        </is>
      </c>
      <c r="L556" s="3" t="inlineStr">
        <is>
          <t>—</t>
        </is>
      </c>
      <c r="M556" s="3" t="inlineStr">
        <is>
          <t>· Uses a built-in cursor of 0.</t>
        </is>
      </c>
      <c r="N556" s="3" t="inlineStr">
        <is>
          <t>Yes</t>
        </is>
      </c>
      <c r="O556" s="3" t="inlineStr">
        <is>
          <t>1. MK-ST-F-069 amountOf
2. MK-CF-F-133 cashOf
3. MK-ST-F-056 has
4. MK-ST-F-066 isDayKey
5. MK-ST-F-070 isOpening
6. MK-CF-F-132 map
7. MK-ST-F-039 on
8. MK-ST-F-071 rebuildableFrom
9. MK-ST-F-068 stepDay
10. MK-ST-F-072 undo</t>
        </is>
      </c>
      <c r="P556" s="3" t="n">
        <v>15</v>
      </c>
      <c r="Q556" s="3" t="inlineStr">
        <is>
          <t>1. MK-ST-F-069 amountOf
2. MK-CF-F-133 cashOf
3. MK-ST-F-056 has
4. MK-ST-F-066 isDayKey
5. MK-ST-F-070 isOpening
6. MK-CF-F-132 map
7. MK-ST-F-039 on
8. MK-ST-F-071 rebuildableFrom
9. MK-ST-F-068 stepDay
10. MK-ST-F-072 undo
11. MK-ST-F-067 utcOfDay
12. MK-CF-F-155 cash
13. MK-ST-F-035 covers
14. MK-XS-F-122 n
15. MK-ST-F-034 firstDate</t>
        </is>
      </c>
      <c r="R556" s="3" t="inlineStr">
        <is>
          <t>1. MK-ST-F-069 amountOf → MK-ST-F-073 rebuildDays
2. MK-CF-F-133 cashOf → MK-ST-F-073 rebuildDays
3. MK-ST-F-056 has → MK-ST-F-073 rebuildDays
4. MK-ST-F-066 isDayKey → MK-ST-F-073 rebuildDays
5. MK-ST-F-070 isOpening → MK-ST-F-073 rebuildDays
6. MK-CF-F-132 map → MK-ST-F-073 rebuildDays
7. MK-ST-F-039 on → MK-ST-F-073 rebuildDays
8. MK-ST-F-066 isDayKey → MK-ST-F-071 rebuildableFrom → MK-ST-F-073 rebuildDays
9. … and 4 more paths</t>
        </is>
      </c>
      <c r="S556" s="3" t="inlineStr">
        <is>
          <t>—</t>
        </is>
      </c>
      <c r="T556" s="3" t="inlineStr">
        <is>
          <t>—</t>
        </is>
      </c>
      <c r="U556" s="3" t="inlineStr">
        <is>
          <t>ACTIVE</t>
        </is>
      </c>
      <c r="V556" s="3" t="inlineStr">
        <is>
          <t>2026-09-25</t>
        </is>
      </c>
      <c r="W556" s="3" t="n"/>
      <c r="X556" s="3" t="n"/>
      <c r="Y556" s="3" t="inlineStr">
        <is>
          <t>NOTHING OPEN</t>
        </is>
      </c>
    </row>
    <row r="557" ht="60" customHeight="1">
      <c r="A557" s="3" t="inlineStr">
        <is>
          <t>MK-ST-F-074</t>
        </is>
      </c>
      <c r="B557" s="3" t="inlineStr">
        <is>
          <t>rebuiltSentence</t>
        </is>
      </c>
      <c r="C557" s="3" t="inlineStr">
        <is>
          <t>Calculation Module code/engines/rebuild-history.ts</t>
        </is>
      </c>
      <c r="D557" s="3" t="n">
        <v>605</v>
      </c>
      <c r="E557" s="3" t="inlineStr">
        <is>
          <t>2 · DISPLAYED</t>
        </is>
      </c>
      <c r="F557" s="3" t="inlineStr">
        <is>
          <t>The one sentence the screen says about a rebuilt line: where it came from and where it starts.</t>
        </is>
      </c>
      <c r="G557" s="11" t="inlineStr">
        <is>
          <t>''   when from is missing
who = (institution ?? '').trim()
day = the date `${from}T12:00:00`).to locale date string('en − US', { month: 'short', day: 'numeric', year: 'numeric' }</t>
        </is>
      </c>
      <c r="H557" s="3" t="inlineStr">
        <is>
          <t>When from is missing, it answers ''. Who is (institution ?? '').trim(). Day: the date `${from}T12:00:00`).to locale date string('en minus US', { month: 'short', day: 'numeric', year: 'numeric' }.</t>
        </is>
      </c>
      <c r="I557" s="3" t="inlineStr">
        <is>
          <t>PARTLY READ — some of the code is still showing through; needs a hand pass</t>
        </is>
      </c>
      <c r="J557" s="3" t="inlineStr">
        <is>
          <t>1. institution: string | null | undefined
2. from: string | null</t>
        </is>
      </c>
      <c r="K557" s="3" t="inlineStr">
        <is>
          <t>string</t>
        </is>
      </c>
      <c r="L557" s="3" t="inlineStr">
        <is>
          <t>NOT FOUND — a screen calls it, but the words printed beside its answer could not be traced automatically. Needs reading.</t>
        </is>
      </c>
      <c r="M557" s="3" t="inlineStr">
        <is>
          <t>None found in this function — anything it assumes comes from the functions it depends on.</t>
        </is>
      </c>
      <c r="N557" s="3" t="inlineStr">
        <is>
          <t>Yes</t>
        </is>
      </c>
      <c r="O557" s="3" t="inlineStr">
        <is>
          <t>—</t>
        </is>
      </c>
      <c r="P557" s="3" t="n">
        <v>0</v>
      </c>
      <c r="Q557" s="3" t="inlineStr">
        <is>
          <t>None — no dependent function stands behind it</t>
        </is>
      </c>
      <c r="R557" s="3" t="inlineStr">
        <is>
          <t>No dependent function — it reads its inputs and answers</t>
        </is>
      </c>
      <c r="S557" s="3" t="inlineStr">
        <is>
          <t>—</t>
        </is>
      </c>
      <c r="T557" s="3" t="inlineStr">
        <is>
          <t>—</t>
        </is>
      </c>
      <c r="U557" s="3" t="inlineStr">
        <is>
          <t>ACTIVE</t>
        </is>
      </c>
      <c r="V557" s="3" t="inlineStr">
        <is>
          <t>2026-09-25</t>
        </is>
      </c>
      <c r="W557" s="3" t="n"/>
      <c r="X557" s="3" t="n"/>
      <c r="Y557" s="3" t="inlineStr">
        <is>
          <t>NOTHING OPEN</t>
        </is>
      </c>
    </row>
    <row r="558" ht="60" customHeight="1">
      <c r="A558" s="3" t="inlineStr">
        <is>
          <t>MK-ST-F-075</t>
        </is>
      </c>
      <c r="B558" s="3" t="inlineStr">
        <is>
          <t>agoLabel</t>
        </is>
      </c>
      <c r="C558" s="3" t="inlineStr">
        <is>
          <t>src/domain/_shared/freshness.ts</t>
        </is>
      </c>
      <c r="D558" s="3" t="n">
        <v>84</v>
      </c>
      <c r="E558" s="3" t="inlineStr">
        <is>
          <t>3 · DEPENDENT</t>
        </is>
      </c>
      <c r="F558" s="3" t="inlineStr">
        <is>
          <t>How long ago, in words a person reads — never a raw date.</t>
        </is>
      </c>
      <c r="G558" s="11" t="inlineStr">
        <is>
          <t>days = days since(when, now)
nothing   when days = nothing
`${plural(days, 'day')} ago`   when days ≥ 1
hours = round down((now − (typeof when = 'number' ? when : date.parse(string(when)))) ÷ 3600000)
the answer:
`${hours}h ago`   if hours ≥ 1
'just now'   otherwise</t>
        </is>
      </c>
      <c r="H558" s="3" t="inlineStr">
        <is>
          <t>Days is days since(when, now). When days is missing, it answers no answer. When days is at least 1, it answers `${plural(days, 'day')} ago`. Hours is (now minus (typeof — when = 'number' ? — when : date.parse(string(when, rounded down))) divided by 3600000). The answer is `${hours}h ago` — when hours is at least 1; 'just now' — otherwise.</t>
        </is>
      </c>
      <c r="I558" s="3" t="inlineStr">
        <is>
          <t>PARTLY READ — some of the code is still showing through; needs a hand pass</t>
        </is>
      </c>
      <c r="J558" s="3" t="inlineStr">
        <is>
          <t>1. when: string | number | null | undefined
2. now: number</t>
        </is>
      </c>
      <c r="K558" s="3" t="inlineStr">
        <is>
          <t>string | null</t>
        </is>
      </c>
      <c r="L558" s="3" t="inlineStr">
        <is>
          <t>—</t>
        </is>
      </c>
      <c r="M558" s="3" t="inlineStr">
        <is>
          <t>None found in this function — anything it assumes comes from the functions it depends on.</t>
        </is>
      </c>
      <c r="N558" s="3" t="inlineStr">
        <is>
          <t>Yes</t>
        </is>
      </c>
      <c r="O558" s="3" t="inlineStr">
        <is>
          <t>1. MK-XS-F-170 daysSince
2. MK-NW-F-067 plural</t>
        </is>
      </c>
      <c r="P558" s="3" t="n">
        <v>3</v>
      </c>
      <c r="Q558" s="3" t="inlineStr">
        <is>
          <t>1. MK-XS-F-170 daysSince
2. MK-NW-F-067 plural
3. MK-XS-F-122 n</t>
        </is>
      </c>
      <c r="R558" s="3" t="inlineStr">
        <is>
          <t>1. MK-XS-F-170 daysSince → MK-ST-F-075 agoLabel
2. MK-XS-F-122 n → MK-NW-F-067 plural → MK-ST-F-075 agoLabel</t>
        </is>
      </c>
      <c r="S558" s="3" t="inlineStr">
        <is>
          <t>—</t>
        </is>
      </c>
      <c r="T558" s="3" t="inlineStr">
        <is>
          <t>—</t>
        </is>
      </c>
      <c r="U558" s="3" t="inlineStr">
        <is>
          <t>ACTIVE</t>
        </is>
      </c>
      <c r="V558" s="3" t="inlineStr">
        <is>
          <t>2026-10-10</t>
        </is>
      </c>
      <c r="W558" s="3" t="n"/>
      <c r="X558" s="3" t="n"/>
      <c r="Y558" s="3" t="inlineStr">
        <is>
          <t>NOTHING OPEN</t>
        </is>
      </c>
    </row>
    <row r="559" ht="60" customHeight="1">
      <c r="A559" s="3" t="inlineStr">
        <is>
          <t>MK-ST-F-076</t>
        </is>
      </c>
      <c r="B559" s="3" t="inlineStr">
        <is>
          <t>ageLabel</t>
        </is>
      </c>
      <c r="C559" s="3" t="inlineStr">
        <is>
          <t>src/domain/_shared/freshness.ts</t>
        </is>
      </c>
      <c r="D559" s="3" t="n">
        <v>124</v>
      </c>
      <c r="E559" s="3" t="inlineStr">
        <is>
          <t>3 · DEPENDENT</t>
        </is>
      </c>
      <c r="F559" s="3" t="inlineStr">
        <is>
          <t>HOW OLD, IN DAYS, IN THE WORDS HE APPROVED — 'today', 'yesterday', '3 days old'.</t>
        </is>
      </c>
      <c r="G559" s="11" t="inlineStr">
        <is>
          <t>days = days since(when, now)
nothing   when days = nothing
'today'   when days = 0
'yesterday'   when days = 1
the answer = `${days} days old`</t>
        </is>
      </c>
      <c r="H559" s="3" t="inlineStr">
        <is>
          <t>Days is days since(when, now). When days is missing, it answers no answer. When days = 0, it answers 'today'. When days = 1, it answers 'yesterday'. The answer is `${days} days old`.</t>
        </is>
      </c>
      <c r="I559" s="3" t="inlineStr">
        <is>
          <t>PARTLY READ — some of the code is still showing through; needs a hand pass</t>
        </is>
      </c>
      <c r="J559" s="3" t="inlineStr">
        <is>
          <t>1. when: string | number | null | undefined
2. now: number</t>
        </is>
      </c>
      <c r="K559" s="3" t="inlineStr">
        <is>
          <t>string | null</t>
        </is>
      </c>
      <c r="L559" s="3" t="inlineStr">
        <is>
          <t>—</t>
        </is>
      </c>
      <c r="M559" s="3" t="inlineStr">
        <is>
          <t>None found in this function — anything it assumes comes from the functions it depends on.</t>
        </is>
      </c>
      <c r="N559" s="3" t="inlineStr">
        <is>
          <t>Yes</t>
        </is>
      </c>
      <c r="O559" s="3" t="inlineStr">
        <is>
          <t>MK-XS-F-170 daysSince</t>
        </is>
      </c>
      <c r="P559" s="3" t="n">
        <v>1</v>
      </c>
      <c r="Q559" s="3" t="inlineStr">
        <is>
          <t>MK-XS-F-170 daysSince</t>
        </is>
      </c>
      <c r="R559" s="3" t="inlineStr">
        <is>
          <t>MK-XS-F-170 daysSince → MK-ST-F-076 ageLabel</t>
        </is>
      </c>
      <c r="S559" s="3" t="inlineStr">
        <is>
          <t>—</t>
        </is>
      </c>
      <c r="T559" s="3" t="inlineStr">
        <is>
          <t>—</t>
        </is>
      </c>
      <c r="U559" s="3" t="inlineStr">
        <is>
          <t>ACTIVE</t>
        </is>
      </c>
      <c r="V559" s="3" t="inlineStr">
        <is>
          <t>2026-10-01</t>
        </is>
      </c>
      <c r="W559" s="3" t="n"/>
      <c r="X559" s="3" t="n"/>
      <c r="Y559" s="3" t="inlineStr">
        <is>
          <t>NOTHING OPEN</t>
        </is>
      </c>
    </row>
    <row r="560" ht="45" customHeight="1">
      <c r="A560" s="3" t="inlineStr">
        <is>
          <t>MK-ST-F-077</t>
        </is>
      </c>
      <c r="B560" s="3" t="inlineStr">
        <is>
          <t>isStale</t>
        </is>
      </c>
      <c r="C560" s="3" t="inlineStr">
        <is>
          <t>src/domain/_shared/freshness.ts</t>
        </is>
      </c>
      <c r="D560" s="3" t="n">
        <v>155</v>
      </c>
      <c r="E560" s="3" t="inlineStr">
        <is>
          <t>3 · DEPENDENT</t>
        </is>
      </c>
      <c r="F560" s="3" t="inlineStr">
        <is>
          <t>Stale, by the one threshold.</t>
        </is>
      </c>
      <c r="G560" s="11" t="inlineStr">
        <is>
          <t>days = days since(when, now)
the answer = days = nothing (or days ≥ STALE_AFTER_DAYS when missing or zero)</t>
        </is>
      </c>
      <c r="H560" s="3" t="inlineStr">
        <is>
          <t>Days is days since(when, now). The answer is days is missing (or days is at least STALE_AFTER_DAYS — when missing or zero).</t>
        </is>
      </c>
      <c r="I560" s="3" t="inlineStr">
        <is>
          <t>READ FROM THE CODE — rendered from the expressions the function runs</t>
        </is>
      </c>
      <c r="J560" s="3" t="inlineStr">
        <is>
          <t>1. when: string | number | null | undefined
2. now: number</t>
        </is>
      </c>
      <c r="K560" s="3" t="inlineStr">
        <is>
          <t>boolean</t>
        </is>
      </c>
      <c r="L560" s="3" t="inlineStr">
        <is>
          <t>—</t>
        </is>
      </c>
      <c r="M560" s="3" t="inlineStr">
        <is>
          <t>None found in this function — anything it assumes comes from the functions it depends on.</t>
        </is>
      </c>
      <c r="N560" s="3" t="inlineStr">
        <is>
          <t>Yes</t>
        </is>
      </c>
      <c r="O560" s="3" t="inlineStr">
        <is>
          <t>MK-XS-F-170 daysSince</t>
        </is>
      </c>
      <c r="P560" s="3" t="n">
        <v>1</v>
      </c>
      <c r="Q560" s="3" t="inlineStr">
        <is>
          <t>MK-XS-F-170 daysSince</t>
        </is>
      </c>
      <c r="R560" s="3" t="inlineStr">
        <is>
          <t>MK-XS-F-170 daysSince → MK-ST-F-077 isStale</t>
        </is>
      </c>
      <c r="S560" s="3" t="inlineStr">
        <is>
          <t>—</t>
        </is>
      </c>
      <c r="T560" s="3" t="inlineStr">
        <is>
          <t>—</t>
        </is>
      </c>
      <c r="U560" s="3" t="inlineStr">
        <is>
          <t>ACTIVE</t>
        </is>
      </c>
      <c r="V560" s="3" t="inlineStr">
        <is>
          <t>2026-10-01</t>
        </is>
      </c>
      <c r="W560" s="3" t="n"/>
      <c r="X560" s="3" t="n"/>
      <c r="Y560" s="3" t="inlineStr">
        <is>
          <t>NOTHING OPEN</t>
        </is>
      </c>
    </row>
    <row r="561" ht="60" customHeight="1">
      <c r="A561" s="3" t="inlineStr">
        <is>
          <t>MK-ST-F-078</t>
        </is>
      </c>
      <c r="B561" s="3" t="inlineStr">
        <is>
          <t>dateShown</t>
        </is>
      </c>
      <c r="C561" s="3" t="inlineStr">
        <is>
          <t>src/domain/_shared/dates.ts</t>
        </is>
      </c>
      <c r="D561" s="3" t="n">
        <v>74</v>
      </c>
      <c r="E561" s="3" t="inlineStr">
        <is>
          <t>2 · DISPLAYED</t>
        </is>
      </c>
      <c r="F561" s="3" t="inlineStr">
        <is>
          <t>NOT DETERMINED — the code carries no note saying what this is for, and it has no row in the old inventory. Needs reading.</t>
        </is>
      </c>
      <c r="G561" s="11" t="inlineStr">
        <is>
          <t>''   when iso is missing
`${MONTH_SHORT[(m or 1) − 1]} ${d}, ${y}`   if y
''   otherwise</t>
        </is>
      </c>
      <c r="H561" s="3" t="inlineStr">
        <is>
          <t>When iso is missing, it answers ''. `${MONTH_SHORT[(m or 1) minus 1]} ${d}, ${y}` — when y; '' — otherwise.</t>
        </is>
      </c>
      <c r="I561" s="3" t="inlineStr">
        <is>
          <t>PARTLY READ — some of the code is still showing through; needs a hand pass</t>
        </is>
      </c>
      <c r="J561" s="3" t="inlineStr">
        <is>
          <t>iso: string | null | undefined</t>
        </is>
      </c>
      <c r="K561" s="3" t="inlineStr">
        <is>
          <t>string</t>
        </is>
      </c>
      <c r="L561" s="3" t="inlineStr">
        <is>
          <t>"Performance" — on the Performance screen</t>
        </is>
      </c>
      <c r="M561" s="3" t="inlineStr">
        <is>
          <t>None found in this function — anything it assumes comes from the functions it depends on.</t>
        </is>
      </c>
      <c r="N561" s="3" t="inlineStr">
        <is>
          <t>Yes</t>
        </is>
      </c>
      <c r="O561" s="3" t="inlineStr">
        <is>
          <t>MK-CF-F-132 map</t>
        </is>
      </c>
      <c r="P561" s="3" t="n">
        <v>1</v>
      </c>
      <c r="Q561" s="3" t="inlineStr">
        <is>
          <t>MK-CF-F-132 map</t>
        </is>
      </c>
      <c r="R561" s="3" t="inlineStr">
        <is>
          <t>MK-CF-F-132 map → MK-ST-F-078 dateShown</t>
        </is>
      </c>
      <c r="S561" s="3" t="inlineStr">
        <is>
          <t>—</t>
        </is>
      </c>
      <c r="T561" s="3" t="inlineStr">
        <is>
          <t>—</t>
        </is>
      </c>
      <c r="U561" s="3" t="inlineStr">
        <is>
          <t>ACTIVE</t>
        </is>
      </c>
      <c r="V561" s="3" t="inlineStr">
        <is>
          <t>2026-10-01</t>
        </is>
      </c>
      <c r="W561" s="3" t="n"/>
      <c r="X561" s="3" t="n"/>
      <c r="Y561" s="3" t="inlineStr">
        <is>
          <t>NOTHING OPEN</t>
        </is>
      </c>
    </row>
    <row r="562" ht="45" customHeight="1">
      <c r="A562" s="3" t="inlineStr">
        <is>
          <t>MK-ST-F-079</t>
        </is>
      </c>
      <c r="B562" s="3" t="inlineStr">
        <is>
          <t>dailyWindowStart</t>
        </is>
      </c>
      <c r="C562" s="3" t="inlineStr">
        <is>
          <t>Calculation Module code/engines/snapshots.ts</t>
        </is>
      </c>
      <c r="D562" s="3" t="n">
        <v>267</v>
      </c>
      <c r="E562" s="3" t="inlineStr">
        <is>
          <t>3 · DEPENDENT</t>
        </is>
      </c>
      <c r="F562" s="3" t="inlineStr">
        <is>
          <t>THE FIRST DAY OF THE DAILY RECORD: two years back AND THE DAY BEFORE THAT.</t>
        </is>
      </c>
      <c r="G562" s="11" t="inlineStr">
        <is>
          <t>cutoff = the first 10)}T12:00:00Z` of new date(`${today
the answer = the first 10 of cutoff.to isostring()</t>
        </is>
      </c>
      <c r="H562" s="3" t="inlineStr">
        <is>
          <t>Cutoff: the first 10)}T12:00:00Z` of new date(`${today. The answer: the first 10 of cutoff.to isostring().</t>
        </is>
      </c>
      <c r="I562" s="3" t="inlineStr">
        <is>
          <t>PARTLY READ — some of the code is still showing through; needs a hand pass</t>
        </is>
      </c>
      <c r="J562" s="3" t="inlineStr">
        <is>
          <t>today: string</t>
        </is>
      </c>
      <c r="K562" s="3" t="inlineStr">
        <is>
          <t>string</t>
        </is>
      </c>
      <c r="L562" s="3" t="inlineStr">
        <is>
          <t>—</t>
        </is>
      </c>
      <c r="M562" s="3" t="inlineStr">
        <is>
          <t>None found in this function — anything it assumes comes from the functions it depends on.</t>
        </is>
      </c>
      <c r="N562" s="3" t="inlineStr">
        <is>
          <t>Yes</t>
        </is>
      </c>
      <c r="O562" s="3" t="inlineStr">
        <is>
          <t>—</t>
        </is>
      </c>
      <c r="P562" s="3" t="n">
        <v>0</v>
      </c>
      <c r="Q562" s="3" t="inlineStr">
        <is>
          <t>None — no dependent function stands behind it</t>
        </is>
      </c>
      <c r="R562" s="3" t="inlineStr">
        <is>
          <t>No dependent function — it reads its inputs and answers</t>
        </is>
      </c>
      <c r="S562" s="3" t="inlineStr">
        <is>
          <t>—</t>
        </is>
      </c>
      <c r="T562" s="3" t="inlineStr">
        <is>
          <t>—</t>
        </is>
      </c>
      <c r="U562" s="3" t="inlineStr">
        <is>
          <t>ACTIVE</t>
        </is>
      </c>
      <c r="V562" s="3" t="inlineStr">
        <is>
          <t>2026-10-03</t>
        </is>
      </c>
      <c r="W562" s="3" t="n"/>
      <c r="X562" s="3" t="n"/>
      <c r="Y562" s="3" t="inlineStr">
        <is>
          <t>NOTHING OPEN</t>
        </is>
      </c>
    </row>
    <row r="563" ht="60" customHeight="1">
      <c r="A563" s="3" t="inlineStr">
        <is>
          <t>MK-ST-F-080</t>
        </is>
      </c>
      <c r="B563" s="3" t="inlineStr">
        <is>
          <t>isDay</t>
        </is>
      </c>
      <c r="C563" s="3" t="inlineStr">
        <is>
          <t>Calculation Module code/engines/time-weighted-return.ts</t>
        </is>
      </c>
      <c r="D563" s="3" t="n">
        <v>130</v>
      </c>
      <c r="E563" s="3" t="inlineStr">
        <is>
          <t>3 · DEPENDENT</t>
        </is>
      </c>
      <c r="F563" s="3" t="inlineStr">
        <is>
          <t>Whether a value is a calendar day written as year-month-day.</t>
        </is>
      </c>
      <c r="G563" s="11" t="inlineStr">
        <is>
          <t>NOT READ YET — the body is not a shape this can render faithfully, so nothing is claimed rather than something being guessed. It needs reading by hand.</t>
        </is>
      </c>
      <c r="H563" s="3" t="inlineStr">
        <is>
          <t>NOT READ YET — the body is not a shape this can render faithfully, so nothing is claimed rather than something being guessed. It needs reading by hand.</t>
        </is>
      </c>
      <c r="I563" s="3" t="inlineStr">
        <is>
          <t>NOT READ — nothing is claimed rather than something guessed</t>
        </is>
      </c>
      <c r="J563" s="3" t="inlineStr">
        <is>
          <t>d: unknown</t>
        </is>
      </c>
      <c r="K563" s="3" t="inlineStr">
        <is>
          <t>d is string</t>
        </is>
      </c>
      <c r="L563" s="3" t="inlineStr">
        <is>
          <t>—</t>
        </is>
      </c>
      <c r="M563" s="3" t="inlineStr">
        <is>
          <t>· Uses a built-in s a m e of 0.5%.</t>
        </is>
      </c>
      <c r="N563" s="3" t="inlineStr">
        <is>
          <t>Yes</t>
        </is>
      </c>
      <c r="O563" s="3" t="inlineStr">
        <is>
          <t>—</t>
        </is>
      </c>
      <c r="P563" s="3" t="n">
        <v>0</v>
      </c>
      <c r="Q563" s="3" t="inlineStr">
        <is>
          <t>None — no dependent function stands behind it</t>
        </is>
      </c>
      <c r="R563" s="3" t="inlineStr">
        <is>
          <t>No dependent function — it reads its inputs and answers</t>
        </is>
      </c>
      <c r="S563" s="3" t="inlineStr">
        <is>
          <t>—</t>
        </is>
      </c>
      <c r="T563" s="3" t="inlineStr">
        <is>
          <t>—</t>
        </is>
      </c>
      <c r="U563" s="3" t="inlineStr">
        <is>
          <t>ACTIVE</t>
        </is>
      </c>
      <c r="V563" s="3" t="inlineStr">
        <is>
          <t>2026-10-04</t>
        </is>
      </c>
      <c r="W563" s="3" t="n"/>
      <c r="X563" s="3" t="n"/>
      <c r="Y563" s="3" t="inlineStr">
        <is>
          <t>NOTHING OPEN</t>
        </is>
      </c>
    </row>
    <row r="564" ht="60" customHeight="1">
      <c r="A564" s="3" t="inlineStr">
        <is>
          <t>MK-ST-F-081</t>
        </is>
      </c>
      <c r="B564" s="3" t="inlineStr">
        <is>
          <t>timeWeightedReturn</t>
        </is>
      </c>
      <c r="C564" s="3" t="inlineStr">
        <is>
          <t>Calculation Module code/engines/time-weighted-return.ts</t>
        </is>
      </c>
      <c r="D564" s="3" t="n">
        <v>177</v>
      </c>
      <c r="E564" s="3" t="inlineStr">
        <is>
          <t>3 · DEPENDENT</t>
        </is>
      </c>
      <c r="F564" s="3" t="inlineStr">
        <is>
          <t>The time-weighted return of a set of accounts between two days, or the reason it cannot be measured.</t>
        </is>
      </c>
      <c r="G564" s="11" t="inlineStr">
        <is>
          <t>ids = account ids
cash = cash ids (or new set&lt;string&gt;() when missing)
refuse = (refused: time weighted refusal, day?: string): time weighted verdict =&gt; ({ rate: nothing, refused, day, measured from: nothing })
days = days (or none when missing) where is day(date) and date ≤ end.sort((x, y) =&gt; date.locale compare(date))
line = new map&lt;string, map&lt;string, number&gt;&gt;()
holds = new set&lt;string&gt;()
span = new map&lt;string, { first: string; last: string }&gt;()
values = new map&lt;string, number&gt;()
s = span.get(id)!
v = rows.get(date)
nothing   when v = nothing
[LOOP — the answer is found inside a loop the extractor cannot render; the steps above are the ones before it. Read by hand.]
… the first steps only — the rest of the body needs reading by hand.</t>
        </is>
      </c>
      <c r="H564" s="3" t="inlineStr">
        <is>
          <t>Ids is account ids. Cash is cash ids (or new set&lt;string&gt;() — when missing). Refuse is (refused: time weighted refusal, day?: string): time weighted verdict =&gt; ({ rate: no answer, refused, day, measured from: no answer }). Days is days (or none — when missing) where is day(date) and date is at most end.sort((x, y) =&gt; date.locale compare(date)). Line is new map&lt;string, map&lt;string, number&gt;&gt;(). Holds is new set&lt;string&gt;(). Span is new map&lt;string, { first: string; last: string }&gt;(). Values is new map&lt;string, number&gt;(). S is span.get(id)!. V is rows.get(date). When v is missing, it answers no answer. The answer is found inside a loop that cannot be rendered here; read the code by hand. Only the first steps are shown; the rest of the body needs reading by hand.</t>
        </is>
      </c>
      <c r="I564" s="3" t="inlineStr">
        <is>
          <t>PARTLY READ — the body has a loop the extractor cannot render; the steps shown are the ones before it. Needs a hand pass (G23).</t>
        </is>
      </c>
      <c r="J564" s="3" t="inlineStr">
        <is>
          <t>a: TimeWeightedInput</t>
        </is>
      </c>
      <c r="K564" s="3" t="inlineStr">
        <is>
          <t>TimeWeightedVerdict</t>
        </is>
      </c>
      <c r="L564" s="3" t="inlineStr">
        <is>
          <t>—</t>
        </is>
      </c>
      <c r="M564" s="3" t="inlineStr">
        <is>
          <t>1. Uses a built-in total of 0.
2. Uses a built-in growth of 1.
3. Uses a built-in money in of 0.
4. Never lets total fall below 0.</t>
        </is>
      </c>
      <c r="N564" s="3" t="inlineStr">
        <is>
          <t>Yes</t>
        </is>
      </c>
      <c r="O564" s="3" t="inlineStr">
        <is>
          <t>1. MK-ST-F-027 accountId
2. MK-ST-F-083 accountValuesOn
3. MK-ST-F-056 has
4. MK-ST-F-080 isDay
5. MK-CF-F-204 line
6. MK-ST-F-039 on</t>
        </is>
      </c>
      <c r="P564" s="3" t="n">
        <v>114</v>
      </c>
      <c r="Q564" s="3" t="inlineStr">
        <is>
          <t>1. MK-ST-F-027 accountId
2. MK-ST-F-083 accountValuesOn
3. MK-ST-F-056 has
4. MK-ST-F-080 isDay
5. MK-CF-F-204 line
6. MK-ST-F-039 on
7. MK-CF-F-203 MONTH
8. MK-XS-F-180 declareFigures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MK-NW-F-057 annualCoupon
43. MK-NW-F-056 bondInfo
44. MK-NW-F-064 bondRateSensitivity
45. MK-NW-F-061 bondSummary
46. MK-NW-F-055 isBond
47. MK-NW-F-124 maturityParts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MK-NW-F-131 pricedLikeBond
70. MK-NW-F-125 isPastMaturity
71. MK-ST-F-065 isoLocalDate
72. MK-NW-F-126 yearlyInterestNow
73. MK-NW-F-011 assetClassOf
74. MK-NW-F-009 maturityClass
75. MK-CF-F-216 typed
76. MK-NW-F-070 accruedInterestCaveat
77. MK-NW-F-058 yearsToMaturity
78. MK-CF-F-075 retirementIncomeMonthly
79. MK-CF-F-172 hasWage
80. MK-CF-F-062 equityRowValue
81. MK-CF-F-070 benefitAnnual
82. MK-CF-F-176 sumMonthsOverEarners
83. MK-CF-F-090 effectiveRate
84. MK-CF-F-180 enteredLandsAnnual
85. MK-CF-F-085 filingStatusOf
86. MK-CF-F-089 over65CountOf
87. MK-CF-F-082 salaryAnnual
88. MK-CF-F-086 stateRateOf
89. MK-CF-F-101 taxOwedFor
90. MK-CF-F-084 taxableAnnual
91. MK-CF-F-067 rentalList
92. MK-CF-F-063 rowVestYear
93. MK-CF-F-130 enteredMonthlyRaw
94. MK-CF-F-166 hasMonthlySalaryTable
95. MK-ST-F-036 reconcile
96. MK-CF-F-167 salaryCalendarYear
97. MK-CF-F-120 pctBaseMonthly
98. MK-CF-F-004 spendBuckets
99. MK-NW-F-119 estimatedAccrued
100. MK-NW-F-120 classEvidenceOf
101. MK-NW-F-067 plural
102. MK-CF-F-100 taxableIncomeFor
103. MK-CF-F-074 tipsAnnual
104. MK-ST-F-085 rentFigure
105. MK-CF-F-165 salaryMonths
106. MK-CF-F-003 categoryMonthly
107. MK-NW-F-008 incomeBearingClassOf
108. MK-CF-F-099 deductionFor
109. MK-CF-F-081 salaryActiveMonths
110. MK-ST-F-010 nameEvidence
111. MK-CF-F-187 seniorDeductionFor
112. MK-XS-F-147 call
113. MK-XS-F-064 currentIdToken
114. MK-XS-F-112 relayUrl</t>
        </is>
      </c>
      <c r="R564" s="3" t="inlineStr">
        <is>
          <t>1. MK-ST-F-027 accountId → MK-ST-F-081 timeWeightedReturn
2. MK-ST-F-027 accountId → MK-ST-F-083 accountValuesOn → MK-ST-F-081 timeWeightedReturn
3. MK-ST-F-056 has → MK-ST-F-083 accountValuesOn → MK-ST-F-081 timeWeightedReturn
4. MK-ST-F-056 has → MK-ST-F-081 timeWeightedReturn
5. MK-ST-F-080 isDay → MK-ST-F-081 timeWeightedReturn
6. MONTH (already above — a loop) → MK-CF-O-010 theMonth → MK-CF-F-203 MONTH → MK-CF-F-204 line → MK-ST-F-081 timeWeightedReturn
7. MK-XS-F-122 n → MK-CF-F-155 cash → MK-CF-O-010 theMonth → MK-CF-F-203 MONTH → MK-CF-F-204 line → MK-ST-F-081 timeWeightedReturn
8. MK-CF-F-151 actualSpending → MK-CF-O-002 expenses → MK-CF-O-010 theMonth → MK-CF-F-203 MONTH → MK-CF-F-204 line → MK-ST-F-081 timeWeightedReturn
9. … and 5 more paths</t>
        </is>
      </c>
      <c r="S564" s="3" t="inlineStr">
        <is>
          <t>—</t>
        </is>
      </c>
      <c r="T564" s="3" t="inlineStr">
        <is>
          <t>—</t>
        </is>
      </c>
      <c r="U564" s="3" t="inlineStr">
        <is>
          <t>ACTIVE</t>
        </is>
      </c>
      <c r="V564" s="3" t="inlineStr">
        <is>
          <t>2026-10-04</t>
        </is>
      </c>
      <c r="W564" s="3" t="n"/>
      <c r="X564" s="3" t="n"/>
      <c r="Y564" s="3" t="inlineStr">
        <is>
          <t>NOTHING OPEN</t>
        </is>
      </c>
    </row>
    <row r="565" ht="60" customHeight="1">
      <c r="A565" s="3" t="inlineStr">
        <is>
          <t>MK-ST-F-082</t>
        </is>
      </c>
      <c r="B565" s="3" t="inlineStr">
        <is>
          <t>movementsOf</t>
        </is>
      </c>
      <c r="C565" s="3" t="inlineStr">
        <is>
          <t>Calculation Module code/engines/time-weighted-return.ts</t>
        </is>
      </c>
      <c r="D565" s="3" t="n">
        <v>310</v>
      </c>
      <c r="E565" s="3" t="inlineStr">
        <is>
          <t>3 · DEPENDENT</t>
        </is>
      </c>
      <c r="F565" s="3" t="inlineStr">
        <is>
          <t>Which of a household's records are money moving in or out of the measured accounts, which are interest, and on which days shares were moved.</t>
        </is>
      </c>
      <c r="G565" s="11" t="inlineStr">
        <is>
          <t>flows = [], interest: dated amount[] = [], shares moved: string[] = [], amount missing: string[] = []
date = the first 10 of string(date ?? '')
acc = string(account id)   if account id ≠ nothing
''   otherwise
other = string(counter account id)   if counter account id ≠ nothing
''   otherwise
amount = amount read as a number (or 0 when missing or zero)
no amount = amount = nothing (or amount = '' (or !number.is finite(number(amount)) when missing or zero) when missing or zero)
the answer:
flows = flows
interest = interest
shares moved = shares moved
...(amount missing.length ? { amount missing } : {}) = ...(amount missing.length ? { amount missing } : {})</t>
        </is>
      </c>
      <c r="H565" s="3" t="inlineStr">
        <is>
          <t>Flows is [], interest: dated amount[] = [], shares moved: string[] = [], amount missing: string[] = []. Date: the first 10 of string(date ?? ''). Acc is string(account id) — when account id is not no answer; '' — otherwise. Other is string(counter account id) — when counter account id is not no answer; '' — otherwise. Amount is amount read as a number (or 0 — when missing or zero). No amount is amount is missing (or amount = '' (or !number.is finite(number(amount)) — when missing or zero) — when missing or zero). The answer is flows = flows; interest = interest; shares moved = shares moved; ...(amount missing.length ? { amount missing } : {}) = ...(amount missing.length ? { amount missing } : {}).</t>
        </is>
      </c>
      <c r="I565" s="3" t="inlineStr">
        <is>
          <t>PARTLY READ — some of the code is still showing through; needs a hand pass</t>
        </is>
      </c>
      <c r="J565" s="3" t="inlineStr">
        <is>
          <t>1. transactions: any[]
2. ids: Set&lt;string&gt;</t>
        </is>
      </c>
      <c r="K565" s="3" t="inlineStr">
        <is>
          <t>NOT DECLARED — the code does not say what it gives back</t>
        </is>
      </c>
      <c r="L565" s="3" t="inlineStr">
        <is>
          <t>—</t>
        </is>
      </c>
      <c r="M565" s="3" t="inlineStr">
        <is>
          <t>None found in this function — anything it assumes comes from the functions it depends on.</t>
        </is>
      </c>
      <c r="N565" s="3" t="inlineStr">
        <is>
          <t>Yes</t>
        </is>
      </c>
      <c r="O565" s="3" t="inlineStr">
        <is>
          <t>MK-ST-F-056 has</t>
        </is>
      </c>
      <c r="P565" s="3" t="n">
        <v>1</v>
      </c>
      <c r="Q565" s="3" t="inlineStr">
        <is>
          <t>MK-ST-F-056 has</t>
        </is>
      </c>
      <c r="R565" s="3" t="inlineStr">
        <is>
          <t>MK-ST-F-056 has → MK-ST-F-082 movementsOf</t>
        </is>
      </c>
      <c r="S565" s="3" t="inlineStr">
        <is>
          <t>—</t>
        </is>
      </c>
      <c r="T565" s="3" t="inlineStr">
        <is>
          <t>—</t>
        </is>
      </c>
      <c r="U565" s="3" t="inlineStr">
        <is>
          <t>ACTIVE</t>
        </is>
      </c>
      <c r="V565" s="3" t="inlineStr">
        <is>
          <t>2026-10-11</t>
        </is>
      </c>
      <c r="W565" s="3" t="n"/>
      <c r="X565" s="3" t="n"/>
      <c r="Y565" s="3" t="inlineStr">
        <is>
          <t>NOTHING OPEN</t>
        </is>
      </c>
    </row>
    <row r="566" ht="60" customHeight="1">
      <c r="A566" s="3" t="inlineStr">
        <is>
          <t>MK-ST-F-083</t>
        </is>
      </c>
      <c r="B566" s="3" t="inlineStr">
        <is>
          <t>accountValuesOn</t>
        </is>
      </c>
      <c r="C566" s="3" t="inlineStr">
        <is>
          <t>Calculation Module code/engines/snapshots.ts</t>
        </is>
      </c>
      <c r="D566" s="3" t="n">
        <v>458</v>
      </c>
      <c r="E566" s="3" t="inlineStr">
        <is>
          <t>3 · DEPENDENT</t>
        </is>
      </c>
      <c r="F566" s="3" t="inlineStr">
        <is>
          <t>What each account was worth on one recorded day: its holdings, its cash and its typed balance added up — and, for an account the record holds nothing else for, the broker's own stated total.</t>
        </is>
      </c>
      <c r="G566" s="11" t="inlineStr">
        <is>
          <t>out = new map&lt;string, number&gt;()
held = new set&lt;string&gt;()
own = cash + (typed value ?? 0)
value = stated total as number   if !held.has(account id) and own = 0 and (stated total ?? 0) &gt; 0
own   otherwise
the answer = out</t>
        </is>
      </c>
      <c r="H566" s="3" t="inlineStr">
        <is>
          <t>Out is new map&lt;string, number&gt;(). Held is new set&lt;string&gt;(). Own is cash plus (typed value ?? 0). Value is stated total as number — when !held.has(account id) and own = 0 and (stated total ?? 0) &gt; 0; own — otherwise. The answer is out.</t>
        </is>
      </c>
      <c r="I566" s="3" t="inlineStr">
        <is>
          <t>PARTLY READ — some of the code is still showing through; needs a hand pass</t>
        </is>
      </c>
      <c r="J566" s="3" t="inlineStr">
        <is>
          <t>1. day: SnapshotDay
2. wanted: (accountId: string) =&gt; boolean</t>
        </is>
      </c>
      <c r="K566" s="3" t="inlineStr">
        <is>
          <t>Map&lt;string, number&gt;</t>
        </is>
      </c>
      <c r="L566" s="3" t="inlineStr">
        <is>
          <t>—</t>
        </is>
      </c>
      <c r="M566" s="3" t="inlineStr">
        <is>
          <t>1. If typed value is missing it uses 0.
2. If stated total is missing it uses 0.</t>
        </is>
      </c>
      <c r="N566" s="3" t="inlineStr">
        <is>
          <t>Yes</t>
        </is>
      </c>
      <c r="O566" s="3" t="inlineStr">
        <is>
          <t>1. MK-ST-F-027 accountId
2. MK-ST-F-056 has</t>
        </is>
      </c>
      <c r="P566" s="3" t="n">
        <v>2</v>
      </c>
      <c r="Q566" s="3" t="inlineStr">
        <is>
          <t>1. MK-ST-F-027 accountId
2. MK-ST-F-056 has</t>
        </is>
      </c>
      <c r="R566" s="3" t="inlineStr">
        <is>
          <t>1. MK-ST-F-027 accountId → MK-ST-F-083 accountValuesOn
2. MK-ST-F-056 has → MK-ST-F-083 accountValuesOn</t>
        </is>
      </c>
      <c r="S566" s="3" t="inlineStr">
        <is>
          <t>—</t>
        </is>
      </c>
      <c r="T566" s="3" t="inlineStr">
        <is>
          <t>—</t>
        </is>
      </c>
      <c r="U566" s="3" t="inlineStr">
        <is>
          <t>ACTIVE</t>
        </is>
      </c>
      <c r="V566" s="3" t="inlineStr">
        <is>
          <t>2026-10-04</t>
        </is>
      </c>
      <c r="W566" s="3" t="n"/>
      <c r="X566" s="3" t="n"/>
      <c r="Y566" s="3" t="inlineStr">
        <is>
          <t>NOTHING OPEN</t>
        </is>
      </c>
    </row>
    <row r="567" ht="60" customHeight="1">
      <c r="A567" s="3" t="inlineStr">
        <is>
          <t>MK-ST-F-084</t>
        </is>
      </c>
      <c r="B567" s="3" t="inlineStr">
        <is>
          <t>fillBetweenObservations</t>
        </is>
      </c>
      <c r="C567" s="3" t="inlineStr">
        <is>
          <t>Calculation Module code/engines/rebuild-history.ts</t>
        </is>
      </c>
      <c r="D567" s="3" t="n">
        <v>542</v>
      </c>
      <c r="E567" s="3" t="inlineStr">
        <is>
          <t>3 · DEPENDENT</t>
        </is>
      </c>
      <c r="F567" s="3" t="inlineStr">
        <is>
          <t>A hand-entered account's value on the rebuilt days between two days it was observed on, when it held exactly the same things on both.</t>
        </is>
      </c>
      <c r="G567" s="11" t="inlineStr">
        <is>
          <t>out = [...(days ?? [])].sort((x, y) =&gt; date.locale compare(date))
observed = out where origin = 'observed'
ids = a list with no repeats of observed.flat map((d) =&gt; (holdings ?? []).map((h) =&gt; account id))
a = observed[k], b = observed[k + 1]
ha = holdings where account id = id, hb = holdings where account id = id
ra = accounts.find((r) =&gt; account id = id), rb = accounts.find((r) =&gt; account id = id)
the answer = out</t>
        </is>
      </c>
      <c r="H567" s="3" t="inlineStr">
        <is>
          <t>Out is [...(days ?? [])].sort((x, y) =&gt; date.locale compare(date)). Observed is out where origin = 'observed'. Ids is a list with no repeats of observed.flat map((d) =&gt; (holdings ?? []).map((h) =&gt; account id)). A is observed[k], b = observed[k plus 1]. Ha is holdings where account id = id, hb = holdings where account id = id. Ra is accounts.find((r) =&gt; account id = id), rb = accounts.find((r) =&gt; account id = id). The answer is out.</t>
        </is>
      </c>
      <c r="I567" s="3" t="inlineStr">
        <is>
          <t>PARTLY READ — some of the code is still showing through; needs a hand pass</t>
        </is>
      </c>
      <c r="J567" s="3" t="inlineStr">
        <is>
          <t>1. days: SnapshotDay[]
2. priceOn: (securityKey: string, day: string) =&gt; number | null</t>
        </is>
      </c>
      <c r="K567" s="3" t="inlineStr">
        <is>
          <t>SnapshotDay[]</t>
        </is>
      </c>
      <c r="L567" s="3" t="inlineStr">
        <is>
          <t>—</t>
        </is>
      </c>
      <c r="M567" s="3" t="inlineStr">
        <is>
          <t>None found in this function — anything it assumes comes from the functions it depends on.</t>
        </is>
      </c>
      <c r="N567" s="3" t="inlineStr">
        <is>
          <t>Yes</t>
        </is>
      </c>
      <c r="O567" s="3" t="inlineStr">
        <is>
          <t>1. MK-ST-F-027 accountId
2. MK-CF-F-132 map</t>
        </is>
      </c>
      <c r="P567" s="3" t="n">
        <v>2</v>
      </c>
      <c r="Q567" s="3" t="inlineStr">
        <is>
          <t>1. MK-ST-F-027 accountId
2. MK-CF-F-132 map</t>
        </is>
      </c>
      <c r="R567" s="3" t="inlineStr">
        <is>
          <t>1. MK-ST-F-027 accountId → MK-ST-F-084 fillBetweenObservations
2. MK-CF-F-132 map → MK-ST-F-084 fillBetweenObservations</t>
        </is>
      </c>
      <c r="S567" s="3" t="inlineStr">
        <is>
          <t>—</t>
        </is>
      </c>
      <c r="T567" s="3" t="inlineStr">
        <is>
          <t>—</t>
        </is>
      </c>
      <c r="U567" s="3" t="inlineStr">
        <is>
          <t>ACTIVE</t>
        </is>
      </c>
      <c r="V567" s="3" t="inlineStr">
        <is>
          <t>2026-10-04</t>
        </is>
      </c>
      <c r="W567" s="3" t="n"/>
      <c r="X567" s="3" t="n"/>
      <c r="Y567" s="3" t="inlineStr">
        <is>
          <t>NOTHING OPEN</t>
        </is>
      </c>
    </row>
    <row r="568" ht="60" customHeight="1">
      <c r="A568" s="3" t="inlineStr">
        <is>
          <t>MK-ST-F-085</t>
        </is>
      </c>
      <c r="B568" s="3" t="inlineStr">
        <is>
          <t>rentFigure</t>
        </is>
      </c>
      <c r="C568" s="3" t="inlineStr">
        <is>
          <t>src/domain/_shared/num.ts</t>
        </is>
      </c>
      <c r="D568" s="3" t="n">
        <v>113</v>
      </c>
      <c r="E568" s="3" t="inlineStr">
        <is>
          <t>3 · DEPENDENT</t>
        </is>
      </c>
      <c r="F568" s="3" t="inlineStr">
        <is>
          <t>A rent or running-cost figure as the person typed it: a plain number, or null when it is not one.</t>
        </is>
      </c>
      <c r="G568" s="11" t="inlineStr">
        <is>
          <t>v   if number.is finite(v)
nothing   otherwise   when v is a number
nothing   when v = nothing
t = string(v).trim()
nothing   when ! ÷ ^\$?\s × (?=[\d.])[\d,\s] × (\.\d × )?$ ÷ .test(t) (or ! ÷ \d ÷ .test(t) when missing or zero)
n = parse float(replace( ÷ [$,\s] ÷ g, ''))
the answer:
n   if number.is finite(n)
nothing   otherwise</t>
        </is>
      </c>
      <c r="H568" s="3" t="inlineStr">
        <is>
          <t>When v is a number, it answers v — when number.is finite(v); no answer — otherwise. When v is missing, it answers no answer. T is string(v).trim(). When ! divided by ^\$?\s times (?=[\d.])[\d,\s] times (\.\d times )?$ divided by .test(t) (or ! divided by \d divided by .test(t) — when missing or zero), it answers no answer. N is parse float(replace( divided by [$,\s] divided by g, '')). The answer is n — when number.is finite(n); no answer — otherwise.</t>
        </is>
      </c>
      <c r="I568" s="3" t="inlineStr">
        <is>
          <t>PARTLY READ — some of the code is still showing through; needs a hand pass</t>
        </is>
      </c>
      <c r="J568" s="3" t="inlineStr">
        <is>
          <t>v: any</t>
        </is>
      </c>
      <c r="K568" s="3" t="inlineStr">
        <is>
          <t>number | null</t>
        </is>
      </c>
      <c r="L568" s="3" t="inlineStr">
        <is>
          <t>—</t>
        </is>
      </c>
      <c r="M568" s="3" t="inlineStr">
        <is>
          <t>None found in this function — anything it assumes comes from the functions it depends on.</t>
        </is>
      </c>
      <c r="N568" s="3" t="inlineStr">
        <is>
          <t>Yes</t>
        </is>
      </c>
      <c r="O568" s="3" t="inlineStr">
        <is>
          <t>MK-XS-F-122 n</t>
        </is>
      </c>
      <c r="P568" s="3" t="n">
        <v>1</v>
      </c>
      <c r="Q568" s="3" t="inlineStr">
        <is>
          <t>MK-XS-F-122 n</t>
        </is>
      </c>
      <c r="R568" s="3" t="inlineStr">
        <is>
          <t>MK-XS-F-122 n → MK-ST-F-085 rentFigure</t>
        </is>
      </c>
      <c r="S568" s="3" t="inlineStr">
        <is>
          <t>—</t>
        </is>
      </c>
      <c r="T568" s="3" t="inlineStr">
        <is>
          <t>—</t>
        </is>
      </c>
      <c r="U568" s="3" t="inlineStr">
        <is>
          <t>ACTIVE</t>
        </is>
      </c>
      <c r="V568" s="3" t="inlineStr">
        <is>
          <t>2026-10-10</t>
        </is>
      </c>
      <c r="W568" s="3" t="n"/>
      <c r="X568" s="3" t="n"/>
      <c r="Y568" s="3" t="inlineStr">
        <is>
          <t>NOTHING OPEN</t>
        </is>
      </c>
    </row>
    <row r="569" ht="60" customHeight="1">
      <c r="A569" s="3" t="inlineStr">
        <is>
          <t>MK-XS-F-001</t>
        </is>
      </c>
      <c r="B569" s="3" t="inlineStr">
        <is>
          <t>planCompleteness</t>
        </is>
      </c>
      <c r="C569" s="3" t="inlineStr">
        <is>
          <t>src/domain/completeness/index.ts</t>
        </is>
      </c>
      <c r="D569" s="3" t="n">
        <v>40</v>
      </c>
      <c r="E569" s="3" t="inlineStr">
        <is>
          <t>2 · DISPLAYED</t>
        </is>
      </c>
      <c r="F569" s="3" t="inlineStr">
        <is>
          <t>NOT DETERMINED — the code carries no note saying what this is for, and it has no row in the old inventory. Needs reading.</t>
        </is>
      </c>
      <c r="G569" s="11" t="inlineStr">
        <is>
          <t>done count = checks where donecount of 
total = count of checks
the answer:
checks = checks
done count = done count
total = total
pct = round((done count ÷ total) × 100)</t>
        </is>
      </c>
      <c r="H569" s="3" t="inlineStr">
        <is>
          <t>Done count is checks where donecount of. Total: how many checks there are. The answer is checks = checks; done count = done count; total = total; pct = (done count divided by total, to a whole number times 100).</t>
        </is>
      </c>
      <c r="I569" s="3" t="inlineStr">
        <is>
          <t>READ FROM THE CODE — rendered from the expressions the function runs</t>
        </is>
      </c>
      <c r="J569" s="3" t="inlineStr">
        <is>
          <t>i: CompletenessInput</t>
        </is>
      </c>
      <c r="K569" s="3" t="inlineStr">
        <is>
          <t>NOT DECLARED — the code does not say what it gives back</t>
        </is>
      </c>
      <c r="L569" s="3" t="inlineStr">
        <is>
          <t>NOT FOUND — a screen calls it, but the words printed beside its answer could not be traced automatically. Needs reading.</t>
        </is>
      </c>
      <c r="M569" s="3" t="inlineStr">
        <is>
          <t>· Rounds the answer to a whole number.</t>
        </is>
      </c>
      <c r="N569" s="3" t="inlineStr">
        <is>
          <t>Yes</t>
        </is>
      </c>
      <c r="O569" s="3" t="inlineStr">
        <is>
          <t>—</t>
        </is>
      </c>
      <c r="P569" s="3" t="n">
        <v>0</v>
      </c>
      <c r="Q569" s="3" t="inlineStr">
        <is>
          <t>None — no dependent function stands behind it</t>
        </is>
      </c>
      <c r="R569" s="3" t="inlineStr">
        <is>
          <t>No dependent function — it reads its inputs and answers</t>
        </is>
      </c>
      <c r="S569" s="3" t="inlineStr">
        <is>
          <t>—</t>
        </is>
      </c>
      <c r="T569" s="3" t="inlineStr">
        <is>
          <t>—</t>
        </is>
      </c>
      <c r="U569" s="3" t="inlineStr">
        <is>
          <t>ACTIVE</t>
        </is>
      </c>
      <c r="V569" s="3" t="inlineStr">
        <is>
          <t>2026-08-27</t>
        </is>
      </c>
      <c r="W569" s="3" t="n"/>
      <c r="X569" s="3" t="n"/>
      <c r="Y569" s="3" t="inlineStr">
        <is>
          <t>NOTHING OPEN</t>
        </is>
      </c>
    </row>
    <row r="570" ht="60" customHeight="1">
      <c r="A570" s="3" t="inlineStr">
        <is>
          <t>MK-XS-F-002</t>
        </is>
      </c>
      <c r="B570" s="3" t="inlineStr">
        <is>
          <t>dataGaps</t>
        </is>
      </c>
      <c r="C570" s="3" t="inlineStr">
        <is>
          <t>src/domain/gaps/index.ts</t>
        </is>
      </c>
      <c r="D570" s="3" t="n">
        <v>157</v>
      </c>
      <c r="E570" s="3" t="inlineStr">
        <is>
          <t>2 · DISPLAYED</t>
        </is>
      </c>
      <c r="F570" s="3" t="inlineStr">
        <is>
          <t>Every incomplete promise across the given accounts.</t>
        </is>
      </c>
      <c r="G570"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who = label.trim() (or institution.trim() (or 'A debt' when missing or zero) when missing or zero)
the answer = gaps
… the first steps only — the rest of the body needs reading by hand.</t>
        </is>
      </c>
      <c r="H570"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Who is label.trim() (or institution.trim() (or 'A debt' — when missing or zero) — when missing or zero). The answer is gaps. Only the first steps are shown; the rest of the body needs reading by hand.</t>
        </is>
      </c>
      <c r="I570" s="3" t="inlineStr">
        <is>
          <t>PARTLY READ — some of the code is still showing through; needs a hand pass</t>
        </is>
      </c>
      <c r="J570" s="3" t="inlineStr">
        <is>
          <t>Nothing is handed to it</t>
        </is>
      </c>
      <c r="K570" s="3" t="inlineStr">
        <is>
          <t>NOT DECLARED — the code does not say what it gives back</t>
        </is>
      </c>
      <c r="L570" s="3" t="inlineStr">
        <is>
          <t>NOT FOUND — a screen calls it, but the words printed beside its answer could not be traced automatically. Needs reading.</t>
        </is>
      </c>
      <c r="M570" s="3" t="inlineStr">
        <is>
          <t>1. If shares is missing it uses 0.
2. Treats a year as 365 days.
3. Uses today's date from the device clock, so the answer changes by itself overnight.</t>
        </is>
      </c>
      <c r="N570" s="3" t="inlineStr">
        <is>
          <t>Yes</t>
        </is>
      </c>
      <c r="O570" s="3" t="inlineStr">
        <is>
          <t>1. MK-XS-F-170 daysSince
2. MK-NW-F-046 historyCoverage
3. MK-CF-F-204 line
4. MK-XS-F-120 nameOf
5. MK-XS-F-119 namesFor
6. MK-NW-F-067 plural
7. MK-XS-F-118 prettyDate</t>
        </is>
      </c>
      <c r="P570" s="3" t="n">
        <v>124</v>
      </c>
      <c r="Q570" s="3" t="inlineStr">
        <is>
          <t>1. MK-XS-F-170 daysSince
2. MK-NW-F-046 historyCoverage
3. MK-CF-F-204 line
4. MK-XS-F-120 nameOf
5. MK-XS-F-119 namesFor
6. MK-NW-F-067 plural
7. MK-XS-F-118 prettyDate
8. MK-CF-F-203 MONTH
9. MK-ST-F-065 isoLocalDate
10. MK-CF-F-132 map
11. MK-NW-F-068 prettyDay
12. MK-XS-F-180 declareFigures
13. MK-NW-F-026 accountDisplayNames
14. MK-XS-F-122 n
15. MK-CF-O-010 theMonth
16. MK-NW-F-025 accountDisplayName
17. MK-ST-F-056 has
18. MK-CF-F-155 cash
19. MK-CF-O-002 expenses
20. MK-CF-O-003 thisMonth
21. MK-NW-F-024 accountLastFour
22. MK-ST-F-039 on
23. MK-NW-F-012 taxTreatmentOf
24. MK-NW-F-023 wrapperWord
25. MK-CF-F-151 actualSpending
26. MK-CF-F-150 debtPaymentsCountedAsExpenses
27. MK-CF-F-153 radar
28. MK-CF-F-149 recurringDebtPayments
29. MK-CF-F-005 actualMonthFlow
30. MK-CF-F-156 plannedMonthFlow
31. MK-NW-F-007 assetKind
32. MK-CF-F-148 inMonth
33. MK-ST-F-052 toNum
34. MK-CF-F-191 ym
35. MK-CF-F-022 paymentShape
36. MK-CF-F-152 isRadarItem
37. MK-CF-F-023 requiredPayment
38. MK-NW-F-078 ONE
39. MK-CF-F-157 debtPaymentsByDebt
40. MK-CF-F-192 inflowLabel
41. MK-XS-F-027 takeHomeMonthly
42. MK-NW-F-011 assetClassOf
43. MK-CF-F-021 defaultPaymentType
44. MK-NW-F-077 ALL
45. MK-NW-F-059 currentYield
46. MK-ST-F-049 formatMoney
47. MK-ST-F-053 money
48. MK-NW-O-001 theBonds
49. MK-CF-F-193 inflowSourceWord
50. MK-CF-F-092 incomeMonthlyGrid
51. MK-CF-F-011 savingsByMonth
52. MK-NW-F-120 classEvidenceOf
53. MK-NW-F-112 yearlyInterest
54. MK-ST-F-048 currencySymbol
55. MK-ST-F-027 accountId
56. MK-NW-F-057 annualCoupon
57. MK-NW-F-056 bondInfo
58. MK-NW-F-064 bondRateSensitivity
59. MK-NW-F-061 bondSummary
60. MK-NW-F-055 isBond
61. MK-NW-F-124 maturityParts
62. MK-NW-F-072 rowOf
63. MK-CF-F-069 benefitActiveMonths
64. MK-CF-F-072 currentRetirementIncomeMonthly
65. MK-CF-F-173 earnerWages
66. MK-CF-F-065 equityVestWeights
67. MK-CF-F-071 extraIncome
68. MK-CF-F-206 householdK401ByMonth
69. MK-CF-F-087 monthlyTaxRates
70. MK-CF-F-073 otherIncomeMonth
71. MK-CF-F-181 rateInForce
72. MK-CF-F-068 rentalNetAnnual
73. MK-CF-F-066 rsuAnnual
74. MK-CF-F-060 salaryGrossByMonth
75. MK-CF-F-077 scholarshipByCalendarMonth
76. MK-CF-F-088 taxableByCalendarMonth
77. MK-CF-F-177 wageGrossByMonth
78. MK-PL-F-012 waterfall
79. MK-CF-F-008 spendByMonth
80. MK-NW-F-008 incomeBearingClassOf
81. MK-NW-F-009 maturityClass
82. MK-ST-F-047 activeCurrency
83. MK-NW-F-060 approxYTM
84. MK-NW-F-069 priceAtYield
85. MK-NW-F-131 pricedLikeBond
86. MK-NW-F-125 isPastMaturity
87. MK-NW-F-126 yearlyInterestNow
88. MK-CF-F-216 typed
89. MK-NW-F-070 accruedInterestCaveat
90. MK-NW-F-058 yearsToMaturity
91. MK-CF-F-075 retirementIncomeMonthly
92. MK-CF-F-172 hasWage
93. MK-CF-F-062 equityRowValue
94. MK-CF-F-070 benefitAnnual
95. MK-CF-F-176 sumMonthsOverEarners
96. MK-CF-F-090 effectiveRate
97. MK-CF-F-180 enteredLandsAnnual
98. MK-CF-F-085 filingStatusOf
99. MK-CF-F-089 over65CountOf
100. MK-CF-F-082 salaryAnnual
101. MK-CF-F-086 stateRateOf
102. MK-CF-F-101 taxOwedFor
103. MK-CF-F-084 taxableAnnual
104. MK-CF-F-067 rentalList
105. MK-CF-F-063 rowVestYear
106. MK-CF-F-130 enteredMonthlyRaw
107. MK-CF-F-166 hasMonthlySalaryTable
108. MK-ST-F-036 reconcile
109. MK-CF-F-167 salaryCalendarYear
110. MK-CF-F-120 pctBaseMonthly
111. MK-CF-F-004 spendBuckets
112. MK-ST-F-010 nameEvidence
113. MK-NW-F-119 estimatedAccrued
114. MK-CF-F-100 taxableIncomeFor
115. MK-CF-F-074 tipsAnnual
116. MK-ST-F-085 rentFigure
117. MK-CF-F-165 salaryMonths
118. MK-CF-F-003 categoryMonthly
119. MK-XS-F-147 call
120. MK-CF-F-099 deductionFor
121. MK-CF-F-081 salaryActiveMonths
122. MK-XS-F-064 currentIdToken
123. MK-XS-F-112 relayUrl
124. MK-CF-F-187 seniorDeductionFor</t>
        </is>
      </c>
      <c r="R570" s="3" t="inlineStr">
        <is>
          <t>1. MK-XS-F-170 daysSince → MK-XS-F-002 dataGaps
2. MONTH (already above — a loop) → MK-CF-O-010 theMonth → MK-CF-F-203 MONTH → MK-NW-F-046 historyCoverage → MK-XS-F-002 dataGaps
3. MK-XS-F-122 n → MK-CF-F-155 cash → MK-CF-O-010 theMonth → MK-CF-F-203 MONTH → MK-NW-F-046 historyCoverage → MK-XS-F-002 dataGaps
4. MK-CF-F-151 actualSpending → MK-CF-O-002 expenses → MK-CF-O-010 theMonth → MK-CF-F-203 MONTH → MK-NW-F-046 historyCoverage → MK-XS-F-002 dataGaps
5. MK-CF-F-150 debtPaymentsCountedAsExpenses → MK-CF-O-002 expenses → MK-CF-O-010 theMonth → MK-CF-F-203 MONTH → MK-NW-F-046 historyCoverage → MK-XS-F-002 dataGaps
6. MK-CF-F-153 radar → MK-CF-O-002 expenses → MK-CF-O-010 theMonth → MK-CF-F-203 MONTH → MK-NW-F-046 historyCoverage → MK-XS-F-002 dataGaps
7. MK-CF-F-149 recurringDebtPayments → MK-CF-O-002 expenses → MK-CF-O-010 theMonth → MK-CF-F-203 MONTH → MK-NW-F-046 historyCoverage → MK-XS-F-002 dataGaps
8. MK-CF-F-005 actualMonthFlow → MK-CF-O-003 thisMonth → MK-CF-O-010 theMonth → MK-CF-F-203 MONTH → MK-NW-F-046 historyCoverage → MK-XS-F-002 dataGaps
9. … and 5 more paths</t>
        </is>
      </c>
      <c r="S570" s="3" t="inlineStr">
        <is>
          <t>—</t>
        </is>
      </c>
      <c r="T570" s="3" t="inlineStr">
        <is>
          <t>WHAT_IS_MISSING</t>
        </is>
      </c>
      <c r="U570" s="3" t="inlineStr">
        <is>
          <t>ACTIVE</t>
        </is>
      </c>
      <c r="V570" s="3" t="inlineStr">
        <is>
          <t>2026-10-09</t>
        </is>
      </c>
      <c r="W570" s="3" t="n"/>
      <c r="X570" s="3" t="n"/>
      <c r="Y570" s="3" t="inlineStr">
        <is>
          <t>NOTHING OPEN</t>
        </is>
      </c>
    </row>
    <row r="571" ht="60" customHeight="1">
      <c r="A571" s="3" t="inlineStr">
        <is>
          <t>MK-XS-F-003</t>
        </is>
      </c>
      <c r="B571" s="3" t="inlineStr">
        <is>
          <t>gapsHeadline</t>
        </is>
      </c>
      <c r="C571" s="3" t="inlineStr">
        <is>
          <t>src/domain/gaps/index.ts</t>
        </is>
      </c>
      <c r="D571" s="3" t="n">
        <v>302</v>
      </c>
      <c r="E571" s="3" t="inlineStr">
        <is>
          <t>2 · DISPLAYED (presentation only)</t>
        </is>
      </c>
      <c r="F571" s="3" t="inlineStr">
        <is>
          <t>The banner sentence — plural-correct, and absent (null) when nothing is missing.</t>
        </is>
      </c>
      <c r="G571" s="11" t="inlineStr">
        <is>
          <t>nothing   when count of gaps is missing
`${plural(gaps.length, 'number')} ${gaps.length = 1 ? 'needs' : 'need'} more information`</t>
        </is>
      </c>
      <c r="H571" s="3" t="inlineStr">
        <is>
          <t>When how many gaps is missing there are, it answers no answer. `${plural(gaps.length, 'number')} ${gaps.length = 1 ? 'needs' : 'need'} more information`.</t>
        </is>
      </c>
      <c r="I571" s="3" t="inlineStr">
        <is>
          <t>PARTLY READ — some of the code is still showing through; needs a hand pass</t>
        </is>
      </c>
      <c r="J571" s="3" t="inlineStr">
        <is>
          <t>gaps: DataGap[]</t>
        </is>
      </c>
      <c r="K571" s="3" t="inlineStr">
        <is>
          <t>string | null</t>
        </is>
      </c>
      <c r="L571" s="3" t="inlineStr">
        <is>
          <t>NOT FOUND — a screen calls it, but the words printed beside its answer could not be traced automatically. Needs reading.</t>
        </is>
      </c>
      <c r="M571" s="3" t="inlineStr">
        <is>
          <t>None found in this function — anything it assumes comes from the functions it depends on.</t>
        </is>
      </c>
      <c r="N571" s="3" t="inlineStr">
        <is>
          <t>Yes</t>
        </is>
      </c>
      <c r="O571" s="3" t="inlineStr">
        <is>
          <t>MK-NW-F-067 plural</t>
        </is>
      </c>
      <c r="P571" s="3" t="n">
        <v>2</v>
      </c>
      <c r="Q571" s="3" t="inlineStr">
        <is>
          <t>1. MK-NW-F-067 plural
2. MK-XS-F-122 n</t>
        </is>
      </c>
      <c r="R571" s="3" t="inlineStr">
        <is>
          <t>MK-XS-F-122 n → MK-NW-F-067 plural → MK-XS-F-003 gapsHeadline</t>
        </is>
      </c>
      <c r="S571" s="3" t="inlineStr">
        <is>
          <t>—</t>
        </is>
      </c>
      <c r="T571" s="3" t="inlineStr">
        <is>
          <t>—</t>
        </is>
      </c>
      <c r="U571" s="3" t="inlineStr">
        <is>
          <t>ACTIVE</t>
        </is>
      </c>
      <c r="V571" s="3" t="inlineStr">
        <is>
          <t>2026-10-10</t>
        </is>
      </c>
      <c r="W571" s="3" t="n"/>
      <c r="X571" s="3" t="n"/>
      <c r="Y571" s="3" t="inlineStr">
        <is>
          <t>NOTHING OPEN</t>
        </is>
      </c>
    </row>
    <row r="572" ht="60" customHeight="1">
      <c r="A572" s="3" t="inlineStr">
        <is>
          <t>MK-XS-F-004</t>
        </is>
      </c>
      <c r="B572" s="3" t="inlineStr">
        <is>
          <t>buildDatedGrid</t>
        </is>
      </c>
      <c r="C572" s="3" t="inlineStr">
        <is>
          <t>src/domain/grid/index.ts</t>
        </is>
      </c>
      <c r="D572" s="3" t="n">
        <v>114</v>
      </c>
      <c r="E572" s="3" t="inlineStr">
        <is>
          <t>2 · DISPLAYED</t>
        </is>
      </c>
      <c r="F572" s="3" t="inlineStr">
        <is>
          <t>Build the dated 12-month grid.</t>
        </is>
      </c>
      <c r="G572"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72"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72" s="3" t="inlineStr">
        <is>
          <t>PARTLY READ — the body has a loop the extractor cannot render; the steps shown are the ones before it. Needs a hand pass (G23).</t>
        </is>
      </c>
      <c r="J572" s="3" t="inlineStr">
        <is>
          <t>1. op: OnboardingProfile | null
2. opts: GridOptions = {}</t>
        </is>
      </c>
      <c r="K572" s="3" t="inlineStr">
        <is>
          <t>DatedGrid</t>
        </is>
      </c>
      <c r="L572" s="3" t="inlineStr">
        <is>
          <t>NOT FOUND — a screen calls it, but the words printed beside its answer could not be traced automatically. Needs reading.</t>
        </is>
      </c>
      <c r="M572"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72" s="3" t="inlineStr">
        <is>
          <t>Yes</t>
        </is>
      </c>
      <c r="O572"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72" s="3" t="n">
        <v>114</v>
      </c>
      <c r="Q572"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MK-ST-F-039 on
31. MK-CF-F-021 defaultPaymentType
32. MK-CF-F-067 rentalList
33. MK-CF-F-176 sumMonthsOverEarners
34. MK-CF-F-177 wageGrossByMonth
35. MK-CF-F-120 pctBaseMonthly
36. MK-CF-F-004 spendBuckets
37. MK-CF-F-063 rowVestYear
38. MK-CF-F-148 inMonth
39. MK-CF-F-191 ym
40. MK-CF-F-152 isRadarItem
41. MK-CF-O-010 theMonth
42. MK-ST-F-048 currencySymbol
43. MK-CF-F-181 rateInForce
44. MK-ST-F-085 rentFigure
45. MK-CF-F-216 typed
46. MK-CF-F-173 earnerWages
47. MK-CF-F-130 enteredMonthlyRaw
48. MK-CF-F-166 hasMonthlySalaryTable
49. MK-ST-F-036 reconcile
50. MK-CF-F-167 salaryCalendarYear
51. MK-CF-F-092 incomeMonthlyGrid
52. MK-CF-F-003 categoryMonthly
53. MK-CF-F-155 cash
54. MK-CF-O-003 thisMonth
55. MK-ST-F-047 activeCurrency
56. MK-CF-F-180 enteredLandsAnnual
57. MK-CF-F-085 filingStatusOf
58. MK-CF-F-206 householdK401ByMonth
59. MK-CF-F-089 over65CountOf
60. MK-CF-F-082 salaryAnnual
61. MK-CF-F-086 stateRateOf
62. MK-CF-F-101 taxOwedFor
63. MK-CF-F-084 taxableAnnual
64. MK-CF-F-172 hasWage
65. MK-CF-F-165 salaryMonths
66. MK-CF-F-065 equityVestWeights
67. MK-CF-F-071 extraIncome
68. MK-CF-F-077 scholarshipByCalendarMonth
69. MK-CF-F-088 taxableByCalendarMonth
70. MK-PL-F-012 waterfall
71. MK-XS-F-027 takeHomeMonthly
72. MK-CF-F-005 actualMonthFlow
73. MK-CF-F-156 plannedMonthFlow
74. MK-CF-F-100 taxableIncomeFor
75. MK-CF-F-074 tipsAnnual
76. MK-CF-F-070 benefitAnnual
77. MK-CF-F-011 savingsByMonth
78. MK-NW-F-078 ONE
79. MK-CF-F-157 debtPaymentsByDebt
80. MK-CF-F-192 inflowLabel
81. MK-CF-F-099 deductionFor
82. MK-CF-F-081 salaryActiveMonths
83. MK-NW-F-077 ALL
84. MK-NW-F-059 currentYield
85. MK-NW-O-001 theBonds
86. MK-CF-F-193 inflowSourceWord
87. MK-CF-F-187 seniorDeductionFor
88. MK-NW-F-112 yearlyInterest
89. MK-ST-F-027 accountId
90. MK-NW-F-057 annualCoupon
91. MK-NW-F-056 bondInfo
92. MK-NW-F-064 bondRateSensitivity
93. MK-NW-F-061 bondSummary
94. MK-NW-F-055 isBond
95. MK-NW-F-124 maturityParts
96. MK-NW-F-072 rowOf
97. MK-NW-F-060 approxYTM
98. MK-NW-F-069 priceAtYield
99. MK-NW-F-131 pricedLikeBond
100. MK-NW-F-125 isPastMaturity
101. MK-ST-F-065 isoLocalDate
102. MK-NW-F-126 yearlyInterestNow
103. MK-NW-F-011 assetClassOf
104. MK-NW-F-009 maturityClass
105. MK-NW-F-070 accruedInterestCaveat
106. MK-NW-F-058 yearsToMaturity
107. MK-NW-F-119 estimatedAccrued
108. MK-NW-F-120 classEvidenceOf
109. MK-NW-F-067 plural
110. MK-NW-F-008 incomeBearingClassOf
111. MK-ST-F-010 nameEvidence
112. MK-XS-F-147 call
113. MK-XS-F-064 currentIdToken
114. MK-XS-F-112 relayUrl</t>
        </is>
      </c>
      <c r="R572"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72" s="3" t="inlineStr">
        <is>
          <t>—</t>
        </is>
      </c>
      <c r="T572" s="3" t="inlineStr">
        <is>
          <t>—</t>
        </is>
      </c>
      <c r="U572" s="3" t="inlineStr">
        <is>
          <t>ACTIVE</t>
        </is>
      </c>
      <c r="V572" s="3" t="inlineStr">
        <is>
          <t>2026-09-08</t>
        </is>
      </c>
      <c r="W572" s="3" t="n"/>
      <c r="X572" s="3" t="n"/>
      <c r="Y572" s="3" t="inlineStr">
        <is>
          <t>NOTHING OPEN</t>
        </is>
      </c>
    </row>
    <row r="573" ht="60" customHeight="1">
      <c r="A573" s="3" t="inlineStr">
        <is>
          <t>MK-XS-F-005</t>
        </is>
      </c>
      <c r="B573" s="3" t="inlineStr">
        <is>
          <t>trendPoints</t>
        </is>
      </c>
      <c r="C573" s="3" t="inlineStr">
        <is>
          <t>src/domain/history.ts</t>
        </is>
      </c>
      <c r="D573" s="3" t="n">
        <v>64</v>
      </c>
      <c r="E573" s="3" t="inlineStr">
        <is>
          <t>2 · DISPLAYED</t>
        </is>
      </c>
      <c r="F573" s="3" t="inlineStr">
        <is>
          <t>Chart series = monthly snapshots + daily points, chronological ('YYYY-MM' sorts before its days).</t>
        </is>
      </c>
      <c r="G573" s="11" t="inlineStr">
        <is>
          <t>pts = for each of read history(monthly): key = month
nw = net worth
the answer = pts.sort((a, b) =&gt; key.locale compare(key))</t>
        </is>
      </c>
      <c r="H573" s="3" t="inlineStr">
        <is>
          <t>Pts is for each of read history(monthly): key = month; nw = net worth. The answer is pts.sort((a, b) =&gt; key.locale compare(key)).</t>
        </is>
      </c>
      <c r="I573" s="3" t="inlineStr">
        <is>
          <t>PARTLY READ — some of the code is still showing through; needs a hand pass</t>
        </is>
      </c>
      <c r="J573" s="3" t="inlineStr">
        <is>
          <t>Nothing is handed to it</t>
        </is>
      </c>
      <c r="K573" s="3" t="inlineStr">
        <is>
          <t>NOT DECLARED — the code does not say what it gives back</t>
        </is>
      </c>
      <c r="L573" s="3" t="inlineStr">
        <is>
          <t>NOT FOUND — a screen calls it, but the words printed beside its answer could not be traced automatically. Needs reading.</t>
        </is>
      </c>
      <c r="M573" s="3" t="inlineStr">
        <is>
          <t>None found in this function — anything it assumes comes from the functions it depends on.</t>
        </is>
      </c>
      <c r="N573" s="3" t="inlineStr">
        <is>
          <t>Yes</t>
        </is>
      </c>
      <c r="O573" s="3" t="inlineStr">
        <is>
          <t>1. MK-CF-F-132 map
2. MK-XS-F-009 readHistory</t>
        </is>
      </c>
      <c r="P573" s="3" t="n">
        <v>7</v>
      </c>
      <c r="Q573" s="3" t="inlineStr">
        <is>
          <t>1. MK-CF-F-132 map
2. MK-XS-F-009 readHistory
3. MK-XS-F-008 normalizeSnapshot
4. MK-ST-F-030 record
5. MK-CF-F-191 ym
6. MK-XS-F-121 isYm
7. MK-XS-F-122 n</t>
        </is>
      </c>
      <c r="R573"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MK-ST-F-030 record → MK-XS-F-009 readHistory → MK-XS-F-005 trendPoints
7. MK-CF-F-191 ym → MK-XS-F-009 readHistory → MK-XS-F-005 trendPoints</t>
        </is>
      </c>
      <c r="S573" s="3" t="inlineStr">
        <is>
          <t>—</t>
        </is>
      </c>
      <c r="T573" s="3" t="inlineStr">
        <is>
          <t>TREND_SERIES</t>
        </is>
      </c>
      <c r="U573" s="3" t="inlineStr">
        <is>
          <t>ACTIVE</t>
        </is>
      </c>
      <c r="V573" s="3" t="inlineStr">
        <is>
          <t>2026-08-27</t>
        </is>
      </c>
      <c r="W573" s="3" t="n"/>
      <c r="X573" s="3" t="n"/>
      <c r="Y573" s="3" t="inlineStr">
        <is>
          <t>NOTHING OPEN</t>
        </is>
      </c>
    </row>
    <row r="574" ht="60" customHeight="1">
      <c r="A574" s="3" t="inlineStr">
        <is>
          <t>MK-XS-F-006</t>
        </is>
      </c>
      <c r="B574" s="3" t="inlineStr">
        <is>
          <t>pruneDaily</t>
        </is>
      </c>
      <c r="C574" s="3" t="inlineStr">
        <is>
          <t>src/domain/history.ts</t>
        </is>
      </c>
      <c r="D574" s="3" t="n">
        <v>106</v>
      </c>
      <c r="E574" s="3" t="inlineStr">
        <is>
          <t>3 · DEPENDENT</t>
        </is>
      </c>
      <c r="F574" s="3" t="inlineStr">
        <is>
          <t>Prune helper for the store writer: newest DAILY_KEEP days survive.</t>
        </is>
      </c>
      <c r="G574" s="11" t="inlineStr">
        <is>
          <t>keys = the names in daily, in order
daily   when keys.length ≤ DAILY_KEEP
keep = a list with no repeats of keys.slice(-DAILY_KEEP)
the answer = object.from entries(object.entries(daily).filter(([k]) =&gt; keep.has(k)))</t>
        </is>
      </c>
      <c r="H574" s="3" t="inlineStr">
        <is>
          <t>Keys: the names in daily, in order. When keys.length is at most DAILY_KEEP, it answers daily. Keep is a list with no repeats of keys.slice(-DAILY_KEEP). The answer is object.from entries(object.entries(daily).filter(([k]) =&gt; keep.has(k))).</t>
        </is>
      </c>
      <c r="I574" s="3" t="inlineStr">
        <is>
          <t>PARTLY READ — some of the code is still showing through; needs a hand pass</t>
        </is>
      </c>
      <c r="J574" s="3" t="inlineStr">
        <is>
          <t>daily: Record&lt;string, number&gt;</t>
        </is>
      </c>
      <c r="K574" s="3" t="inlineStr">
        <is>
          <t>Record&lt;string, number&gt;</t>
        </is>
      </c>
      <c r="L574" s="3" t="inlineStr">
        <is>
          <t>—</t>
        </is>
      </c>
      <c r="M574" s="3" t="inlineStr">
        <is>
          <t>None found in this function — anything it assumes comes from the functions it depends on.</t>
        </is>
      </c>
      <c r="N574" s="3" t="inlineStr">
        <is>
          <t>Yes</t>
        </is>
      </c>
      <c r="O574" s="3" t="inlineStr">
        <is>
          <t>MK-ST-F-056 has</t>
        </is>
      </c>
      <c r="P574" s="3" t="n">
        <v>1</v>
      </c>
      <c r="Q574" s="3" t="inlineStr">
        <is>
          <t>MK-ST-F-056 has</t>
        </is>
      </c>
      <c r="R574" s="3" t="inlineStr">
        <is>
          <t>MK-ST-F-056 has → MK-XS-F-006 pruneDaily</t>
        </is>
      </c>
      <c r="S574" s="3" t="inlineStr">
        <is>
          <t>—</t>
        </is>
      </c>
      <c r="T574" s="3" t="inlineStr">
        <is>
          <t>—</t>
        </is>
      </c>
      <c r="U574" s="3" t="inlineStr">
        <is>
          <t>ACTIVE</t>
        </is>
      </c>
      <c r="V574" s="3" t="inlineStr">
        <is>
          <t>2026-09-12</t>
        </is>
      </c>
      <c r="W574" s="3" t="n"/>
      <c r="X574" s="3" t="n"/>
      <c r="Y574" s="3" t="inlineStr">
        <is>
          <t>NOTHING OPEN</t>
        </is>
      </c>
    </row>
    <row r="575" ht="60" customHeight="1">
      <c r="A575" s="3" t="inlineStr">
        <is>
          <t>MK-XS-F-007</t>
        </is>
      </c>
      <c r="B575" s="3" t="inlineStr">
        <is>
          <t>makeMonthlySnapshot</t>
        </is>
      </c>
      <c r="C575" s="3" t="inlineStr">
        <is>
          <t>src/domain/history.ts</t>
        </is>
      </c>
      <c r="D575" s="3" t="n">
        <v>196</v>
      </c>
      <c r="E575" s="3" t="inlineStr">
        <is>
          <t>2 · DISPLAYED</t>
        </is>
      </c>
      <c r="F575" s="3" t="inlineStr">
        <is>
          <t>The ONE writer — stamps the version and keeps the arithmetic identity by construction.</t>
        </is>
      </c>
      <c r="G575" s="11" t="inlineStr">
        <is>
          <t>net worth = gross assets − gross debt
v = the snapshot version</t>
        </is>
      </c>
      <c r="H575" s="3" t="inlineStr">
        <is>
          <t>Builds a month-end snapshot: net worth is assets minus debts, computed here and never stored as a third figure that could disagree with its own halves.</t>
        </is>
      </c>
      <c r="I575" s="3" t="inlineStr">
        <is>
          <t>READ BY HAND 2026-08-26 — checked line by line against the code</t>
        </is>
      </c>
      <c r="J575" s="3" t="inlineStr">
        <is>
          <t>i: Omit&lt;MonthlySnapshot, 'v' | 'net_worth'&gt; &amp; { net_worth?: number }</t>
        </is>
      </c>
      <c r="K575" s="3" t="inlineStr">
        <is>
          <t>MonthlySnapshot</t>
        </is>
      </c>
      <c r="L575" s="3" t="inlineStr">
        <is>
          <t>NOT FOUND — a screen calls it, but the words printed beside its answer could not be traced automatically. Needs reading.</t>
        </is>
      </c>
      <c r="M575" s="3" t="inlineStr">
        <is>
          <t>None found in this function — anything it assumes comes from the functions it depends on.</t>
        </is>
      </c>
      <c r="N575" s="3" t="inlineStr">
        <is>
          <t>Yes</t>
        </is>
      </c>
      <c r="O575" s="3" t="inlineStr">
        <is>
          <t>MK-XS-F-122 n</t>
        </is>
      </c>
      <c r="P575" s="3" t="n">
        <v>1</v>
      </c>
      <c r="Q575" s="3" t="inlineStr">
        <is>
          <t>MK-XS-F-122 n</t>
        </is>
      </c>
      <c r="R575" s="3" t="inlineStr">
        <is>
          <t>MK-XS-F-122 n → MK-XS-F-007 makeMonthlySnapshot</t>
        </is>
      </c>
      <c r="S575" s="3" t="inlineStr">
        <is>
          <t>—</t>
        </is>
      </c>
      <c r="T575" s="3" t="inlineStr">
        <is>
          <t>—</t>
        </is>
      </c>
      <c r="U575" s="3" t="inlineStr">
        <is>
          <t>ACTIVE</t>
        </is>
      </c>
      <c r="V575" s="3" t="inlineStr">
        <is>
          <t>2026-09-12</t>
        </is>
      </c>
      <c r="W575" s="3" t="n"/>
      <c r="X575" s="3" t="n"/>
      <c r="Y575" s="3" t="inlineStr">
        <is>
          <t>NOTHING OPEN</t>
        </is>
      </c>
    </row>
    <row r="576" ht="60" customHeight="1">
      <c r="A576" s="3" t="inlineStr">
        <is>
          <t>MK-XS-F-008</t>
        </is>
      </c>
      <c r="B576" s="3" t="inlineStr">
        <is>
          <t>normalizeSnapshot</t>
        </is>
      </c>
      <c r="C576" s="3" t="inlineStr">
        <is>
          <t>src/domain/history.ts</t>
        </is>
      </c>
      <c r="D576" s="3" t="n">
        <v>236</v>
      </c>
      <c r="E576" s="3" t="inlineStr">
        <is>
          <t>3 · DEPENDENT</t>
        </is>
      </c>
      <c r="F576" s="3" t="inlineStr">
        <is>
          <t>Normalize ONE stored entry: v1 passes validated; a legacy blob (no `v`) maps best-effort; anything without a real month + net worth is dropped (null), never charted.</t>
        </is>
      </c>
      <c r="G576"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76"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76" s="3" t="inlineStr">
        <is>
          <t>PARTLY READ — some of the code is still showing through; needs a hand pass</t>
        </is>
      </c>
      <c r="J576" s="3" t="inlineStr">
        <is>
          <t>1. ym: string
2. raw: unknown</t>
        </is>
      </c>
      <c r="K576" s="3" t="inlineStr">
        <is>
          <t>MonthlySnapshot | null</t>
        </is>
      </c>
      <c r="L576" s="3" t="inlineStr">
        <is>
          <t>—</t>
        </is>
      </c>
      <c r="M576" s="3" t="inlineStr">
        <is>
          <t>None found in this function — anything it assumes comes from the functions it depends on.</t>
        </is>
      </c>
      <c r="N576" s="3" t="inlineStr">
        <is>
          <t>Yes</t>
        </is>
      </c>
      <c r="O576" s="3" t="inlineStr">
        <is>
          <t>1. MK-XS-F-121 isYm
2. MK-XS-F-122 n
3. MK-CF-F-191 ym</t>
        </is>
      </c>
      <c r="P576" s="3" t="n">
        <v>3</v>
      </c>
      <c r="Q576" s="3" t="inlineStr">
        <is>
          <t>1. MK-XS-F-121 isYm
2. MK-XS-F-122 n
3. MK-CF-F-191 ym</t>
        </is>
      </c>
      <c r="R576" s="3" t="inlineStr">
        <is>
          <t>1. MK-XS-F-121 isYm → MK-XS-F-008 normalizeSnapshot
2. MK-XS-F-122 n → MK-XS-F-008 normalizeSnapshot
3. MK-CF-F-191 ym → MK-XS-F-008 normalizeSnapshot</t>
        </is>
      </c>
      <c r="S576" s="3" t="inlineStr">
        <is>
          <t>—</t>
        </is>
      </c>
      <c r="T576" s="3" t="inlineStr">
        <is>
          <t>SNAPSHOT_READ_ONE</t>
        </is>
      </c>
      <c r="U576" s="3" t="inlineStr">
        <is>
          <t>ACTIVE</t>
        </is>
      </c>
      <c r="V576" s="3" t="inlineStr">
        <is>
          <t>2026-09-09</t>
        </is>
      </c>
      <c r="W576" s="3" t="n"/>
      <c r="X576" s="3" t="n"/>
      <c r="Y576" s="3" t="inlineStr">
        <is>
          <t>NOTHING OPEN</t>
        </is>
      </c>
    </row>
    <row r="577" ht="60" customHeight="1">
      <c r="A577" s="3" t="inlineStr">
        <is>
          <t>MK-XS-F-009</t>
        </is>
      </c>
      <c r="B577" s="3" t="inlineStr">
        <is>
          <t>readHistory</t>
        </is>
      </c>
      <c r="C577" s="3" t="inlineStr">
        <is>
          <t>src/domain/history.ts</t>
        </is>
      </c>
      <c r="D577" s="3" t="n">
        <v>286</v>
      </c>
      <c r="E577" s="3" t="inlineStr">
        <is>
          <t>2 · DISPLAYED</t>
        </is>
      </c>
      <c r="F577" s="3" t="inlineStr">
        <is>
          <t>The ONE reader every history surface uses: normalized, garbage-free, sorted by month.</t>
        </is>
      </c>
      <c r="G577" s="11" t="inlineStr">
        <is>
          <t>for each stored month: normalize snapshot(month, value); drop the unreadable ones; sort by month, oldest first</t>
        </is>
      </c>
      <c r="H577" s="3" t="inlineStr">
        <is>
          <t>Reads the stored monthly snapshots, drops any that cannot be read, and sorts them oldest first. No arithmetic beyond the ordering.</t>
        </is>
      </c>
      <c r="I577" s="3" t="inlineStr">
        <is>
          <t>READ BY HAND 2026-08-26 — checked line by line against the code</t>
        </is>
      </c>
      <c r="J577" s="3" t="inlineStr">
        <is>
          <t>raw: Record&lt;string, unknown&gt; | null | undefined</t>
        </is>
      </c>
      <c r="K577" s="3" t="inlineStr">
        <is>
          <t>MonthlySnapshot[]</t>
        </is>
      </c>
      <c r="L577" s="3" t="inlineStr">
        <is>
          <t>NOT FOUND — a screen calls it, but the words printed beside its answer could not be traced automatically. Needs reading.</t>
        </is>
      </c>
      <c r="M577" s="3" t="inlineStr">
        <is>
          <t>None found in this function — anything it assumes comes from the functions it depends on.</t>
        </is>
      </c>
      <c r="N577" s="3" t="inlineStr">
        <is>
          <t>Yes</t>
        </is>
      </c>
      <c r="O577" s="3" t="inlineStr">
        <is>
          <t>1. MK-CF-F-132 map
2. MK-XS-F-008 normalizeSnapshot
3. MK-ST-F-030 record
4. MK-CF-F-191 ym</t>
        </is>
      </c>
      <c r="P577" s="3" t="n">
        <v>6</v>
      </c>
      <c r="Q577" s="3" t="inlineStr">
        <is>
          <t>1. MK-CF-F-132 map
2. MK-XS-F-008 normalizeSnapshot
3. MK-ST-F-030 record
4. MK-CF-F-191 ym
5. MK-XS-F-121 isYm
6. MK-XS-F-122 n</t>
        </is>
      </c>
      <c r="R577" s="3" t="inlineStr">
        <is>
          <t>1. MK-CF-F-132 map → MK-XS-F-009 readHistory
2. MK-XS-F-121 isYm → MK-XS-F-008 normalizeSnapshot → MK-XS-F-009 readHistory
3. MK-XS-F-122 n → MK-XS-F-008 normalizeSnapshot → MK-XS-F-009 readHistory
4. MK-CF-F-191 ym → MK-XS-F-008 normalizeSnapshot → MK-XS-F-009 readHistory
5. MK-ST-F-030 record → MK-XS-F-009 readHistory
6. MK-CF-F-191 ym → MK-XS-F-009 readHistory</t>
        </is>
      </c>
      <c r="S577" s="3" t="inlineStr">
        <is>
          <t>—</t>
        </is>
      </c>
      <c r="T577" s="3" t="inlineStr">
        <is>
          <t>SNAPSHOT_READ_ALL</t>
        </is>
      </c>
      <c r="U577" s="3" t="inlineStr">
        <is>
          <t>ACTIVE</t>
        </is>
      </c>
      <c r="V577" s="3" t="inlineStr">
        <is>
          <t>2026-09-12</t>
        </is>
      </c>
      <c r="W577" s="3" t="n"/>
      <c r="X577" s="3" t="n"/>
      <c r="Y577" s="3" t="inlineStr">
        <is>
          <t>NOTHING OPEN</t>
        </is>
      </c>
    </row>
    <row r="578" ht="60" customHeight="1">
      <c r="A578" s="3" t="inlineStr">
        <is>
          <t>MK-XS-F-011</t>
        </is>
      </c>
      <c r="B578" s="3" t="inlineStr">
        <is>
          <t>buildChangeWalk</t>
        </is>
      </c>
      <c r="C578" s="3" t="inlineStr">
        <is>
          <t>src/domain/history.ts</t>
        </is>
      </c>
      <c r="D578" s="3" t="n">
        <v>343</v>
      </c>
      <c r="E578" s="3" t="inlineStr">
        <is>
          <t>2 · DISPLAYED</t>
        </is>
      </c>
      <c r="F578" s="3" t="inlineStr">
        <is>
          <t>My net worth changed since last time — what actually caused it?</t>
        </is>
      </c>
      <c r="G578"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78"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78" s="3" t="inlineStr">
        <is>
          <t>PARTLY READ — some of the code is still showing through; needs a hand pass</t>
        </is>
      </c>
      <c r="J578" s="3" t="inlineStr">
        <is>
          <t>Nothing is handed to it</t>
        </is>
      </c>
      <c r="K578" s="3" t="inlineStr">
        <is>
          <t>NOT DECLARED — the code does not say what it gives back</t>
        </is>
      </c>
      <c r="L578" s="3" t="inlineStr">
        <is>
          <t>NOT FOUND — a screen calls it, but the words printed beside its answer could not be traced automatically. Needs reading.</t>
        </is>
      </c>
      <c r="M578" s="3" t="inlineStr">
        <is>
          <t>1. If contributions is missing it uses 0.
2. If withdrawals is missing it uses 0.
3. If dividends is missing it uses 0.
4. If interest is missing it uses 0.
5. If debt principal is missing it uses 0.</t>
        </is>
      </c>
      <c r="N578" s="3" t="inlineStr">
        <is>
          <t>Yes</t>
        </is>
      </c>
      <c r="O578" s="3" t="inlineStr">
        <is>
          <t>—</t>
        </is>
      </c>
      <c r="P578" s="3" t="n">
        <v>0</v>
      </c>
      <c r="Q578" s="3" t="inlineStr">
        <is>
          <t>None — no dependent function stands behind it</t>
        </is>
      </c>
      <c r="R578" s="3" t="inlineStr">
        <is>
          <t>No dependent function — it reads its inputs and answers</t>
        </is>
      </c>
      <c r="S578" s="3" t="inlineStr">
        <is>
          <t>—</t>
        </is>
      </c>
      <c r="T578" s="3" t="inlineStr">
        <is>
          <t>NW_CHANGE_WALK</t>
        </is>
      </c>
      <c r="U578" s="3" t="inlineStr">
        <is>
          <t>ACTIVE</t>
        </is>
      </c>
      <c r="V578" s="3" t="inlineStr">
        <is>
          <t>2026-09-09</t>
        </is>
      </c>
      <c r="W578" s="3" t="n"/>
      <c r="X578" s="3" t="n"/>
      <c r="Y578" s="3" t="inlineStr">
        <is>
          <t>NOTHING OPEN</t>
        </is>
      </c>
    </row>
    <row r="579" ht="60" customHeight="1">
      <c r="A579" s="3" t="inlineStr">
        <is>
          <t>MK-XS-F-012</t>
        </is>
      </c>
      <c r="B579" s="3" t="inlineStr">
        <is>
          <t>decodeCsvBase64</t>
        </is>
      </c>
      <c r="C579" s="3" t="inlineStr">
        <is>
          <t>src/domain/import/holdingsImport.ts</t>
        </is>
      </c>
      <c r="D579" s="3" t="n">
        <v>149</v>
      </c>
      <c r="E579" s="3" t="inlineStr">
        <is>
          <t>2 · DISPLAYED</t>
        </is>
      </c>
      <c r="F579" s="3" t="inlineStr">
        <is>
          <t>What is the text of the file that was picked?</t>
        </is>
      </c>
      <c r="G579"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79"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79" s="3" t="inlineStr">
        <is>
          <t>PARTLY READ — the body has a loop the extractor cannot render; the steps shown are the ones before it. Needs a hand pass (G23).</t>
        </is>
      </c>
      <c r="J579" s="3" t="inlineStr">
        <is>
          <t>b64: string</t>
        </is>
      </c>
      <c r="K579" s="3" t="inlineStr">
        <is>
          <t>string</t>
        </is>
      </c>
      <c r="L579" s="3" t="inlineStr">
        <is>
          <t>NOT FOUND — a screen calls it, but the words printed beside its answer could not be traced automatically. Needs reading.</t>
        </is>
      </c>
      <c r="M579" s="3" t="inlineStr">
        <is>
          <t>1. Uses a built-in start of 0.
2. Uses a built-in nul of 0.
3. Caps length at 400.</t>
        </is>
      </c>
      <c r="N579" s="3" t="inlineStr">
        <is>
          <t>Yes</t>
        </is>
      </c>
      <c r="O579" s="3" t="inlineStr">
        <is>
          <t>1. MK-XS-F-123 base64ToBytes
2. MK-XS-F-125 decodeUtf16
3. MK-XS-F-124 decodeUtf8</t>
        </is>
      </c>
      <c r="P579" s="3" t="n">
        <v>3</v>
      </c>
      <c r="Q579" s="3" t="inlineStr">
        <is>
          <t>1. MK-XS-F-123 base64ToBytes
2. MK-XS-F-125 decodeUtf16
3. MK-XS-F-124 decodeUtf8</t>
        </is>
      </c>
      <c r="R579" s="3" t="inlineStr">
        <is>
          <t>1. MK-XS-F-123 base64ToBytes → MK-XS-F-012 decodeCsvBase64
2. MK-XS-F-125 decodeUtf16 → MK-XS-F-012 decodeCsvBase64
3. MK-XS-F-124 decodeUtf8 → MK-XS-F-012 decodeCsvBase64</t>
        </is>
      </c>
      <c r="S579" s="3" t="inlineStr">
        <is>
          <t>—</t>
        </is>
      </c>
      <c r="T579" s="3" t="inlineStr">
        <is>
          <t>FILE_DECODE</t>
        </is>
      </c>
      <c r="U579" s="3" t="inlineStr">
        <is>
          <t>ACTIVE</t>
        </is>
      </c>
      <c r="V579" s="3" t="inlineStr">
        <is>
          <t>2026-09-08</t>
        </is>
      </c>
      <c r="W579" s="3" t="n"/>
      <c r="X579" s="3" t="n"/>
      <c r="Y579" s="3" t="inlineStr">
        <is>
          <t>NOTHING OPEN</t>
        </is>
      </c>
    </row>
    <row r="580" ht="60" customHeight="1">
      <c r="A580" s="3" t="inlineStr">
        <is>
          <t>MK-XS-F-013</t>
        </is>
      </c>
      <c r="B580" s="3" t="inlineStr">
        <is>
          <t>parseCsv</t>
        </is>
      </c>
      <c r="C580" s="3" t="inlineStr">
        <is>
          <t>src/domain/import/holdingsImport.ts</t>
        </is>
      </c>
      <c r="D580" s="3" t="n">
        <v>186</v>
      </c>
      <c r="E580" s="3" t="inlineStr">
        <is>
          <t>3 · DEPENDENT</t>
        </is>
      </c>
      <c r="F580" s="3" t="inlineStr">
        <is>
          <t>Minimal RFC-4180-ish CSV parser: handles quoted fields, embedded commas, "" escapes, CR/LF, BOM.</t>
        </is>
      </c>
      <c r="G580" s="11" t="inlineStr">
        <is>
          <t>rows = []
row = []
field = ''
in quotes = false
s = (text.char code at(0) = 0xFEFF ? text.slice(1) : text).replace( ÷ \r\n ÷ g, "\n").replace( ÷ \r ÷ g, "\n")
c = s[i]
the answer = rows where some((cell) =&gt; cell.trim() ! = '')</t>
        </is>
      </c>
      <c r="H580" s="3" t="inlineStr">
        <is>
          <t>Rows is []. Row is []. Field is ''. In quotes is false. S is (text.char code at(0) = 0xFEFF ? text.slice(1) : text).replace( divided by \r\n divided by g, "\n").replace( divided by \r divided by g, "\n"). C is s[i]. The answer is rows where some((cell) =&gt; cell.trim() ! = '').</t>
        </is>
      </c>
      <c r="I580" s="3" t="inlineStr">
        <is>
          <t>PARTLY READ — some of the code is still showing through; needs a hand pass</t>
        </is>
      </c>
      <c r="J580" s="3" t="inlineStr">
        <is>
          <t>text: string</t>
        </is>
      </c>
      <c r="K580" s="3" t="inlineStr">
        <is>
          <t>string[][]</t>
        </is>
      </c>
      <c r="L580" s="3" t="inlineStr">
        <is>
          <t>—</t>
        </is>
      </c>
      <c r="M580" s="3" t="inlineStr">
        <is>
          <t>None found in this function — anything it assumes comes from the functions it depends on.</t>
        </is>
      </c>
      <c r="N580" s="3" t="inlineStr">
        <is>
          <t>Yes</t>
        </is>
      </c>
      <c r="O580" s="3" t="inlineStr">
        <is>
          <t>—</t>
        </is>
      </c>
      <c r="P580" s="3" t="n">
        <v>0</v>
      </c>
      <c r="Q580" s="3" t="inlineStr">
        <is>
          <t>None — no dependent function stands behind it</t>
        </is>
      </c>
      <c r="R580" s="3" t="inlineStr">
        <is>
          <t>No dependent function — it reads its inputs and answers</t>
        </is>
      </c>
      <c r="S580" s="3" t="inlineStr">
        <is>
          <t>—</t>
        </is>
      </c>
      <c r="T580" s="3" t="inlineStr">
        <is>
          <t>FILE_PARSE</t>
        </is>
      </c>
      <c r="U580" s="3" t="inlineStr">
        <is>
          <t>ACTIVE</t>
        </is>
      </c>
      <c r="V580" s="3" t="inlineStr">
        <is>
          <t>2026-08-27</t>
        </is>
      </c>
      <c r="W580" s="3" t="n"/>
      <c r="X580" s="3" t="n"/>
      <c r="Y580" s="3" t="inlineStr">
        <is>
          <t>NOTHING OPEN</t>
        </is>
      </c>
    </row>
    <row r="581" ht="60" customHeight="1">
      <c r="A581" s="3" t="inlineStr">
        <is>
          <t>MK-XS-F-014</t>
        </is>
      </c>
      <c r="B581" s="3" t="inlineStr">
        <is>
          <t>classifyHolding</t>
        </is>
      </c>
      <c r="C581" s="3" t="inlineStr">
        <is>
          <t>Calculation Module code/engines/classify.ts</t>
        </is>
      </c>
      <c r="D581" s="3" t="n">
        <v>156</v>
      </c>
      <c r="E581" s="3" t="inlineStr">
        <is>
          <t>3 · DEPENDENT (feeds an action only)</t>
        </is>
      </c>
      <c r="F581" s="3" t="inlineStr">
        <is>
          <t>For a line in a FILE you upload: which class is it?</t>
        </is>
      </c>
      <c r="G581"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81"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81" s="3" t="inlineStr">
        <is>
          <t>PARTLY READ — some of the code is still showing through; needs a hand pass</t>
        </is>
      </c>
      <c r="J581" s="3" t="inlineStr">
        <is>
          <t>input: ClassifyInput</t>
        </is>
      </c>
      <c r="K581" s="3" t="inlineStr">
        <is>
          <t>Classified</t>
        </is>
      </c>
      <c r="L581" s="3" t="inlineStr">
        <is>
          <t>—</t>
        </is>
      </c>
      <c r="M581" s="3" t="inlineStr">
        <is>
          <t>None found in this function — anything it assumes comes from the functions it depends on.</t>
        </is>
      </c>
      <c r="N581" s="3" t="inlineStr">
        <is>
          <t>No</t>
        </is>
      </c>
      <c r="O581" s="3" t="inlineStr">
        <is>
          <t>1. MK-XS-F-147 call
2. MK-ST-F-056 has
3. MK-ST-F-001 looksFixedIncome</t>
        </is>
      </c>
      <c r="P581" s="3" t="n">
        <v>6</v>
      </c>
      <c r="Q581" s="3" t="inlineStr">
        <is>
          <t>1. MK-XS-F-147 call
2. MK-ST-F-056 has
3. MK-ST-F-001 looksFixedIncome
4. MK-ST-F-027 accountId
5. MK-XS-F-064 currentIdToken
6. MK-XS-F-112 relayUrl</t>
        </is>
      </c>
      <c r="R581"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81" s="3" t="inlineStr">
        <is>
          <t>—</t>
        </is>
      </c>
      <c r="T581" s="3" t="inlineStr">
        <is>
          <t>CLASS_FROM_FILE</t>
        </is>
      </c>
      <c r="U581" s="3" t="inlineStr">
        <is>
          <t>ACTIVE</t>
        </is>
      </c>
      <c r="V581" s="3" t="inlineStr">
        <is>
          <t>2026-08-27</t>
        </is>
      </c>
      <c r="W581" s="3" t="n"/>
      <c r="X581" s="3" t="n"/>
      <c r="Y581" s="3" t="inlineStr">
        <is>
          <t>NOTHING OPEN</t>
        </is>
      </c>
    </row>
    <row r="582" ht="60" customHeight="1">
      <c r="A582" s="3" t="inlineStr">
        <is>
          <t>MK-XS-F-015</t>
        </is>
      </c>
      <c r="B582" s="3" t="inlineStr">
        <is>
          <t>importHoldings</t>
        </is>
      </c>
      <c r="C582" s="3" t="inlineStr">
        <is>
          <t>src/domain/import/holdingsImport.ts</t>
        </is>
      </c>
      <c r="D582" s="3" t="n">
        <v>426</v>
      </c>
      <c r="E582" s="3" t="inlineStr">
        <is>
          <t>2 · DISPLAYED</t>
        </is>
      </c>
      <c r="F582" s="3" t="inlineStr">
        <is>
          <t>What holdings are in this file?</t>
        </is>
      </c>
      <c r="G582"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82"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82" s="3" t="inlineStr">
        <is>
          <t>PARTLY READ — some of the code is still showing through; needs a hand pass</t>
        </is>
      </c>
      <c r="J582" s="3" t="inlineStr">
        <is>
          <t>text: string</t>
        </is>
      </c>
      <c r="K582" s="3" t="inlineStr">
        <is>
          <t>ImportResult</t>
        </is>
      </c>
      <c r="L582" s="3" t="inlineStr">
        <is>
          <t>NOT FOUND — a screen calls it, but the words printed beside its answer could not be traced automatically. Needs reading.</t>
        </is>
      </c>
      <c r="M582" s="3" t="inlineStr">
        <is>
          <t>· Uses a built-in skipped of 0.</t>
        </is>
      </c>
      <c r="N582" s="3" t="inlineStr">
        <is>
          <t>Yes</t>
        </is>
      </c>
      <c r="O582" s="3" t="inlineStr">
        <is>
          <t>1. MK-XS-F-172 assetClassForSymbol
2. MK-XS-F-128 cleanTicker
3. MK-XS-F-126 findCol
4. MK-XS-F-129 findHeaderRow
5. MK-CF-F-132 map
6. MK-XS-F-171 numOrNaN
7. MK-XS-F-013 parseCsv
8. MK-XS-F-127 toIsoDate</t>
        </is>
      </c>
      <c r="P582" s="3" t="n">
        <v>23</v>
      </c>
      <c r="Q582" s="3" t="inlineStr">
        <is>
          <t>1. MK-XS-F-172 assetClassForSymbol
2. MK-XS-F-128 cleanTicker
3. MK-XS-F-126 findCol
4. MK-XS-F-129 findHeaderRow
5. MK-CF-F-132 map
6. MK-XS-F-171 numOrNaN
7. MK-XS-F-013 parseCsv
8. MK-XS-F-127 toIsoDate
9. MK-ST-F-011 classifyHoldingClass
10. MK-XS-F-122 n
11. MK-NW-F-124 maturityParts
12. MK-ST-F-010 nameEvidence
13. MK-NW-F-009 maturityClass
14. MK-CF-F-216 typed
15. MK-XS-F-147 call
16. MK-ST-F-056 has
17. MK-NW-F-011 assetClassOf
18. MK-ST-F-027 accountId
19. MK-XS-F-064 currentIdToken
20. MK-XS-F-112 relayUrl
21. MK-NW-F-120 classEvidenceOf
22. MK-CF-F-155 cash
23. MK-NW-F-008 incomeBearingClassOf</t>
        </is>
      </c>
      <c r="R582" s="3" t="inlineStr">
        <is>
          <t>1. MK-NW-F-011 assetClassOf → MK-NW-F-009 maturityClass → MK-NW-F-124 maturityParts → MK-ST-F-011 classifyHoldingClass → MK-XS-F-172 assetClassForSymbol → MK-XS-F-015 importHoldings
2. maturityParts (already above — a loop) → MK-NW-F-009 maturityClass → MK-NW-F-124 maturityParts → MK-ST-F-011 classifyHoldingClass → MK-XS-F-172 assetClassForSymbol → MK-XS-F-015 importHoldings
3. MK-CF-F-216 typed → MK-NW-F-009 maturityClass → MK-NW-F-124 maturityParts → MK-ST-F-011 classifyHoldingClass → MK-XS-F-172 assetClassForSymbol → MK-XS-F-015 importHoldings
4. MK-CF-F-216 typed → MK-NW-F-124 maturityParts → MK-ST-F-011 classifyHoldingClass → MK-XS-F-172 assetClassForSymbol → MK-XS-F-015 importHoldings
5. MK-ST-F-027 accountId → MK-XS-F-147 call → MK-ST-F-010 nameEvidence → MK-ST-F-011 classifyHoldingClass → MK-XS-F-172 assetClassForSymbol → MK-XS-F-015 importHoldings
6. MK-XS-F-064 currentIdToken → MK-XS-F-147 call → MK-ST-F-010 nameEvidence → MK-ST-F-011 classifyHoldingClass → MK-XS-F-172 assetClassForSymbol → MK-XS-F-015 importHoldings
7. MK-XS-F-112 relayUrl → MK-XS-F-147 call → MK-ST-F-010 nameEvidence → MK-ST-F-011 classifyHoldingClass → MK-XS-F-172 assetClassForSymbol → MK-XS-F-015 importHoldings
8. MK-ST-F-056 has → MK-ST-F-010 nameEvidence → MK-ST-F-011 classifyHoldingClass → MK-XS-F-172 assetClassForSymbol → MK-XS-F-015 importHoldings
9. … and 5 more paths</t>
        </is>
      </c>
      <c r="S582" s="3" t="inlineStr">
        <is>
          <t>—</t>
        </is>
      </c>
      <c r="T582" s="3" t="inlineStr">
        <is>
          <t>FILE_IMPORT</t>
        </is>
      </c>
      <c r="U582" s="3" t="inlineStr">
        <is>
          <t>ACTIVE</t>
        </is>
      </c>
      <c r="V582" s="3" t="inlineStr">
        <is>
          <t>2026-08-27</t>
        </is>
      </c>
      <c r="W582" s="3" t="n"/>
      <c r="X582" s="3" t="n"/>
      <c r="Y582" s="3" t="inlineStr">
        <is>
          <t>NOTHING OPEN</t>
        </is>
      </c>
    </row>
    <row r="583" ht="45" customHeight="1">
      <c r="A583" s="3" t="inlineStr">
        <is>
          <t>MK-XS-F-016</t>
        </is>
      </c>
      <c r="B583" s="3" t="inlineStr">
        <is>
          <t>matchImportAccount</t>
        </is>
      </c>
      <c r="C583" s="3" t="inlineStr">
        <is>
          <t>src/domain/import/holdingsImport.ts</t>
        </is>
      </c>
      <c r="D583" s="3" t="n">
        <v>538</v>
      </c>
      <c r="E583" s="3" t="inlineStr">
        <is>
          <t>2 · DISPLAYED</t>
        </is>
      </c>
      <c r="F583" s="3" t="inlineStr">
        <is>
          <t>The existing account a fresh import from `institution` should offer to update (or null).</t>
        </is>
      </c>
      <c r="G583" s="11" t="inlineStr">
        <is>
          <t>target = norm inst(institution)
nothing   when target is missing
nothing   when count of candidates is missing</t>
        </is>
      </c>
      <c r="H583" s="3" t="inlineStr">
        <is>
          <t>Target is norm inst(institution). When target is missing, it answers no answer. When how many candidates is missing there are, it answers no answer.</t>
        </is>
      </c>
      <c r="I583" s="3" t="inlineStr">
        <is>
          <t>READ FROM THE CODE — rendered from the expressions the function runs</t>
        </is>
      </c>
      <c r="J583" s="3" t="inlineStr">
        <is>
          <t>1. accounts: AssetAccount[]
2. institution: string</t>
        </is>
      </c>
      <c r="K583" s="3" t="inlineStr">
        <is>
          <t>AssetAccount | null</t>
        </is>
      </c>
      <c r="L583" s="3" t="inlineStr">
        <is>
          <t>"Account name" — on the Import holdings screen, under "REVIEW YOUR HOLDINGS"</t>
        </is>
      </c>
      <c r="M583" s="3" t="inlineStr">
        <is>
          <t>· If balance is missing it counts as zero, so nothing recorded and a real zero look the same.</t>
        </is>
      </c>
      <c r="N583" s="3" t="inlineStr">
        <is>
          <t>Yes</t>
        </is>
      </c>
      <c r="O583" s="3" t="inlineStr">
        <is>
          <t>MK-XS-F-130 normInst</t>
        </is>
      </c>
      <c r="P583" s="3" t="n">
        <v>1</v>
      </c>
      <c r="Q583" s="3" t="inlineStr">
        <is>
          <t>MK-XS-F-130 normInst</t>
        </is>
      </c>
      <c r="R583" s="3" t="inlineStr">
        <is>
          <t>MK-XS-F-130 normInst → MK-XS-F-016 matchImportAccount</t>
        </is>
      </c>
      <c r="S583" s="3" t="inlineStr">
        <is>
          <t>—</t>
        </is>
      </c>
      <c r="T583" s="3" t="inlineStr">
        <is>
          <t>IMPORT_ACCOUNT_MATCH</t>
        </is>
      </c>
      <c r="U583" s="3" t="inlineStr">
        <is>
          <t>ACTIVE</t>
        </is>
      </c>
      <c r="V583" s="3" t="inlineStr">
        <is>
          <t>2026-08-27</t>
        </is>
      </c>
      <c r="W583" s="3" t="n"/>
      <c r="X583" s="3" t="n"/>
      <c r="Y583" s="3" t="inlineStr">
        <is>
          <t>NOTHING OPEN</t>
        </is>
      </c>
    </row>
    <row r="584" ht="60" customHeight="1">
      <c r="A584" s="3" t="inlineStr">
        <is>
          <t>MK-XS-F-017</t>
        </is>
      </c>
      <c r="B584" s="3" t="inlineStr">
        <is>
          <t>currentAge</t>
        </is>
      </c>
      <c r="C584" s="3" t="inlineStr">
        <is>
          <t>src/domain/profile/calc.ts</t>
        </is>
      </c>
      <c r="D584" s="3" t="n">
        <v>35</v>
      </c>
      <c r="E584" s="3" t="inlineStr">
        <is>
          <t>3 · DEPENDENT</t>
        </is>
      </c>
      <c r="F584" s="3" t="inlineStr">
        <is>
          <t>Age in whole years from birth month/year, as of `asOf` (defaults to now).</t>
        </is>
      </c>
      <c r="G584" s="11" t="inlineStr">
        <is>
          <t>nothing   when birth year is missing (or birth month is missing when missing or zero)
age = as of.get full year() − birth year
month idx = birth month − 1
the answer:
age   if age ≥ 0
nothing   otherwise</t>
        </is>
      </c>
      <c r="H584" s="3" t="inlineStr">
        <is>
          <t>When birth year is missing (or birth month is missing — when missing or zero), it answers no answer. Age is as of.get full year() minus birth year. Month idx is birth month minus 1. The answer is age — when age is at least 0; no answer — otherwise.</t>
        </is>
      </c>
      <c r="I584" s="3" t="inlineStr">
        <is>
          <t>PARTLY READ — some of the code is still showing through; needs a hand pass</t>
        </is>
      </c>
      <c r="J584" s="3" t="inlineStr">
        <is>
          <t>Nothing is handed to it</t>
        </is>
      </c>
      <c r="K584" s="3" t="inlineStr">
        <is>
          <t>NOT DECLARED — the code does not say what it gives back</t>
        </is>
      </c>
      <c r="L584" s="3" t="inlineStr">
        <is>
          <t>—</t>
        </is>
      </c>
      <c r="M584" s="3" t="inlineStr">
        <is>
          <t>· Uses today's date from the device clock, so the answer changes by itself overnight.</t>
        </is>
      </c>
      <c r="N584" s="3" t="inlineStr">
        <is>
          <t>Yes</t>
        </is>
      </c>
      <c r="O584" s="3" t="inlineStr">
        <is>
          <t>—</t>
        </is>
      </c>
      <c r="P584" s="3" t="n">
        <v>0</v>
      </c>
      <c r="Q584" s="3" t="inlineStr">
        <is>
          <t>None — no dependent function stands behind it</t>
        </is>
      </c>
      <c r="R584" s="3" t="inlineStr">
        <is>
          <t>No dependent function — it reads its inputs and answers</t>
        </is>
      </c>
      <c r="S584" s="3" t="inlineStr">
        <is>
          <t>—</t>
        </is>
      </c>
      <c r="T584" s="3" t="inlineStr">
        <is>
          <t>—</t>
        </is>
      </c>
      <c r="U584" s="3" t="inlineStr">
        <is>
          <t>ACTIVE</t>
        </is>
      </c>
      <c r="V584" s="3" t="inlineStr">
        <is>
          <t>2026-08-27</t>
        </is>
      </c>
      <c r="W584" s="3" t="n"/>
      <c r="X584" s="3" t="n"/>
      <c r="Y584" s="6" t="inlineStr">
        <is>
          <t>TESTED, NOT VERIFIED (G9)</t>
        </is>
      </c>
    </row>
    <row r="585" ht="60" customHeight="1">
      <c r="A585" s="3" t="inlineStr">
        <is>
          <t>MK-XS-F-018</t>
        </is>
      </c>
      <c r="B585" s="3" t="inlineStr">
        <is>
          <t>yearsToRetirement</t>
        </is>
      </c>
      <c r="C585" s="3" t="inlineStr">
        <is>
          <t>src/domain/profile/calc.ts</t>
        </is>
      </c>
      <c r="D585" s="3" t="n">
        <v>108</v>
      </c>
      <c r="E585" s="3" t="inlineStr">
        <is>
          <t>3 · DEPENDENT</t>
        </is>
      </c>
      <c r="F585" s="3" t="inlineStr">
        <is>
          <t>Years until the target retirement age (never negative).</t>
        </is>
      </c>
      <c r="G585" s="11" t="inlineStr">
        <is>
          <t>nothing   when age = nothing (or target retirement age is missing when missing or zero)
max(0, target retirement age − age)</t>
        </is>
      </c>
      <c r="H585" s="3" t="inlineStr">
        <is>
          <t>When age is missing (or target retirement age is missing — when missing or zero), it answers no answer. target retirement age minus age, never below zero.</t>
        </is>
      </c>
      <c r="I585" s="3" t="inlineStr">
        <is>
          <t>READ FROM THE CODE — rendered from the expressions the function runs</t>
        </is>
      </c>
      <c r="J585" s="3" t="inlineStr">
        <is>
          <t>1. age: number | null
2. targetRetirementAge: number | null</t>
        </is>
      </c>
      <c r="K585" s="3" t="inlineStr">
        <is>
          <t>number | null</t>
        </is>
      </c>
      <c r="L585" s="3" t="inlineStr">
        <is>
          <t>—</t>
        </is>
      </c>
      <c r="M585" s="3" t="inlineStr">
        <is>
          <t>None found in this function — anything it assumes comes from the functions it depends on.</t>
        </is>
      </c>
      <c r="N585" s="3" t="inlineStr">
        <is>
          <t>Yes</t>
        </is>
      </c>
      <c r="O585" s="3" t="inlineStr">
        <is>
          <t>—</t>
        </is>
      </c>
      <c r="P585" s="3" t="n">
        <v>0</v>
      </c>
      <c r="Q585" s="3" t="inlineStr">
        <is>
          <t>None — no dependent function stands behind it</t>
        </is>
      </c>
      <c r="R585" s="3" t="inlineStr">
        <is>
          <t>No dependent function — it reads its inputs and answers</t>
        </is>
      </c>
      <c r="S585" s="3" t="inlineStr">
        <is>
          <t>—</t>
        </is>
      </c>
      <c r="T585" s="3" t="inlineStr">
        <is>
          <t>—</t>
        </is>
      </c>
      <c r="U585" s="3" t="inlineStr">
        <is>
          <t>ACTIVE</t>
        </is>
      </c>
      <c r="V585" s="3" t="inlineStr">
        <is>
          <t>2026-08-27</t>
        </is>
      </c>
      <c r="W585" s="3" t="n"/>
      <c r="X585" s="3" t="n"/>
      <c r="Y585" s="3" t="inlineStr">
        <is>
          <t>NOTHING OPEN</t>
        </is>
      </c>
    </row>
    <row r="586" ht="60" customHeight="1">
      <c r="A586" s="3" t="inlineStr">
        <is>
          <t>MK-XS-F-019</t>
        </is>
      </c>
      <c r="B586" s="3" t="inlineStr">
        <is>
          <t>retirementHorizonYears</t>
        </is>
      </c>
      <c r="C586" s="3" t="inlineStr">
        <is>
          <t>src/domain/profile/calc.ts</t>
        </is>
      </c>
      <c r="D586" s="3" t="n">
        <v>138</v>
      </c>
      <c r="E586" s="3" t="inlineStr">
        <is>
          <t>3 · DEPENDENT</t>
        </is>
      </c>
      <c r="F586" s="3" t="inlineStr">
        <is>
          <t>Years the money must last: retirement → plan-to age (default horizon if unset).</t>
        </is>
      </c>
      <c r="G586" s="11" t="inlineStr">
        <is>
          <t>nothing   when target retirement age is missing
horizon = (plan to age ?? DEFAULT_PLAN_TO_AGE) − target retirement age
the answer:
horizon   if horizon &gt; 0
nothing   otherwise</t>
        </is>
      </c>
      <c r="H586" s="3" t="inlineStr">
        <is>
          <t>When target retirement age is missing, it answers no answer. Horizon is (plan to age ?? DEFAULT_PLAN_TO_AGE) minus target retirement age. The answer is horizon — when horizon &gt; 0; no answer — otherwise.</t>
        </is>
      </c>
      <c r="I586" s="3" t="inlineStr">
        <is>
          <t>PARTLY READ — some of the code is still showing through; needs a hand pass</t>
        </is>
      </c>
      <c r="J586" s="3" t="inlineStr">
        <is>
          <t>1. targetRetirementAge: number | null
2. planToAge: number | null</t>
        </is>
      </c>
      <c r="K586" s="3" t="inlineStr">
        <is>
          <t>number | null</t>
        </is>
      </c>
      <c r="L586" s="3" t="inlineStr">
        <is>
          <t>—</t>
        </is>
      </c>
      <c r="M586" s="3" t="inlineStr">
        <is>
          <t>None found in this function — anything it assumes comes from the functions it depends on.</t>
        </is>
      </c>
      <c r="N586" s="3" t="inlineStr">
        <is>
          <t>Yes</t>
        </is>
      </c>
      <c r="O586" s="3" t="inlineStr">
        <is>
          <t>—</t>
        </is>
      </c>
      <c r="P586" s="3" t="n">
        <v>0</v>
      </c>
      <c r="Q586" s="3" t="inlineStr">
        <is>
          <t>None — no dependent function stands behind it</t>
        </is>
      </c>
      <c r="R586" s="3" t="inlineStr">
        <is>
          <t>No dependent function — it reads its inputs and answers</t>
        </is>
      </c>
      <c r="S586" s="3" t="inlineStr">
        <is>
          <t>—</t>
        </is>
      </c>
      <c r="T586" s="3" t="inlineStr">
        <is>
          <t>—</t>
        </is>
      </c>
      <c r="U586" s="3" t="inlineStr">
        <is>
          <t>ACTIVE</t>
        </is>
      </c>
      <c r="V586" s="3" t="inlineStr">
        <is>
          <t>2026-08-27</t>
        </is>
      </c>
      <c r="W586" s="3" t="n"/>
      <c r="X586" s="3" t="n"/>
      <c r="Y586" s="3" t="inlineStr">
        <is>
          <t>NOTHING OPEN</t>
        </is>
      </c>
    </row>
    <row r="587" ht="60" customHeight="1">
      <c r="A587" s="3" t="inlineStr">
        <is>
          <t>MK-XS-F-020</t>
        </is>
      </c>
      <c r="B587" s="3" t="inlineStr">
        <is>
          <t>toReadModel</t>
        </is>
      </c>
      <c r="C587" s="3" t="inlineStr">
        <is>
          <t>src/domain/profile/calc.ts</t>
        </is>
      </c>
      <c r="D587" s="3" t="n">
        <v>168</v>
      </c>
      <c r="E587" s="3" t="inlineStr">
        <is>
          <t>3 · DEPENDENT</t>
        </is>
      </c>
      <c r="F587" s="3" t="inlineStr">
        <is>
          <t>Build the public read-model (profile + derived planning values).</t>
        </is>
      </c>
      <c r="G587" s="11" t="inlineStr">
        <is>
          <t>age = current age(birth year, birth month, as of)</t>
        </is>
      </c>
      <c r="H587" s="3" t="inlineStr">
        <is>
          <t>Age is current age(birth year, birth month, as of).</t>
        </is>
      </c>
      <c r="I587" s="3" t="inlineStr">
        <is>
          <t>READ FROM THE CODE — rendered from the expressions the function runs</t>
        </is>
      </c>
      <c r="J587" s="3" t="inlineStr">
        <is>
          <t>1. p: Profile
2. asOf: Date = new Date()</t>
        </is>
      </c>
      <c r="K587" s="3" t="inlineStr">
        <is>
          <t>ProfileReadModel</t>
        </is>
      </c>
      <c r="L587" s="3" t="inlineStr">
        <is>
          <t>—</t>
        </is>
      </c>
      <c r="M587" s="3" t="inlineStr">
        <is>
          <t>· Uses today's date from the device clock, so the answer changes by itself overnight.</t>
        </is>
      </c>
      <c r="N587" s="3" t="inlineStr">
        <is>
          <t>Yes</t>
        </is>
      </c>
      <c r="O587" s="3" t="inlineStr">
        <is>
          <t>1. MK-XS-F-017 currentAge
2. MK-XS-F-019 retirementHorizonYears
3. MK-XS-F-018 yearsToRetirement</t>
        </is>
      </c>
      <c r="P587" s="3" t="n">
        <v>3</v>
      </c>
      <c r="Q587" s="3" t="inlineStr">
        <is>
          <t>1. MK-XS-F-017 currentAge
2. MK-XS-F-019 retirementHorizonYears
3. MK-XS-F-018 yearsToRetirement</t>
        </is>
      </c>
      <c r="R587" s="3" t="inlineStr">
        <is>
          <t>1. MK-XS-F-017 currentAge → MK-XS-F-020 toReadModel
2. MK-XS-F-019 retirementHorizonYears → MK-XS-F-020 toReadModel
3. MK-XS-F-018 yearsToRetirement → MK-XS-F-020 toReadModel</t>
        </is>
      </c>
      <c r="S587" s="3" t="inlineStr">
        <is>
          <t>—</t>
        </is>
      </c>
      <c r="T587" s="3" t="inlineStr">
        <is>
          <t>—</t>
        </is>
      </c>
      <c r="U587" s="3" t="inlineStr">
        <is>
          <t>ACTIVE</t>
        </is>
      </c>
      <c r="V587" s="3" t="inlineStr">
        <is>
          <t>2026-08-27</t>
        </is>
      </c>
      <c r="W587" s="3" t="n"/>
      <c r="X587" s="3" t="n"/>
      <c r="Y587" s="3" t="inlineStr">
        <is>
          <t>NOTHING OPEN</t>
        </is>
      </c>
    </row>
    <row r="588" ht="60" customHeight="1">
      <c r="A588" s="3" t="inlineStr">
        <is>
          <t>MK-XS-F-021</t>
        </is>
      </c>
      <c r="B588" s="3" t="inlineStr">
        <is>
          <t>loadProfile</t>
        </is>
      </c>
      <c r="C588" s="3" t="inlineStr">
        <is>
          <t>src/domain/profile/index.ts</t>
        </is>
      </c>
      <c r="D588" s="3" t="n">
        <v>35</v>
      </c>
      <c r="E588" s="3" t="inlineStr">
        <is>
          <t>3 · DEPENDENT (feeds an action only)</t>
        </is>
      </c>
      <c r="F588" s="3" t="inlineStr">
        <is>
          <t>NOT DETERMINED — the code carries no note saying what this is for, and it has no row in the old inventory. Needs reading.</t>
        </is>
      </c>
      <c r="G588" s="11" t="inlineStr">
        <is>
          <t>get user doc&lt;profile&gt;(COLLECTION, uid)</t>
        </is>
      </c>
      <c r="H588" s="3" t="inlineStr">
        <is>
          <t>get user doc&lt;profile&gt;(COLLECTION, uid).</t>
        </is>
      </c>
      <c r="I588" s="3" t="inlineStr">
        <is>
          <t>READ FROM THE CODE — rendered from the expressions the function runs</t>
        </is>
      </c>
      <c r="J588" s="3" t="inlineStr">
        <is>
          <t>uid: UserId</t>
        </is>
      </c>
      <c r="K588" s="3" t="inlineStr">
        <is>
          <t>Promise&lt;Profile | null&gt;</t>
        </is>
      </c>
      <c r="L588" s="3" t="inlineStr">
        <is>
          <t>—</t>
        </is>
      </c>
      <c r="M588" s="3" t="inlineStr">
        <is>
          <t>None found in this function — anything it assumes comes from the functions it depends on.</t>
        </is>
      </c>
      <c r="N588" s="3" t="inlineStr">
        <is>
          <t>No</t>
        </is>
      </c>
      <c r="O588" s="3" t="inlineStr">
        <is>
          <t>MK-XS-F-175 uid</t>
        </is>
      </c>
      <c r="P588" s="3" t="n">
        <v>206</v>
      </c>
      <c r="Q588"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588"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88" s="3" t="inlineStr">
        <is>
          <t>—</t>
        </is>
      </c>
      <c r="T588" s="3" t="inlineStr">
        <is>
          <t>—</t>
        </is>
      </c>
      <c r="U588" s="3" t="inlineStr">
        <is>
          <t>ACTIVE</t>
        </is>
      </c>
      <c r="V588" s="3" t="inlineStr">
        <is>
          <t>2026-08-27</t>
        </is>
      </c>
      <c r="W588" s="3" t="n"/>
      <c r="X588" s="3" t="n"/>
      <c r="Y588" s="3" t="inlineStr">
        <is>
          <t>NOTHING OPEN</t>
        </is>
      </c>
    </row>
    <row r="589" ht="60" customHeight="1">
      <c r="A589" s="3" t="inlineStr">
        <is>
          <t>MK-XS-F-022</t>
        </is>
      </c>
      <c r="B589" s="3" t="inlineStr">
        <is>
          <t>saveProfile</t>
        </is>
      </c>
      <c r="C589" s="3" t="inlineStr">
        <is>
          <t>src/domain/profile/index.ts</t>
        </is>
      </c>
      <c r="D589" s="3" t="n">
        <v>54</v>
      </c>
      <c r="E589" s="3" t="inlineStr">
        <is>
          <t>1 · ACTION</t>
        </is>
      </c>
      <c r="F589" s="3" t="inlineStr">
        <is>
          <t>NOT DETERMINED — the code carries no note saying what this is for, and it has no row in the old inventory. Needs reading.</t>
        </is>
      </c>
      <c r="G589" s="11" t="inlineStr">
        <is>
          <t>It records or announces something and returns no figure — no arithmetic of its own.</t>
        </is>
      </c>
      <c r="H589" s="3" t="inlineStr">
        <is>
          <t>It records or announces something and returns no figure — no arithmetic of its own.</t>
        </is>
      </c>
      <c r="I589" s="3" t="inlineStr">
        <is>
          <t>NO ARITHMETIC — there is no formula to state</t>
        </is>
      </c>
      <c r="J589" s="3" t="inlineStr">
        <is>
          <t>profile: Profile</t>
        </is>
      </c>
      <c r="K589" s="3" t="inlineStr">
        <is>
          <t>Promise&lt;void&gt;</t>
        </is>
      </c>
      <c r="L589" s="3" t="inlineStr">
        <is>
          <t>—</t>
        </is>
      </c>
      <c r="M589" s="3" t="inlineStr">
        <is>
          <t>None found in this function — anything it assumes comes from the functions it depends on.</t>
        </is>
      </c>
      <c r="N589" s="3" t="inlineStr">
        <is>
          <t>Yes</t>
        </is>
      </c>
      <c r="O589" s="3" t="inlineStr">
        <is>
          <t>1. MK-ST-F-040 emit
2. MK-ST-F-042 setUserDoc</t>
        </is>
      </c>
      <c r="P589" s="3" t="n">
        <v>208</v>
      </c>
      <c r="Q589"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MK-CF-F-218 moveOldRentFigure
22. MK-XS-F-122 n
23. MK-ST-F-043 newEntityId
24. MK-XS-F-006 pruneDaily
25. MK-ST-F-073 rebuildDays
26. MK-NW-F-054 reclassifyAccounts
27. MK-XS-F-174 recomputeBalances
28. MK-CF-F-115 restoreUndo
29. MK-CF-F-109 reviewTransactions
30. MK-ST-F-044 setMoneyFormat
31. MK-NW-O-004 theEmergencyFund
32. MK-CF-F-114 undoSnapshot
33. MK-CF-F-191 ym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MK-CF-F-217 hasOldRentFigure
47. MK-CF-F-216 typed
48. MK-ST-F-069 amountOf
49. MK-CF-F-133 cashOf
50. MK-ST-F-066 isDayKey
51. MK-ST-F-070 isOpening
52. MK-ST-F-039 on
53. MK-ST-F-071 rebuildableFrom
54. MK-ST-F-068 stepDay
55. MK-ST-F-072 undo
56. MK-NW-F-053 correctClassOf
57. MK-NW-F-123 holdingNameEvidence
58. MK-NW-F-121 holdingTagClass
59. MK-NW-F-122 holdingTagFor
60. MK-PF-F-002 costBasis
61. MK-PF-F-009 latestClose
62. MK-PF-F-004 marketValue
63. MK-ST-F-030 record
64. MK-XS-F-024 resolveLens
65. MK-ST-F-055 round2
66. MK-CF-F-162 daysApart
67. MK-CF-F-108 isMoneyOut
68. MK-PL-F-074 median
69. MK-CF-F-131 normPayee
70. MK-CF-F-155 cash
71. MK-NW-F-016 cashTotal
72. MK-CF-F-010 emergencyTest
73. MK-CF-F-190 essentialsMonthly
74. MK-CF-O-004 incomeSummary
75. MK-CF-F-009 monthlyEssentials
76. MK-CF-F-022 paymentShape
77. MK-CF-F-002 plannedMonthlySpend
78. MK-NW-F-117 propertyUseMap
79. MK-ST-F-085 rentFigure
80. MK-CF-O-020 theBudgetCounted
81. MK-CF-F-113 affectedAccountIds
82. MK-CF-F-134 usesSleeve
83. MK-ST-F-049 formatMoney
84. MK-CF-F-101 taxOwedFor
85. MK-ST-F-067 utcOfDay
86. MK-ST-F-035 covers
87. MK-NW-F-120 classEvidenceOf
88. MK-NW-F-008 incomeBearingClassOf
89. MK-PF-F-031 contractMultiplier
90. MK-PF-F-035 unknownFigure
91. MK-CF-F-072 currentRetirementIncomeMonthly
92. MK-NW-F-027 accountClassBreakdown
93. MK-NW-F-029 assetAllocation
94. MK-NW-F-011 assetClassOf
95. MK-CF-F-189 essentialsFromLoggedSpending
96. MK-CF-O-002 expenses
97. MK-CF-F-203 MONTH
98. MK-CF-O-001 basePay
99. MK-CF-F-069 benefitActiveMonths
100. MK-CF-F-173 earnerWages
101. MK-CF-F-179 entryFromWage
102. MK-CF-F-071 extraIncome
103. MK-CF-F-092 incomeMonthlyGrid
104. MK-CF-F-192 inflowLabel
105. MK-CF-F-103 marginalBracketFor
106. MK-CF-F-181 rateInForce
107. MK-CF-F-068 rentalNetAnnual
108. MK-CF-F-082 salaryAnnual
109. MK-CF-F-060 salaryGrossByMonth
110. MK-CF-F-084 taxableAnnual
111. MK-CF-F-120 pctBaseMonthly
112. MK-CF-F-004 spendBuckets
113. MK-CF-F-021 defaultPaymentType
114. MK-XS-F-027 takeHomeMonthly
115. MK-NW-F-116 rentedIdsOf
116. MK-NW-F-106 mortgagesByProperty
117. MK-NW-F-107 propertyUses
118. MK-ST-F-048 currencySymbol
119. MK-CF-F-100 taxableIncomeFor
120. MK-ST-F-034 firstDate
121. MK-NW-F-009 maturityClass
122. MK-ST-F-010 nameEvidence
123. MK-CF-F-075 retirementIncomeMonthly
124. MK-NW-F-109 holdingClassOf
125. MK-NW-F-067 plural
126. MK-CF-F-151 actualSpending
127. MK-CF-F-150 debtPaymentsCountedAsExpenses
128. MK-CF-F-153 radar
129. MK-CF-F-149 recurringDebtPayments
130. MK-CF-O-010 theMonth
131. MK-CF-F-171 earnerPay
132. MK-CF-F-204 line
133. MK-HM-F-006 money0
134. MK-CF-F-198 payrollTaxWithheld
135. MK-CF-F-172 hasWage
136. MK-CF-F-165 salaryMonths
137. MK-CF-F-070 benefitAnnual
138. MK-CF-F-065 equityVestWeights
139. MK-CF-F-206 householdK401ByMonth
140. MK-CF-F-087 monthlyTaxRates
141. MK-CF-F-073 otherIncomeMonth
142. MK-CF-F-066 rsuAnnual
143. MK-CF-F-077 scholarshipByCalendarMonth
144. MK-CF-F-088 taxableByCalendarMonth
145. MK-CF-F-177 wageGrossByMonth
146. MK-PL-F-012 waterfall
147. MK-CF-F-193 inflowSourceWord
148. MK-CF-F-180 enteredLandsAnnual
149. MK-CF-F-086 stateRateOf
150. MK-CF-F-067 rentalList
151. MK-CF-F-176 sumMonthsOverEarners
152. MK-CF-F-074 tipsAnnual
153. MK-CF-F-003 categoryMonthly
154. MK-CF-F-011 savingsByMonth
155. MK-NW-F-115 liveRent
156. MK-CF-F-023 requiredPayment
157. MK-ST-F-047 activeCurrency
158. MK-CF-F-099 deductionFor
159. MK-NW-F-124 maturityParts
160. MK-XS-F-147 call
161. MK-CF-F-148 inMonth
162. MK-CF-F-152 isRadarItem
163. MK-CF-O-003 thisMonth
164. MK-CF-F-143 annualisedGross
165. MK-CF-F-145 deductionsFromPay
166. MK-CF-F-128 grossByMonth
167. MK-CF-F-146 payFiguresAgree
168. MK-CF-F-144 takeHomeAsEntered
169. MK-XS-F-180 declareFigures
170. MK-HM-F-005 pctTxt
171. MK-CF-F-062 equityRowValue
172. MK-CF-F-090 effectiveRate
173. MK-CF-F-063 rowVestYear
174. MK-CF-F-130 enteredMonthlyRaw
175. MK-CF-F-166 hasMonthlySalaryTable
176. MK-ST-F-036 reconcile
177. MK-CF-F-167 salaryCalendarYear
178. MK-CF-F-081 salaryActiveMonths
179. MK-CF-F-008 spendByMonth
180. MK-NW-F-114 rentAmount
181. MK-CF-F-187 seniorDeductionFor
182. MK-XS-F-064 currentIdToken
183. MK-XS-F-112 relayUrl
184. MK-CF-F-005 actualMonthFlow
185. MK-CF-F-156 plannedMonthFlow
186. MK-CF-F-142 monthsOf
187. MK-CF-F-141 perMonth
188. MK-NW-F-078 ONE
189. MK-CF-F-157 debtPaymentsByDebt
190. MK-CF-F-140 periodsAYear
191. MK-NW-F-077 ALL
192. MK-NW-F-059 currentYield
193. MK-NW-O-001 theBonds
194. MK-NW-F-112 yearlyInterest
195. MK-NW-F-057 annualCoupon
196. MK-NW-F-056 bondInfo
197. MK-NW-F-064 bondRateSensitivity
198. MK-NW-F-061 bondSummary
199. MK-NW-F-055 isBond
200. MK-NW-F-072 rowOf
201. MK-NW-F-060 approxYTM
202. MK-NW-F-069 priceAtYield
203. MK-NW-F-131 pricedLikeBond
204. MK-NW-F-125 isPastMaturity
205. MK-NW-F-126 yearlyInterestNow
206. MK-NW-F-070 accruedInterestCaveat
207. MK-NW-F-058 yearsToMaturity
208. MK-NW-F-119 estimatedAccrued</t>
        </is>
      </c>
      <c r="R589"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89" s="3" t="inlineStr">
        <is>
          <t>—</t>
        </is>
      </c>
      <c r="T589" s="3" t="inlineStr">
        <is>
          <t>—</t>
        </is>
      </c>
      <c r="U589" s="3" t="inlineStr">
        <is>
          <t>ACTIVE</t>
        </is>
      </c>
      <c r="V589" s="3" t="inlineStr">
        <is>
          <t>2026-08-27</t>
        </is>
      </c>
      <c r="W589" s="3" t="n"/>
      <c r="X589" s="3" t="n"/>
      <c r="Y589" s="3" t="inlineStr">
        <is>
          <t>NOTHING OPEN</t>
        </is>
      </c>
    </row>
    <row r="590" ht="60" customHeight="1">
      <c r="A590" s="3" t="inlineStr">
        <is>
          <t>MK-XS-F-023</t>
        </is>
      </c>
      <c r="B590" s="3" t="inlineStr">
        <is>
          <t>getProfileReadModel</t>
        </is>
      </c>
      <c r="C590" s="3" t="inlineStr">
        <is>
          <t>src/domain/profile/index.ts</t>
        </is>
      </c>
      <c r="D590" s="3" t="n">
        <v>78</v>
      </c>
      <c r="E590" s="3" t="inlineStr">
        <is>
          <t>3 · DEPENDENT (feeds an action only)</t>
        </is>
      </c>
      <c r="F590" s="3" t="inlineStr">
        <is>
          <t>Profile + derived planning values (current age, years to retirement, horizon).</t>
        </is>
      </c>
      <c r="G590" s="11" t="inlineStr">
        <is>
          <t>p = await load profile(uid)
the answer:
to read model(p)   if p
nothing   otherwise</t>
        </is>
      </c>
      <c r="H590" s="3" t="inlineStr">
        <is>
          <t>P is await load profile(uid). The answer is to read model(p) — when p; no answer — otherwise.</t>
        </is>
      </c>
      <c r="I590" s="3" t="inlineStr">
        <is>
          <t>READ FROM THE CODE — rendered from the expressions the function runs</t>
        </is>
      </c>
      <c r="J590" s="3" t="inlineStr">
        <is>
          <t>uid: UserId</t>
        </is>
      </c>
      <c r="K590" s="3" t="inlineStr">
        <is>
          <t>Promise&lt;ProfileReadModel | null&gt;</t>
        </is>
      </c>
      <c r="L590" s="3" t="inlineStr">
        <is>
          <t>—</t>
        </is>
      </c>
      <c r="M590" s="3" t="inlineStr">
        <is>
          <t>None found in this function — anything it assumes comes from the functions it depends on.</t>
        </is>
      </c>
      <c r="N590" s="3" t="inlineStr">
        <is>
          <t>No</t>
        </is>
      </c>
      <c r="O590" s="3" t="inlineStr">
        <is>
          <t>1. MK-XS-F-021 loadProfile
2. MK-XS-F-020 toReadModel
3. MK-XS-F-175 uid</t>
        </is>
      </c>
      <c r="P590" s="3" t="n">
        <v>211</v>
      </c>
      <c r="Q590"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MK-CF-F-218 moveOldRentFigure
25. MK-XS-F-122 n
26. MK-ST-F-043 newEntityId
27. MK-XS-F-006 pruneDaily
28. MK-ST-F-073 rebuildDays
29. MK-NW-F-054 reclassifyAccounts
30. MK-XS-F-174 recomputeBalances
31. MK-CF-F-115 restoreUndo
32. MK-CF-F-109 reviewTransactions
33. MK-ST-F-044 setMoneyFormat
34. MK-NW-O-004 theEmergencyFund
35. MK-CF-F-114 undoSnapshot
36. MK-CF-F-191 ym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MK-CF-F-217 hasOldRentFigure
50. MK-CF-F-216 typed
51. MK-ST-F-069 amountOf
52. MK-CF-F-133 cashOf
53. MK-ST-F-066 isDayKey
54. MK-ST-F-070 isOpening
55. MK-ST-F-039 on
56. MK-ST-F-071 rebuildableFrom
57. MK-ST-F-068 stepDay
58. MK-ST-F-072 undo
59. MK-NW-F-053 correctClassOf
60. MK-NW-F-123 holdingNameEvidence
61. MK-NW-F-121 holdingTagClass
62. MK-NW-F-122 holdingTagFor
63. MK-PF-F-002 costBasis
64. MK-PF-F-009 latestClose
65. MK-PF-F-004 marketValue
66. MK-ST-F-030 record
67. MK-XS-F-024 resolveLens
68. MK-ST-F-055 round2
69. MK-CF-F-162 daysApart
70. MK-CF-F-108 isMoneyOut
71. MK-PL-F-074 median
72. MK-CF-F-131 normPayee
73. MK-CF-F-155 cash
74. MK-NW-F-016 cashTotal
75. MK-CF-F-010 emergencyTest
76. MK-CF-F-190 essentialsMonthly
77. MK-CF-O-004 incomeSummary
78. MK-CF-F-009 monthlyEssentials
79. MK-CF-F-022 paymentShape
80. MK-CF-F-002 plannedMonthlySpend
81. MK-NW-F-117 propertyUseMap
82. MK-ST-F-085 rentFigure
83. MK-CF-O-020 theBudgetCounted
84. MK-CF-F-113 affectedAccountIds
85. MK-CF-F-134 usesSleeve
86. MK-ST-F-049 formatMoney
87. MK-CF-F-101 taxOwedFor
88. MK-ST-F-067 utcOfDay
89. MK-ST-F-035 covers
90. MK-NW-F-120 classEvidenceOf
91. MK-NW-F-008 incomeBearingClassOf
92. MK-PF-F-031 contractMultiplier
93. MK-PF-F-035 unknownFigure
94. MK-CF-F-072 currentRetirementIncomeMonthly
95. MK-NW-F-027 accountClassBreakdown
96. MK-NW-F-029 assetAllocation
97. MK-NW-F-011 assetClassOf
98. MK-CF-F-189 essentialsFromLoggedSpending
99. MK-CF-O-002 expenses
100. MK-CF-F-203 MONTH
101. MK-CF-O-001 basePay
102. MK-CF-F-069 benefitActiveMonths
103. MK-CF-F-173 earnerWages
104. MK-CF-F-179 entryFromWage
105. MK-CF-F-071 extraIncome
106. MK-CF-F-092 incomeMonthlyGrid
107. MK-CF-F-192 inflowLabel
108. MK-CF-F-103 marginalBracketFor
109. MK-CF-F-181 rateInForce
110. MK-CF-F-068 rentalNetAnnual
111. MK-CF-F-082 salaryAnnual
112. MK-CF-F-060 salaryGrossByMonth
113. MK-CF-F-084 taxableAnnual
114. MK-CF-F-120 pctBaseMonthly
115. MK-CF-F-004 spendBuckets
116. MK-CF-F-021 defaultPaymentType
117. MK-XS-F-027 takeHomeMonthly
118. MK-NW-F-116 rentedIdsOf
119. MK-NW-F-106 mortgagesByProperty
120. MK-NW-F-107 propertyUses
121. MK-ST-F-048 currencySymbol
122. MK-CF-F-100 taxableIncomeFor
123. MK-ST-F-034 firstDate
124. MK-NW-F-009 maturityClass
125. MK-ST-F-010 nameEvidence
126. MK-CF-F-075 retirementIncomeMonthly
127. MK-NW-F-109 holdingClassOf
128. MK-NW-F-067 plural
129. MK-CF-F-151 actualSpending
130. MK-CF-F-150 debtPaymentsCountedAsExpenses
131. MK-CF-F-153 radar
132. MK-CF-F-149 recurringDebtPayments
133. MK-CF-O-010 theMonth
134. MK-CF-F-171 earnerPay
135. MK-CF-F-204 line
136. MK-HM-F-006 money0
137. MK-CF-F-198 payrollTaxWithheld
138. MK-CF-F-172 hasWage
139. MK-CF-F-165 salaryMonths
140. MK-CF-F-070 benefitAnnual
141. MK-CF-F-065 equityVestWeights
142. MK-CF-F-206 householdK401ByMonth
143. MK-CF-F-087 monthlyTaxRates
144. MK-CF-F-073 otherIncomeMonth
145. MK-CF-F-066 rsuAnnual
146. MK-CF-F-077 scholarshipByCalendarMonth
147. MK-CF-F-088 taxableByCalendarMonth
148. MK-CF-F-177 wageGrossByMonth
149. MK-PL-F-012 waterfall
150. MK-CF-F-193 inflowSourceWord
151. MK-CF-F-180 enteredLandsAnnual
152. MK-CF-F-086 stateRateOf
153. MK-CF-F-067 rentalList
154. MK-CF-F-176 sumMonthsOverEarners
155. MK-CF-F-074 tipsAnnual
156. MK-CF-F-003 categoryMonthly
157. MK-CF-F-011 savingsByMonth
158. MK-NW-F-115 liveRent
159. MK-CF-F-023 requiredPayment
160. MK-ST-F-047 activeCurrency
161. MK-CF-F-099 deductionFor
162. MK-NW-F-124 maturityParts
163. MK-XS-F-147 call
164. MK-CF-F-148 inMonth
165. MK-CF-F-152 isRadarItem
166. MK-CF-O-003 thisMonth
167. MK-CF-F-143 annualisedGross
168. MK-CF-F-145 deductionsFromPay
169. MK-CF-F-128 grossByMonth
170. MK-CF-F-146 payFiguresAgree
171. MK-CF-F-144 takeHomeAsEntered
172. MK-XS-F-180 declareFigures
173. MK-HM-F-005 pctTxt
174. MK-CF-F-062 equityRowValue
175. MK-CF-F-090 effectiveRate
176. MK-CF-F-063 rowVestYear
177. MK-CF-F-130 enteredMonthlyRaw
178. MK-CF-F-166 hasMonthlySalaryTable
179. MK-ST-F-036 reconcile
180. MK-CF-F-167 salaryCalendarYear
181. MK-CF-F-081 salaryActiveMonths
182. MK-CF-F-008 spendByMonth
183. MK-NW-F-114 rentAmount
184. MK-CF-F-187 seniorDeductionFor
185. MK-XS-F-064 currentIdToken
186. MK-XS-F-112 relayUrl
187. MK-CF-F-005 actualMonthFlow
188. MK-CF-F-156 plannedMonthFlow
189. MK-CF-F-142 monthsOf
190. MK-CF-F-141 perMonth
191. MK-NW-F-078 ONE
192. MK-CF-F-157 debtPaymentsByDebt
193. MK-CF-F-140 periodsAYear
194. MK-NW-F-077 ALL
195. MK-NW-F-059 currentYield
196. MK-NW-O-001 theBonds
197. MK-NW-F-112 yearlyInterest
198. MK-NW-F-057 annualCoupon
199. MK-NW-F-056 bondInfo
200. MK-NW-F-064 bondRateSensitivity
201. MK-NW-F-061 bondSummary
202. MK-NW-F-055 isBond
203. MK-NW-F-072 rowOf
204. MK-NW-F-060 approxYTM
205. MK-NW-F-069 priceAtYield
206. MK-NW-F-131 pricedLikeBond
207. MK-NW-F-125 isPastMaturity
208. MK-NW-F-126 yearlyInterestNow
209. MK-NW-F-070 accruedInterestCaveat
210. MK-NW-F-058 yearsToMaturity
211. MK-NW-F-119 estimatedAccrued</t>
        </is>
      </c>
      <c r="R590"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90" s="3" t="inlineStr">
        <is>
          <t>—</t>
        </is>
      </c>
      <c r="T590" s="3" t="inlineStr">
        <is>
          <t>—</t>
        </is>
      </c>
      <c r="U590" s="3" t="inlineStr">
        <is>
          <t>ACTIVE</t>
        </is>
      </c>
      <c r="V590" s="3" t="inlineStr">
        <is>
          <t>2026-08-27</t>
        </is>
      </c>
      <c r="W590" s="3" t="n"/>
      <c r="X590" s="3" t="n"/>
      <c r="Y590" s="3" t="inlineStr">
        <is>
          <t>NOTHING OPEN</t>
        </is>
      </c>
    </row>
    <row r="591" ht="60" customHeight="1">
      <c r="A591" s="3" t="inlineStr">
        <is>
          <t>MK-XS-F-024</t>
        </is>
      </c>
      <c r="B591" s="3" t="inlineStr">
        <is>
          <t>resolveLens</t>
        </is>
      </c>
      <c r="C591" s="3" t="inlineStr">
        <is>
          <t>src/domain/profile/lens.ts</t>
        </is>
      </c>
      <c r="D591" s="3" t="n">
        <v>48</v>
      </c>
      <c r="E591" s="3" t="inlineStr">
        <is>
          <t>2 · DISPLAYED</t>
        </is>
      </c>
      <c r="F591" s="3" t="inlineStr">
        <is>
          <t>The person's explicit choice (first-run stage question / Settings → Your setup) wins.</t>
        </is>
      </c>
      <c r="G591" s="11" t="inlineStr">
        <is>
          <t>override   when override = 'working' (or override = 'retired' when missing or zero)
status = op.status
'retired'   when status = 'retired'
'retired'   when status = 'partial' and current retirement income monthly(op ?? {}) &gt; 0
the answer = 'working'</t>
        </is>
      </c>
      <c r="H591"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91" s="3" t="inlineStr">
        <is>
          <t>PARTLY READ — some of the code is still showing through; needs a hand pass</t>
        </is>
      </c>
      <c r="J591" s="3" t="inlineStr">
        <is>
          <t>1. op: Record&lt;string, any&gt; | null | undefined
2. override?: Lens | null</t>
        </is>
      </c>
      <c r="K591" s="3" t="inlineStr">
        <is>
          <t>Lens</t>
        </is>
      </c>
      <c r="L591" s="3" t="inlineStr">
        <is>
          <t>1. "Draw from savings" — on the Cash flow screen, under "YOUR FUTURE PAYCHECK"
2. "WILL MY MONEY LAST?" — on the Home screen, under "WILL MY MONEY LAST?"
3. "YOUR FIVE TABS — same order as the bar below" — on a card used on more than one screen (TopBar)</t>
        </is>
      </c>
      <c r="M591" s="3" t="inlineStr">
        <is>
          <t>None found in this function — anything it assumes comes from the functions it depends on.</t>
        </is>
      </c>
      <c r="N591" s="3" t="inlineStr">
        <is>
          <t>Yes</t>
        </is>
      </c>
      <c r="O591" s="3" t="inlineStr">
        <is>
          <t>MK-CF-F-072 currentRetirementIncomeMonthly</t>
        </is>
      </c>
      <c r="P591" s="3" t="n">
        <v>4</v>
      </c>
      <c r="Q591" s="3" t="inlineStr">
        <is>
          <t>1. MK-CF-F-072 currentRetirementIncomeMonthly
2. MK-CF-F-075 retirementIncomeMonthly
3. MK-ST-F-052 toNum
4. MK-XS-F-122 n</t>
        </is>
      </c>
      <c r="R591" s="3" t="inlineStr">
        <is>
          <t>MK-XS-F-122 n → MK-ST-F-052 toNum → MK-CF-F-075 retirementIncomeMonthly → MK-CF-F-072 currentRetirementIncomeMonthly → MK-XS-F-024 resolveLens</t>
        </is>
      </c>
      <c r="S591" s="3" t="inlineStr">
        <is>
          <t>—</t>
        </is>
      </c>
      <c r="T591" s="3" t="inlineStr">
        <is>
          <t>WHICH_VIEW</t>
        </is>
      </c>
      <c r="U591" s="3" t="inlineStr">
        <is>
          <t>ACTIVE</t>
        </is>
      </c>
      <c r="V591" s="3" t="inlineStr">
        <is>
          <t>2026-08-27</t>
        </is>
      </c>
      <c r="W591" s="3" t="n"/>
      <c r="X591" s="3" t="n"/>
      <c r="Y591" s="3" t="inlineStr">
        <is>
          <t>NOTHING OPEN</t>
        </is>
      </c>
    </row>
    <row r="592" ht="45" customHeight="1">
      <c r="A592" s="3" t="inlineStr">
        <is>
          <t>MK-XS-F-025</t>
        </is>
      </c>
      <c r="B592" s="3" t="inlineStr">
        <is>
          <t>tabOrder</t>
        </is>
      </c>
      <c r="C592" s="3" t="inlineStr">
        <is>
          <t>src/domain/profile/lens.ts</t>
        </is>
      </c>
      <c r="D592" s="3" t="n">
        <v>79</v>
      </c>
      <c r="E592" s="3" t="inlineStr">
        <is>
          <t>2 · DISPLAYED</t>
        </is>
      </c>
      <c r="F592" s="3" t="inlineStr">
        <is>
          <t>Bottom-bar order per lens (design pin: "Tab order is set once from stage; identical across sessions").</t>
        </is>
      </c>
      <c r="G592" s="11" t="inlineStr">
        <is>
          <t>retired → home, cashflow, analytics, plan, invest
otherwise → home, analytics, invest, cashflow, plan</t>
        </is>
      </c>
      <c r="H592" s="3" t="inlineStr">
        <is>
          <t>The order of the tabs for the person's lens — cash flow comes second for someone retired. No arithmetic.</t>
        </is>
      </c>
      <c r="I592" s="3" t="inlineStr">
        <is>
          <t>READ BY HAND 2026-08-26 — checked line by line against the code</t>
        </is>
      </c>
      <c r="J592" s="3" t="inlineStr">
        <is>
          <t>lens: Lens</t>
        </is>
      </c>
      <c r="K592" s="3" t="inlineStr">
        <is>
          <t>FccTab[]</t>
        </is>
      </c>
      <c r="L592" s="3" t="inlineStr">
        <is>
          <t>"YOUR FIVE TABS — same order as the bar below" — on a card used on more than one screen (TopBar)</t>
        </is>
      </c>
      <c r="M592" s="3" t="inlineStr">
        <is>
          <t>None found in this function — anything it assumes comes from the functions it depends on.</t>
        </is>
      </c>
      <c r="N592" s="3" t="inlineStr">
        <is>
          <t>Yes</t>
        </is>
      </c>
      <c r="O592" s="3" t="inlineStr">
        <is>
          <t>—</t>
        </is>
      </c>
      <c r="P592" s="3" t="n">
        <v>0</v>
      </c>
      <c r="Q592" s="3" t="inlineStr">
        <is>
          <t>None — no dependent function stands behind it</t>
        </is>
      </c>
      <c r="R592" s="3" t="inlineStr">
        <is>
          <t>No dependent function — it reads its inputs and answers</t>
        </is>
      </c>
      <c r="S592" s="3" t="inlineStr">
        <is>
          <t>—</t>
        </is>
      </c>
      <c r="T592" s="3" t="inlineStr">
        <is>
          <t>—</t>
        </is>
      </c>
      <c r="U592" s="3" t="inlineStr">
        <is>
          <t>ACTIVE</t>
        </is>
      </c>
      <c r="V592" s="3" t="inlineStr">
        <is>
          <t>2026-09-12</t>
        </is>
      </c>
      <c r="W592" s="3" t="n"/>
      <c r="X592" s="3" t="n"/>
      <c r="Y592" s="3" t="inlineStr">
        <is>
          <t>NOTHING OPEN</t>
        </is>
      </c>
    </row>
    <row r="593" ht="60" customHeight="1">
      <c r="A593" s="3" t="inlineStr">
        <is>
          <t>MK-XS-F-026</t>
        </is>
      </c>
      <c r="B593" s="3" t="inlineStr">
        <is>
          <t>profileFromOnboarding</t>
        </is>
      </c>
      <c r="C593" s="3" t="inlineStr">
        <is>
          <t>src/domain/profile/onboarding.ts</t>
        </is>
      </c>
      <c r="D593" s="3" t="n">
        <v>55</v>
      </c>
      <c r="E593" s="3" t="inlineStr">
        <is>
          <t>2 · DISPLAYED</t>
        </is>
      </c>
      <c r="F593" s="3" t="inlineStr">
        <is>
          <t>`op` is the consolidated onboardingProfile: { status, name, ...answers }.</t>
        </is>
      </c>
      <c r="G593" s="11" t="inlineStr">
        <is>
          <t>a = op (or none when missing)</t>
        </is>
      </c>
      <c r="H593" s="3" t="inlineStr">
        <is>
          <t>A is op (or none — when missing).</t>
        </is>
      </c>
      <c r="I593" s="3" t="inlineStr">
        <is>
          <t>READ FROM THE CODE — rendered from the expressions the function runs</t>
        </is>
      </c>
      <c r="J593" s="3" t="inlineStr">
        <is>
          <t>1. uid: UserId
2. op: Record&lt;string, any&gt; | null</t>
        </is>
      </c>
      <c r="K593" s="3" t="inlineStr">
        <is>
          <t>Profile</t>
        </is>
      </c>
      <c r="L593" s="3" t="inlineStr">
        <is>
          <t>NOT FOUND — a screen calls it, but the words printed beside its answer could not be traced automatically. Needs reading.</t>
        </is>
      </c>
      <c r="M593" s="3" t="inlineStr">
        <is>
          <t>None found in this function — anything it assumes comes from the functions it depends on.</t>
        </is>
      </c>
      <c r="N593" s="3" t="inlineStr">
        <is>
          <t>Yes</t>
        </is>
      </c>
      <c r="O593" s="3" t="inlineStr">
        <is>
          <t>1. MK-XS-F-131 toInt
2. MK-XS-F-175 uid</t>
        </is>
      </c>
      <c r="P593" s="3" t="n">
        <v>207</v>
      </c>
      <c r="Q593" s="3" t="inlineStr">
        <is>
          <t>1. MK-XS-F-131 toInt
2. MK-XS-F-175 uid
3. MK-XS-F-122 n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MK-CF-F-218 moveOldRentFigure
22. MK-ST-F-043 newEntityId
23. MK-XS-F-006 pruneDaily
24. MK-ST-F-073 rebuildDays
25. MK-NW-F-054 reclassifyAccounts
26. MK-XS-F-174 recomputeBalances
27. MK-CF-F-115 restoreUndo
28. MK-CF-F-109 reviewTransactions
29. MK-ST-F-044 setMoneyFormat
30. MK-NW-O-004 theEmergencyFund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MK-CF-F-217 hasOldRentFigure
46. MK-CF-F-216 typed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MK-CF-F-155 cash
70. MK-NW-F-016 cashTotal
71. MK-CF-F-010 emergencyTest
72. MK-CF-F-190 essentialsMonthly
73. MK-CF-O-004 incomeSummary
74. MK-CF-F-009 monthlyEssentials
75. MK-CF-F-022 paymentShape
76. MK-CF-F-002 plannedMonthlySpend
77. MK-NW-F-117 propertyUseMap
78. MK-ST-F-085 rentFigure
79. MK-CF-O-020 theBudgetCounted
80. MK-CF-F-113 affectedAccountIds
81. MK-CF-F-134 usesSleeve
82. MK-ST-F-049 formatMoney
83. MK-CF-F-101 taxOwedFor
84. MK-ST-F-067 utcOfDay
85. MK-ST-F-035 covers
86. MK-NW-F-120 classEvidenceOf
87. MK-NW-F-008 incomeBearingClassOf
88. MK-PF-F-031 contractMultiplier
89. MK-PF-F-035 unknownFigure
90. MK-CF-F-072 currentRetirementIncomeMonthly
91. MK-NW-F-027 accountClassBreakdown
92. MK-NW-F-029 assetAllocation
93. MK-NW-F-011 assetClassOf
94. MK-CF-F-189 essentialsFromLoggedSpending
95. MK-CF-O-002 expenses
96. MK-CF-F-203 MONTH
97. MK-CF-O-001 basePay
98. MK-CF-F-069 benefitActiveMonths
99. MK-CF-F-173 earnerWages
100. MK-CF-F-179 entryFromWage
101. MK-CF-F-071 extraIncome
102. MK-CF-F-092 incomeMonthlyGrid
103. MK-CF-F-192 inflowLabel
104. MK-CF-F-103 marginalBracketFor
105. MK-CF-F-181 rateInForce
106. MK-CF-F-068 rentalNetAnnual
107. MK-CF-F-082 salaryAnnual
108. MK-CF-F-060 salaryGrossByMonth
109. MK-CF-F-084 taxableAnnual
110. MK-CF-F-120 pctBaseMonthly
111. MK-CF-F-004 spendBuckets
112. MK-CF-F-021 defaultPaymentType
113. MK-XS-F-027 takeHomeMonthly
114. MK-NW-F-116 rentedIdsOf
115. MK-NW-F-106 mortgagesByProperty
116. MK-NW-F-107 propertyUses
117. MK-ST-F-048 currencySymbol
118. MK-CF-F-100 taxableIncomeFor
119. MK-ST-F-034 firstDate
120. MK-NW-F-009 maturityClass
121. MK-ST-F-010 nameEvidence
122. MK-CF-F-075 retirementIncomeMonthly
123. MK-NW-F-109 holdingClassOf
124. MK-NW-F-067 plural
125. MK-CF-F-151 actualSpending
126. MK-CF-F-150 debtPaymentsCountedAsExpenses
127. MK-CF-F-153 radar
128. MK-CF-F-149 recurringDebtPayments
129. MK-CF-O-010 theMonth
130. MK-CF-F-171 earnerPay
131. MK-CF-F-204 line
132. MK-HM-F-006 money0
133. MK-CF-F-198 payrollTaxWithheld
134. MK-CF-F-172 hasWage
135. MK-CF-F-165 salaryMonths
136. MK-CF-F-070 benefitAnnual
137. MK-CF-F-065 equityVestWeights
138. MK-CF-F-206 householdK401ByMonth
139. MK-CF-F-087 monthlyTaxRates
140. MK-CF-F-073 otherIncomeMonth
141. MK-CF-F-066 rsuAnnual
142. MK-CF-F-077 scholarshipByCalendarMonth
143. MK-CF-F-088 taxableByCalendarMonth
144. MK-CF-F-177 wageGrossByMonth
145. MK-PL-F-012 waterfall
146. MK-CF-F-193 inflowSourceWord
147. MK-CF-F-180 enteredLandsAnnual
148. MK-CF-F-086 stateRateOf
149. MK-CF-F-067 rentalList
150. MK-CF-F-176 sumMonthsOverEarners
151. MK-CF-F-074 tipsAnnual
152. MK-CF-F-003 categoryMonthly
153. MK-CF-F-011 savingsByMonth
154. MK-NW-F-115 liveRent
155. MK-CF-F-023 requiredPayment
156. MK-ST-F-047 activeCurrency
157. MK-CF-F-099 deductionFor
158. MK-NW-F-124 maturityParts
159. MK-XS-F-147 call
160. MK-CF-F-148 inMonth
161. MK-CF-F-152 isRadarItem
162. MK-CF-O-003 thisMonth
163. MK-CF-F-143 annualisedGross
164. MK-CF-F-145 deductionsFromPay
165. MK-CF-F-128 grossByMonth
166. MK-CF-F-146 payFiguresAgree
167. MK-CF-F-144 takeHomeAsEntered
168. MK-XS-F-180 declareFigures
169. MK-HM-F-005 pctTxt
170. MK-CF-F-062 equityRowValue
171. MK-CF-F-090 effectiveRate
172. MK-CF-F-063 rowVestYear
173. MK-CF-F-130 enteredMonthlyRaw
174. MK-CF-F-166 hasMonthlySalaryTable
175. MK-ST-F-036 reconcile
176. MK-CF-F-167 salaryCalendarYear
177. MK-CF-F-081 salaryActiveMonths
178. MK-CF-F-008 spendByMonth
179. MK-NW-F-114 rentAmount
180. MK-CF-F-187 seniorDeductionFor
181. MK-XS-F-064 currentIdToken
182. MK-XS-F-112 relayUrl
183. MK-CF-F-005 actualMonthFlow
184. MK-CF-F-156 plannedMonthFlow
185. MK-CF-F-142 monthsOf
186. MK-CF-F-141 perMonth
187. MK-NW-F-078 ONE
188. MK-CF-F-157 debtPaymentsByDebt
189. MK-CF-F-140 periodsAYear
190. MK-NW-F-077 ALL
191. MK-NW-F-059 currentYield
192. MK-NW-O-001 theBonds
193. MK-NW-F-112 yearlyInterest
194. MK-NW-F-057 annualCoupon
195. MK-NW-F-056 bondInfo
196. MK-NW-F-064 bondRateSensitivity
197. MK-NW-F-061 bondSummary
198. MK-NW-F-055 isBond
199. MK-NW-F-072 rowOf
200. MK-NW-F-060 approxYTM
201. MK-NW-F-069 priceAtYield
202. MK-NW-F-131 pricedLikeBond
203. MK-NW-F-125 isPastMaturity
204. MK-NW-F-126 yearlyInterestNow
205. MK-NW-F-070 accruedInterestCaveat
206. MK-NW-F-058 yearsToMaturity
207. MK-NW-F-119 estimatedAccrued</t>
        </is>
      </c>
      <c r="R593"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593" s="3" t="inlineStr">
        <is>
          <t>—</t>
        </is>
      </c>
      <c r="T593" s="3" t="inlineStr">
        <is>
          <t>—</t>
        </is>
      </c>
      <c r="U593" s="3" t="inlineStr">
        <is>
          <t>ACTIVE</t>
        </is>
      </c>
      <c r="V593" s="3" t="inlineStr">
        <is>
          <t>2026-08-27</t>
        </is>
      </c>
      <c r="W593" s="3" t="n"/>
      <c r="X593" s="3" t="n"/>
      <c r="Y593" s="3" t="inlineStr">
        <is>
          <t>NOTHING OPEN</t>
        </is>
      </c>
    </row>
    <row r="594" ht="60" customHeight="1">
      <c r="A594" s="3" t="inlineStr">
        <is>
          <t>MK-XS-F-027</t>
        </is>
      </c>
      <c r="B594" s="3" t="inlineStr">
        <is>
          <t>takeHomeMonthly</t>
        </is>
      </c>
      <c r="C594" s="3" t="inlineStr">
        <is>
          <t>src/domain/savings/index.ts</t>
        </is>
      </c>
      <c r="D594" s="3" t="n">
        <v>42</v>
      </c>
      <c r="E594" s="3" t="inlineStr">
        <is>
          <t>2 · DISPLAYED</t>
        </is>
      </c>
      <c r="F594" s="3" t="inlineStr">
        <is>
          <t>True take-home per month: after tax AND after the 401(k) deduction (the cash that hits your account).</t>
        </is>
      </c>
      <c r="G594" s="11" t="inlineStr">
        <is>
          <t>grid = income monthly grid(op, 'available')
the answer = Σ over grid of (amount)÷ 12</t>
        </is>
      </c>
      <c r="H594" s="3" t="inlineStr">
        <is>
          <t>Grid is income monthly grid(op, 'available'). The answer: the amount added up across grid÷ 12.</t>
        </is>
      </c>
      <c r="I594" s="3" t="inlineStr">
        <is>
          <t>READ FROM THE CODE — rendered from the expressions the function runs</t>
        </is>
      </c>
      <c r="J594" s="3" t="inlineStr">
        <is>
          <t>op: OnboardingProfile | null</t>
        </is>
      </c>
      <c r="K594" s="3" t="inlineStr">
        <is>
          <t>number</t>
        </is>
      </c>
      <c r="L594" s="3" t="inlineStr">
        <is>
          <t>"Income (take-home)" — on the budget screen</t>
        </is>
      </c>
      <c r="M594" s="3" t="inlineStr">
        <is>
          <t>None found in this function — anything it assumes comes from the functions it depends on.</t>
        </is>
      </c>
      <c r="N594" s="3" t="inlineStr">
        <is>
          <t>Yes</t>
        </is>
      </c>
      <c r="O594" s="3" t="inlineStr">
        <is>
          <t>1. MK-CF-F-092 incomeMonthlyGrid
2. MK-CF-F-011 savingsByMonth</t>
        </is>
      </c>
      <c r="P594" s="3" t="n">
        <v>110</v>
      </c>
      <c r="Q594" s="3" t="inlineStr">
        <is>
          <t>1. MK-CF-F-092 incomeMonthlyGrid
2. MK-CF-F-011 savingsByMonth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MK-CF-F-008 spendByMonth
23. MK-CF-F-075 retirementIncomeMonthly
24. MK-CF-F-172 hasWage
25. MK-CF-F-062 equityRowValue
26. MK-CF-F-070 benefitAnnual
27. MK-ST-F-039 on
28. MK-CF-F-176 sumMonthsOverEarners
29. MK-CF-F-203 MONTH
30. MK-CF-F-090 effectiveRate
31. MK-CF-F-180 enteredLandsAnnual
32. MK-CF-F-085 filingStatusOf
33. MK-CF-F-089 over65CountOf
34. MK-CF-F-082 salaryAnnual
35. MK-CF-F-086 stateRateOf
36. MK-CF-F-101 taxOwedFor
37. MK-CF-F-084 taxableAnnual
38. MK-CF-O-002 expenses
39. MK-CF-F-067 rentalList
40. MK-CF-F-063 rowVestYear
41. MK-XS-F-122 n
42. MK-CF-F-130 enteredMonthlyRaw
43. MK-CF-F-166 hasMonthlySalaryTable
44. MK-ST-F-036 reconcile
45. MK-CF-F-167 salaryCalendarYear
46. MK-CF-F-120 pctBaseMonthly
47. MK-CF-F-004 spendBuckets
48. MK-CF-O-010 theMonth
49. MK-CF-F-100 taxableIncomeFor
50. MK-CF-F-074 tipsAnnual
51. MK-CF-F-151 actualSpending
52. MK-CF-F-150 debtPaymentsCountedAsExpenses
53. MK-CF-F-153 radar
54. MK-CF-F-149 recurringDebtPayments
55. MK-ST-F-085 rentFigure
56. MK-CF-F-216 typed
57. MK-CF-F-165 salaryMonths
58. MK-CF-F-003 categoryMonthly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MK-NW-F-124 maturityParts
91. MK-NW-F-072 rowOf
92. MK-ST-F-047 activeCurrency
93. MK-NW-F-060 approxYTM
94. MK-NW-F-069 priceAtYield
95. MK-NW-F-131 pricedLikeBond
96. MK-NW-F-125 isPastMaturity
97. MK-ST-F-065 isoLocalDate
98. MK-NW-F-126 yearlyInterestNow
99. MK-NW-F-011 assetClassOf
100. MK-NW-F-009 maturityClass
101. MK-NW-F-070 accruedInterestCaveat
102. MK-NW-F-058 yearsToMaturity
103. MK-NW-F-119 estimatedAccrued
104. MK-NW-F-120 classEvidenceOf
105. MK-NW-F-067 plural
106. MK-NW-F-008 incomeBearingClassOf
107. MK-ST-F-010 nameEvidence
108. MK-XS-F-147 call
109. MK-XS-F-064 currentIdToken
110. MK-XS-F-112 relayUrl</t>
        </is>
      </c>
      <c r="R594" s="3" t="inlineStr">
        <is>
          <t>1. MK-CF-F-069 benefitActiveMonths → MK-CF-F-092 incomeMonthlyGrid → MK-XS-F-027 takeHomeMonthly
2. MK-XS-F-122 n → MK-ST-F-052 toNum → MK-CF-F-075 retirementIncomeMonthly → MK-CF-F-072 currentRetirementIncomeMonthly → MK-CF-F-092 incomeMonthlyGrid → MK-XS-F-027 takeHomeMonthly
3. MK-ST-F-056 has → MK-CF-F-172 hasWage → MK-CF-F-173 earnerWages → MK-CF-F-092 incomeMonthlyGrid → MK-XS-F-027 takeHomeMonthly
4. MK-XS-F-122 n → MK-ST-F-052 toNum → MK-CF-F-062 equityRowValue → MK-CF-F-065 equityVestWeights → MK-CF-F-092 incomeMonthlyGrid → MK-XS-F-027 takeHomeMonthly
5. MK-CF-F-132 map → MK-CF-F-065 equityVestWeights → MK-CF-F-092 incomeMonthlyGrid → MK-XS-F-027 takeHomeMonthly
6. MK-CF-F-069 benefitActiveMonths → MK-CF-F-070 benefitAnnual → MK-CF-F-071 extraIncome → MK-CF-F-092 incomeMonthlyGrid → MK-XS-F-027 takeHomeMonthly
7. MK-XS-F-122 n → MK-ST-F-052 toNum → MK-CF-F-070 benefitAnnual → MK-CF-F-071 extraIncome → MK-CF-F-092 incomeMonthlyGrid → MK-XS-F-027 takeHomeMonthly
8. MK-ST-F-039 on → MK-CF-F-071 extraIncome → MK-CF-F-092 incomeMonthlyGrid → MK-XS-F-027 takeHomeMonthly
9. … and 5 more paths</t>
        </is>
      </c>
      <c r="S594" s="3" t="inlineStr">
        <is>
          <t>—</t>
        </is>
      </c>
      <c r="T594" s="3" t="inlineStr">
        <is>
          <t>—</t>
        </is>
      </c>
      <c r="U594" s="3" t="inlineStr">
        <is>
          <t>ACTIVE</t>
        </is>
      </c>
      <c r="V594" s="3" t="inlineStr">
        <is>
          <t>2026-09-09</t>
        </is>
      </c>
      <c r="W594" s="3" t="n"/>
      <c r="X594" s="3" t="n"/>
      <c r="Y594" s="3" t="inlineStr">
        <is>
          <t>NOTHING OPEN</t>
        </is>
      </c>
    </row>
    <row r="595" ht="60" customHeight="1">
      <c r="A595" s="3" t="inlineStr">
        <is>
          <t>MK-XS-F-028</t>
        </is>
      </c>
      <c r="B595" s="3" t="inlineStr">
        <is>
          <t>surplusByMonth</t>
        </is>
      </c>
      <c r="C595" s="3" t="inlineStr">
        <is>
          <t>src/domain/savings/index.ts</t>
        </is>
      </c>
      <c r="D595" s="3" t="n">
        <v>71</v>
      </c>
      <c r="E595" s="3" t="inlineStr">
        <is>
          <t>2 · DISPLAYED</t>
        </is>
      </c>
      <c r="F595" s="3" t="inlineStr">
        <is>
          <t>Planned SURPLUS, month by month, AFTER debt (the canonical word, per the 2026-06-23 decision).</t>
        </is>
      </c>
      <c r="G595" s="11" t="inlineStr">
        <is>
          <t>debt = actual debt payment(debts)
the answer:
for each of savings by month(op): label = label
amount = amount − debt</t>
        </is>
      </c>
      <c r="H595" s="3" t="inlineStr">
        <is>
          <t>Debt is actual debt payment(debts). The answer is for each of savings by month(op): label = label; amount = amount minus debt.</t>
        </is>
      </c>
      <c r="I595" s="3" t="inlineStr">
        <is>
          <t>READ FROM THE CODE — rendered from the expressions the function runs</t>
        </is>
      </c>
      <c r="J595" s="3" t="inlineStr">
        <is>
          <t>1. op: OnboardingProfile | null
2. debts: Debt[] = []</t>
        </is>
      </c>
      <c r="K595" s="3" t="inlineStr">
        <is>
          <t>NOT DECLARED — the code does not say what it gives back</t>
        </is>
      </c>
      <c r="L595" s="3" t="inlineStr">
        <is>
          <t>"Plan" — on the Goals screen</t>
        </is>
      </c>
      <c r="M595" s="3" t="inlineStr">
        <is>
          <t>None found in this function — anything it assumes comes from the functions it depends on.</t>
        </is>
      </c>
      <c r="N595" s="3" t="inlineStr">
        <is>
          <t>Yes</t>
        </is>
      </c>
      <c r="O595" s="3" t="inlineStr">
        <is>
          <t>1. MK-CF-F-026 actualDebtPayment
2. MK-CF-F-132 map
3. MK-ST-F-036 reconcile
4. MK-CF-F-011 savingsByMonth</t>
        </is>
      </c>
      <c r="P595" s="3" t="n">
        <v>135</v>
      </c>
      <c r="Q595"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MK-CF-F-173 earnerWages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MK-CF-F-177 wageGrossByMonth
27. MK-PL-F-012 waterfall
28. MK-CF-F-120 pctBaseMonthly
29. MK-CF-F-004 spendBuckets
30. MK-CF-F-207 SOURCE
31. MK-CF-O-004 incomeSummary
32. MK-CF-F-022 paymentShape
33. MK-CF-F-075 retirementIncomeMonthly
34. MK-CF-F-172 hasWage
35. MK-CF-F-062 equityRowValue
36. MK-CF-F-070 benefitAnnual
37. MK-ST-F-039 on
38. MK-CF-F-176 sumMonthsOverEarners
39. MK-CF-F-203 MONTH
40. MK-CF-F-090 effectiveRate
41. MK-CF-F-180 enteredLandsAnnual
42. MK-CF-F-085 filingStatusOf
43. MK-CF-F-089 over65CountOf
44. MK-CF-F-082 salaryAnnual
45. MK-CF-F-086 stateRateOf
46. MK-CF-F-101 taxOwedFor
47. MK-CF-F-084 taxableAnnual
48. MK-CF-O-002 expenses
49. MK-CF-F-067 rentalList
50. MK-CF-F-063 rowVestYear
51. MK-XS-F-122 n
52. MK-CF-F-130 enteredMonthlyRaw
53. MK-CF-F-166 hasMonthlySalaryTable
54. MK-CF-F-167 salaryCalendarYear
55. MK-CF-F-003 categoryMonthly
56. MK-CF-O-016 incomeSources
57. MK-CF-O-001 basePay
58. MK-CF-F-179 entryFromWage
59. MK-CF-F-192 inflowLabel
60. MK-CF-F-103 marginalBracketFor
61. MK-CF-F-021 defaultPaymentType
62. MK-CF-O-010 theMonth
63. MK-CF-F-100 taxableIncomeFor
64. MK-CF-F-074 tipsAnnual
65. MK-CF-F-151 actualSpending
66. MK-CF-F-150 debtPaymentsCountedAsExpenses
67. MK-CF-F-153 radar
68. MK-CF-F-149 recurringDebtPayments
69. MK-ST-F-085 rentFigure
70. MK-CF-F-216 typed
71. MK-CF-F-165 salaryMonths
72. MK-XS-F-027 takeHomeMonthly
73. MK-ST-F-035 covers
74. MK-CF-F-171 earnerPay
75. MK-CF-F-204 line
76. MK-ST-F-053 money
77. MK-HM-F-006 money0
78. MK-CF-F-198 payrollTaxWithheld
79. MK-CF-F-193 inflowSourceWord
80. MK-CF-F-155 cash
81. MK-CF-O-003 thisMonth
82. MK-CF-F-099 deductionFor
83. MK-CF-F-081 salaryActiveMonths
84. MK-CF-F-148 inMonth
85. MK-CF-F-191 ym
86. MK-CF-F-152 isRadarItem
87. MK-ST-F-034 firstDate
88. MK-CF-F-143 annualisedGross
89. MK-CF-F-145 deductionsFromPay
90. MK-CF-F-128 grossByMonth
91. MK-CF-F-146 payFiguresAgree
92. MK-CF-F-144 takeHomeAsEntered
93. MK-XS-F-180 declareFigures
94. MK-ST-F-049 formatMoney
95. MK-HM-F-005 pctTxt
96. MK-NW-F-067 plural
97. MK-CF-F-005 actualMonthFlow
98. MK-CF-F-156 plannedMonthFlow
99. MK-CF-F-187 seniorDeductionFor
100. MK-CF-F-142 monthsOf
101. MK-CF-F-141 perMonth
102. MK-ST-F-048 currencySymbol
103. MK-NW-F-078 ONE
104. MK-CF-F-157 debtPaymentsByDebt
105. MK-CF-F-140 periodsAYear
106. MK-ST-F-047 activeCurrency
107. MK-NW-F-077 ALL
108. MK-NW-F-059 currentYield
109. MK-NW-O-001 theBonds
110. MK-NW-F-112 yearlyInterest
111. MK-ST-F-027 accountId
112. MK-NW-F-057 annualCoupon
113. MK-NW-F-056 bondInfo
114. MK-NW-F-064 bondRateSensitivity
115. MK-NW-F-061 bondSummary
116. MK-NW-F-055 isBond
117. MK-NW-F-124 maturityParts
118. MK-NW-F-072 rowOf
119. MK-NW-F-060 approxYTM
120. MK-NW-F-069 priceAtYield
121. MK-NW-F-131 pricedLikeBond
122. MK-NW-F-125 isPastMaturity
123. MK-ST-F-065 isoLocalDate
124. MK-NW-F-126 yearlyInterestNow
125. MK-NW-F-011 assetClassOf
126. MK-NW-F-009 maturityClass
127. MK-NW-F-070 accruedInterestCaveat
128. MK-NW-F-058 yearsToMaturity
129. MK-NW-F-119 estimatedAccrued
130. MK-NW-F-120 classEvidenceOf
131. MK-NW-F-008 incomeBearingClassOf
132. MK-ST-F-010 nameEvidence
133. MK-XS-F-147 call
134. MK-XS-F-064 currentIdToken
135. MK-XS-F-112 relayUrl</t>
        </is>
      </c>
      <c r="R595" s="3" t="inlineStr">
        <is>
          <t>1. MK-CF-O-016 incomeSources → MK-CF-F-207 SOURCE → MK-CF-F-201 INCOME → MK-CF-F-024 totalDebtMonthly → MK-CF-F-026 actualDebtPayment → MK-XS-F-028 surplusByMonth
2. MK-CF-F-203 MONTH → MK-CF-O-004 incomeSummary → MK-CF-F-201 INCOME → MK-CF-F-024 totalDebtMonthly → MK-CF-F-026 actualDebtPayment → MK-XS-F-028 surplusByMonth
3. MK-CF-O-001 basePay → MK-CF-O-004 incomeSummary → MK-CF-F-201 INCOME → MK-CF-F-024 totalDebtMonthly → MK-CF-F-026 actualDebtPayment → MK-XS-F-028 surplusByMonth
4. MK-CF-F-069 benefitActiveMonths → MK-CF-O-004 incomeSummary → MK-CF-F-201 INCOME → MK-CF-F-024 totalDebtMonthly → MK-CF-F-026 actualDebtPayment → MK-XS-F-028 surplusByMonth
5. MK-CF-F-072 currentRetirementIncomeMonthly → MK-CF-O-004 incomeSummary → MK-CF-F-201 INCOME → MK-CF-F-024 totalDebtMonthly → MK-CF-F-026 actualDebtPayment → MK-XS-F-028 surplusByMonth
6. MK-CF-F-173 earnerWages → MK-CF-O-004 incomeSummary → MK-CF-F-201 INCOME → MK-CF-F-024 totalDebtMonthly → MK-CF-F-026 actualDebtPayment → MK-XS-F-028 surplusByMonth
7. MK-CF-F-179 entryFromWage → MK-CF-O-004 incomeSummary → MK-CF-F-201 INCOME → MK-CF-F-024 totalDebtMonthly → MK-CF-F-026 actualDebtPayment → MK-XS-F-028 surplusByMonth
8. MK-CF-F-071 extraIncome → MK-CF-O-004 incomeSummary → MK-CF-F-201 INCOME → MK-CF-F-024 totalDebtMonthly → MK-CF-F-026 actualDebtPayment → MK-XS-F-028 surplusByMonth
9. … and 5 more paths</t>
        </is>
      </c>
      <c r="S595" s="3" t="inlineStr">
        <is>
          <t>—</t>
        </is>
      </c>
      <c r="T595" s="3" t="inlineStr">
        <is>
          <t>—</t>
        </is>
      </c>
      <c r="U595" s="3" t="inlineStr">
        <is>
          <t>ACTIVE</t>
        </is>
      </c>
      <c r="V595" s="3" t="inlineStr">
        <is>
          <t>2026-09-09</t>
        </is>
      </c>
      <c r="W595" s="3" t="n"/>
      <c r="X595" s="3" t="n"/>
      <c r="Y595" s="3" t="inlineStr">
        <is>
          <t>NOTHING OPEN</t>
        </is>
      </c>
    </row>
    <row r="596" ht="60" customHeight="1">
      <c r="A596" s="3" t="inlineStr">
        <is>
          <t>MK-XS-F-029</t>
        </is>
      </c>
      <c r="B596" s="3" t="inlineStr">
        <is>
          <t>monthlySavings</t>
        </is>
      </c>
      <c r="C596" s="3" t="inlineStr">
        <is>
          <t>src/domain/savings/index.ts</t>
        </is>
      </c>
      <c r="D596" s="3" t="n">
        <v>95</v>
      </c>
      <c r="E596" s="3" t="inlineStr">
        <is>
          <t>2 · DISPLAYED</t>
        </is>
      </c>
      <c r="F596" s="3" t="inlineStr">
        <is>
          <t>Monthly savings (the FLOW) — Build-47 walk row 7: DERIVED as the 12-month average of surplusByMonth, so the flat figure and the by-month figures can never drift apart (they used to be two parallel formulas that merely CLAIMED to reconcile).</t>
        </is>
      </c>
      <c r="G596" s="11" t="inlineStr">
        <is>
          <t>months = surplus by month(op, debts)
the answer = Σ over months of (amount)÷ 12</t>
        </is>
      </c>
      <c r="H596" s="3" t="inlineStr">
        <is>
          <t>Months is surplus by month(op, debts). The answer: the amount added up across months÷ 12.</t>
        </is>
      </c>
      <c r="I596" s="3" t="inlineStr">
        <is>
          <t>READ FROM THE CODE — rendered from the expressions the function runs</t>
        </is>
      </c>
      <c r="J596" s="3" t="inlineStr">
        <is>
          <t>1. op: OnboardingProfile | null
2. debts: Debt[] = []</t>
        </is>
      </c>
      <c r="K596" s="3" t="inlineStr">
        <is>
          <t>number</t>
        </is>
      </c>
      <c r="L596" s="3" t="inlineStr">
        <is>
          <t>"Free to put to work each month" — on the Goals together screen, under "CAN YOU DO IT ALL?"</t>
        </is>
      </c>
      <c r="M596" s="3" t="inlineStr">
        <is>
          <t>None found in this function — anything it assumes comes from the functions it depends on.</t>
        </is>
      </c>
      <c r="N596" s="3" t="inlineStr">
        <is>
          <t>Yes</t>
        </is>
      </c>
      <c r="O596" s="3" t="inlineStr">
        <is>
          <t>MK-XS-F-028 surplusByMonth</t>
        </is>
      </c>
      <c r="P596" s="3" t="n">
        <v>136</v>
      </c>
      <c r="Q596"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MK-ST-F-052 toNum
27. MK-CF-F-177 wageGrossByMonth
28. MK-PL-F-012 waterfall
29. MK-CF-F-120 pctBaseMonthly
30. MK-CF-F-004 spendBuckets
31. MK-CF-F-207 SOURCE
32. MK-CF-O-004 incomeSummary
33. MK-CF-F-022 paymentShape
34. MK-CF-F-075 retirementIncomeMonthly
35. MK-CF-F-172 hasWage
36. MK-CF-F-062 equityRowValue
37. MK-CF-F-070 benefitAnnual
38. MK-ST-F-039 on
39. MK-CF-F-176 sumMonthsOverEarners
40. MK-CF-F-203 MONTH
41. MK-CF-F-090 effectiveRate
42. MK-CF-F-180 enteredLandsAnnual
43. MK-CF-F-085 filingStatusOf
44. MK-CF-F-089 over65CountOf
45. MK-CF-F-082 salaryAnnual
46. MK-CF-F-086 stateRateOf
47. MK-CF-F-101 taxOwedFor
48. MK-CF-F-084 taxableAnnual
49. MK-CF-O-002 expenses
50. MK-CF-F-067 rentalList
51. MK-CF-F-063 rowVestYear
52. MK-XS-F-122 n
53. MK-CF-F-130 enteredMonthlyRaw
54. MK-CF-F-166 hasMonthlySalaryTable
55. MK-CF-F-167 salaryCalendarYear
56. MK-CF-F-003 categoryMonthly
57. MK-CF-O-016 incomeSources
58. MK-CF-O-001 basePay
59. MK-CF-F-179 entryFromWage
60. MK-CF-F-192 inflowLabel
61. MK-CF-F-103 marginalBracketFor
62. MK-CF-F-021 defaultPaymentType
63. MK-CF-O-010 theMonth
64. MK-CF-F-100 taxableIncomeFor
65. MK-CF-F-074 tipsAnnual
66. MK-CF-F-151 actualSpending
67. MK-CF-F-150 debtPaymentsCountedAsExpenses
68. MK-CF-F-153 radar
69. MK-CF-F-149 recurringDebtPayments
70. MK-ST-F-085 rentFigure
71. MK-CF-F-216 typed
72. MK-CF-F-165 salaryMonths
73. MK-XS-F-027 takeHomeMonthly
74. MK-ST-F-035 covers
75. MK-CF-F-171 earnerPay
76. MK-CF-F-204 line
77. MK-ST-F-053 money
78. MK-HM-F-006 money0
79. MK-CF-F-198 payrollTaxWithheld
80. MK-CF-F-193 inflowSourceWord
81. MK-CF-F-155 cash
82. MK-CF-O-003 thisMonth
83. MK-CF-F-099 deductionFor
84. MK-CF-F-081 salaryActiveMonths
85. MK-CF-F-148 inMonth
86. MK-CF-F-191 ym
87. MK-CF-F-152 isRadarItem
88. MK-ST-F-034 firstDate
89. MK-CF-F-143 annualisedGross
90. MK-CF-F-145 deductionsFromPay
91. MK-CF-F-128 grossByMonth
92. MK-CF-F-146 payFiguresAgree
93. MK-CF-F-144 takeHomeAsEntered
94. MK-XS-F-180 declareFigures
95. MK-ST-F-049 formatMoney
96. MK-HM-F-005 pctTxt
97. MK-NW-F-067 plural
98. MK-CF-F-005 actualMonthFlow
99. MK-CF-F-156 plannedMonthFlow
100. MK-CF-F-187 seniorDeductionFor
101. MK-CF-F-142 monthsOf
102. MK-CF-F-141 perMonth
103. MK-ST-F-048 currencySymbol
104. MK-NW-F-078 ONE
105. MK-CF-F-157 debtPaymentsByDebt
106. MK-CF-F-140 periodsAYear
107. MK-ST-F-047 activeCurrency
108. MK-NW-F-077 ALL
109. MK-NW-F-059 currentYield
110. MK-NW-O-001 theBonds
111. MK-NW-F-112 yearlyInterest
112. MK-ST-F-027 accountId
113. MK-NW-F-057 annualCoupon
114. MK-NW-F-056 bondInfo
115. MK-NW-F-064 bondRateSensitivity
116. MK-NW-F-061 bondSummary
117. MK-NW-F-055 isBond
118. MK-NW-F-124 maturityParts
119. MK-NW-F-072 rowOf
120. MK-NW-F-060 approxYTM
121. MK-NW-F-069 priceAtYield
122. MK-NW-F-131 pricedLikeBond
123. MK-NW-F-125 isPastMaturity
124. MK-ST-F-065 isoLocalDate
125. MK-NW-F-126 yearlyInterestNow
126. MK-NW-F-011 assetClassOf
127. MK-NW-F-009 maturityClass
128. MK-NW-F-070 accruedInterestCaveat
129. MK-NW-F-058 yearsToMaturity
130. MK-NW-F-119 estimatedAccrued
131. MK-NW-F-120 classEvidenceOf
132. MK-NW-F-008 incomeBearingClassOf
133. MK-ST-F-010 nameEvidence
134. MK-XS-F-147 call
135. MK-XS-F-064 currentIdToken
136. MK-XS-F-112 relayUrl</t>
        </is>
      </c>
      <c r="R596" s="3" t="inlineStr">
        <is>
          <t>1. MK-CF-F-207 SOURCE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MK-CF-F-172 hasWage → MK-CF-F-173 earnerWages → MK-CF-F-092 incomeMonthlyGrid → MK-CF-F-011 savingsByMonth → MK-XS-F-028 surplusByMonth → MK-XS-F-029 monthlySavings
9. … and 4 more paths</t>
        </is>
      </c>
      <c r="S596" s="3" t="inlineStr">
        <is>
          <t>—</t>
        </is>
      </c>
      <c r="T596" s="3" t="inlineStr">
        <is>
          <t>—</t>
        </is>
      </c>
      <c r="U596" s="3" t="inlineStr">
        <is>
          <t>ACTIVE</t>
        </is>
      </c>
      <c r="V596" s="3" t="inlineStr">
        <is>
          <t>2026-09-09</t>
        </is>
      </c>
      <c r="W596" s="3" t="n"/>
      <c r="X596" s="3" t="n"/>
      <c r="Y596" s="3" t="inlineStr">
        <is>
          <t>NOTHING OPEN</t>
        </is>
      </c>
    </row>
    <row r="597" ht="60" customHeight="1">
      <c r="A597" s="3" t="inlineStr">
        <is>
          <t>MK-XS-F-030</t>
        </is>
      </c>
      <c r="B597" s="3" t="inlineStr">
        <is>
          <t>effectiveAnnualContribution</t>
        </is>
      </c>
      <c r="C597" s="3" t="inlineStr">
        <is>
          <t>src/domain/snapshot.ts</t>
        </is>
      </c>
      <c r="D597" s="3" t="n">
        <v>65</v>
      </c>
      <c r="E597" s="3" t="inlineStr">
        <is>
          <t>3 · DEPENDENT</t>
        </is>
      </c>
      <c r="F597" s="3" t="inlineStr">
        <is>
          <t>NEGATIVE CASH FLOW DRAINS WEALTH — committed contributions don't create money.</t>
        </is>
      </c>
      <c r="G597" s="11" t="inlineStr">
        <is>
          <t>a = op (or none when missing)
stated annual = (monthly contributions from onboarding(op) ?? 0)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597" s="3" t="inlineStr">
        <is>
          <t>A is op (or none — when missing). Stated annual is (monthly contributions from onboarding(op) ?? 0)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597" s="3" t="inlineStr">
        <is>
          <t>PARTLY READ — some of the code is still showing through; needs a hand pass</t>
        </is>
      </c>
      <c r="J597" s="3" t="inlineStr">
        <is>
          <t>op: Record&lt;string, any&gt; | null</t>
        </is>
      </c>
      <c r="K597" s="3" t="inlineStr">
        <is>
          <t>number</t>
        </is>
      </c>
      <c r="L597" s="3" t="inlineStr">
        <is>
          <t>—</t>
        </is>
      </c>
      <c r="M597" s="3" t="inlineStr">
        <is>
          <t>· Turns a monthly figure into a year by multiplying by twelve.</t>
        </is>
      </c>
      <c r="N597" s="3" t="inlineStr">
        <is>
          <t>Yes</t>
        </is>
      </c>
      <c r="O597" s="3" t="inlineStr">
        <is>
          <t>1. MK-NW-F-041 monthlyContributionsFromOnboarding
2. MK-CF-F-011 savingsByMonth
3. MK-ST-F-052 toNum</t>
        </is>
      </c>
      <c r="P597" s="3" t="n">
        <v>117</v>
      </c>
      <c r="Q597" s="3" t="inlineStr">
        <is>
          <t>1. MK-NW-F-041 monthlyContributionsFromOnboarding
2. MK-CF-F-011 savingsByMonth
3. MK-ST-F-052 toNum
4. MK-CF-F-197 ageAttainedInYear
5. MK-CF-F-053 annual401kLimit
6. MK-CF-F-078 employerMatchMonthly
7. MK-ST-F-053 money
8. MK-CF-F-092 incomeMonthlyGrid
9. MK-CF-F-132 map
10. MK-CF-F-008 spendByMonth
11. MK-XS-F-122 n
12. MK-CF-F-175 sumOverEarners
13. MK-CF-F-178 wageMatchMonthly
14. MK-ST-F-049 formatMoney
15. MK-CF-F-069 benefitActiveMonths
16. MK-CF-F-072 currentRetirementIncomeMonthly
17. MK-CF-F-173 earnerWages
18. MK-CF-F-065 equityVestWeights
19. MK-CF-F-071 extraIncome
20. MK-ST-F-056 has
21. MK-CF-F-206 householdK401ByMonth
22. MK-CF-F-087 monthlyTaxRates
23. MK-CF-F-073 otherIncomeMonth
24. MK-CF-F-181 rateInForce
25. MK-CF-F-068 rentalNetAnnual
26. MK-CF-F-066 rsuAnnual
27. MK-CF-F-060 salaryGrossByMonth
28. MK-CF-F-077 scholarshipByCalendarMonth
29. MK-CF-F-088 taxableByCalendarMonth
30. MK-CF-F-177 wageGrossByMonth
31. MK-PL-F-012 waterfall
32. MK-CF-F-120 pctBaseMonthly
33. MK-CF-F-004 spendBuckets
34. MK-ST-F-048 currencySymbol
35. MK-ST-F-039 on
36. MK-CF-F-075 retirementIncomeMonthly
37. MK-CF-F-172 hasWage
38. MK-CF-F-062 equityRowValue
39. MK-CF-F-070 benefitAnnual
40. MK-CF-F-176 sumMonthsOverEarners
41. MK-CF-F-203 MONTH
42. MK-CF-F-090 effectiveRate
43. MK-CF-F-180 enteredLandsAnnual
44. MK-CF-F-085 filingStatusOf
45. MK-CF-F-089 over65CountOf
46. MK-CF-F-082 salaryAnnual
47. MK-CF-F-086 stateRateOf
48. MK-CF-F-101 taxOwedFor
49. MK-CF-F-084 taxableAnnual
50. MK-CF-O-002 expenses
51. MK-CF-F-067 rentalList
52. MK-CF-F-063 rowVestYear
53. MK-CF-F-130 enteredMonthlyRaw
54. MK-CF-F-166 hasMonthlySalaryTable
55. MK-ST-F-036 reconcile
56. MK-CF-F-167 salaryCalendarYear
57. MK-CF-F-003 categoryMonthly
58. MK-ST-F-047 activeCurrency
59. MK-CF-O-010 theMonth
60. MK-CF-F-100 taxableIncomeFor
61. MK-CF-F-074 tipsAnnual
62. MK-CF-F-151 actualSpending
63. MK-CF-F-150 debtPaymentsCountedAsExpenses
64. MK-CF-F-153 radar
65. MK-CF-F-149 recurringDebtPayments
66. MK-ST-F-085 rentFigure
67. MK-CF-F-216 typed
68. MK-CF-F-165 salaryMonths
69. MK-XS-F-027 takeHomeMonthly
70. MK-CF-F-155 cash
71. MK-CF-O-003 thisMonth
72. MK-CF-F-099 deductionFor
73. MK-CF-F-081 salaryActiveMonths
74. MK-CF-F-148 inMonth
75. MK-CF-F-191 ym
76. MK-CF-F-022 paymentShape
77. MK-CF-F-152 isRadarItem
78. MK-CF-F-023 requiredPayment
79. MK-CF-F-005 actualMonthFlow
80. MK-CF-F-156 plannedMonthFlow
81. MK-CF-F-187 seniorDeductionFor
82. MK-CF-F-021 defaultPaymentType
83. MK-NW-F-078 ONE
84. MK-CF-F-157 debtPaymentsByDebt
85. MK-CF-F-192 inflowLabel
86. MK-NW-F-077 ALL
87. MK-NW-F-059 currentYield
88. MK-XS-F-180 declareFigures
89. MK-NW-O-001 theBonds
90. MK-CF-F-193 inflowSourceWord
91. MK-NW-F-112 yearlyInterest
92. MK-ST-F-027 accountId
93. MK-NW-F-057 annualCoupon
94. MK-NW-F-056 bondInfo
95. MK-NW-F-064 bondRateSensitivity
96. MK-NW-F-061 bondSummary
97. MK-NW-F-055 isBond
98. MK-NW-F-124 maturityParts
99. MK-NW-F-072 rowOf
100. MK-NW-F-060 approxYTM
101. MK-NW-F-069 priceAtYield
102. MK-NW-F-131 pricedLikeBond
103. MK-NW-F-125 isPastMaturity
104. MK-ST-F-065 isoLocalDate
105. MK-NW-F-126 yearlyInterestNow
106. MK-NW-F-011 assetClassOf
107. MK-NW-F-009 maturityClass
108. MK-NW-F-070 accruedInterestCaveat
109. MK-NW-F-058 yearsToMaturity
110. MK-NW-F-119 estimatedAccrued
111. MK-NW-F-120 classEvidenceOf
112. MK-NW-F-067 plural
113. MK-NW-F-008 incomeBearingClassOf
114. MK-ST-F-010 nameEvidence
115. MK-XS-F-147 call
116. MK-XS-F-064 currentIdToken
117. MK-XS-F-112 relayUrl</t>
        </is>
      </c>
      <c r="R597" s="3" t="inlineStr">
        <is>
          <t>1. MK-CF-F-197 ageAttainedInYear → MK-NW-F-041 monthlyContributionsFromOnboarding → MK-XS-F-030 effectiveAnnualContribution
2. MK-CF-F-053 annual401kLimit → MK-NW-F-041 monthlyContributionsFromOnboarding → MK-XS-F-030 effectiveAnnualContribution
3. MK-CF-F-172 hasWage → MK-CF-F-173 earnerWages → MK-CF-F-175 sumOverEarners → MK-CF-F-078 employerMatchMonthly → MK-NW-F-041 monthlyContributionsFromOnboarding → MK-XS-F-030 effectiveAnnualContribution
4. MK-XS-F-122 n → MK-ST-F-052 toNum → MK-CF-F-178 wageMatchMonthly → MK-CF-F-078 employerMatchMonthly → MK-NW-F-041 monthlyContributionsFromOnboarding → MK-XS-F-030 effectiveAnnualContribution
5. MK-ST-F-047 activeCurrency → MK-ST-F-048 currencySymbol → MK-ST-F-049 formatMoney → MK-ST-F-053 money → MK-NW-F-041 monthlyContributionsFromOnboarding → MK-XS-F-030 effectiveAnnualContribution
6. MK-XS-F-122 n → MK-ST-F-049 formatMoney → MK-ST-F-053 money → MK-NW-F-041 monthlyContributionsFromOnboarding → MK-XS-F-030 effectiveAnnualContribution
7. MK-ST-F-039 on → MK-ST-F-049 formatMoney → MK-ST-F-053 money → MK-NW-F-041 monthlyContributionsFromOnboarding → MK-XS-F-030 effectiveAnnualContribution
8. MK-XS-F-122 n → MK-ST-F-053 money → MK-NW-F-041 monthlyContributionsFromOnboarding → MK-XS-F-030 effectiveAnnualContribution
9. … and 5 more paths</t>
        </is>
      </c>
      <c r="S597" s="3" t="inlineStr">
        <is>
          <t>—</t>
        </is>
      </c>
      <c r="T597" s="3" t="inlineStr">
        <is>
          <t>—</t>
        </is>
      </c>
      <c r="U597" s="3" t="inlineStr">
        <is>
          <t>ACTIVE</t>
        </is>
      </c>
      <c r="V597" s="3" t="inlineStr">
        <is>
          <t>2026-10-07</t>
        </is>
      </c>
      <c r="W597" s="3" t="n"/>
      <c r="X597" s="3" t="n"/>
      <c r="Y597" s="3" t="inlineStr">
        <is>
          <t>NOTHING OPEN</t>
        </is>
      </c>
    </row>
    <row r="598" ht="60" customHeight="1">
      <c r="A598" s="3" t="inlineStr">
        <is>
          <t>MK-XS-F-031</t>
        </is>
      </c>
      <c r="B598" s="3" t="inlineStr">
        <is>
          <t>buildSnapshot</t>
        </is>
      </c>
      <c r="C598" s="3" t="inlineStr">
        <is>
          <t>src/domain/snapshot.ts</t>
        </is>
      </c>
      <c r="D598" s="3" t="n">
        <v>124</v>
      </c>
      <c r="E598" s="3" t="inlineStr">
        <is>
          <t>2 · DISPLAYED</t>
        </is>
      </c>
      <c r="F598" s="3" t="inlineStr">
        <is>
          <t>Build a snapshot from EXPLICIT net-worth rows.</t>
        </is>
      </c>
      <c r="G598"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598"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598" s="3" t="inlineStr">
        <is>
          <t>READ FROM THE CODE — rendered from the expressions the function runs</t>
        </is>
      </c>
      <c r="J598" s="3" t="inlineStr">
        <is>
          <t>Nothing is handed to it</t>
        </is>
      </c>
      <c r="K598" s="3" t="inlineStr">
        <is>
          <t>NOT DECLARED — the code does not say what it gives back</t>
        </is>
      </c>
      <c r="L598" s="3" t="inlineStr">
        <is>
          <t>NOT FOUND — a screen calls it, but the words printed beside its answer could not be traced automatically. Needs reading.</t>
        </is>
      </c>
      <c r="M598" s="3" t="inlineStr">
        <is>
          <t>1. If current age is missing it uses 35.
2. If target retirement age is missing it uses 65.
3. If plan to age is missing it uses 90.</t>
        </is>
      </c>
      <c r="N598" s="3" t="inlineStr">
        <is>
          <t>Yes</t>
        </is>
      </c>
      <c r="O598"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598" s="3" t="n">
        <v>272</v>
      </c>
      <c r="Q598"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MK-NW-F-110 primaryHomeIdOf
27. MK-CF-F-002 plannedMonthlySpend
28. MK-CF-F-004 spendBuckets
29. MK-CF-F-026 actualDebtPayment
30. MK-CF-F-204 line
31. MK-CF-F-025 minimumDebtService
32. MK-CF-F-027 totalDebtBalance
33. MK-PL-F-012 waterfall
34. MK-CF-F-048 effectiveTaxRate
35. MK-CF-F-046 employerMatchAnnual
36. MK-CF-F-045 grossAnnualBaseline
37. MK-CF-F-161 monthlyGrossOfSource
38. MK-CF-F-098 progressiveMonthlyTax
39. MK-CF-F-129 round4
40. MK-PL-F-050 simulate
41. MK-XS-F-122 n
42. MK-NW-F-041 monthlyContributionsFromOnboarding
43. MK-CF-F-011 savingsByMonth
44. MK-ST-F-043 newEntityId
45. MK-CF-F-070 benefitAnnual
46. MK-CF-F-072 currentRetirementIncomeMonthly
47. MK-CF-F-078 employerMatchMonthly
48. MK-CF-F-065 equityVestWeights
49. MK-CF-O-002 expenses
50. MK-CF-F-067 rentalList
51. MK-CF-F-066 rsuAnnual
52. MK-CF-F-082 salaryAnnual
53. MK-CF-F-074 tipsAnnual
54. MK-XS-F-131 toInt
55. MK-PL-F-047 colFactor
56. MK-PL-F-001 taxBucketSplit
57. MK-XS-F-017 currentAge
58. MK-XS-F-019 retirementHorizonYears
59. MK-XS-F-018 yearsToRetirement
60. MK-ST-F-027 accountId
61. MK-CF-F-111 applyTransaction
62. MK-NW-F-040 assetsFromOnboarding
63. MK-PF-F-013 benchmarkTicker
64. MK-ST-F-028 buildDayFromAccounts
65. MK-PF-F-034 closeOnOrBefore
66. MK-CF-F-186 convertTakeHomeMode
67. MK-ST-F-079 dailyWindowStart
68. MK-CF-F-038 debtsFromOnboarding
69. MK-XS-F-083 fetchPriceSeries
70. MK-ST-F-084 fillBetweenObservations
71. MK-ST-F-056 has
72. MK-CF-F-116 inverseOf
73. MK-ST-F-065 isoLocalDate
74. MK-CF-F-112 makeTransaction
75. MK-CF-F-218 moveOldRentFigure
76. MK-XS-F-006 pruneDaily
77. MK-ST-F-073 rebuildDays
78. MK-NW-F-054 reclassifyAccounts
79. MK-XS-F-174 recomputeBalances
80. MK-CF-F-115 restoreUndo
81. MK-CF-F-109 reviewTransactions
82. MK-ST-F-044 setMoneyFormat
83. MK-NW-O-004 theEmergencyFund
84. MK-CF-F-114 undoSnapshot
85. MK-CF-F-191 ym
86. MK-NW-F-007 assetKind
87. MK-NW-F-030 earmarkDefault
88. MK-NW-F-134 carValueNotEnteredNotes
89. MK-NW-F-133 valueEntered
90. MK-NW-F-117 propertyUseMap
91. MK-CF-F-092 incomeMonthlyGrid
92. MK-XS-F-027 takeHomeMonthly
93. MK-CF-F-003 categoryMonthly
94. MK-CF-F-024 totalDebtMonthly
95. MK-CF-F-203 MONTH
96. MK-XS-F-180 declareFigures
97. MK-CF-F-022 paymentShape
98. MK-CF-F-102 effectiveRateOnGrossFor
99. MK-CF-F-044 annualNet
100. MK-CF-F-127 isRental
101. MK-CF-F-101 taxOwedFor
102. MK-CF-F-100 taxableIncomeFor
103. MK-PL-F-074 median
104. MK-PL-F-072 mulberry32
105. MK-PL-F-073 normal
106. MK-PL-F-075 pctOfSorted
107. MK-ST-F-025 rmdStartAgeFromAge
108. MK-CF-F-197 ageAttainedInYear
109. MK-CF-F-053 annual401kLimit
110. MK-ST-F-053 money
111. MK-CF-F-008 spendByMonth
112. MK-CF-F-069 benefitActiveMonths
113. MK-CF-F-075 retirementIncomeMonthly
114. MK-CF-F-175 sumOverEarners
115. MK-CF-F-178 wageMatchMonthly
116. MK-CF-F-062 equityRowValue
117. MK-CF-F-151 actualSpending
118. MK-CF-F-150 debtPaymentsCountedAsExpenses
119. MK-CF-F-153 radar
120. MK-CF-F-149 recurringDebtPayments
121. MK-ST-F-085 rentFigure
122. MK-CF-F-216 typed
123. MK-CF-F-063 rowVestYear
124. MK-CF-F-060 salaryGrossByMonth
125. MK-CF-F-081 salaryActiveMonths
126. MK-NW-F-026 accountDisplayNames
127. MK-PL-F-086 splitBucketOf
128. MK-PL-F-087 taxTypeNotStated
129. MK-CF-F-138 addLot
130. MK-CF-F-136 bumpCash
131. MK-CF-F-137 findPos
132. MK-CF-F-139 removeShares
133. MK-PF-F-001 totalShares
134. MK-CF-F-085 filingStatusOf
135. MK-CF-F-097 grossFromNet
136. MK-CF-F-185 needsTakeHomeConversion
137. MK-CF-F-089 over65CountOf
138. MK-CF-F-037 inferDebtType
139. MK-CF-F-217 hasOldRentFigure
140. MK-ST-F-069 amountOf
141. MK-CF-F-133 cashOf
142. MK-ST-F-066 isDayKey
143. MK-ST-F-070 isOpening
144. MK-ST-F-039 on
145. MK-ST-F-071 rebuildableFrom
146. MK-ST-F-068 stepDay
147. MK-ST-F-072 undo
148. MK-NW-F-053 correctClassOf
149. MK-NW-F-123 holdingNameEvidence
150. MK-NW-F-121 holdingTagClass
151. MK-NW-F-122 holdingTagFor
152. MK-PF-F-002 costBasis
153. MK-PF-F-009 latestClose
154. MK-PF-F-004 marketValue
155. MK-ST-F-030 record
156. MK-XS-F-024 resolveLens
157. MK-ST-F-055 round2
158. MK-CF-F-162 daysApart
159. MK-CF-F-108 isMoneyOut
160. MK-CF-F-131 normPayee
161. MK-NW-F-016 cashTotal
162. MK-CF-F-010 emergencyTest
163. MK-CF-F-190 essentialsMonthly
164. MK-CF-O-004 incomeSummary
165. MK-CF-F-009 monthlyEssentials
166. MK-CF-O-020 theBudgetCounted
167. MK-CF-F-113 affectedAccountIds
168. MK-NW-F-011 assetClassOf
169. MK-NW-F-116 rentedIdsOf
170. MK-CF-F-173 earnerWages
171. MK-CF-F-071 extraIncome
172. MK-CF-F-206 householdK401ByMonth
173. MK-CF-F-087 monthlyTaxRates
174. MK-CF-F-073 otherIncomeMonth
175. MK-CF-F-181 rateInForce
176. MK-CF-F-068 rentalNetAnnual
177. MK-CF-F-077 scholarshipByCalendarMonth
178. MK-CF-F-088 taxableByCalendarMonth
179. MK-CF-F-177 wageGrossByMonth
180. MK-CF-F-120 pctBaseMonthly
181. MK-CF-F-201 INCOME
182. MK-CF-F-023 requiredPayment
183. MK-CF-O-010 theMonth
184. MK-CF-F-021 defaultPaymentType
185. MK-CF-F-099 deductionFor
186. MK-ST-F-024 rmdStartAge
187. MK-ST-F-049 formatMoney
188. MK-CF-F-148 inMonth
189. MK-CF-F-152 isRadarItem
190. MK-CF-F-176 sumMonthsOverEarners
191. MK-NW-F-025 accountDisplayName
192. MK-NW-F-012 taxTreatmentOf
193. MK-CF-F-134 usesSleeve
194. MK-ST-F-067 utcOfDay
195. MK-ST-F-035 covers
196. MK-NW-F-120 classEvidenceOf
197. MK-NW-F-008 incomeBearingClassOf
198. MK-PF-F-031 contractMultiplier
199. MK-PF-F-035 unknownFigure
200. MK-NW-F-027 accountClassBreakdown
201. MK-NW-F-029 assetAllocation
202. MK-CF-F-189 essentialsFromLoggedSpending
203. MK-CF-O-001 basePay
204. MK-CF-F-179 entryFromWage
205. MK-CF-F-192 inflowLabel
206. MK-CF-F-103 marginalBracketFor
207. MK-CF-F-084 taxableAnnual
208. MK-NW-F-106 mortgagesByProperty
209. MK-NW-F-107 propertyUses
210. MK-NW-F-115 liveRent
211. MK-CF-F-172 hasWage
212. MK-CF-F-090 effectiveRate
213. MK-CF-F-180 enteredLandsAnnual
214. MK-CF-F-086 stateRateOf
215. MK-CF-F-130 enteredMonthlyRaw
216. MK-CF-F-166 hasMonthlySalaryTable
217. MK-ST-F-036 reconcile
218. MK-CF-F-167 salaryCalendarYear
219. MK-CF-F-207 SOURCE
220. MK-CF-O-003 thisMonth
221. MK-CF-F-187 seniorDeductionFor
222. MK-ST-F-048 currencySymbol
223. MK-NW-F-024 accountLastFour
224. MK-NW-F-023 wrapperWord
225. MK-ST-F-034 firstDate
226. MK-NW-F-009 maturityClass
227. MK-ST-F-010 nameEvidence
228. MK-NW-F-109 holdingClassOf
229. MK-NW-F-067 plural
230. MK-CF-F-171 earnerPay
231. MK-HM-F-006 money0
232. MK-CF-F-198 payrollTaxWithheld
233. MK-CF-F-165 salaryMonths
234. MK-CF-F-193 inflowSourceWord
235. MK-NW-F-114 rentAmount
236. MK-CF-O-016 incomeSources
237. MK-CF-F-005 actualMonthFlow
238. MK-CF-F-156 plannedMonthFlow
239. MK-ST-F-047 activeCurrency
240. MK-NW-F-124 maturityParts
241. MK-XS-F-147 call
242. MK-CF-F-143 annualisedGross
243. MK-CF-F-145 deductionsFromPay
244. MK-CF-F-128 grossByMonth
245. MK-CF-F-146 payFiguresAgree
246. MK-CF-F-144 takeHomeAsEntered
247. MK-HM-F-005 pctTxt
248. MK-NW-F-078 ONE
249. MK-CF-F-157 debtPaymentsByDebt
250. MK-XS-F-064 currentIdToken
251. MK-XS-F-112 relayUrl
252. MK-CF-F-142 monthsOf
253. MK-CF-F-141 perMonth
254. MK-NW-F-077 ALL
255. MK-NW-F-059 currentYield
256. MK-NW-O-001 theBonds
257. MK-CF-F-140 periodsAYear
258. MK-NW-F-112 yearlyInterest
259. MK-NW-F-057 annualCoupon
260. MK-NW-F-056 bondInfo
261. MK-NW-F-064 bondRateSensitivity
262. MK-NW-F-061 bondSummary
263. MK-NW-F-055 isBond
264. MK-NW-F-072 rowOf
265. MK-NW-F-060 approxYTM
266. MK-NW-F-069 priceAtYield
267. MK-NW-F-131 pricedLikeBond
268. MK-NW-F-125 isPastMaturity
269. MK-NW-F-126 yearlyInterestNow
270. MK-NW-F-070 accruedInterestCaveat
271. MK-NW-F-058 yearsToMaturity
272. MK-NW-F-119 estimatedAccrued</t>
        </is>
      </c>
      <c r="R598" s="3" t="inlineStr">
        <is>
          <t>1. MK-NW-F-120 classEvidenceOf → MK-NW-F-011 assetClassOf → MK-NW-F-007 assetKind → MK-NW-F-034 benchmarkReturn → MK-NW-F-037 blendedReturn → MK-XS-F-031 buildSnapshot
2. MK-XS-F-122 n → MK-CF-F-155 cash → MK-NW-F-007 assetKind → MK-NW-F-034 benchmarkReturn → MK-NW-F-037 blendedReturn → MK-XS-F-031 buildSnapshot
3. MK-NW-F-120 classEvidenceOf → MK-NW-F-011 assetClassOf → MK-NW-F-030 earmarkDefault → MK-NW-F-032 earmarkedAmount → MK-NW-F-037 blendedReturn → MK-XS-F-031 buildSnapshot
4. MK-CF-F-132 map → MK-NW-F-134 carValueNotEnteredNotes → MK-NW-F-031 primaryCarIdOf → MK-NW-F-037 blendedReturn → MK-XS-F-031 buildSnapshot
5. MK-ST-F-049 formatMoney → MK-ST-F-053 money → MK-NW-F-134 carValueNotEnteredNotes → MK-NW-F-031 primaryCarIdOf → MK-NW-F-037 blendedReturn → MK-XS-F-031 buildSnapshot
6. MK-XS-F-122 n → MK-ST-F-053 money → MK-NW-F-134 carValueNotEnteredNotes → MK-NW-F-031 primaryCarIdOf → MK-NW-F-037 blendedReturn → MK-XS-F-031 buildSnapshot
7. primaryCarIdOf (already above — a loop) → MK-NW-F-134 carValueNotEnteredNotes → MK-NW-F-031 primaryCarIdOf → MK-NW-F-037 blendedReturn → MK-XS-F-031 buildSnapshot
8. MK-NW-F-032 earmarkedAmount → MK-NW-F-033 retirementEarmarkedValue → MK-NW-F-134 carValueNotEnteredNotes → MK-NW-F-031 primaryCarIdOf → MK-NW-F-037 blendedReturn → MK-XS-F-031 buildSnapshot
9. … and 5 more paths</t>
        </is>
      </c>
      <c r="S598" s="3" t="inlineStr">
        <is>
          <t>—</t>
        </is>
      </c>
      <c r="T598" s="3" t="inlineStr">
        <is>
          <t>—</t>
        </is>
      </c>
      <c r="U598" s="3" t="inlineStr">
        <is>
          <t>ACTIVE</t>
        </is>
      </c>
      <c r="V598" s="3" t="inlineStr">
        <is>
          <t>2026-08-27</t>
        </is>
      </c>
      <c r="W598" s="3" t="n"/>
      <c r="X598" s="3" t="n"/>
      <c r="Y598" s="3" t="inlineStr">
        <is>
          <t>NOTHING OPEN</t>
        </is>
      </c>
    </row>
    <row r="599" ht="60" customHeight="1">
      <c r="A599" s="3" t="inlineStr">
        <is>
          <t>MK-XS-F-032</t>
        </is>
      </c>
      <c r="B599" s="3" t="inlineStr">
        <is>
          <t>snapshotFromOnboarding</t>
        </is>
      </c>
      <c r="C599" s="3" t="inlineStr">
        <is>
          <t>src/domain/snapshot.ts</t>
        </is>
      </c>
      <c r="D599" s="3" t="n">
        <v>199</v>
      </c>
      <c r="E599" s="3" t="inlineStr">
        <is>
          <t>3 · DEPENDENT (feeds an action only)</t>
        </is>
      </c>
      <c r="F599" s="3" t="inlineStr">
        <is>
          <t>Snapshot from onboarding answers alone — for headless/test callers (and any surface that runs before Net Worth is set up).</t>
        </is>
      </c>
      <c r="G599" s="11" t="inlineStr">
        <is>
          <t>build snapshot(uid, op, econ, assets from onboarding(uid, op).accounts, debts from onboarding(uid, op).debts)</t>
        </is>
      </c>
      <c r="H599" s="3" t="inlineStr">
        <is>
          <t>build snapshot(uid, op, econ, assets from onboarding(uid, op).accounts, debts from onboarding(uid, op).debts).</t>
        </is>
      </c>
      <c r="I599" s="3" t="inlineStr">
        <is>
          <t>PARTLY READ — some of the code is still showing through; needs a hand pass</t>
        </is>
      </c>
      <c r="J599" s="3" t="inlineStr">
        <is>
          <t>1. uid: UserId
2. op: Record&lt;string, any&gt; | null
3. econ: EconomicData</t>
        </is>
      </c>
      <c r="K599" s="3" t="inlineStr">
        <is>
          <t>FinancialSnapshot</t>
        </is>
      </c>
      <c r="L599" s="3" t="inlineStr">
        <is>
          <t>—</t>
        </is>
      </c>
      <c r="M599" s="3" t="inlineStr">
        <is>
          <t>None found in this function — anything it assumes comes from the functions it depends on.</t>
        </is>
      </c>
      <c r="N599" s="3" t="inlineStr">
        <is>
          <t>No</t>
        </is>
      </c>
      <c r="O599" s="3" t="inlineStr">
        <is>
          <t>1. MK-NW-F-040 assetsFromOnboarding
2. MK-XS-F-031 buildSnapshot
3. MK-CF-F-038 debtsFromOnboarding
4. MK-XS-F-175 uid</t>
        </is>
      </c>
      <c r="P599" s="3" t="n">
        <v>273</v>
      </c>
      <c r="Q599"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MK-ST-F-079 dailyWindowStart
35. MK-XS-F-083 fetchPriceSeries
36. MK-ST-F-084 fillBetweenObservations
37. MK-ST-F-056 has
38. MK-CF-F-116 inverseOf
39. MK-ST-F-065 isoLocalDate
40. MK-CF-F-112 makeTransaction
41. MK-CF-F-218 moveOldRentFigure
42. MK-XS-F-122 n
43. MK-XS-F-006 pruneDaily
44. MK-ST-F-073 rebuildDays
45. MK-NW-F-054 reclassifyAccounts
46. MK-XS-F-174 recomputeBalances
47. MK-CF-F-115 restoreUndo
48. MK-CF-F-109 reviewTransactions
49. MK-ST-F-044 setMoneyFormat
50. MK-NW-O-004 theEmergencyFund
51. MK-CF-F-114 undoSnapshot
52. MK-CF-F-191 ym
53. MK-NW-F-034 benchmarkReturn
54. MK-NW-F-032 earmarkedAmount
55. MK-NW-F-031 primaryCarIdOf
56. MK-NW-F-110 primaryHomeIdOf
57. MK-CF-F-002 plannedMonthlySpend
58. MK-CF-F-004 spendBuckets
59. MK-CF-F-026 actualDebtPayment
60. MK-CF-F-204 line
61. MK-CF-F-025 minimumDebtService
62. MK-CF-F-027 totalDebtBalance
63. MK-PL-F-012 waterfall
64. MK-CF-F-048 effectiveTaxRate
65. MK-CF-F-046 employerMatchAnnual
66. MK-CF-F-045 grossAnnualBaseline
67. MK-CF-F-161 monthlyGrossOfSource
68. MK-CF-F-098 progressiveMonthlyTax
69. MK-CF-F-129 round4
70. MK-PL-F-050 simulate
71. MK-NW-F-041 monthlyContributionsFromOnboarding
72. MK-CF-F-011 savingsByMonth
73. MK-CF-F-070 benefitAnnual
74. MK-CF-F-072 currentRetirementIncomeMonthly
75. MK-CF-F-078 employerMatchMonthly
76. MK-CF-F-065 equityVestWeights
77. MK-CF-O-002 expenses
78. MK-CF-F-067 rentalList
79. MK-CF-F-066 rsuAnnual
80. MK-CF-F-082 salaryAnnual
81. MK-CF-F-074 tipsAnnual
82. MK-XS-F-131 toInt
83. MK-PL-F-047 colFactor
84. MK-PL-F-001 taxBucketSplit
85. MK-XS-F-017 currentAge
86. MK-XS-F-019 retirementHorizonYears
87. MK-XS-F-018 yearsToRetirement
88. MK-CF-F-138 addLot
89. MK-CF-F-136 bumpCash
90. MK-CF-F-137 findPos
91. MK-CF-F-139 removeShares
92. MK-PF-F-001 totalShares
93. MK-ST-F-053 money
94. MK-CF-F-085 filingStatusOf
95. MK-CF-F-097 grossFromNet
96. MK-CF-F-185 needsTakeHomeConversion
97. MK-CF-F-089 over65CountOf
98. MK-CF-F-217 hasOldRentFigure
99. MK-CF-F-216 typed
100. MK-ST-F-069 amountOf
101. MK-CF-F-133 cashOf
102. MK-ST-F-066 isDayKey
103. MK-ST-F-070 isOpening
104. MK-ST-F-039 on
105. MK-ST-F-071 rebuildableFrom
106. MK-ST-F-068 stepDay
107. MK-ST-F-072 undo
108. MK-NW-F-053 correctClassOf
109. MK-NW-F-123 holdingNameEvidence
110. MK-NW-F-121 holdingTagClass
111. MK-NW-F-122 holdingTagFor
112. MK-PF-F-002 costBasis
113. MK-PF-F-009 latestClose
114. MK-PF-F-004 marketValue
115. MK-ST-F-030 record
116. MK-XS-F-024 resolveLens
117. MK-ST-F-055 round2
118. MK-CF-F-162 daysApart
119. MK-CF-F-108 isMoneyOut
120. MK-PL-F-074 median
121. MK-CF-F-131 normPayee
122. MK-NW-F-016 cashTotal
123. MK-CF-F-010 emergencyTest
124. MK-CF-F-190 essentialsMonthly
125. MK-CF-O-004 incomeSummary
126. MK-CF-F-009 monthlyEssentials
127. MK-CF-F-022 paymentShape
128. MK-NW-F-117 propertyUseMap
129. MK-ST-F-085 rentFigure
130. MK-CF-O-020 theBudgetCounted
131. MK-CF-F-113 affectedAccountIds
132. MK-NW-F-007 assetKind
133. MK-NW-F-030 earmarkDefault
134. MK-NW-F-134 carValueNotEnteredNotes
135. MK-NW-F-133 valueEntered
136. MK-CF-F-092 incomeMonthlyGrid
137. MK-XS-F-027 takeHomeMonthly
138. MK-CF-F-003 categoryMonthly
139. MK-CF-F-024 totalDebtMonthly
140. MK-CF-F-203 MONTH
141. MK-XS-F-180 declareFigures
142. MK-CF-F-102 effectiveRateOnGrossFor
143. MK-CF-F-044 annualNet
144. MK-CF-F-127 isRental
145. MK-CF-F-101 taxOwedFor
146. MK-CF-F-100 taxableIncomeFor
147. MK-PL-F-072 mulberry32
148. MK-PL-F-073 normal
149. MK-PL-F-075 pctOfSorted
150. MK-ST-F-025 rmdStartAgeFromAge
151. MK-CF-F-197 ageAttainedInYear
152. MK-CF-F-053 annual401kLimit
153. MK-CF-F-008 spendByMonth
154. MK-CF-F-069 benefitActiveMonths
155. MK-CF-F-075 retirementIncomeMonthly
156. MK-CF-F-175 sumOverEarners
157. MK-CF-F-178 wageMatchMonthly
158. MK-CF-F-062 equityRowValue
159. MK-CF-F-151 actualSpending
160. MK-CF-F-150 debtPaymentsCountedAsExpenses
161. MK-CF-F-153 radar
162. MK-CF-F-149 recurringDebtPayments
163. MK-CF-F-063 rowVestYear
164. MK-CF-F-060 salaryGrossByMonth
165. MK-CF-F-081 salaryActiveMonths
166. MK-NW-F-026 accountDisplayNames
167. MK-PL-F-086 splitBucketOf
168. MK-PL-F-087 taxTypeNotStated
169. MK-CF-F-134 usesSleeve
170. MK-ST-F-049 formatMoney
171. MK-ST-F-067 utcOfDay
172. MK-ST-F-035 covers
173. MK-NW-F-120 classEvidenceOf
174. MK-NW-F-008 incomeBearingClassOf
175. MK-PF-F-031 contractMultiplier
176. MK-PF-F-035 unknownFigure
177. MK-NW-F-027 accountClassBreakdown
178. MK-NW-F-029 assetAllocation
179. MK-NW-F-011 assetClassOf
180. MK-CF-F-189 essentialsFromLoggedSpending
181. MK-CF-O-001 basePay
182. MK-CF-F-173 earnerWages
183. MK-CF-F-179 entryFromWage
184. MK-CF-F-071 extraIncome
185. MK-CF-F-192 inflowLabel
186. MK-CF-F-103 marginalBracketFor
187. MK-CF-F-181 rateInForce
188. MK-CF-F-068 rentalNetAnnual
189. MK-CF-F-084 taxableAnnual
190. MK-CF-F-120 pctBaseMonthly
191. MK-CF-F-021 defaultPaymentType
192. MK-NW-F-116 rentedIdsOf
193. MK-NW-F-106 mortgagesByProperty
194. MK-NW-F-107 propertyUses
195. MK-CF-F-206 householdK401ByMonth
196. MK-CF-F-087 monthlyTaxRates
197. MK-CF-F-073 otherIncomeMonth
198. MK-CF-F-077 scholarshipByCalendarMonth
199. MK-CF-F-088 taxableByCalendarMonth
200. MK-CF-F-177 wageGrossByMonth
201. MK-CF-F-201 INCOME
202. MK-CF-F-023 requiredPayment
203. MK-CF-O-010 theMonth
204. MK-CF-F-099 deductionFor
205. MK-ST-F-024 rmdStartAge
206. MK-CF-F-148 inMonth
207. MK-CF-F-152 isRadarItem
208. MK-CF-F-176 sumMonthsOverEarners
209. MK-NW-F-025 accountDisplayName
210. MK-NW-F-012 taxTreatmentOf
211. MK-ST-F-048 currencySymbol
212. MK-ST-F-034 firstDate
213. MK-NW-F-009 maturityClass
214. MK-ST-F-010 nameEvidence
215. MK-NW-F-109 holdingClassOf
216. MK-NW-F-067 plural
217. MK-CF-F-171 earnerPay
218. MK-HM-F-006 money0
219. MK-CF-F-198 payrollTaxWithheld
220. MK-CF-F-172 hasWage
221. MK-CF-F-165 salaryMonths
222. MK-CF-F-193 inflowSourceWord
223. MK-CF-F-180 enteredLandsAnnual
224. MK-CF-F-086 stateRateOf
225. MK-NW-F-115 liveRent
226. MK-CF-F-090 effectiveRate
227. MK-CF-F-130 enteredMonthlyRaw
228. MK-CF-F-166 hasMonthlySalaryTable
229. MK-ST-F-036 reconcile
230. MK-CF-F-167 salaryCalendarYear
231. MK-CF-F-207 SOURCE
232. MK-CF-O-003 thisMonth
233. MK-CF-F-187 seniorDeductionFor
234. MK-NW-F-024 accountLastFour
235. MK-NW-F-023 wrapperWord
236. MK-ST-F-047 activeCurrency
237. MK-NW-F-124 maturityParts
238. MK-XS-F-147 call
239. MK-CF-F-143 annualisedGross
240. MK-CF-F-145 deductionsFromPay
241. MK-CF-F-128 grossByMonth
242. MK-CF-F-146 payFiguresAgree
243. MK-CF-F-144 takeHomeAsEntered
244. MK-HM-F-005 pctTxt
245. MK-NW-F-114 rentAmount
246. MK-CF-O-016 incomeSources
247. MK-CF-F-005 actualMonthFlow
248. MK-CF-F-156 plannedMonthFlow
249. MK-XS-F-064 currentIdToken
250. MK-XS-F-112 relayUrl
251. MK-CF-F-142 monthsOf
252. MK-CF-F-141 perMonth
253. MK-NW-F-078 ONE
254. MK-CF-F-157 debtPaymentsByDebt
255. MK-CF-F-140 periodsAYear
256. MK-NW-F-077 ALL
257. MK-NW-F-059 currentYield
258. MK-NW-O-001 theBonds
259. MK-NW-F-112 yearlyInterest
260. MK-NW-F-057 annualCoupon
261. MK-NW-F-056 bondInfo
262. MK-NW-F-064 bondRateSensitivity
263. MK-NW-F-061 bondSummary
264. MK-NW-F-055 isBond
265. MK-NW-F-072 rowOf
266. MK-NW-F-060 approxYTM
267. MK-NW-F-069 priceAtYield
268. MK-NW-F-131 pricedLikeBond
269. MK-NW-F-125 isPastMaturity
270. MK-NW-F-126 yearlyInterestNow
271. MK-NW-F-070 accruedInterestCaveat
272. MK-NW-F-058 yearsToMaturity
273. MK-NW-F-119 estimatedAccrued</t>
        </is>
      </c>
      <c r="R599"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599" s="3" t="inlineStr">
        <is>
          <t>—</t>
        </is>
      </c>
      <c r="T599" s="3" t="inlineStr">
        <is>
          <t>—</t>
        </is>
      </c>
      <c r="U599" s="3" t="inlineStr">
        <is>
          <t>ACTIVE</t>
        </is>
      </c>
      <c r="V599" s="3" t="inlineStr">
        <is>
          <t>2026-08-27</t>
        </is>
      </c>
      <c r="W599" s="3" t="n"/>
      <c r="X599" s="3" t="n"/>
      <c r="Y599" s="3" t="inlineStr">
        <is>
          <t>NOTHING OPEN</t>
        </is>
      </c>
    </row>
    <row r="600" ht="60" customHeight="1">
      <c r="A600" s="3" t="inlineStr">
        <is>
          <t>MK-XS-F-033</t>
        </is>
      </c>
      <c r="B600" s="3" t="inlineStr">
        <is>
          <t>resolveNetWorthRows</t>
        </is>
      </c>
      <c r="C600" s="3" t="inlineStr">
        <is>
          <t>src/domain/snapshot.ts</t>
        </is>
      </c>
      <c r="D600" s="3" t="n">
        <v>227</v>
      </c>
      <c r="E600" s="3" t="inlineStr">
        <is>
          <t>2 · DISPLAYED</t>
        </is>
      </c>
      <c r="F600" s="3" t="inlineStr">
        <is>
          <t>The single rule for which net-worth rows a live UI surface should use, so Home + TopBar + the Net Worth screen never disagree (B-49).</t>
        </is>
      </c>
      <c r="G600" s="11" t="inlineStr">
        <is>
          <t>use live = nw seeded (or live accounts.length &gt; 0 (or live liabilities.length &gt; 0 when missing or zero) when missing or zero)</t>
        </is>
      </c>
      <c r="H600" s="3" t="inlineStr">
        <is>
          <t>Use live is nw seeded (or live accounts.length &gt; 0 (or live liabilities.length &gt; 0 — when missing or zero) — when missing or zero).</t>
        </is>
      </c>
      <c r="I600" s="3" t="inlineStr">
        <is>
          <t>READ FROM THE CODE — rendered from the expressions the function runs</t>
        </is>
      </c>
      <c r="J600" s="3" t="inlineStr">
        <is>
          <t>Nothing is handed to it</t>
        </is>
      </c>
      <c r="K600" s="3" t="inlineStr">
        <is>
          <t>NOT DECLARED — the code does not say what it gives back</t>
        </is>
      </c>
      <c r="L600" s="3" t="inlineStr">
        <is>
          <t>NOT FOUND — a screen calls it, but the words printed beside its answer could not be traced automatically. Needs reading.</t>
        </is>
      </c>
      <c r="M600" s="3" t="inlineStr">
        <is>
          <t>None found in this function — anything it assumes comes from the functions it depends on.</t>
        </is>
      </c>
      <c r="N600" s="3" t="inlineStr">
        <is>
          <t>Yes</t>
        </is>
      </c>
      <c r="O600" s="3" t="inlineStr">
        <is>
          <t>1. MK-NW-F-040 assetsFromOnboarding
2. MK-CF-F-038 debtsFromOnboarding
3. MK-XS-F-175 uid</t>
        </is>
      </c>
      <c r="P600" s="3" t="n">
        <v>206</v>
      </c>
      <c r="Q600"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MK-CF-F-218 moveOldRentFigure
23. MK-XS-F-122 n
24. MK-XS-F-006 pruneDaily
25. MK-ST-F-073 rebuildDays
26. MK-NW-F-054 reclassifyAccounts
27. MK-XS-F-174 recomputeBalances
28. MK-CF-F-115 restoreUndo
29. MK-CF-F-109 reviewTransactions
30. MK-ST-F-044 setMoneyFormat
31. MK-NW-O-004 theEmergencyFund
32. MK-CF-F-114 undoSnapshot
33. MK-CF-F-191 ym
34. MK-CF-F-138 addLot
35. MK-CF-F-136 bumpCash
36. MK-CF-F-137 findPos
37. MK-CF-F-139 removeShares
38. MK-PF-F-001 totalShares
39. MK-ST-F-053 money
40. MK-CF-F-085 filingStatusOf
41. MK-CF-F-097 grossFromNet
42. MK-CF-F-185 needsTakeHomeConversion
43. MK-CF-F-089 over65CountOf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600"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600" s="3" t="inlineStr">
        <is>
          <t>—</t>
        </is>
      </c>
      <c r="T600" s="3" t="inlineStr">
        <is>
          <t>NET_WORTH_ROWS</t>
        </is>
      </c>
      <c r="U600" s="3" t="inlineStr">
        <is>
          <t>ACTIVE</t>
        </is>
      </c>
      <c r="V600" s="3" t="inlineStr">
        <is>
          <t>2026-08-27</t>
        </is>
      </c>
      <c r="W600" s="3" t="n"/>
      <c r="X600" s="3" t="n"/>
      <c r="Y600" s="3" t="inlineStr">
        <is>
          <t>NOTHING OPEN</t>
        </is>
      </c>
    </row>
    <row r="601" ht="45" customHeight="1">
      <c r="A601" s="3" t="inlineStr">
        <is>
          <t>MK-XS-F-034</t>
        </is>
      </c>
      <c r="B601" s="3" t="inlineStr">
        <is>
          <t>isLockAvailable</t>
        </is>
      </c>
      <c r="C601" s="3" t="inlineStr">
        <is>
          <t>src/services/appLock.ts</t>
        </is>
      </c>
      <c r="D601" s="3" t="n">
        <v>54</v>
      </c>
      <c r="E601" s="3" t="inlineStr">
        <is>
          <t>2 · DISPLAYED</t>
        </is>
      </c>
      <c r="F601" s="3" t="inlineStr">
        <is>
          <t>True only when the device has biometric hardware AND the user has enrolled a biometric/passcode.</t>
        </is>
      </c>
      <c r="G601" s="11" t="inlineStr">
        <is>
          <t>m = load()
false   when has hardware async is missing
the answer = !!has hw and !!enrolled</t>
        </is>
      </c>
      <c r="H601" s="3" t="inlineStr">
        <is>
          <t>M is load(). When has hardware async is missing, it answers false. The answer is !!has hw and !!enrolled.</t>
        </is>
      </c>
      <c r="I601" s="3" t="inlineStr">
        <is>
          <t>READ FROM THE CODE — rendered from the expressions the function runs</t>
        </is>
      </c>
      <c r="J601" s="3" t="inlineStr">
        <is>
          <t>Nothing is handed to it</t>
        </is>
      </c>
      <c r="K601" s="3" t="inlineStr">
        <is>
          <t>Promise&lt;boolean&gt;</t>
        </is>
      </c>
      <c r="L601" s="3" t="inlineStr">
        <is>
          <t>NOT FOUND — a screen calls it, but the words printed beside its answer could not be traced automatically. Needs reading.</t>
        </is>
      </c>
      <c r="M601" s="3" t="inlineStr">
        <is>
          <t>None found in this function — anything it assumes comes from the functions it depends on.</t>
        </is>
      </c>
      <c r="N601" s="3" t="inlineStr">
        <is>
          <t>Yes</t>
        </is>
      </c>
      <c r="O601" s="3" t="inlineStr">
        <is>
          <t>MK-XS-F-132 load</t>
        </is>
      </c>
      <c r="P601" s="3" t="n">
        <v>1</v>
      </c>
      <c r="Q601" s="3" t="inlineStr">
        <is>
          <t>MK-XS-F-132 load</t>
        </is>
      </c>
      <c r="R601" s="3" t="inlineStr">
        <is>
          <t>MK-XS-F-132 load → MK-XS-F-034 isLockAvailable</t>
        </is>
      </c>
      <c r="S601" s="3" t="inlineStr">
        <is>
          <t>—</t>
        </is>
      </c>
      <c r="T601" s="3" t="inlineStr">
        <is>
          <t>—</t>
        </is>
      </c>
      <c r="U601" s="3" t="inlineStr">
        <is>
          <t>ACTIVE</t>
        </is>
      </c>
      <c r="V601" s="3" t="inlineStr">
        <is>
          <t>2026-08-27</t>
        </is>
      </c>
      <c r="W601" s="3" t="n"/>
      <c r="X601" s="3" t="n"/>
      <c r="Y601" s="3" t="inlineStr">
        <is>
          <t>NOTHING OPEN</t>
        </is>
      </c>
    </row>
    <row r="602" ht="60" customHeight="1">
      <c r="A602" s="3" t="inlineStr">
        <is>
          <t>MK-XS-F-035</t>
        </is>
      </c>
      <c r="B602" s="3" t="inlineStr">
        <is>
          <t>authenticate</t>
        </is>
      </c>
      <c r="C602" s="3" t="inlineStr">
        <is>
          <t>src/services/appLock.ts</t>
        </is>
      </c>
      <c r="D602" s="3" t="n">
        <v>87</v>
      </c>
      <c r="E602" s="3" t="inlineStr">
        <is>
          <t>2 · DISPLAYED</t>
        </is>
      </c>
      <c r="F602" s="3" t="inlineStr">
        <is>
          <t>Prompt for Face ID / Touch ID / device passcode.</t>
        </is>
      </c>
      <c r="G602" s="11" t="inlineStr">
        <is>
          <t>m = load()
false   when authenticate async is missing
res = await authenticate async({ prompt message: reason, disable device fallback: false })
the answer = !!res.success</t>
        </is>
      </c>
      <c r="H602" s="3" t="inlineStr">
        <is>
          <t>M is load(). When authenticate async is missing, it answers false. Res is await authenticate async({ prompt message: reason, disable device fallback: false }). The answer is !!res.success.</t>
        </is>
      </c>
      <c r="I602" s="3" t="inlineStr">
        <is>
          <t>READ FROM THE CODE — rendered from the expressions the function runs</t>
        </is>
      </c>
      <c r="J602" s="3" t="inlineStr">
        <is>
          <t>reason = 'Unlock MoneyKeel'</t>
        </is>
      </c>
      <c r="K602" s="3" t="inlineStr">
        <is>
          <t>Promise&lt;boolean&gt;</t>
        </is>
      </c>
      <c r="L602" s="3" t="inlineStr">
        <is>
          <t>NOT FOUND — a screen calls it, but the words printed beside its answer could not be traced automatically. Needs reading.</t>
        </is>
      </c>
      <c r="M602" s="3" t="inlineStr">
        <is>
          <t>None found in this function — anything it assumes comes from the functions it depends on.</t>
        </is>
      </c>
      <c r="N602" s="3" t="inlineStr">
        <is>
          <t>Yes</t>
        </is>
      </c>
      <c r="O602" s="3" t="inlineStr">
        <is>
          <t>MK-XS-F-132 load</t>
        </is>
      </c>
      <c r="P602" s="3" t="n">
        <v>1</v>
      </c>
      <c r="Q602" s="3" t="inlineStr">
        <is>
          <t>MK-XS-F-132 load</t>
        </is>
      </c>
      <c r="R602" s="3" t="inlineStr">
        <is>
          <t>MK-XS-F-132 load → MK-XS-F-035 authenticate</t>
        </is>
      </c>
      <c r="S602" s="3" t="inlineStr">
        <is>
          <t>—</t>
        </is>
      </c>
      <c r="T602" s="3" t="inlineStr">
        <is>
          <t>—</t>
        </is>
      </c>
      <c r="U602" s="3" t="inlineStr">
        <is>
          <t>ACTIVE</t>
        </is>
      </c>
      <c r="V602" s="3" t="inlineStr">
        <is>
          <t>2026-08-27</t>
        </is>
      </c>
      <c r="W602" s="3" t="n"/>
      <c r="X602" s="3" t="n"/>
      <c r="Y602" s="3" t="inlineStr">
        <is>
          <t>NOTHING OPEN</t>
        </is>
      </c>
    </row>
    <row r="603" ht="60" customHeight="1">
      <c r="A603" s="3" t="inlineStr">
        <is>
          <t>MK-XS-F-036</t>
        </is>
      </c>
      <c r="B603" s="3" t="inlineStr">
        <is>
          <t>initCrashReporting</t>
        </is>
      </c>
      <c r="C603" s="3" t="inlineStr">
        <is>
          <t>src/services/crashReporter.ts</t>
        </is>
      </c>
      <c r="D603" s="3" t="n">
        <v>57</v>
      </c>
      <c r="E603" s="3" t="inlineStr">
        <is>
          <t>1 · ACTION</t>
        </is>
      </c>
      <c r="F603" s="3" t="inlineStr">
        <is>
          <t>Initialise crash reporting once, at app start.</t>
        </is>
      </c>
      <c r="G603" s="11" t="inlineStr">
        <is>
          <t>dsn = (constants.expo config.extra as any).SENTRY_DSN (or process.env.SENTRY_DSN (or '' when missing or zero) when missing or zero)
s = load sentry()</t>
        </is>
      </c>
      <c r="H603" s="3" t="inlineStr">
        <is>
          <t>Dsn is (constants.expo config.extra as any).SENTRY_DSN (or process.env.SENTRY_DSN (or '' — when missing or zero) — when missing or zero). S is load sentry().</t>
        </is>
      </c>
      <c r="I603" s="3" t="inlineStr">
        <is>
          <t>PARTLY READ — some of the code is still showing through; needs a hand pass</t>
        </is>
      </c>
      <c r="J603" s="3" t="inlineStr">
        <is>
          <t>Nothing is handed to it</t>
        </is>
      </c>
      <c r="K603" s="3" t="inlineStr">
        <is>
          <t>void</t>
        </is>
      </c>
      <c r="L603" s="3" t="inlineStr">
        <is>
          <t>—</t>
        </is>
      </c>
      <c r="M603" s="3" t="inlineStr">
        <is>
          <t>None found in this function — anything it assumes comes from the functions it depends on.</t>
        </is>
      </c>
      <c r="N603" s="3" t="inlineStr">
        <is>
          <t>Yes</t>
        </is>
      </c>
      <c r="O603" s="3" t="inlineStr">
        <is>
          <t>1. MK-XS-F-037 captureException
2. MK-XS-F-134 installGlobalHandler
3. MK-XS-F-133 loadSentry</t>
        </is>
      </c>
      <c r="P603" s="3" t="n">
        <v>3</v>
      </c>
      <c r="Q603" s="3" t="inlineStr">
        <is>
          <t>1. MK-XS-F-037 captureException
2. MK-XS-F-134 installGlobalHandler
3. MK-XS-F-133 loadSentry</t>
        </is>
      </c>
      <c r="R603" s="3" t="inlineStr">
        <is>
          <t>1. MK-XS-F-037 captureException → MK-XS-F-036 initCrashReporting
2. MK-XS-F-037 captureException → MK-XS-F-134 installGlobalHandler → MK-XS-F-036 initCrashReporting
3. MK-XS-F-133 loadSentry → MK-XS-F-036 initCrashReporting</t>
        </is>
      </c>
      <c r="S603" s="3" t="inlineStr">
        <is>
          <t>—</t>
        </is>
      </c>
      <c r="T603" s="3" t="inlineStr">
        <is>
          <t>—</t>
        </is>
      </c>
      <c r="U603" s="3" t="inlineStr">
        <is>
          <t>ACTIVE</t>
        </is>
      </c>
      <c r="V603" s="3" t="inlineStr">
        <is>
          <t>2026-08-27</t>
        </is>
      </c>
      <c r="W603" s="3" t="n"/>
      <c r="X603" s="3" t="n"/>
      <c r="Y603" s="3" t="inlineStr">
        <is>
          <t>NOTHING OPEN</t>
        </is>
      </c>
    </row>
    <row r="604" ht="30" customHeight="1">
      <c r="A604" s="3" t="inlineStr">
        <is>
          <t>MK-XS-F-037</t>
        </is>
      </c>
      <c r="B604" s="3" t="inlineStr">
        <is>
          <t>captureException</t>
        </is>
      </c>
      <c r="C604" s="3" t="inlineStr">
        <is>
          <t>src/services/crashReporter.ts</t>
        </is>
      </c>
      <c r="D604" s="3" t="n">
        <v>126</v>
      </c>
      <c r="E604" s="3" t="inlineStr">
        <is>
          <t>1 · ACTION</t>
        </is>
      </c>
      <c r="F604" s="3" t="inlineStr">
        <is>
          <t>Report a caught error.</t>
        </is>
      </c>
      <c r="G604" s="11" t="inlineStr">
        <is>
          <t>It records or announces something and returns no figure — no arithmetic of its own.</t>
        </is>
      </c>
      <c r="H604" s="3" t="inlineStr">
        <is>
          <t>It records or announces something and returns no figure — no arithmetic of its own.</t>
        </is>
      </c>
      <c r="I604" s="3" t="inlineStr">
        <is>
          <t>NO ARITHMETIC — there is no formula to state</t>
        </is>
      </c>
      <c r="J604" s="3" t="inlineStr">
        <is>
          <t>1. error: unknown
2. extra?: Extra</t>
        </is>
      </c>
      <c r="K604" s="3" t="inlineStr">
        <is>
          <t>void</t>
        </is>
      </c>
      <c r="L604" s="3" t="inlineStr">
        <is>
          <t>—</t>
        </is>
      </c>
      <c r="M604" s="3" t="inlineStr">
        <is>
          <t>None found in this function — anything it assumes comes from the functions it depends on.</t>
        </is>
      </c>
      <c r="N604" s="3" t="inlineStr">
        <is>
          <t>Yes</t>
        </is>
      </c>
      <c r="O604" s="3" t="inlineStr">
        <is>
          <t>—</t>
        </is>
      </c>
      <c r="P604" s="3" t="n">
        <v>0</v>
      </c>
      <c r="Q604" s="3" t="inlineStr">
        <is>
          <t>None — no dependent function stands behind it</t>
        </is>
      </c>
      <c r="R604" s="3" t="inlineStr">
        <is>
          <t>No dependent function — it reads its inputs and answers</t>
        </is>
      </c>
      <c r="S604" s="3" t="inlineStr">
        <is>
          <t>—</t>
        </is>
      </c>
      <c r="T604" s="3" t="inlineStr">
        <is>
          <t>—</t>
        </is>
      </c>
      <c r="U604" s="3" t="inlineStr">
        <is>
          <t>ACTIVE</t>
        </is>
      </c>
      <c r="V604" s="3" t="inlineStr">
        <is>
          <t>2026-08-27</t>
        </is>
      </c>
      <c r="W604" s="3" t="n"/>
      <c r="X604" s="3" t="n"/>
      <c r="Y604" s="3" t="inlineStr">
        <is>
          <t>NOTHING OPEN</t>
        </is>
      </c>
    </row>
    <row r="605" ht="30" customHeight="1">
      <c r="A605" s="3" t="inlineStr">
        <is>
          <t>MK-XS-F-038</t>
        </is>
      </c>
      <c r="B605" s="3" t="inlineStr">
        <is>
          <t>setUserScope</t>
        </is>
      </c>
      <c r="C605" s="3" t="inlineStr">
        <is>
          <t>src/services/crashReporter.ts</t>
        </is>
      </c>
      <c r="D605" s="3" t="n">
        <v>154</v>
      </c>
      <c r="E605" s="3" t="inlineStr">
        <is>
          <t>1 · ACTION</t>
        </is>
      </c>
      <c r="F605" s="3" t="inlineStr">
        <is>
          <t>Tag the current user on reports (call after login; pass null on logout).</t>
        </is>
      </c>
      <c r="G605" s="11" t="inlineStr">
        <is>
          <t>It records or announces something and returns no figure — no arithmetic of its own.</t>
        </is>
      </c>
      <c r="H605" s="3" t="inlineStr">
        <is>
          <t>It records or announces something and returns no figure — no arithmetic of its own.</t>
        </is>
      </c>
      <c r="I605" s="3" t="inlineStr">
        <is>
          <t>NO ARITHMETIC — there is no formula to state</t>
        </is>
      </c>
      <c r="J605" s="3" t="inlineStr">
        <is>
          <t>uid: string | null</t>
        </is>
      </c>
      <c r="K605" s="3" t="inlineStr">
        <is>
          <t>void</t>
        </is>
      </c>
      <c r="L605" s="3" t="inlineStr">
        <is>
          <t>—</t>
        </is>
      </c>
      <c r="M605" s="3" t="inlineStr">
        <is>
          <t>None found in this function — anything it assumes comes from the functions it depends on.</t>
        </is>
      </c>
      <c r="N605" s="3" t="inlineStr">
        <is>
          <t>Yes</t>
        </is>
      </c>
      <c r="O605" s="3" t="inlineStr">
        <is>
          <t>—</t>
        </is>
      </c>
      <c r="P605" s="3" t="n">
        <v>0</v>
      </c>
      <c r="Q605" s="3" t="inlineStr">
        <is>
          <t>None — no dependent function stands behind it</t>
        </is>
      </c>
      <c r="R605" s="3" t="inlineStr">
        <is>
          <t>No dependent function — it reads its inputs and answers</t>
        </is>
      </c>
      <c r="S605" s="3" t="inlineStr">
        <is>
          <t>—</t>
        </is>
      </c>
      <c r="T605" s="3" t="inlineStr">
        <is>
          <t>—</t>
        </is>
      </c>
      <c r="U605" s="3" t="inlineStr">
        <is>
          <t>ACTIVE</t>
        </is>
      </c>
      <c r="V605" s="3" t="inlineStr">
        <is>
          <t>2026-08-27</t>
        </is>
      </c>
      <c r="W605" s="3" t="n"/>
      <c r="X605" s="3" t="n"/>
      <c r="Y605" s="3" t="inlineStr">
        <is>
          <t>NOTHING OPEN</t>
        </is>
      </c>
    </row>
    <row r="606" ht="45" customHeight="1">
      <c r="A606" s="3" t="inlineStr">
        <is>
          <t>MK-XS-F-039</t>
        </is>
      </c>
      <c r="B606" s="3" t="inlineStr">
        <is>
          <t>crashReportingEnabled</t>
        </is>
      </c>
      <c r="C606" s="3" t="inlineStr">
        <is>
          <t>src/services/crashReporter.ts</t>
        </is>
      </c>
      <c r="D606" s="3" t="n">
        <v>180</v>
      </c>
      <c r="E606" s="3" t="inlineStr">
        <is>
          <t>3 · DEPENDENT (feeds an action only)</t>
        </is>
      </c>
      <c r="F606" s="3" t="inlineStr">
        <is>
          <t>Whether reports are actually shipping to Sentry (DSN + SDK present).</t>
        </is>
      </c>
      <c r="G606" s="11" t="inlineStr">
        <is>
          <t>enabled</t>
        </is>
      </c>
      <c r="H606" s="3" t="inlineStr">
        <is>
          <t>enabled.</t>
        </is>
      </c>
      <c r="I606" s="3" t="inlineStr">
        <is>
          <t>READ FROM THE CODE — rendered from the expressions the function runs</t>
        </is>
      </c>
      <c r="J606" s="3" t="inlineStr">
        <is>
          <t>Nothing is handed to it</t>
        </is>
      </c>
      <c r="K606" s="3" t="inlineStr">
        <is>
          <t>boolean</t>
        </is>
      </c>
      <c r="L606" s="3" t="inlineStr">
        <is>
          <t>—</t>
        </is>
      </c>
      <c r="M606" s="3" t="inlineStr">
        <is>
          <t>None found in this function — anything it assumes comes from the functions it depends on.</t>
        </is>
      </c>
      <c r="N606" s="3" t="inlineStr">
        <is>
          <t>No</t>
        </is>
      </c>
      <c r="O606" s="3" t="inlineStr">
        <is>
          <t>—</t>
        </is>
      </c>
      <c r="P606" s="3" t="n">
        <v>0</v>
      </c>
      <c r="Q606" s="3" t="inlineStr">
        <is>
          <t>None — no dependent function stands behind it</t>
        </is>
      </c>
      <c r="R606" s="3" t="inlineStr">
        <is>
          <t>No dependent function — it reads its inputs and answers</t>
        </is>
      </c>
      <c r="S606" s="3" t="inlineStr">
        <is>
          <t>—</t>
        </is>
      </c>
      <c r="T606" s="3" t="inlineStr">
        <is>
          <t>—</t>
        </is>
      </c>
      <c r="U606" s="3" t="inlineStr">
        <is>
          <t>ACTIVE</t>
        </is>
      </c>
      <c r="V606" s="3" t="inlineStr">
        <is>
          <t>2026-08-27</t>
        </is>
      </c>
      <c r="W606" s="3" t="n"/>
      <c r="X606" s="3" t="n"/>
      <c r="Y606" s="3" t="inlineStr">
        <is>
          <t>NOTHING OPEN</t>
        </is>
      </c>
    </row>
    <row r="607" ht="60" customHeight="1">
      <c r="A607" s="3" t="inlineStr">
        <is>
          <t>MK-XS-F-040</t>
        </is>
      </c>
      <c r="B607" s="3" t="inlineStr">
        <is>
          <t>sendTestReport</t>
        </is>
      </c>
      <c r="C607" s="3" t="inlineStr">
        <is>
          <t>src/services/crashReporter.ts</t>
        </is>
      </c>
      <c r="D607" s="3" t="n">
        <v>202</v>
      </c>
      <c r="E607" s="3" t="inlineStr">
        <is>
          <t>2 · DISPLAYED</t>
        </is>
      </c>
      <c r="F607" s="3" t="inlineStr">
        <is>
          <t>B-L2 verification: send a harmless test event so you can confirm wiring in the Sentry dashboard (works on the production/TestFlight build).</t>
        </is>
      </c>
      <c r="G607" s="11" t="inlineStr">
        <is>
          <t>enabled</t>
        </is>
      </c>
      <c r="H607" s="3" t="inlineStr">
        <is>
          <t>enabled.</t>
        </is>
      </c>
      <c r="I607" s="3" t="inlineStr">
        <is>
          <t>READ FROM THE CODE — rendered from the expressions the function runs</t>
        </is>
      </c>
      <c r="J607" s="3" t="inlineStr">
        <is>
          <t>Nothing is handed to it</t>
        </is>
      </c>
      <c r="K607" s="3" t="inlineStr">
        <is>
          <t>boolean</t>
        </is>
      </c>
      <c r="L607" s="3" t="inlineStr">
        <is>
          <t>"Hide balances" — on the Settings screen, under "Security"</t>
        </is>
      </c>
      <c r="M607" s="3" t="inlineStr">
        <is>
          <t>None found in this function — anything it assumes comes from the functions it depends on.</t>
        </is>
      </c>
      <c r="N607" s="3" t="inlineStr">
        <is>
          <t>Yes</t>
        </is>
      </c>
      <c r="O607" s="3" t="inlineStr">
        <is>
          <t>MK-XS-F-037 captureException</t>
        </is>
      </c>
      <c r="P607" s="3" t="n">
        <v>1</v>
      </c>
      <c r="Q607" s="3" t="inlineStr">
        <is>
          <t>MK-XS-F-037 captureException</t>
        </is>
      </c>
      <c r="R607" s="3" t="inlineStr">
        <is>
          <t>MK-XS-F-037 captureException → MK-XS-F-040 sendTestReport</t>
        </is>
      </c>
      <c r="S607" s="3" t="inlineStr">
        <is>
          <t>—</t>
        </is>
      </c>
      <c r="T607" s="3" t="inlineStr">
        <is>
          <t>—</t>
        </is>
      </c>
      <c r="U607" s="3" t="inlineStr">
        <is>
          <t>ACTIVE</t>
        </is>
      </c>
      <c r="V607" s="3" t="inlineStr">
        <is>
          <t>2026-08-27</t>
        </is>
      </c>
      <c r="W607" s="3" t="n"/>
      <c r="X607" s="3" t="n"/>
      <c r="Y607" s="3" t="inlineStr">
        <is>
          <t>NOTHING OPEN</t>
        </is>
      </c>
    </row>
    <row r="608" ht="45" customHeight="1">
      <c r="A608" s="3" t="inlineStr">
        <is>
          <t>MK-XS-F-041</t>
        </is>
      </c>
      <c r="B608" s="3" t="inlineStr">
        <is>
          <t>cacheDataKey</t>
        </is>
      </c>
      <c r="C608" s="3" t="inlineStr">
        <is>
          <t>src/services/dataCrypto.ts</t>
        </is>
      </c>
      <c r="D608" s="3" t="n">
        <v>122</v>
      </c>
      <c r="E608" s="3" t="inlineStr">
        <is>
          <t>1 · ACTION</t>
        </is>
      </c>
      <c r="F608" s="3" t="inlineStr">
        <is>
          <t>── DEK lifecycle (the cached, unwrapped key the sync layer uses) ───── Cache the unwrapped DEK (memory + keychain).</t>
        </is>
      </c>
      <c r="G608" s="11" t="inlineStr">
        <is>
          <t>keeps the data-encryption key in memory and in the device's secure store</t>
        </is>
      </c>
      <c r="H608" s="3" t="inlineStr">
        <is>
          <t>Stores the data-encryption key in memory and in the secure keychain. Not a calculation.</t>
        </is>
      </c>
      <c r="I608" s="3" t="inlineStr">
        <is>
          <t>READ BY HAND 2026-08-26 — checked line by line against the code</t>
        </is>
      </c>
      <c r="J608" s="3" t="inlineStr">
        <is>
          <t>dek: string</t>
        </is>
      </c>
      <c r="K608" s="3" t="inlineStr">
        <is>
          <t>Promise&lt;void&gt;</t>
        </is>
      </c>
      <c r="L608" s="3" t="inlineStr">
        <is>
          <t>—</t>
        </is>
      </c>
      <c r="M608" s="3" t="inlineStr">
        <is>
          <t>None found in this function — anything it assumes comes from the functions it depends on.</t>
        </is>
      </c>
      <c r="N608" s="3" t="inlineStr">
        <is>
          <t>Yes</t>
        </is>
      </c>
      <c r="O608" s="3" t="inlineStr">
        <is>
          <t>MK-XS-F-136 secureSet</t>
        </is>
      </c>
      <c r="P608" s="3" t="n">
        <v>1</v>
      </c>
      <c r="Q608" s="3" t="inlineStr">
        <is>
          <t>MK-XS-F-136 secureSet</t>
        </is>
      </c>
      <c r="R608" s="3" t="inlineStr">
        <is>
          <t>MK-XS-F-136 secureSet → MK-XS-F-041 cacheDataKey</t>
        </is>
      </c>
      <c r="S608" s="3" t="inlineStr">
        <is>
          <t>—</t>
        </is>
      </c>
      <c r="T608" s="3" t="inlineStr">
        <is>
          <t>—</t>
        </is>
      </c>
      <c r="U608" s="3" t="inlineStr">
        <is>
          <t>ACTIVE</t>
        </is>
      </c>
      <c r="V608" s="3" t="inlineStr">
        <is>
          <t>2026-09-12</t>
        </is>
      </c>
      <c r="W608" s="3" t="n"/>
      <c r="X608" s="3" t="n"/>
      <c r="Y608" s="3" t="inlineStr">
        <is>
          <t>NOTHING OPEN</t>
        </is>
      </c>
    </row>
    <row r="609" ht="45" customHeight="1">
      <c r="A609" s="3" t="inlineStr">
        <is>
          <t>MK-XS-F-042</t>
        </is>
      </c>
      <c r="B609" s="3" t="inlineStr">
        <is>
          <t>getDataKey</t>
        </is>
      </c>
      <c r="C609" s="3" t="inlineStr">
        <is>
          <t>src/services/dataCrypto.ts</t>
        </is>
      </c>
      <c r="D609" s="3" t="n">
        <v>150</v>
      </c>
      <c r="E609" s="3" t="inlineStr">
        <is>
          <t>3 · DEPENDENT</t>
        </is>
      </c>
      <c r="F609" s="3" t="inlineStr">
        <is>
          <t>The cached DEK (memory → keychain), or null if it hasn't been unwrapped on this install yet.</t>
        </is>
      </c>
      <c r="G609" s="11" t="inlineStr">
        <is>
          <t>cached key   when cached key
cached key</t>
        </is>
      </c>
      <c r="H609" s="3" t="inlineStr">
        <is>
          <t>When cached key, it answers cached key. cached key.</t>
        </is>
      </c>
      <c r="I609" s="3" t="inlineStr">
        <is>
          <t>READ FROM THE CODE — rendered from the expressions the function runs</t>
        </is>
      </c>
      <c r="J609" s="3" t="inlineStr">
        <is>
          <t>Nothing is handed to it</t>
        </is>
      </c>
      <c r="K609" s="3" t="inlineStr">
        <is>
          <t>Promise&lt;string | null&gt;</t>
        </is>
      </c>
      <c r="L609" s="3" t="inlineStr">
        <is>
          <t>—</t>
        </is>
      </c>
      <c r="M609" s="3" t="inlineStr">
        <is>
          <t>None found in this function — anything it assumes comes from the functions it depends on.</t>
        </is>
      </c>
      <c r="N609" s="3" t="inlineStr">
        <is>
          <t>Yes</t>
        </is>
      </c>
      <c r="O609" s="3" t="inlineStr">
        <is>
          <t>MK-XS-F-135 secureGet</t>
        </is>
      </c>
      <c r="P609" s="3" t="n">
        <v>1</v>
      </c>
      <c r="Q609" s="3" t="inlineStr">
        <is>
          <t>MK-XS-F-135 secureGet</t>
        </is>
      </c>
      <c r="R609" s="3" t="inlineStr">
        <is>
          <t>MK-XS-F-135 secureGet → MK-XS-F-042 getDataKey</t>
        </is>
      </c>
      <c r="S609" s="3" t="inlineStr">
        <is>
          <t>—</t>
        </is>
      </c>
      <c r="T609" s="3" t="inlineStr">
        <is>
          <t>—</t>
        </is>
      </c>
      <c r="U609" s="3" t="inlineStr">
        <is>
          <t>ACTIVE</t>
        </is>
      </c>
      <c r="V609" s="3" t="inlineStr">
        <is>
          <t>2026-08-27</t>
        </is>
      </c>
      <c r="W609" s="3" t="n"/>
      <c r="X609" s="3" t="n"/>
      <c r="Y609" s="3" t="inlineStr">
        <is>
          <t>NOTHING OPEN</t>
        </is>
      </c>
    </row>
    <row r="610" ht="45" customHeight="1">
      <c r="A610" s="3" t="inlineStr">
        <is>
          <t>MK-XS-F-043</t>
        </is>
      </c>
      <c r="B610" s="3" t="inlineStr">
        <is>
          <t>clearDataKey</t>
        </is>
      </c>
      <c r="C610" s="3" t="inlineStr">
        <is>
          <t>src/services/dataCrypto.ts</t>
        </is>
      </c>
      <c r="D610" s="3" t="n">
        <v>174</v>
      </c>
      <c r="E610" s="3" t="inlineStr">
        <is>
          <t>1 · ACTION</t>
        </is>
      </c>
      <c r="F610" s="3" t="inlineStr">
        <is>
          <t>Forget the DEK (on logout / account deletion).</t>
        </is>
      </c>
      <c r="G610" s="11" t="inlineStr">
        <is>
          <t>forgets the data-encryption key in memory and in the secure store</t>
        </is>
      </c>
      <c r="H610" s="3" t="inlineStr">
        <is>
          <t>Removes the data-encryption key from memory and the secure keychain — done at sign-out. Not a calculation.</t>
        </is>
      </c>
      <c r="I610" s="3" t="inlineStr">
        <is>
          <t>READ BY HAND 2026-08-26 — checked line by line against the code</t>
        </is>
      </c>
      <c r="J610" s="3" t="inlineStr">
        <is>
          <t>Nothing is handed to it</t>
        </is>
      </c>
      <c r="K610" s="3" t="inlineStr">
        <is>
          <t>Promise&lt;void&gt;</t>
        </is>
      </c>
      <c r="L610" s="3" t="inlineStr">
        <is>
          <t>—</t>
        </is>
      </c>
      <c r="M610" s="3" t="inlineStr">
        <is>
          <t>None found in this function — anything it assumes comes from the functions it depends on.</t>
        </is>
      </c>
      <c r="N610" s="3" t="inlineStr">
        <is>
          <t>Yes</t>
        </is>
      </c>
      <c r="O610" s="3" t="inlineStr">
        <is>
          <t>MK-XS-F-137 secureDelete</t>
        </is>
      </c>
      <c r="P610" s="3" t="n">
        <v>1</v>
      </c>
      <c r="Q610" s="3" t="inlineStr">
        <is>
          <t>MK-XS-F-137 secureDelete</t>
        </is>
      </c>
      <c r="R610" s="3" t="inlineStr">
        <is>
          <t>MK-XS-F-137 secureDelete → MK-XS-F-043 clearDataKey</t>
        </is>
      </c>
      <c r="S610" s="3" t="inlineStr">
        <is>
          <t>—</t>
        </is>
      </c>
      <c r="T610" s="3" t="inlineStr">
        <is>
          <t>—</t>
        </is>
      </c>
      <c r="U610" s="3" t="inlineStr">
        <is>
          <t>ACTIVE</t>
        </is>
      </c>
      <c r="V610" s="3" t="inlineStr">
        <is>
          <t>2026-09-12</t>
        </is>
      </c>
      <c r="W610" s="3" t="n"/>
      <c r="X610" s="3" t="n"/>
      <c r="Y610" s="3" t="inlineStr">
        <is>
          <t>NOTHING OPEN</t>
        </is>
      </c>
    </row>
    <row r="611" ht="45" customHeight="1">
      <c r="A611" s="3" t="inlineStr">
        <is>
          <t>MK-XS-F-044</t>
        </is>
      </c>
      <c r="B611" s="3" t="inlineStr">
        <is>
          <t>generateDataKey</t>
        </is>
      </c>
      <c r="C611" s="3" t="inlineStr">
        <is>
          <t>src/services/dataCrypto.ts</t>
        </is>
      </c>
      <c r="D611" s="3" t="n">
        <v>199</v>
      </c>
      <c r="E611" s="3" t="inlineStr">
        <is>
          <t>3 · DEPENDENT</t>
        </is>
      </c>
      <c r="F611" s="3" t="inlineStr">
        <is>
          <t>── Key generation ─────────────────────────────────────────────────── A fresh random 256-bit data key (hex).</t>
        </is>
      </c>
      <c r="G611" s="11" t="inlineStr">
        <is>
          <t>crypto js.lib.word array.random(32).to string(crypto js.enc.hex)</t>
        </is>
      </c>
      <c r="H611" s="3" t="inlineStr">
        <is>
          <t>crypto js.lib.word array.random(32).to string(crypto js.enc.hex).</t>
        </is>
      </c>
      <c r="I611" s="3" t="inlineStr">
        <is>
          <t>PARTLY READ — some of the code is still showing through; needs a hand pass</t>
        </is>
      </c>
      <c r="J611" s="3" t="inlineStr">
        <is>
          <t>Nothing is handed to it</t>
        </is>
      </c>
      <c r="K611" s="3" t="inlineStr">
        <is>
          <t>string</t>
        </is>
      </c>
      <c r="L611" s="3" t="inlineStr">
        <is>
          <t>—</t>
        </is>
      </c>
      <c r="M611" s="3" t="inlineStr">
        <is>
          <t>None found in this function — anything it assumes comes from the functions it depends on.</t>
        </is>
      </c>
      <c r="N611" s="3" t="inlineStr">
        <is>
          <t>Yes</t>
        </is>
      </c>
      <c r="O611" s="3" t="inlineStr">
        <is>
          <t>—</t>
        </is>
      </c>
      <c r="P611" s="3" t="n">
        <v>0</v>
      </c>
      <c r="Q611" s="3" t="inlineStr">
        <is>
          <t>None — no dependent function stands behind it</t>
        </is>
      </c>
      <c r="R611" s="3" t="inlineStr">
        <is>
          <t>No dependent function — it reads its inputs and answers</t>
        </is>
      </c>
      <c r="S611" s="3" t="inlineStr">
        <is>
          <t>—</t>
        </is>
      </c>
      <c r="T611" s="3" t="inlineStr">
        <is>
          <t>—</t>
        </is>
      </c>
      <c r="U611" s="3" t="inlineStr">
        <is>
          <t>ACTIVE</t>
        </is>
      </c>
      <c r="V611" s="3" t="inlineStr">
        <is>
          <t>2026-08-27</t>
        </is>
      </c>
      <c r="W611" s="3" t="n"/>
      <c r="X611" s="3" t="n"/>
      <c r="Y611" s="3" t="inlineStr">
        <is>
          <t>NOTHING OPEN</t>
        </is>
      </c>
    </row>
    <row r="612" ht="60" customHeight="1">
      <c r="A612" s="3" t="inlineStr">
        <is>
          <t>MK-XS-F-045</t>
        </is>
      </c>
      <c r="B612" s="3" t="inlineStr">
        <is>
          <t>generateRecoveryCode</t>
        </is>
      </c>
      <c r="C612" s="3" t="inlineStr">
        <is>
          <t>src/services/dataCrypto.ts</t>
        </is>
      </c>
      <c r="D612" s="3" t="n">
        <v>227</v>
      </c>
      <c r="E612" s="3" t="inlineStr">
        <is>
          <t>3 · DEPENDENT</t>
        </is>
      </c>
      <c r="F612" s="3" t="inlineStr">
        <is>
          <t>A human-friendly recovery code, e.g.</t>
        </is>
      </c>
      <c r="G612" s="11" t="inlineStr">
        <is>
          <t>bytes = crypto js.lib.word array.random(20)
words = bytes.words
out = ''
byte = (words[i &gt;&gt;&gt; 2] &gt;&gt;&gt; (24 − (i % 4) × 8)) &amp; 0xff
the answer = (out.match( ÷ .{1,4} ÷ g) as string[]).join('-')</t>
        </is>
      </c>
      <c r="H612" s="3" t="inlineStr">
        <is>
          <t>Bytes is crypto js.lib.word array.random(20). Words is bytes.words. Out is ''. Byte is (words[i &gt;&gt;&gt; 2] &gt;&gt;&gt; (24 minus (i % 4) times 8)) &amp; 0xff. The answer is (out.match( divided by .{1,4} divided by g) as string[]).join('-').</t>
        </is>
      </c>
      <c r="I612" s="3" t="inlineStr">
        <is>
          <t>PARTLY READ — some of the code is still showing through; needs a hand pass</t>
        </is>
      </c>
      <c r="J612" s="3" t="inlineStr">
        <is>
          <t>Nothing is handed to it</t>
        </is>
      </c>
      <c r="K612" s="3" t="inlineStr">
        <is>
          <t>string</t>
        </is>
      </c>
      <c r="L612" s="3" t="inlineStr">
        <is>
          <t>—</t>
        </is>
      </c>
      <c r="M612" s="3" t="inlineStr">
        <is>
          <t>None found in this function — anything it assumes comes from the functions it depends on.</t>
        </is>
      </c>
      <c r="N612" s="3" t="inlineStr">
        <is>
          <t>Yes</t>
        </is>
      </c>
      <c r="O612" s="3" t="inlineStr">
        <is>
          <t>—</t>
        </is>
      </c>
      <c r="P612" s="3" t="n">
        <v>0</v>
      </c>
      <c r="Q612" s="3" t="inlineStr">
        <is>
          <t>None — no dependent function stands behind it</t>
        </is>
      </c>
      <c r="R612" s="3" t="inlineStr">
        <is>
          <t>No dependent function — it reads its inputs and answers</t>
        </is>
      </c>
      <c r="S612" s="3" t="inlineStr">
        <is>
          <t>—</t>
        </is>
      </c>
      <c r="T612" s="3" t="inlineStr">
        <is>
          <t>—</t>
        </is>
      </c>
      <c r="U612" s="3" t="inlineStr">
        <is>
          <t>ACTIVE</t>
        </is>
      </c>
      <c r="V612" s="3" t="inlineStr">
        <is>
          <t>2026-08-27</t>
        </is>
      </c>
      <c r="W612" s="3" t="n"/>
      <c r="X612" s="3" t="n"/>
      <c r="Y612" s="3" t="inlineStr">
        <is>
          <t>NOTHING OPEN</t>
        </is>
      </c>
    </row>
    <row r="613" ht="60" customHeight="1">
      <c r="A613" s="3" t="inlineStr">
        <is>
          <t>MK-XS-F-046</t>
        </is>
      </c>
      <c r="B613" s="3" t="inlineStr">
        <is>
          <t>makeEnvelope</t>
        </is>
      </c>
      <c r="C613" s="3" t="inlineStr">
        <is>
          <t>src/services/dataCrypto.ts</t>
        </is>
      </c>
      <c r="D613" s="3" t="n">
        <v>310</v>
      </c>
      <c r="E613" s="3" t="inlineStr">
        <is>
          <t>3 · DEPENDENT</t>
        </is>
      </c>
      <c r="F613" s="3" t="inlineStr">
        <is>
          <t>Build the stored envelope: the DEK locked by both the password and the recovery code.</t>
        </is>
      </c>
      <c r="G613" s="11" t="inlineStr">
        <is>
          <t>p = wrap with secret(dek, uid, password)
r = wrap with secret(dek, uid, recovery code)</t>
        </is>
      </c>
      <c r="H613" s="3" t="inlineStr">
        <is>
          <t>p = wrap with secret(dek, uid, password); r = wrap with secret(dek, uid, recovery code).</t>
        </is>
      </c>
      <c r="I613" s="3" t="inlineStr">
        <is>
          <t>READ FROM THE CODE — rendered from the expressions the function runs</t>
        </is>
      </c>
      <c r="J613" s="3" t="inlineStr">
        <is>
          <t>1. dek: string
2. uid: string
3. password: string
4. recoveryCode: string</t>
        </is>
      </c>
      <c r="K613" s="3" t="inlineStr">
        <is>
          <t>KeyEnvelope</t>
        </is>
      </c>
      <c r="L613" s="3" t="inlineStr">
        <is>
          <t>—</t>
        </is>
      </c>
      <c r="M613" s="3" t="inlineStr">
        <is>
          <t>None found in this function — anything it assumes comes from the functions it depends on.</t>
        </is>
      </c>
      <c r="N613" s="3" t="inlineStr">
        <is>
          <t>Yes</t>
        </is>
      </c>
      <c r="O613" s="3" t="inlineStr">
        <is>
          <t>1. MK-XS-F-175 uid
2. MK-XS-F-139 wrapWithSecret</t>
        </is>
      </c>
      <c r="P613" s="3" t="n">
        <v>209</v>
      </c>
      <c r="Q613"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MK-CF-F-218 moveOldRentFigure
21. MK-XS-F-122 n
22. MK-ST-F-043 newEntityId
23. MK-XS-F-006 pruneDaily
24. MK-ST-F-073 rebuildDays
25. MK-NW-F-054 reclassifyAccounts
26. MK-XS-F-174 recomputeBalances
27. MK-CF-F-115 restoreUndo
28. MK-CF-F-109 reviewTransactions
29. MK-ST-F-044 setMoneyFormat
30. MK-NW-O-004 theEmergencyFund
31. MK-CF-F-114 undoSnapshot
32. MK-CF-F-191 ym
33. MK-XS-F-138 deriveKeyFromSecret
34. MK-XS-F-052 encryptWithKey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MK-CF-F-217 hasOldRentFigure
48. MK-CF-F-216 typed
49. MK-ST-F-069 amountOf
50. MK-CF-F-133 cashOf
51. MK-ST-F-066 isDayKey
52. MK-ST-F-070 isOpening
53. MK-ST-F-039 on
54. MK-ST-F-071 rebuildableFrom
55. MK-ST-F-068 stepDay
56. MK-ST-F-072 undo
57. MK-NW-F-053 correctClassOf
58. MK-NW-F-123 holdingNameEvidence
59. MK-NW-F-121 holdingTagClass
60. MK-NW-F-122 holdingTagFor
61. MK-PF-F-002 costBasis
62. MK-PF-F-009 latestClose
63. MK-PF-F-004 marketValue
64. MK-ST-F-030 record
65. MK-XS-F-024 resolveLens
66. MK-ST-F-055 round2
67. MK-CF-F-162 daysApart
68. MK-CF-F-108 isMoneyOut
69. MK-PL-F-074 median
70. MK-CF-F-131 normPayee
71. MK-CF-F-155 cash
72. MK-NW-F-016 cashTotal
73. MK-CF-F-010 emergencyTest
74. MK-CF-F-190 essentialsMonthly
75. MK-CF-O-004 incomeSummary
76. MK-CF-F-009 monthlyEssentials
77. MK-CF-F-022 paymentShape
78. MK-CF-F-002 plannedMonthlySpend
79. MK-NW-F-117 propertyUseMap
80. MK-ST-F-085 rentFigure
81. MK-CF-O-020 theBudgetCounted
82. MK-CF-F-113 affectedAccountIds
83. MK-CF-F-134 usesSleeve
84. MK-ST-F-049 formatMoney
85. MK-CF-F-101 taxOwedFor
86. MK-ST-F-067 utcOfDay
87. MK-ST-F-035 covers
88. MK-NW-F-120 classEvidenceOf
89. MK-NW-F-008 incomeBearingClassOf
90. MK-PF-F-031 contractMultiplier
91. MK-PF-F-035 unknownFigure
92. MK-CF-F-072 currentRetirementIncomeMonthly
93. MK-NW-F-027 accountClassBreakdown
94. MK-NW-F-029 assetAllocation
95. MK-NW-F-011 assetClassOf
96. MK-CF-F-189 essentialsFromLoggedSpending
97. MK-CF-O-002 expenses
98. MK-CF-F-203 MONTH
99. MK-CF-O-001 basePay
100. MK-CF-F-069 benefitActiveMonths
101. MK-CF-F-173 earnerWages
102. MK-CF-F-179 entryFromWage
103. MK-CF-F-071 extraIncome
104. MK-CF-F-092 incomeMonthlyGrid
105. MK-CF-F-192 inflowLabel
106. MK-CF-F-103 marginalBracketFor
107. MK-CF-F-181 rateInForce
108. MK-CF-F-068 rentalNetAnnual
109. MK-CF-F-082 salaryAnnual
110. MK-CF-F-060 salaryGrossByMonth
111. MK-CF-F-084 taxableAnnual
112. MK-CF-F-120 pctBaseMonthly
113. MK-CF-F-004 spendBuckets
114. MK-CF-F-021 defaultPaymentType
115. MK-XS-F-027 takeHomeMonthly
116. MK-NW-F-116 rentedIdsOf
117. MK-NW-F-106 mortgagesByProperty
118. MK-NW-F-107 propertyUses
119. MK-ST-F-048 currencySymbol
120. MK-CF-F-100 taxableIncomeFor
121. MK-ST-F-034 firstDate
122. MK-NW-F-009 maturityClass
123. MK-ST-F-010 nameEvidence
124. MK-CF-F-075 retirementIncomeMonthly
125. MK-NW-F-109 holdingClassOf
126. MK-NW-F-067 plural
127. MK-CF-F-151 actualSpending
128. MK-CF-F-150 debtPaymentsCountedAsExpenses
129. MK-CF-F-153 radar
130. MK-CF-F-149 recurringDebtPayments
131. MK-CF-O-010 theMonth
132. MK-CF-F-171 earnerPay
133. MK-CF-F-204 line
134. MK-HM-F-006 money0
135. MK-CF-F-198 payrollTaxWithheld
136. MK-CF-F-172 hasWage
137. MK-CF-F-165 salaryMonths
138. MK-CF-F-070 benefitAnnual
139. MK-CF-F-065 equityVestWeights
140. MK-CF-F-206 householdK401ByMonth
141. MK-CF-F-087 monthlyTaxRates
142. MK-CF-F-073 otherIncomeMonth
143. MK-CF-F-066 rsuAnnual
144. MK-CF-F-077 scholarshipByCalendarMonth
145. MK-CF-F-088 taxableByCalendarMonth
146. MK-CF-F-177 wageGrossByMonth
147. MK-PL-F-012 waterfall
148. MK-CF-F-193 inflowSourceWord
149. MK-CF-F-180 enteredLandsAnnual
150. MK-CF-F-086 stateRateOf
151. MK-CF-F-067 rentalList
152. MK-CF-F-176 sumMonthsOverEarners
153. MK-CF-F-074 tipsAnnual
154. MK-CF-F-003 categoryMonthly
155. MK-CF-F-011 savingsByMonth
156. MK-NW-F-115 liveRent
157. MK-CF-F-023 requiredPayment
158. MK-ST-F-047 activeCurrency
159. MK-CF-F-099 deductionFor
160. MK-NW-F-124 maturityParts
161. MK-XS-F-147 call
162. MK-CF-F-148 inMonth
163. MK-CF-F-152 isRadarItem
164. MK-CF-O-003 thisMonth
165. MK-CF-F-143 annualisedGross
166. MK-CF-F-145 deductionsFromPay
167. MK-CF-F-128 grossByMonth
168. MK-CF-F-146 payFiguresAgree
169. MK-CF-F-144 takeHomeAsEntered
170. MK-XS-F-180 declareFigures
171. MK-HM-F-005 pctTxt
172. MK-CF-F-062 equityRowValue
173. MK-CF-F-090 effectiveRate
174. MK-CF-F-063 rowVestYear
175. MK-CF-F-130 enteredMonthlyRaw
176. MK-CF-F-166 hasMonthlySalaryTable
177. MK-ST-F-036 reconcile
178. MK-CF-F-167 salaryCalendarYear
179. MK-CF-F-081 salaryActiveMonths
180. MK-CF-F-008 spendByMonth
181. MK-NW-F-114 rentAmount
182. MK-CF-F-187 seniorDeductionFor
183. MK-XS-F-064 currentIdToken
184. MK-XS-F-112 relayUrl
185. MK-CF-F-005 actualMonthFlow
186. MK-CF-F-156 plannedMonthFlow
187. MK-CF-F-142 monthsOf
188. MK-CF-F-141 perMonth
189. MK-NW-F-078 ONE
190. MK-CF-F-157 debtPaymentsByDebt
191. MK-CF-F-140 periodsAYear
192. MK-NW-F-077 ALL
193. MK-NW-F-059 currentYield
194. MK-NW-O-001 theBonds
195. MK-NW-F-112 yearlyInterest
196. MK-NW-F-057 annualCoupon
197. MK-NW-F-056 bondInfo
198. MK-NW-F-064 bondRateSensitivity
199. MK-NW-F-061 bondSummary
200. MK-NW-F-055 isBond
201. MK-NW-F-072 rowOf
202. MK-NW-F-060 approxYTM
203. MK-NW-F-069 priceAtYield
204. MK-NW-F-131 pricedLikeBond
205. MK-NW-F-125 isPastMaturity
206. MK-NW-F-126 yearlyInterestNow
207. MK-NW-F-070 accruedInterestCaveat
208. MK-NW-F-058 yearsToMaturity
209. MK-NW-F-119 estimatedAccrued</t>
        </is>
      </c>
      <c r="R613"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613" s="3" t="inlineStr">
        <is>
          <t>—</t>
        </is>
      </c>
      <c r="T613" s="3" t="inlineStr">
        <is>
          <t>—</t>
        </is>
      </c>
      <c r="U613" s="3" t="inlineStr">
        <is>
          <t>ACTIVE</t>
        </is>
      </c>
      <c r="V613" s="3" t="inlineStr">
        <is>
          <t>2026-08-27</t>
        </is>
      </c>
      <c r="W613" s="3" t="n"/>
      <c r="X613" s="3" t="n"/>
      <c r="Y613" s="3" t="inlineStr">
        <is>
          <t>NOTHING OPEN</t>
        </is>
      </c>
    </row>
    <row r="614" ht="60" customHeight="1">
      <c r="A614" s="3" t="inlineStr">
        <is>
          <t>MK-XS-F-047</t>
        </is>
      </c>
      <c r="B614" s="3" t="inlineStr">
        <is>
          <t>unwrapWithPassword</t>
        </is>
      </c>
      <c r="C614" s="3" t="inlineStr">
        <is>
          <t>src/services/dataCrypto.ts</t>
        </is>
      </c>
      <c r="D614" s="3" t="n">
        <v>333</v>
      </c>
      <c r="E614" s="3" t="inlineStr">
        <is>
          <t>3 · DEPENDENT</t>
        </is>
      </c>
      <c r="F614" s="3" t="inlineStr">
        <is>
          <t>Unlock the DEK with the password (null if the password is wrong / was reset).</t>
        </is>
      </c>
      <c r="G614" s="11" t="inlineStr">
        <is>
          <t>decrypt with key(env.p, derive key from secret(password, uid))   if env.p
nothing   otherwise</t>
        </is>
      </c>
      <c r="H614" s="3" t="inlineStr">
        <is>
          <t>decrypt with key(env.p, derive key from secret(password, uid)) — when env.p; no answer — otherwise.</t>
        </is>
      </c>
      <c r="I614" s="3" t="inlineStr">
        <is>
          <t>READ FROM THE CODE — rendered from the expressions the function runs</t>
        </is>
      </c>
      <c r="J614" s="3" t="inlineStr">
        <is>
          <t>1. env: KeyEnvelope
2. uid: string
3. password: string</t>
        </is>
      </c>
      <c r="K614" s="3" t="inlineStr">
        <is>
          <t>string | null</t>
        </is>
      </c>
      <c r="L614" s="3" t="inlineStr">
        <is>
          <t>—</t>
        </is>
      </c>
      <c r="M614" s="3" t="inlineStr">
        <is>
          <t>None found in this function — anything it assumes comes from the functions it depends on.</t>
        </is>
      </c>
      <c r="N614" s="3" t="inlineStr">
        <is>
          <t>Yes</t>
        </is>
      </c>
      <c r="O614" s="3" t="inlineStr">
        <is>
          <t>1. MK-XS-F-053 decryptWithKey
2. MK-XS-F-138 deriveKeyFromSecret
3. MK-XS-F-175 uid</t>
        </is>
      </c>
      <c r="P614" s="3" t="n">
        <v>209</v>
      </c>
      <c r="Q614"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MK-CF-F-218 moveOldRentFigure
23. MK-XS-F-122 n
24. MK-ST-F-043 newEntityId
25. MK-XS-F-006 pruneDaily
26. MK-ST-F-073 rebuildDays
27. MK-NW-F-054 reclassifyAccounts
28. MK-XS-F-174 recomputeBalances
29. MK-CF-F-115 restoreUndo
30. MK-CF-F-109 reviewTransactions
31. MK-ST-F-044 setMoneyFormat
32. MK-NW-O-004 theEmergencyFund
33. MK-CF-F-114 undoSnapshot
34. MK-CF-F-191 ym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MK-CF-F-217 hasOldRentFigure
48. MK-CF-F-216 typed
49. MK-ST-F-069 amountOf
50. MK-CF-F-133 cashOf
51. MK-ST-F-066 isDayKey
52. MK-ST-F-070 isOpening
53. MK-ST-F-039 on
54. MK-ST-F-071 rebuildableFrom
55. MK-ST-F-068 stepDay
56. MK-ST-F-072 undo
57. MK-NW-F-053 correctClassOf
58. MK-NW-F-123 holdingNameEvidence
59. MK-NW-F-121 holdingTagClass
60. MK-NW-F-122 holdingTagFor
61. MK-PF-F-002 costBasis
62. MK-PF-F-009 latestClose
63. MK-PF-F-004 marketValue
64. MK-ST-F-030 record
65. MK-XS-F-024 resolveLens
66. MK-ST-F-055 round2
67. MK-CF-F-162 daysApart
68. MK-CF-F-108 isMoneyOut
69. MK-PL-F-074 median
70. MK-CF-F-131 normPayee
71. MK-CF-F-155 cash
72. MK-NW-F-016 cashTotal
73. MK-CF-F-010 emergencyTest
74. MK-CF-F-190 essentialsMonthly
75. MK-CF-O-004 incomeSummary
76. MK-CF-F-009 monthlyEssentials
77. MK-CF-F-022 paymentShape
78. MK-CF-F-002 plannedMonthlySpend
79. MK-NW-F-117 propertyUseMap
80. MK-ST-F-085 rentFigure
81. MK-CF-O-020 theBudgetCounted
82. MK-CF-F-113 affectedAccountIds
83. MK-CF-F-134 usesSleeve
84. MK-ST-F-049 formatMoney
85. MK-CF-F-101 taxOwedFor
86. MK-ST-F-067 utcOfDay
87. MK-ST-F-035 covers
88. MK-NW-F-120 classEvidenceOf
89. MK-NW-F-008 incomeBearingClassOf
90. MK-PF-F-031 contractMultiplier
91. MK-PF-F-035 unknownFigure
92. MK-CF-F-072 currentRetirementIncomeMonthly
93. MK-NW-F-027 accountClassBreakdown
94. MK-NW-F-029 assetAllocation
95. MK-NW-F-011 assetClassOf
96. MK-CF-F-189 essentialsFromLoggedSpending
97. MK-CF-O-002 expenses
98. MK-CF-F-203 MONTH
99. MK-CF-O-001 basePay
100. MK-CF-F-069 benefitActiveMonths
101. MK-CF-F-173 earnerWages
102. MK-CF-F-179 entryFromWage
103. MK-CF-F-071 extraIncome
104. MK-CF-F-092 incomeMonthlyGrid
105. MK-CF-F-192 inflowLabel
106. MK-CF-F-103 marginalBracketFor
107. MK-CF-F-181 rateInForce
108. MK-CF-F-068 rentalNetAnnual
109. MK-CF-F-082 salaryAnnual
110. MK-CF-F-060 salaryGrossByMonth
111. MK-CF-F-084 taxableAnnual
112. MK-CF-F-120 pctBaseMonthly
113. MK-CF-F-004 spendBuckets
114. MK-CF-F-021 defaultPaymentType
115. MK-XS-F-027 takeHomeMonthly
116. MK-NW-F-116 rentedIdsOf
117. MK-NW-F-106 mortgagesByProperty
118. MK-NW-F-107 propertyUses
119. MK-ST-F-048 currencySymbol
120. MK-CF-F-100 taxableIncomeFor
121. MK-ST-F-034 firstDate
122. MK-NW-F-009 maturityClass
123. MK-ST-F-010 nameEvidence
124. MK-CF-F-075 retirementIncomeMonthly
125. MK-NW-F-109 holdingClassOf
126. MK-NW-F-067 plural
127. MK-CF-F-151 actualSpending
128. MK-CF-F-150 debtPaymentsCountedAsExpenses
129. MK-CF-F-153 radar
130. MK-CF-F-149 recurringDebtPayments
131. MK-CF-O-010 theMonth
132. MK-CF-F-171 earnerPay
133. MK-CF-F-204 line
134. MK-HM-F-006 money0
135. MK-CF-F-198 payrollTaxWithheld
136. MK-CF-F-172 hasWage
137. MK-CF-F-165 salaryMonths
138. MK-CF-F-070 benefitAnnual
139. MK-CF-F-065 equityVestWeights
140. MK-CF-F-206 householdK401ByMonth
141. MK-CF-F-087 monthlyTaxRates
142. MK-CF-F-073 otherIncomeMonth
143. MK-CF-F-066 rsuAnnual
144. MK-CF-F-077 scholarshipByCalendarMonth
145. MK-CF-F-088 taxableByCalendarMonth
146. MK-CF-F-177 wageGrossByMonth
147. MK-PL-F-012 waterfall
148. MK-CF-F-193 inflowSourceWord
149. MK-CF-F-180 enteredLandsAnnual
150. MK-CF-F-086 stateRateOf
151. MK-CF-F-067 rentalList
152. MK-CF-F-176 sumMonthsOverEarners
153. MK-CF-F-074 tipsAnnual
154. MK-CF-F-003 categoryMonthly
155. MK-CF-F-011 savingsByMonth
156. MK-NW-F-115 liveRent
157. MK-CF-F-023 requiredPayment
158. MK-ST-F-047 activeCurrency
159. MK-CF-F-099 deductionFor
160. MK-NW-F-124 maturityParts
161. MK-XS-F-147 call
162. MK-CF-F-148 inMonth
163. MK-CF-F-152 isRadarItem
164. MK-CF-O-003 thisMonth
165. MK-CF-F-143 annualisedGross
166. MK-CF-F-145 deductionsFromPay
167. MK-CF-F-128 grossByMonth
168. MK-CF-F-146 payFiguresAgree
169. MK-CF-F-144 takeHomeAsEntered
170. MK-XS-F-180 declareFigures
171. MK-HM-F-005 pctTxt
172. MK-CF-F-062 equityRowValue
173. MK-CF-F-090 effectiveRate
174. MK-CF-F-063 rowVestYear
175. MK-CF-F-130 enteredMonthlyRaw
176. MK-CF-F-166 hasMonthlySalaryTable
177. MK-ST-F-036 reconcile
178. MK-CF-F-167 salaryCalendarYear
179. MK-CF-F-081 salaryActiveMonths
180. MK-CF-F-008 spendByMonth
181. MK-NW-F-114 rentAmount
182. MK-CF-F-187 seniorDeductionFor
183. MK-XS-F-064 currentIdToken
184. MK-XS-F-112 relayUrl
185. MK-CF-F-005 actualMonthFlow
186. MK-CF-F-156 plannedMonthFlow
187. MK-CF-F-142 monthsOf
188. MK-CF-F-141 perMonth
189. MK-NW-F-078 ONE
190. MK-CF-F-157 debtPaymentsByDebt
191. MK-CF-F-140 periodsAYear
192. MK-NW-F-077 ALL
193. MK-NW-F-059 currentYield
194. MK-NW-O-001 theBonds
195. MK-NW-F-112 yearlyInterest
196. MK-NW-F-057 annualCoupon
197. MK-NW-F-056 bondInfo
198. MK-NW-F-064 bondRateSensitivity
199. MK-NW-F-061 bondSummary
200. MK-NW-F-055 isBond
201. MK-NW-F-072 rowOf
202. MK-NW-F-060 approxYTM
203. MK-NW-F-069 priceAtYield
204. MK-NW-F-131 pricedLikeBond
205. MK-NW-F-125 isPastMaturity
206. MK-NW-F-126 yearlyInterestNow
207. MK-NW-F-070 accruedInterestCaveat
208. MK-NW-F-058 yearsToMaturity
209. MK-NW-F-119 estimatedAccrued</t>
        </is>
      </c>
      <c r="R614"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614" s="3" t="inlineStr">
        <is>
          <t>—</t>
        </is>
      </c>
      <c r="T614" s="3" t="inlineStr">
        <is>
          <t>—</t>
        </is>
      </c>
      <c r="U614" s="3" t="inlineStr">
        <is>
          <t>ACTIVE</t>
        </is>
      </c>
      <c r="V614" s="3" t="inlineStr">
        <is>
          <t>2026-08-27</t>
        </is>
      </c>
      <c r="W614" s="3" t="n"/>
      <c r="X614" s="3" t="n"/>
      <c r="Y614" s="3" t="inlineStr">
        <is>
          <t>NOTHING OPEN</t>
        </is>
      </c>
    </row>
    <row r="615" ht="60" customHeight="1">
      <c r="A615" s="3" t="inlineStr">
        <is>
          <t>MK-XS-F-048</t>
        </is>
      </c>
      <c r="B615" s="3" t="inlineStr">
        <is>
          <t>unwrapWithRecovery</t>
        </is>
      </c>
      <c r="C615" s="3" t="inlineStr">
        <is>
          <t>src/services/dataCrypto.ts</t>
        </is>
      </c>
      <c r="D615" s="3" t="n">
        <v>356</v>
      </c>
      <c r="E615" s="3" t="inlineStr">
        <is>
          <t>3 · DEPENDENT</t>
        </is>
      </c>
      <c r="F615" s="3" t="inlineStr">
        <is>
          <t>Unlock the DEK with the recovery code (null if the code is wrong).</t>
        </is>
      </c>
      <c r="G615" s="11" t="inlineStr">
        <is>
          <t>decrypt with key(env.r, derive key from secret(recovery code, uid))   if env.r
nothing   otherwise</t>
        </is>
      </c>
      <c r="H615" s="3" t="inlineStr">
        <is>
          <t>decrypt with key(env.r, derive key from secret(recovery code, uid)) — when env.r; no answer — otherwise.</t>
        </is>
      </c>
      <c r="I615" s="3" t="inlineStr">
        <is>
          <t>READ FROM THE CODE — rendered from the expressions the function runs</t>
        </is>
      </c>
      <c r="J615" s="3" t="inlineStr">
        <is>
          <t>1. env: KeyEnvelope
2. uid: string
3. recoveryCode: string</t>
        </is>
      </c>
      <c r="K615" s="3" t="inlineStr">
        <is>
          <t>string | null</t>
        </is>
      </c>
      <c r="L615" s="3" t="inlineStr">
        <is>
          <t>—</t>
        </is>
      </c>
      <c r="M615" s="3" t="inlineStr">
        <is>
          <t>None found in this function — anything it assumes comes from the functions it depends on.</t>
        </is>
      </c>
      <c r="N615" s="3" t="inlineStr">
        <is>
          <t>Yes</t>
        </is>
      </c>
      <c r="O615" s="3" t="inlineStr">
        <is>
          <t>1. MK-XS-F-053 decryptWithKey
2. MK-XS-F-138 deriveKeyFromSecret
3. MK-XS-F-175 uid</t>
        </is>
      </c>
      <c r="P615" s="3" t="n">
        <v>209</v>
      </c>
      <c r="Q615"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MK-CF-F-218 moveOldRentFigure
23. MK-XS-F-122 n
24. MK-ST-F-043 newEntityId
25. MK-XS-F-006 pruneDaily
26. MK-ST-F-073 rebuildDays
27. MK-NW-F-054 reclassifyAccounts
28. MK-XS-F-174 recomputeBalances
29. MK-CF-F-115 restoreUndo
30. MK-CF-F-109 reviewTransactions
31. MK-ST-F-044 setMoneyFormat
32. MK-NW-O-004 theEmergencyFund
33. MK-CF-F-114 undoSnapshot
34. MK-CF-F-191 ym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MK-CF-F-217 hasOldRentFigure
48. MK-CF-F-216 typed
49. MK-ST-F-069 amountOf
50. MK-CF-F-133 cashOf
51. MK-ST-F-066 isDayKey
52. MK-ST-F-070 isOpening
53. MK-ST-F-039 on
54. MK-ST-F-071 rebuildableFrom
55. MK-ST-F-068 stepDay
56. MK-ST-F-072 undo
57. MK-NW-F-053 correctClassOf
58. MK-NW-F-123 holdingNameEvidence
59. MK-NW-F-121 holdingTagClass
60. MK-NW-F-122 holdingTagFor
61. MK-PF-F-002 costBasis
62. MK-PF-F-009 latestClose
63. MK-PF-F-004 marketValue
64. MK-ST-F-030 record
65. MK-XS-F-024 resolveLens
66. MK-ST-F-055 round2
67. MK-CF-F-162 daysApart
68. MK-CF-F-108 isMoneyOut
69. MK-PL-F-074 median
70. MK-CF-F-131 normPayee
71. MK-CF-F-155 cash
72. MK-NW-F-016 cashTotal
73. MK-CF-F-010 emergencyTest
74. MK-CF-F-190 essentialsMonthly
75. MK-CF-O-004 incomeSummary
76. MK-CF-F-009 monthlyEssentials
77. MK-CF-F-022 paymentShape
78. MK-CF-F-002 plannedMonthlySpend
79. MK-NW-F-117 propertyUseMap
80. MK-ST-F-085 rentFigure
81. MK-CF-O-020 theBudgetCounted
82. MK-CF-F-113 affectedAccountIds
83. MK-CF-F-134 usesSleeve
84. MK-ST-F-049 formatMoney
85. MK-CF-F-101 taxOwedFor
86. MK-ST-F-067 utcOfDay
87. MK-ST-F-035 covers
88. MK-NW-F-120 classEvidenceOf
89. MK-NW-F-008 incomeBearingClassOf
90. MK-PF-F-031 contractMultiplier
91. MK-PF-F-035 unknownFigure
92. MK-CF-F-072 currentRetirementIncomeMonthly
93. MK-NW-F-027 accountClassBreakdown
94. MK-NW-F-029 assetAllocation
95. MK-NW-F-011 assetClassOf
96. MK-CF-F-189 essentialsFromLoggedSpending
97. MK-CF-O-002 expenses
98. MK-CF-F-203 MONTH
99. MK-CF-O-001 basePay
100. MK-CF-F-069 benefitActiveMonths
101. MK-CF-F-173 earnerWages
102. MK-CF-F-179 entryFromWage
103. MK-CF-F-071 extraIncome
104. MK-CF-F-092 incomeMonthlyGrid
105. MK-CF-F-192 inflowLabel
106. MK-CF-F-103 marginalBracketFor
107. MK-CF-F-181 rateInForce
108. MK-CF-F-068 rentalNetAnnual
109. MK-CF-F-082 salaryAnnual
110. MK-CF-F-060 salaryGrossByMonth
111. MK-CF-F-084 taxableAnnual
112. MK-CF-F-120 pctBaseMonthly
113. MK-CF-F-004 spendBuckets
114. MK-CF-F-021 defaultPaymentType
115. MK-XS-F-027 takeHomeMonthly
116. MK-NW-F-116 rentedIdsOf
117. MK-NW-F-106 mortgagesByProperty
118. MK-NW-F-107 propertyUses
119. MK-ST-F-048 currencySymbol
120. MK-CF-F-100 taxableIncomeFor
121. MK-ST-F-034 firstDate
122. MK-NW-F-009 maturityClass
123. MK-ST-F-010 nameEvidence
124. MK-CF-F-075 retirementIncomeMonthly
125. MK-NW-F-109 holdingClassOf
126. MK-NW-F-067 plural
127. MK-CF-F-151 actualSpending
128. MK-CF-F-150 debtPaymentsCountedAsExpenses
129. MK-CF-F-153 radar
130. MK-CF-F-149 recurringDebtPayments
131. MK-CF-O-010 theMonth
132. MK-CF-F-171 earnerPay
133. MK-CF-F-204 line
134. MK-HM-F-006 money0
135. MK-CF-F-198 payrollTaxWithheld
136. MK-CF-F-172 hasWage
137. MK-CF-F-165 salaryMonths
138. MK-CF-F-070 benefitAnnual
139. MK-CF-F-065 equityVestWeights
140. MK-CF-F-206 householdK401ByMonth
141. MK-CF-F-087 monthlyTaxRates
142. MK-CF-F-073 otherIncomeMonth
143. MK-CF-F-066 rsuAnnual
144. MK-CF-F-077 scholarshipByCalendarMonth
145. MK-CF-F-088 taxableByCalendarMonth
146. MK-CF-F-177 wageGrossByMonth
147. MK-PL-F-012 waterfall
148. MK-CF-F-193 inflowSourceWord
149. MK-CF-F-180 enteredLandsAnnual
150. MK-CF-F-086 stateRateOf
151. MK-CF-F-067 rentalList
152. MK-CF-F-176 sumMonthsOverEarners
153. MK-CF-F-074 tipsAnnual
154. MK-CF-F-003 categoryMonthly
155. MK-CF-F-011 savingsByMonth
156. MK-NW-F-115 liveRent
157. MK-CF-F-023 requiredPayment
158. MK-ST-F-047 activeCurrency
159. MK-CF-F-099 deductionFor
160. MK-NW-F-124 maturityParts
161. MK-XS-F-147 call
162. MK-CF-F-148 inMonth
163. MK-CF-F-152 isRadarItem
164. MK-CF-O-003 thisMonth
165. MK-CF-F-143 annualisedGross
166. MK-CF-F-145 deductionsFromPay
167. MK-CF-F-128 grossByMonth
168. MK-CF-F-146 payFiguresAgree
169. MK-CF-F-144 takeHomeAsEntered
170. MK-XS-F-180 declareFigures
171. MK-HM-F-005 pctTxt
172. MK-CF-F-062 equityRowValue
173. MK-CF-F-090 effectiveRate
174. MK-CF-F-063 rowVestYear
175. MK-CF-F-130 enteredMonthlyRaw
176. MK-CF-F-166 hasMonthlySalaryTable
177. MK-ST-F-036 reconcile
178. MK-CF-F-167 salaryCalendarYear
179. MK-CF-F-081 salaryActiveMonths
180. MK-CF-F-008 spendByMonth
181. MK-NW-F-114 rentAmount
182. MK-CF-F-187 seniorDeductionFor
183. MK-XS-F-064 currentIdToken
184. MK-XS-F-112 relayUrl
185. MK-CF-F-005 actualMonthFlow
186. MK-CF-F-156 plannedMonthFlow
187. MK-CF-F-142 monthsOf
188. MK-CF-F-141 perMonth
189. MK-NW-F-078 ONE
190. MK-CF-F-157 debtPaymentsByDebt
191. MK-CF-F-140 periodsAYear
192. MK-NW-F-077 ALL
193. MK-NW-F-059 currentYield
194. MK-NW-O-001 theBonds
195. MK-NW-F-112 yearlyInterest
196. MK-NW-F-057 annualCoupon
197. MK-NW-F-056 bondInfo
198. MK-NW-F-064 bondRateSensitivity
199. MK-NW-F-061 bondSummary
200. MK-NW-F-055 isBond
201. MK-NW-F-072 rowOf
202. MK-NW-F-060 approxYTM
203. MK-NW-F-069 priceAtYield
204. MK-NW-F-131 pricedLikeBond
205. MK-NW-F-125 isPastMaturity
206. MK-NW-F-126 yearlyInterestNow
207. MK-NW-F-070 accruedInterestCaveat
208. MK-NW-F-058 yearsToMaturity
209. MK-NW-F-119 estimatedAccrued</t>
        </is>
      </c>
      <c r="R615"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615" s="3" t="inlineStr">
        <is>
          <t>—</t>
        </is>
      </c>
      <c r="T615" s="3" t="inlineStr">
        <is>
          <t>—</t>
        </is>
      </c>
      <c r="U615" s="3" t="inlineStr">
        <is>
          <t>ACTIVE</t>
        </is>
      </c>
      <c r="V615" s="3" t="inlineStr">
        <is>
          <t>2026-08-27</t>
        </is>
      </c>
      <c r="W615" s="3" t="n"/>
      <c r="X615" s="3" t="n"/>
      <c r="Y615" s="3" t="inlineStr">
        <is>
          <t>NOTHING OPEN</t>
        </is>
      </c>
    </row>
    <row r="616" ht="60" customHeight="1">
      <c r="A616" s="3" t="inlineStr">
        <is>
          <t>MK-XS-F-049</t>
        </is>
      </c>
      <c r="B616" s="3" t="inlineStr">
        <is>
          <t>rewrapPassword</t>
        </is>
      </c>
      <c r="C616" s="3" t="inlineStr">
        <is>
          <t>src/services/dataCrypto.ts</t>
        </is>
      </c>
      <c r="D616" s="3" t="n">
        <v>379</v>
      </c>
      <c r="E616" s="3" t="inlineStr">
        <is>
          <t>3 · DEPENDENT</t>
        </is>
      </c>
      <c r="F616" s="3" t="inlineStr">
        <is>
          <t>Re-lock an existing envelope's password copy under a new password (after a recovery-code restore).</t>
        </is>
      </c>
      <c r="G616" s="11" t="inlineStr">
        <is>
          <t>...env = ...env
p = wrap with secret(dek, uid, new password)</t>
        </is>
      </c>
      <c r="H616" s="3" t="inlineStr">
        <is>
          <t>...env = ...env; p = wrap with secret(dek, uid, new password).</t>
        </is>
      </c>
      <c r="I616" s="3" t="inlineStr">
        <is>
          <t>PARTLY READ — some of the code is still showing through; needs a hand pass</t>
        </is>
      </c>
      <c r="J616" s="3" t="inlineStr">
        <is>
          <t>1. env: KeyEnvelope
2. dek: string
3. uid: string
4. newPassword: string</t>
        </is>
      </c>
      <c r="K616" s="3" t="inlineStr">
        <is>
          <t>KeyEnvelope</t>
        </is>
      </c>
      <c r="L616" s="3" t="inlineStr">
        <is>
          <t>—</t>
        </is>
      </c>
      <c r="M616" s="3" t="inlineStr">
        <is>
          <t>None found in this function — anything it assumes comes from the functions it depends on.</t>
        </is>
      </c>
      <c r="N616" s="3" t="inlineStr">
        <is>
          <t>Yes</t>
        </is>
      </c>
      <c r="O616" s="3" t="inlineStr">
        <is>
          <t>1. MK-XS-F-175 uid
2. MK-XS-F-139 wrapWithSecret</t>
        </is>
      </c>
      <c r="P616" s="3" t="n">
        <v>209</v>
      </c>
      <c r="Q616"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MK-CF-F-218 moveOldRentFigure
21. MK-XS-F-122 n
22. MK-ST-F-043 newEntityId
23. MK-XS-F-006 pruneDaily
24. MK-ST-F-073 rebuildDays
25. MK-NW-F-054 reclassifyAccounts
26. MK-XS-F-174 recomputeBalances
27. MK-CF-F-115 restoreUndo
28. MK-CF-F-109 reviewTransactions
29. MK-ST-F-044 setMoneyFormat
30. MK-NW-O-004 theEmergencyFund
31. MK-CF-F-114 undoSnapshot
32. MK-CF-F-191 ym
33. MK-XS-F-138 deriveKeyFromSecret
34. MK-XS-F-052 encryptWithKey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MK-CF-F-217 hasOldRentFigure
48. MK-CF-F-216 typed
49. MK-ST-F-069 amountOf
50. MK-CF-F-133 cashOf
51. MK-ST-F-066 isDayKey
52. MK-ST-F-070 isOpening
53. MK-ST-F-039 on
54. MK-ST-F-071 rebuildableFrom
55. MK-ST-F-068 stepDay
56. MK-ST-F-072 undo
57. MK-NW-F-053 correctClassOf
58. MK-NW-F-123 holdingNameEvidence
59. MK-NW-F-121 holdingTagClass
60. MK-NW-F-122 holdingTagFor
61. MK-PF-F-002 costBasis
62. MK-PF-F-009 latestClose
63. MK-PF-F-004 marketValue
64. MK-ST-F-030 record
65. MK-XS-F-024 resolveLens
66. MK-ST-F-055 round2
67. MK-CF-F-162 daysApart
68. MK-CF-F-108 isMoneyOut
69. MK-PL-F-074 median
70. MK-CF-F-131 normPayee
71. MK-CF-F-155 cash
72. MK-NW-F-016 cashTotal
73. MK-CF-F-010 emergencyTest
74. MK-CF-F-190 essentialsMonthly
75. MK-CF-O-004 incomeSummary
76. MK-CF-F-009 monthlyEssentials
77. MK-CF-F-022 paymentShape
78. MK-CF-F-002 plannedMonthlySpend
79. MK-NW-F-117 propertyUseMap
80. MK-ST-F-085 rentFigure
81. MK-CF-O-020 theBudgetCounted
82. MK-CF-F-113 affectedAccountIds
83. MK-CF-F-134 usesSleeve
84. MK-ST-F-049 formatMoney
85. MK-CF-F-101 taxOwedFor
86. MK-ST-F-067 utcOfDay
87. MK-ST-F-035 covers
88. MK-NW-F-120 classEvidenceOf
89. MK-NW-F-008 incomeBearingClassOf
90. MK-PF-F-031 contractMultiplier
91. MK-PF-F-035 unknownFigure
92. MK-CF-F-072 currentRetirementIncomeMonthly
93. MK-NW-F-027 accountClassBreakdown
94. MK-NW-F-029 assetAllocation
95. MK-NW-F-011 assetClassOf
96. MK-CF-F-189 essentialsFromLoggedSpending
97. MK-CF-O-002 expenses
98. MK-CF-F-203 MONTH
99. MK-CF-O-001 basePay
100. MK-CF-F-069 benefitActiveMonths
101. MK-CF-F-173 earnerWages
102. MK-CF-F-179 entryFromWage
103. MK-CF-F-071 extraIncome
104. MK-CF-F-092 incomeMonthlyGrid
105. MK-CF-F-192 inflowLabel
106. MK-CF-F-103 marginalBracketFor
107. MK-CF-F-181 rateInForce
108. MK-CF-F-068 rentalNetAnnual
109. MK-CF-F-082 salaryAnnual
110. MK-CF-F-060 salaryGrossByMonth
111. MK-CF-F-084 taxableAnnual
112. MK-CF-F-120 pctBaseMonthly
113. MK-CF-F-004 spendBuckets
114. MK-CF-F-021 defaultPaymentType
115. MK-XS-F-027 takeHomeMonthly
116. MK-NW-F-116 rentedIdsOf
117. MK-NW-F-106 mortgagesByProperty
118. MK-NW-F-107 propertyUses
119. MK-ST-F-048 currencySymbol
120. MK-CF-F-100 taxableIncomeFor
121. MK-ST-F-034 firstDate
122. MK-NW-F-009 maturityClass
123. MK-ST-F-010 nameEvidence
124. MK-CF-F-075 retirementIncomeMonthly
125. MK-NW-F-109 holdingClassOf
126. MK-NW-F-067 plural
127. MK-CF-F-151 actualSpending
128. MK-CF-F-150 debtPaymentsCountedAsExpenses
129. MK-CF-F-153 radar
130. MK-CF-F-149 recurringDebtPayments
131. MK-CF-O-010 theMonth
132. MK-CF-F-171 earnerPay
133. MK-CF-F-204 line
134. MK-HM-F-006 money0
135. MK-CF-F-198 payrollTaxWithheld
136. MK-CF-F-172 hasWage
137. MK-CF-F-165 salaryMonths
138. MK-CF-F-070 benefitAnnual
139. MK-CF-F-065 equityVestWeights
140. MK-CF-F-206 householdK401ByMonth
141. MK-CF-F-087 monthlyTaxRates
142. MK-CF-F-073 otherIncomeMonth
143. MK-CF-F-066 rsuAnnual
144. MK-CF-F-077 scholarshipByCalendarMonth
145. MK-CF-F-088 taxableByCalendarMonth
146. MK-CF-F-177 wageGrossByMonth
147. MK-PL-F-012 waterfall
148. MK-CF-F-193 inflowSourceWord
149. MK-CF-F-180 enteredLandsAnnual
150. MK-CF-F-086 stateRateOf
151. MK-CF-F-067 rentalList
152. MK-CF-F-176 sumMonthsOverEarners
153. MK-CF-F-074 tipsAnnual
154. MK-CF-F-003 categoryMonthly
155. MK-CF-F-011 savingsByMonth
156. MK-NW-F-115 liveRent
157. MK-CF-F-023 requiredPayment
158. MK-ST-F-047 activeCurrency
159. MK-CF-F-099 deductionFor
160. MK-NW-F-124 maturityParts
161. MK-XS-F-147 call
162. MK-CF-F-148 inMonth
163. MK-CF-F-152 isRadarItem
164. MK-CF-O-003 thisMonth
165. MK-CF-F-143 annualisedGross
166. MK-CF-F-145 deductionsFromPay
167. MK-CF-F-128 grossByMonth
168. MK-CF-F-146 payFiguresAgree
169. MK-CF-F-144 takeHomeAsEntered
170. MK-XS-F-180 declareFigures
171. MK-HM-F-005 pctTxt
172. MK-CF-F-062 equityRowValue
173. MK-CF-F-090 effectiveRate
174. MK-CF-F-063 rowVestYear
175. MK-CF-F-130 enteredMonthlyRaw
176. MK-CF-F-166 hasMonthlySalaryTable
177. MK-ST-F-036 reconcile
178. MK-CF-F-167 salaryCalendarYear
179. MK-CF-F-081 salaryActiveMonths
180. MK-CF-F-008 spendByMonth
181. MK-NW-F-114 rentAmount
182. MK-CF-F-187 seniorDeductionFor
183. MK-XS-F-064 currentIdToken
184. MK-XS-F-112 relayUrl
185. MK-CF-F-005 actualMonthFlow
186. MK-CF-F-156 plannedMonthFlow
187. MK-CF-F-142 monthsOf
188. MK-CF-F-141 perMonth
189. MK-NW-F-078 ONE
190. MK-CF-F-157 debtPaymentsByDebt
191. MK-CF-F-140 periodsAYear
192. MK-NW-F-077 ALL
193. MK-NW-F-059 currentYield
194. MK-NW-O-001 theBonds
195. MK-NW-F-112 yearlyInterest
196. MK-NW-F-057 annualCoupon
197. MK-NW-F-056 bondInfo
198. MK-NW-F-064 bondRateSensitivity
199. MK-NW-F-061 bondSummary
200. MK-NW-F-055 isBond
201. MK-NW-F-072 rowOf
202. MK-NW-F-060 approxYTM
203. MK-NW-F-069 priceAtYield
204. MK-NW-F-131 pricedLikeBond
205. MK-NW-F-125 isPastMaturity
206. MK-NW-F-126 yearlyInterestNow
207. MK-NW-F-070 accruedInterestCaveat
208. MK-NW-F-058 yearsToMaturity
209. MK-NW-F-119 estimatedAccrued</t>
        </is>
      </c>
      <c r="R616"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616" s="3" t="inlineStr">
        <is>
          <t>—</t>
        </is>
      </c>
      <c r="T616" s="3" t="inlineStr">
        <is>
          <t>—</t>
        </is>
      </c>
      <c r="U616" s="3" t="inlineStr">
        <is>
          <t>ACTIVE</t>
        </is>
      </c>
      <c r="V616" s="3" t="inlineStr">
        <is>
          <t>2026-08-27</t>
        </is>
      </c>
      <c r="W616" s="3" t="n"/>
      <c r="X616" s="3" t="n"/>
      <c r="Y616" s="3" t="inlineStr">
        <is>
          <t>NOTHING OPEN</t>
        </is>
      </c>
    </row>
    <row r="617" ht="60" customHeight="1">
      <c r="A617" s="3" t="inlineStr">
        <is>
          <t>MK-XS-F-050</t>
        </is>
      </c>
      <c r="B617" s="3" t="inlineStr">
        <is>
          <t>rewrapRecovery</t>
        </is>
      </c>
      <c r="C617" s="3" t="inlineStr">
        <is>
          <t>src/services/dataCrypto.ts</t>
        </is>
      </c>
      <c r="D617" s="3" t="n">
        <v>402</v>
      </c>
      <c r="E617" s="3" t="inlineStr">
        <is>
          <t>3 · DEPENDENT</t>
        </is>
      </c>
      <c r="F617" s="3" t="inlineStr">
        <is>
          <t>Replace an envelope's recovery copy with a new recovery code (rotate the code).</t>
        </is>
      </c>
      <c r="G617" s="11" t="inlineStr">
        <is>
          <t>...env = ...env
r = wrap with secret(dek, uid, recovery code)</t>
        </is>
      </c>
      <c r="H617" s="3" t="inlineStr">
        <is>
          <t>...env = ...env; r = wrap with secret(dek, uid, recovery code).</t>
        </is>
      </c>
      <c r="I617" s="3" t="inlineStr">
        <is>
          <t>READ FROM THE CODE — rendered from the expressions the function runs</t>
        </is>
      </c>
      <c r="J617" s="3" t="inlineStr">
        <is>
          <t>1. env: KeyEnvelope
2. dek: string
3. uid: string
4. recoveryCode: string</t>
        </is>
      </c>
      <c r="K617" s="3" t="inlineStr">
        <is>
          <t>KeyEnvelope</t>
        </is>
      </c>
      <c r="L617" s="3" t="inlineStr">
        <is>
          <t>—</t>
        </is>
      </c>
      <c r="M617" s="3" t="inlineStr">
        <is>
          <t>None found in this function — anything it assumes comes from the functions it depends on.</t>
        </is>
      </c>
      <c r="N617" s="3" t="inlineStr">
        <is>
          <t>Yes</t>
        </is>
      </c>
      <c r="O617" s="3" t="inlineStr">
        <is>
          <t>1. MK-XS-F-175 uid
2. MK-XS-F-139 wrapWithSecret</t>
        </is>
      </c>
      <c r="P617" s="3" t="n">
        <v>209</v>
      </c>
      <c r="Q617"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MK-CF-F-218 moveOldRentFigure
21. MK-XS-F-122 n
22. MK-ST-F-043 newEntityId
23. MK-XS-F-006 pruneDaily
24. MK-ST-F-073 rebuildDays
25. MK-NW-F-054 reclassifyAccounts
26. MK-XS-F-174 recomputeBalances
27. MK-CF-F-115 restoreUndo
28. MK-CF-F-109 reviewTransactions
29. MK-ST-F-044 setMoneyFormat
30. MK-NW-O-004 theEmergencyFund
31. MK-CF-F-114 undoSnapshot
32. MK-CF-F-191 ym
33. MK-XS-F-138 deriveKeyFromSecret
34. MK-XS-F-052 encryptWithKey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MK-CF-F-217 hasOldRentFigure
48. MK-CF-F-216 typed
49. MK-ST-F-069 amountOf
50. MK-CF-F-133 cashOf
51. MK-ST-F-066 isDayKey
52. MK-ST-F-070 isOpening
53. MK-ST-F-039 on
54. MK-ST-F-071 rebuildableFrom
55. MK-ST-F-068 stepDay
56. MK-ST-F-072 undo
57. MK-NW-F-053 correctClassOf
58. MK-NW-F-123 holdingNameEvidence
59. MK-NW-F-121 holdingTagClass
60. MK-NW-F-122 holdingTagFor
61. MK-PF-F-002 costBasis
62. MK-PF-F-009 latestClose
63. MK-PF-F-004 marketValue
64. MK-ST-F-030 record
65. MK-XS-F-024 resolveLens
66. MK-ST-F-055 round2
67. MK-CF-F-162 daysApart
68. MK-CF-F-108 isMoneyOut
69. MK-PL-F-074 median
70. MK-CF-F-131 normPayee
71. MK-CF-F-155 cash
72. MK-NW-F-016 cashTotal
73. MK-CF-F-010 emergencyTest
74. MK-CF-F-190 essentialsMonthly
75. MK-CF-O-004 incomeSummary
76. MK-CF-F-009 monthlyEssentials
77. MK-CF-F-022 paymentShape
78. MK-CF-F-002 plannedMonthlySpend
79. MK-NW-F-117 propertyUseMap
80. MK-ST-F-085 rentFigure
81. MK-CF-O-020 theBudgetCounted
82. MK-CF-F-113 affectedAccountIds
83. MK-CF-F-134 usesSleeve
84. MK-ST-F-049 formatMoney
85. MK-CF-F-101 taxOwedFor
86. MK-ST-F-067 utcOfDay
87. MK-ST-F-035 covers
88. MK-NW-F-120 classEvidenceOf
89. MK-NW-F-008 incomeBearingClassOf
90. MK-PF-F-031 contractMultiplier
91. MK-PF-F-035 unknownFigure
92. MK-CF-F-072 currentRetirementIncomeMonthly
93. MK-NW-F-027 accountClassBreakdown
94. MK-NW-F-029 assetAllocation
95. MK-NW-F-011 assetClassOf
96. MK-CF-F-189 essentialsFromLoggedSpending
97. MK-CF-O-002 expenses
98. MK-CF-F-203 MONTH
99. MK-CF-O-001 basePay
100. MK-CF-F-069 benefitActiveMonths
101. MK-CF-F-173 earnerWages
102. MK-CF-F-179 entryFromWage
103. MK-CF-F-071 extraIncome
104. MK-CF-F-092 incomeMonthlyGrid
105. MK-CF-F-192 inflowLabel
106. MK-CF-F-103 marginalBracketFor
107. MK-CF-F-181 rateInForce
108. MK-CF-F-068 rentalNetAnnual
109. MK-CF-F-082 salaryAnnual
110. MK-CF-F-060 salaryGrossByMonth
111. MK-CF-F-084 taxableAnnual
112. MK-CF-F-120 pctBaseMonthly
113. MK-CF-F-004 spendBuckets
114. MK-CF-F-021 defaultPaymentType
115. MK-XS-F-027 takeHomeMonthly
116. MK-NW-F-116 rentedIdsOf
117. MK-NW-F-106 mortgagesByProperty
118. MK-NW-F-107 propertyUses
119. MK-ST-F-048 currencySymbol
120. MK-CF-F-100 taxableIncomeFor
121. MK-ST-F-034 firstDate
122. MK-NW-F-009 maturityClass
123. MK-ST-F-010 nameEvidence
124. MK-CF-F-075 retirementIncomeMonthly
125. MK-NW-F-109 holdingClassOf
126. MK-NW-F-067 plural
127. MK-CF-F-151 actualSpending
128. MK-CF-F-150 debtPaymentsCountedAsExpenses
129. MK-CF-F-153 radar
130. MK-CF-F-149 recurringDebtPayments
131. MK-CF-O-010 theMonth
132. MK-CF-F-171 earnerPay
133. MK-CF-F-204 line
134. MK-HM-F-006 money0
135. MK-CF-F-198 payrollTaxWithheld
136. MK-CF-F-172 hasWage
137. MK-CF-F-165 salaryMonths
138. MK-CF-F-070 benefitAnnual
139. MK-CF-F-065 equityVestWeights
140. MK-CF-F-206 householdK401ByMonth
141. MK-CF-F-087 monthlyTaxRates
142. MK-CF-F-073 otherIncomeMonth
143. MK-CF-F-066 rsuAnnual
144. MK-CF-F-077 scholarshipByCalendarMonth
145. MK-CF-F-088 taxableByCalendarMonth
146. MK-CF-F-177 wageGrossByMonth
147. MK-PL-F-012 waterfall
148. MK-CF-F-193 inflowSourceWord
149. MK-CF-F-180 enteredLandsAnnual
150. MK-CF-F-086 stateRateOf
151. MK-CF-F-067 rentalList
152. MK-CF-F-176 sumMonthsOverEarners
153. MK-CF-F-074 tipsAnnual
154. MK-CF-F-003 categoryMonthly
155. MK-CF-F-011 savingsByMonth
156. MK-NW-F-115 liveRent
157. MK-CF-F-023 requiredPayment
158. MK-ST-F-047 activeCurrency
159. MK-CF-F-099 deductionFor
160. MK-NW-F-124 maturityParts
161. MK-XS-F-147 call
162. MK-CF-F-148 inMonth
163. MK-CF-F-152 isRadarItem
164. MK-CF-O-003 thisMonth
165. MK-CF-F-143 annualisedGross
166. MK-CF-F-145 deductionsFromPay
167. MK-CF-F-128 grossByMonth
168. MK-CF-F-146 payFiguresAgree
169. MK-CF-F-144 takeHomeAsEntered
170. MK-XS-F-180 declareFigures
171. MK-HM-F-005 pctTxt
172. MK-CF-F-062 equityRowValue
173. MK-CF-F-090 effectiveRate
174. MK-CF-F-063 rowVestYear
175. MK-CF-F-130 enteredMonthlyRaw
176. MK-CF-F-166 hasMonthlySalaryTable
177. MK-ST-F-036 reconcile
178. MK-CF-F-167 salaryCalendarYear
179. MK-CF-F-081 salaryActiveMonths
180. MK-CF-F-008 spendByMonth
181. MK-NW-F-114 rentAmount
182. MK-CF-F-187 seniorDeductionFor
183. MK-XS-F-064 currentIdToken
184. MK-XS-F-112 relayUrl
185. MK-CF-F-005 actualMonthFlow
186. MK-CF-F-156 plannedMonthFlow
187. MK-CF-F-142 monthsOf
188. MK-CF-F-141 perMonth
189. MK-NW-F-078 ONE
190. MK-CF-F-157 debtPaymentsByDebt
191. MK-CF-F-140 periodsAYear
192. MK-NW-F-077 ALL
193. MK-NW-F-059 currentYield
194. MK-NW-O-001 theBonds
195. MK-NW-F-112 yearlyInterest
196. MK-NW-F-057 annualCoupon
197. MK-NW-F-056 bondInfo
198. MK-NW-F-064 bondRateSensitivity
199. MK-NW-F-061 bondSummary
200. MK-NW-F-055 isBond
201. MK-NW-F-072 rowOf
202. MK-NW-F-060 approxYTM
203. MK-NW-F-069 priceAtYield
204. MK-NW-F-131 pricedLikeBond
205. MK-NW-F-125 isPastMaturity
206. MK-NW-F-126 yearlyInterestNow
207. MK-NW-F-070 accruedInterestCaveat
208. MK-NW-F-058 yearsToMaturity
209. MK-NW-F-119 estimatedAccrued</t>
        </is>
      </c>
      <c r="R617"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617" s="3" t="inlineStr">
        <is>
          <t>—</t>
        </is>
      </c>
      <c r="T617" s="3" t="inlineStr">
        <is>
          <t>—</t>
        </is>
      </c>
      <c r="U617" s="3" t="inlineStr">
        <is>
          <t>ACTIVE</t>
        </is>
      </c>
      <c r="V617" s="3" t="inlineStr">
        <is>
          <t>2026-08-27</t>
        </is>
      </c>
      <c r="W617" s="3" t="n"/>
      <c r="X617" s="3" t="n"/>
      <c r="Y617" s="3" t="inlineStr">
        <is>
          <t>NOTHING OPEN</t>
        </is>
      </c>
    </row>
    <row r="618" ht="45" customHeight="1">
      <c r="A618" s="3" t="inlineStr">
        <is>
          <t>MK-XS-F-051</t>
        </is>
      </c>
      <c r="B618" s="3" t="inlineStr">
        <is>
          <t>isEncrypted</t>
        </is>
      </c>
      <c r="C618" s="3" t="inlineStr">
        <is>
          <t>src/services/dataCrypto.ts</t>
        </is>
      </c>
      <c r="D618" s="3" t="n">
        <v>429</v>
      </c>
      <c r="E618" s="3" t="inlineStr">
        <is>
          <t>3 · DEPENDENT</t>
        </is>
      </c>
      <c r="F618" s="3" t="inlineStr">
        <is>
          <t>── Low-level AES helpers (also used to wrap the DEK) ─────────────────</t>
        </is>
      </c>
      <c r="G618" s="11" t="inlineStr">
        <is>
          <t>typeof v = 'string' and (v as string).starts with(PREFIX)</t>
        </is>
      </c>
      <c r="H618" s="3" t="inlineStr">
        <is>
          <t>typeof v = 'string' and (v as string).starts with(PREFIX).</t>
        </is>
      </c>
      <c r="I618" s="3" t="inlineStr">
        <is>
          <t>PARTLY READ — some of the code is still showing through; needs a hand pass</t>
        </is>
      </c>
      <c r="J618" s="3" t="inlineStr">
        <is>
          <t>v: unknown</t>
        </is>
      </c>
      <c r="K618" s="3" t="inlineStr">
        <is>
          <t>boolean</t>
        </is>
      </c>
      <c r="L618" s="3" t="inlineStr">
        <is>
          <t>—</t>
        </is>
      </c>
      <c r="M618" s="3" t="inlineStr">
        <is>
          <t>None found in this function — anything it assumes comes from the functions it depends on.</t>
        </is>
      </c>
      <c r="N618" s="3" t="inlineStr">
        <is>
          <t>Yes</t>
        </is>
      </c>
      <c r="O618" s="3" t="inlineStr">
        <is>
          <t>—</t>
        </is>
      </c>
      <c r="P618" s="3" t="n">
        <v>0</v>
      </c>
      <c r="Q618" s="3" t="inlineStr">
        <is>
          <t>None — no dependent function stands behind it</t>
        </is>
      </c>
      <c r="R618" s="3" t="inlineStr">
        <is>
          <t>No dependent function — it reads its inputs and answers</t>
        </is>
      </c>
      <c r="S618" s="3" t="inlineStr">
        <is>
          <t>—</t>
        </is>
      </c>
      <c r="T618" s="3" t="inlineStr">
        <is>
          <t>—</t>
        </is>
      </c>
      <c r="U618" s="3" t="inlineStr">
        <is>
          <t>ACTIVE</t>
        </is>
      </c>
      <c r="V618" s="3" t="inlineStr">
        <is>
          <t>2026-08-27</t>
        </is>
      </c>
      <c r="W618" s="3" t="n"/>
      <c r="X618" s="3" t="n"/>
      <c r="Y618" s="3" t="inlineStr">
        <is>
          <t>NOTHING OPEN</t>
        </is>
      </c>
    </row>
    <row r="619" ht="60" customHeight="1">
      <c r="A619" s="3" t="inlineStr">
        <is>
          <t>MK-XS-F-052</t>
        </is>
      </c>
      <c r="B619" s="3" t="inlineStr">
        <is>
          <t>encryptWithKey</t>
        </is>
      </c>
      <c r="C619" s="3" t="inlineStr">
        <is>
          <t>src/services/dataCrypto.ts</t>
        </is>
      </c>
      <c r="D619" s="3" t="n">
        <v>454</v>
      </c>
      <c r="E619" s="3" t="inlineStr">
        <is>
          <t>3 · DEPENDENT</t>
        </is>
      </c>
      <c r="F619" s="3" t="inlineStr">
        <is>
          <t>NOT DETERMINED — the code carries no note saying what this is for, and it has no row in the old inventory. Needs reading.</t>
        </is>
      </c>
      <c r="G619" s="11" t="inlineStr">
        <is>
          <t>PREFIX + crypto js.AES.encrypt(JSON.stringify(obj), key hex).to string()</t>
        </is>
      </c>
      <c r="H619" s="3" t="inlineStr">
        <is>
          <t>PREFIX plus crypto js.AES.encrypt(JSON.stringify(obj), key hex).to string().</t>
        </is>
      </c>
      <c r="I619" s="3" t="inlineStr">
        <is>
          <t>PARTLY READ — some of the code is still showing through; needs a hand pass</t>
        </is>
      </c>
      <c r="J619" s="3" t="inlineStr">
        <is>
          <t>1. obj: unknown
2. keyHex: string</t>
        </is>
      </c>
      <c r="K619" s="3" t="inlineStr">
        <is>
          <t>string</t>
        </is>
      </c>
      <c r="L619" s="3" t="inlineStr">
        <is>
          <t>—</t>
        </is>
      </c>
      <c r="M619" s="3" t="inlineStr">
        <is>
          <t>None found in this function — anything it assumes comes from the functions it depends on.</t>
        </is>
      </c>
      <c r="N619" s="3" t="inlineStr">
        <is>
          <t>Yes</t>
        </is>
      </c>
      <c r="O619" s="3" t="inlineStr">
        <is>
          <t>—</t>
        </is>
      </c>
      <c r="P619" s="3" t="n">
        <v>0</v>
      </c>
      <c r="Q619" s="3" t="inlineStr">
        <is>
          <t>None — no dependent function stands behind it</t>
        </is>
      </c>
      <c r="R619" s="3" t="inlineStr">
        <is>
          <t>No dependent function — it reads its inputs and answers</t>
        </is>
      </c>
      <c r="S619" s="3" t="inlineStr">
        <is>
          <t>—</t>
        </is>
      </c>
      <c r="T619" s="3" t="inlineStr">
        <is>
          <t>—</t>
        </is>
      </c>
      <c r="U619" s="3" t="inlineStr">
        <is>
          <t>ACTIVE</t>
        </is>
      </c>
      <c r="V619" s="3" t="inlineStr">
        <is>
          <t>2026-08-27</t>
        </is>
      </c>
      <c r="W619" s="3" t="n"/>
      <c r="X619" s="3" t="n"/>
      <c r="Y619" s="3" t="inlineStr">
        <is>
          <t>NOTHING OPEN</t>
        </is>
      </c>
    </row>
    <row r="620" ht="60" customHeight="1">
      <c r="A620" s="3" t="inlineStr">
        <is>
          <t>MK-XS-F-053</t>
        </is>
      </c>
      <c r="B620" s="3" t="inlineStr">
        <is>
          <t>decryptWithKey</t>
        </is>
      </c>
      <c r="C620" s="3" t="inlineStr">
        <is>
          <t>src/services/dataCrypto.ts</t>
        </is>
      </c>
      <c r="D620" s="3" t="n">
        <v>485</v>
      </c>
      <c r="E620" s="3" t="inlineStr">
        <is>
          <t>3 · DEPENDENT</t>
        </is>
      </c>
      <c r="F620" s="3" t="inlineStr">
        <is>
          <t>Decrypt an 'enc:'-tagged blob.</t>
        </is>
      </c>
      <c r="G620" s="11" t="inlineStr">
        <is>
          <t>nothing   when !is encrypted(blob)
plain = crypto js.AES.decrypt(blob.slice(PREFIX.length), key hex).to string(crypto js.enc.utf8)
the answer:
JSON.parse(plain)   if plain
nothing   otherwise</t>
        </is>
      </c>
      <c r="H620" s="3" t="inlineStr">
        <is>
          <t>When !is encrypted(blob), it answers no answer. Plain is crypto js.AES.decrypt(blob.slice(PREFIX.length), key hex).to string(crypto js.enc.utf8). The answer is JSON.parse(plain) — when plain; no answer — otherwise.</t>
        </is>
      </c>
      <c r="I620" s="3" t="inlineStr">
        <is>
          <t>PARTLY READ — some of the code is still showing through; needs a hand pass</t>
        </is>
      </c>
      <c r="J620" s="3" t="inlineStr">
        <is>
          <t>1. blob: string
2. keyHex: string</t>
        </is>
      </c>
      <c r="K620" s="3" t="inlineStr">
        <is>
          <t>any | null</t>
        </is>
      </c>
      <c r="L620" s="3" t="inlineStr">
        <is>
          <t>—</t>
        </is>
      </c>
      <c r="M620" s="3" t="inlineStr">
        <is>
          <t>None found in this function — anything it assumes comes from the functions it depends on.</t>
        </is>
      </c>
      <c r="N620" s="3" t="inlineStr">
        <is>
          <t>Yes</t>
        </is>
      </c>
      <c r="O620" s="3" t="inlineStr">
        <is>
          <t>MK-XS-F-051 isEncrypted</t>
        </is>
      </c>
      <c r="P620" s="3" t="n">
        <v>1</v>
      </c>
      <c r="Q620" s="3" t="inlineStr">
        <is>
          <t>MK-XS-F-051 isEncrypted</t>
        </is>
      </c>
      <c r="R620" s="3" t="inlineStr">
        <is>
          <t>MK-XS-F-051 isEncrypted → MK-XS-F-053 decryptWithKey</t>
        </is>
      </c>
      <c r="S620" s="3" t="inlineStr">
        <is>
          <t>—</t>
        </is>
      </c>
      <c r="T620" s="3" t="inlineStr">
        <is>
          <t>—</t>
        </is>
      </c>
      <c r="U620" s="3" t="inlineStr">
        <is>
          <t>ACTIVE</t>
        </is>
      </c>
      <c r="V620" s="3" t="inlineStr">
        <is>
          <t>2026-08-27</t>
        </is>
      </c>
      <c r="W620" s="3" t="n"/>
      <c r="X620" s="3" t="n"/>
      <c r="Y620" s="3" t="inlineStr">
        <is>
          <t>NOTHING OPEN</t>
        </is>
      </c>
    </row>
    <row r="621" ht="60" customHeight="1">
      <c r="A621" s="3" t="inlineStr">
        <is>
          <t>MK-XS-F-054</t>
        </is>
      </c>
      <c r="B621" s="3" t="inlineStr">
        <is>
          <t>encryptForSync</t>
        </is>
      </c>
      <c r="C621" s="3" t="inlineStr">
        <is>
          <t>src/services/dataCrypto.ts</t>
        </is>
      </c>
      <c r="D621" s="3" t="n">
        <v>519</v>
      </c>
      <c r="E621" s="3" t="inlineStr">
        <is>
          <t>3 · DEPENDENT</t>
        </is>
      </c>
      <c r="F621" s="3" t="inlineStr">
        <is>
          <t>── The sync layer's interface (operates on the cached DEK) ─────────── Encrypt a payload with the cached DEK.</t>
        </is>
      </c>
      <c r="G621" s="11" t="inlineStr">
        <is>
          <t>key = await get data key()
the answer:
encrypt with key(obj, key)   if key
nothing   otherwise</t>
        </is>
      </c>
      <c r="H621" s="3" t="inlineStr">
        <is>
          <t>Key is await get data key(). The answer is encrypt with key(obj, key) — when key; no answer — otherwise.</t>
        </is>
      </c>
      <c r="I621" s="3" t="inlineStr">
        <is>
          <t>READ FROM THE CODE — rendered from the expressions the function runs</t>
        </is>
      </c>
      <c r="J621" s="3" t="inlineStr">
        <is>
          <t>obj: unknown</t>
        </is>
      </c>
      <c r="K621" s="3" t="inlineStr">
        <is>
          <t>Promise&lt;string | null&gt;</t>
        </is>
      </c>
      <c r="L621" s="3" t="inlineStr">
        <is>
          <t>—</t>
        </is>
      </c>
      <c r="M621" s="3" t="inlineStr">
        <is>
          <t>None found in this function — anything it assumes comes from the functions it depends on.</t>
        </is>
      </c>
      <c r="N621" s="3" t="inlineStr">
        <is>
          <t>Yes</t>
        </is>
      </c>
      <c r="O621" s="3" t="inlineStr">
        <is>
          <t>1. MK-XS-F-052 encryptWithKey
2. MK-XS-F-042 getDataKey</t>
        </is>
      </c>
      <c r="P621" s="3" t="n">
        <v>3</v>
      </c>
      <c r="Q621" s="3" t="inlineStr">
        <is>
          <t>1. MK-XS-F-052 encryptWithKey
2. MK-XS-F-042 getDataKey
3. MK-XS-F-135 secureGet</t>
        </is>
      </c>
      <c r="R621" s="3" t="inlineStr">
        <is>
          <t>1. MK-XS-F-052 encryptWithKey → MK-XS-F-054 encryptForSync
2. MK-XS-F-135 secureGet → MK-XS-F-042 getDataKey → MK-XS-F-054 encryptForSync</t>
        </is>
      </c>
      <c r="S621" s="3" t="inlineStr">
        <is>
          <t>—</t>
        </is>
      </c>
      <c r="T621" s="3" t="inlineStr">
        <is>
          <t>—</t>
        </is>
      </c>
      <c r="U621" s="3" t="inlineStr">
        <is>
          <t>ACTIVE</t>
        </is>
      </c>
      <c r="V621" s="3" t="inlineStr">
        <is>
          <t>2026-08-27</t>
        </is>
      </c>
      <c r="W621" s="3" t="n"/>
      <c r="X621" s="3" t="n"/>
      <c r="Y621" s="3" t="inlineStr">
        <is>
          <t>NOTHING OPEN</t>
        </is>
      </c>
    </row>
    <row r="622" ht="60" customHeight="1">
      <c r="A622" s="3" t="inlineStr">
        <is>
          <t>MK-XS-F-055</t>
        </is>
      </c>
      <c r="B622" s="3" t="inlineStr">
        <is>
          <t>decryptFromSync</t>
        </is>
      </c>
      <c r="C622" s="3" t="inlineStr">
        <is>
          <t>src/services/dataCrypto.ts</t>
        </is>
      </c>
      <c r="D622" s="3" t="n">
        <v>549</v>
      </c>
      <c r="E622" s="3" t="inlineStr">
        <is>
          <t>3 · DEPENDENT</t>
        </is>
      </c>
      <c r="F622" s="3" t="inlineStr">
        <is>
          <t>Decrypt a synced value: ciphertext → object; legacy plaintext object → returned as-is; null if it's ciphertext we can't decrypt (no key).</t>
        </is>
      </c>
      <c r="G622" s="11" t="inlineStr">
        <is>
          <t>nothing   when value = nothing
value   when !is encrypted(value)
key = await get data key()
the answer:
decrypt with key(value as string, key)   if key
nothing   otherwise</t>
        </is>
      </c>
      <c r="H622" s="3" t="inlineStr">
        <is>
          <t>When value is missing, it answers no answer. When !is encrypted(value), it answers value. Key is await get data key(). The answer is decrypt with key(value as string, key) — when key; no answer — otherwise.</t>
        </is>
      </c>
      <c r="I622" s="3" t="inlineStr">
        <is>
          <t>READ FROM THE CODE — rendered from the expressions the function runs</t>
        </is>
      </c>
      <c r="J622" s="3" t="inlineStr">
        <is>
          <t>value: unknown</t>
        </is>
      </c>
      <c r="K622" s="3" t="inlineStr">
        <is>
          <t>Promise&lt;any | null&gt;</t>
        </is>
      </c>
      <c r="L622" s="3" t="inlineStr">
        <is>
          <t>—</t>
        </is>
      </c>
      <c r="M622" s="3" t="inlineStr">
        <is>
          <t>None found in this function — anything it assumes comes from the functions it depends on.</t>
        </is>
      </c>
      <c r="N622" s="3" t="inlineStr">
        <is>
          <t>Yes</t>
        </is>
      </c>
      <c r="O622" s="3" t="inlineStr">
        <is>
          <t>1. MK-XS-F-053 decryptWithKey
2. MK-XS-F-042 getDataKey
3. MK-XS-F-051 isEncrypted</t>
        </is>
      </c>
      <c r="P622" s="3" t="n">
        <v>4</v>
      </c>
      <c r="Q622" s="3" t="inlineStr">
        <is>
          <t>1. MK-XS-F-053 decryptWithKey
2. MK-XS-F-042 getDataKey
3. MK-XS-F-051 isEncrypted
4. MK-XS-F-135 secureGet</t>
        </is>
      </c>
      <c r="R622" s="3" t="inlineStr">
        <is>
          <t>1. MK-XS-F-051 isEncrypted → MK-XS-F-053 decryptWithKey → MK-XS-F-055 decryptFromSync
2. MK-XS-F-135 secureGet → MK-XS-F-042 getDataKey → MK-XS-F-055 decryptFromSync
3. MK-XS-F-051 isEncrypted → MK-XS-F-055 decryptFromSync</t>
        </is>
      </c>
      <c r="S622" s="3" t="inlineStr">
        <is>
          <t>—</t>
        </is>
      </c>
      <c r="T622" s="3" t="inlineStr">
        <is>
          <t>—</t>
        </is>
      </c>
      <c r="U622" s="3" t="inlineStr">
        <is>
          <t>ACTIVE</t>
        </is>
      </c>
      <c r="V622" s="3" t="inlineStr">
        <is>
          <t>2026-08-27</t>
        </is>
      </c>
      <c r="W622" s="3" t="n"/>
      <c r="X622" s="3" t="n"/>
      <c r="Y622" s="3" t="inlineStr">
        <is>
          <t>NOTHING OPEN</t>
        </is>
      </c>
    </row>
    <row r="623" ht="60" customHeight="1">
      <c r="A623" s="3" t="inlineStr">
        <is>
          <t>MK-XS-F-056</t>
        </is>
      </c>
      <c r="B623" s="3" t="inlineStr">
        <is>
          <t>fetchEconomicData</t>
        </is>
      </c>
      <c r="C623" s="3" t="inlineStr">
        <is>
          <t>src/services/economicData.ts</t>
        </is>
      </c>
      <c r="D623" s="3" t="n">
        <v>69</v>
      </c>
      <c r="E623" s="3" t="inlineStr">
        <is>
          <t>3 · DEPENDENT (feeds an action only)</t>
        </is>
      </c>
      <c r="F623" s="3" t="inlineStr">
        <is>
          <t>What are inflation and the 10-year Treasury yield?</t>
        </is>
      </c>
      <c r="G623" s="11" t="inlineStr">
        <is>
          <t>inflation rate = the fetched figure, or the fallback when the fetch failed
treasury yield = the fetched figure, or the fallback when the fetch failed
fetched at = now; each fallback flagged</t>
        </is>
      </c>
      <c r="H623" s="3" t="inlineStr">
        <is>
          <t>Fetches the inflation rate and the ten-year Treasury yield; when either fetch fails its fallback is used and FLAGGED as a fallback, never passed off as live.</t>
        </is>
      </c>
      <c r="I623" s="3" t="inlineStr">
        <is>
          <t>READ BY HAND 2026-08-26 — checked line by line against the code</t>
        </is>
      </c>
      <c r="J623" s="3" t="inlineStr">
        <is>
          <t>Nothing is handed to it</t>
        </is>
      </c>
      <c r="K623" s="3" t="inlineStr">
        <is>
          <t>Promise&lt;EconomicData&gt;</t>
        </is>
      </c>
      <c r="L623" s="3" t="inlineStr">
        <is>
          <t>—</t>
        </is>
      </c>
      <c r="M623" s="3" t="inlineStr">
        <is>
          <t>· Uses today's date from the device clock, so the answer changes by itself overnight.</t>
        </is>
      </c>
      <c r="N623" s="3" t="inlineStr">
        <is>
          <t>No</t>
        </is>
      </c>
      <c r="O623" s="3" t="inlineStr">
        <is>
          <t>1. MK-XS-F-140 fetchInflation
2. MK-XS-F-141 fetchTreasuryYield</t>
        </is>
      </c>
      <c r="P623" s="3" t="n">
        <v>2</v>
      </c>
      <c r="Q623" s="3" t="inlineStr">
        <is>
          <t>1. MK-XS-F-140 fetchInflation
2. MK-XS-F-141 fetchTreasuryYield</t>
        </is>
      </c>
      <c r="R623" s="3" t="inlineStr">
        <is>
          <t>1. MK-XS-F-140 fetchInflation → MK-XS-F-056 fetchEconomicData
2. MK-XS-F-141 fetchTreasuryYield → MK-XS-F-056 fetchEconomicData</t>
        </is>
      </c>
      <c r="S623" s="3" t="inlineStr">
        <is>
          <t>—</t>
        </is>
      </c>
      <c r="T623" s="3" t="inlineStr">
        <is>
          <t>ECONOMIC_FIGURES</t>
        </is>
      </c>
      <c r="U623" s="3" t="inlineStr">
        <is>
          <t>ACTIVE</t>
        </is>
      </c>
      <c r="V623" s="3" t="inlineStr">
        <is>
          <t>2026-09-12</t>
        </is>
      </c>
      <c r="W623" s="3" t="n"/>
      <c r="X623" s="3" t="n"/>
      <c r="Y623" s="3" t="inlineStr">
        <is>
          <t>NOTHING OPEN</t>
        </is>
      </c>
    </row>
    <row r="624" ht="60" customHeight="1">
      <c r="A624" s="3" t="inlineStr">
        <is>
          <t>MK-XS-F-057</t>
        </is>
      </c>
      <c r="B624" s="3" t="inlineStr">
        <is>
          <t>analyzeExpenses</t>
        </is>
      </c>
      <c r="C624" s="3" t="inlineStr">
        <is>
          <t>src/services/economicData.ts</t>
        </is>
      </c>
      <c r="D624" s="3" t="n">
        <v>202</v>
      </c>
      <c r="E624" s="3" t="inlineStr">
        <is>
          <t>4 · BRINGS DATA IN</t>
        </is>
      </c>
      <c r="F624" s="3" t="inlineStr">
        <is>
          <t>What is worth saying about this expenses?</t>
        </is>
      </c>
      <c r="G624" s="11" t="inlineStr">
        <is>
          <t>data = await res.json()
the answer = data as expense analysis</t>
        </is>
      </c>
      <c r="H624" s="3" t="inlineStr">
        <is>
          <t>Data is await res.json(). The answer is data as expense analysis.</t>
        </is>
      </c>
      <c r="I624" s="3" t="inlineStr">
        <is>
          <t>PARTLY READ — some of the code is still showing through; needs a hand pass</t>
        </is>
      </c>
      <c r="J624" s="3" t="inlineStr">
        <is>
          <t>Nothing is handed to it</t>
        </is>
      </c>
      <c r="K624" s="3" t="inlineStr">
        <is>
          <t>NOT DECLARED — the code does not say what it gives back</t>
        </is>
      </c>
      <c r="L624" s="3" t="inlineStr">
        <is>
          <t>—</t>
        </is>
      </c>
      <c r="M624" s="3" t="inlineStr">
        <is>
          <t>None found in this function — anything it assumes comes from the functions it depends on.</t>
        </is>
      </c>
      <c r="N624" s="3" t="inlineStr">
        <is>
          <t>No</t>
        </is>
      </c>
      <c r="O624" s="3" t="inlineStr">
        <is>
          <t>MK-CF-O-002 expenses</t>
        </is>
      </c>
      <c r="P624" s="3" t="n">
        <v>15</v>
      </c>
      <c r="Q624"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24"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624" s="3" t="inlineStr">
        <is>
          <t>—</t>
        </is>
      </c>
      <c r="T624" s="3" t="inlineStr">
        <is>
          <t>EXPENSE_COMMENTARY</t>
        </is>
      </c>
      <c r="U624" s="3" t="inlineStr">
        <is>
          <t>ACTIVE</t>
        </is>
      </c>
      <c r="V624" s="3" t="inlineStr">
        <is>
          <t>2026-08-27</t>
        </is>
      </c>
      <c r="W624" s="3" t="n"/>
      <c r="X624" s="3" t="n"/>
      <c r="Y624" s="3" t="inlineStr">
        <is>
          <t>NOTHING OPEN</t>
        </is>
      </c>
    </row>
    <row r="625" ht="60" customHeight="1">
      <c r="A625" s="3" t="inlineStr">
        <is>
          <t>MK-XS-F-058</t>
        </is>
      </c>
      <c r="B625" s="3" t="inlineStr">
        <is>
          <t>parseReceipt</t>
        </is>
      </c>
      <c r="C625" s="3" t="inlineStr">
        <is>
          <t>src/services/receiptScan.ts</t>
        </is>
      </c>
      <c r="D625" s="3" t="n">
        <v>106</v>
      </c>
      <c r="E625" s="3" t="inlineStr">
        <is>
          <t>3 · DEPENDENT</t>
        </is>
      </c>
      <c r="F625" s="3" t="inlineStr">
        <is>
          <t>Heuristic parse of receipt text → total amount + merchant.</t>
        </is>
      </c>
      <c r="G625"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625"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625" s="3" t="inlineStr">
        <is>
          <t>PARTLY READ — some of the code is still showing through; needs a hand pass</t>
        </is>
      </c>
      <c r="J625" s="3" t="inlineStr">
        <is>
          <t>text: string</t>
        </is>
      </c>
      <c r="K625" s="3" t="inlineStr">
        <is>
          <t>NOT DECLARED — the code does not say what it gives back</t>
        </is>
      </c>
      <c r="L625" s="3" t="inlineStr">
        <is>
          <t>—</t>
        </is>
      </c>
      <c r="M625" s="3" t="inlineStr">
        <is>
          <t>None found in this function — anything it assumes comes from the functions it depends on.</t>
        </is>
      </c>
      <c r="N625" s="3" t="inlineStr">
        <is>
          <t>Yes</t>
        </is>
      </c>
      <c r="O625" s="3" t="inlineStr">
        <is>
          <t>1. MK-CF-F-204 line
2. MK-CF-F-132 map
3. MK-XS-F-093 stripNonMoney
4. MK-ST-F-052 toNum</t>
        </is>
      </c>
      <c r="P625" s="3" t="n">
        <v>113</v>
      </c>
      <c r="Q625"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MK-NW-F-124 maturityParts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MK-NW-F-131 pricedLikeBond
69. MK-NW-F-125 isPastMaturity
70. MK-ST-F-065 isoLocalDate
71. MK-NW-F-126 yearlyInterestNow
72. MK-NW-F-011 assetClassOf
73. MK-NW-F-009 maturityClass
74. MK-CF-F-216 typed
75. MK-NW-F-070 accruedInterestCaveat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MK-NW-F-119 estimatedAccrued
99. MK-NW-F-120 classEvidenceOf
100. MK-NW-F-067 plural
101. MK-CF-F-100 taxableIncomeFor
102. MK-CF-F-074 tipsAnnual
103. MK-ST-F-085 rentFigure
104. MK-CF-F-165 salaryMonths
105. MK-CF-F-003 categoryMonthly
106. MK-NW-F-008 incomeBearingClassOf
107. MK-CF-F-099 deductionFor
108. MK-CF-F-081 salaryActiveMonths
109. MK-ST-F-010 nameEvidence
110. MK-CF-F-187 seniorDeductionFor
111. MK-XS-F-147 call
112. MK-XS-F-064 currentIdToken
113. MK-XS-F-112 relayUrl</t>
        </is>
      </c>
      <c r="R625"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625" s="3" t="inlineStr">
        <is>
          <t>—</t>
        </is>
      </c>
      <c r="T625" s="3" t="inlineStr">
        <is>
          <t>READ_A_RECEIPT</t>
        </is>
      </c>
      <c r="U625" s="3" t="inlineStr">
        <is>
          <t>ACTIVE</t>
        </is>
      </c>
      <c r="V625" s="3" t="inlineStr">
        <is>
          <t>2026-08-27</t>
        </is>
      </c>
      <c r="W625" s="3" t="n"/>
      <c r="X625" s="3" t="n"/>
      <c r="Y625" s="3" t="inlineStr">
        <is>
          <t>NOTHING OPEN</t>
        </is>
      </c>
    </row>
    <row r="626" ht="60" customHeight="1">
      <c r="A626" s="3" t="inlineStr">
        <is>
          <t>MK-XS-F-059</t>
        </is>
      </c>
      <c r="B626" s="3" t="inlineStr">
        <is>
          <t>readFileString</t>
        </is>
      </c>
      <c r="C626" s="3" t="inlineStr">
        <is>
          <t>src/services/fileRead.ts</t>
        </is>
      </c>
      <c r="D626" s="3" t="n">
        <v>22</v>
      </c>
      <c r="E626" s="3" t="inlineStr">
        <is>
          <t>4 · BRINGS DATA IN</t>
        </is>
      </c>
      <c r="F626" s="3" t="inlineStr">
        <is>
          <t>NOT DETERMINED — the code carries no note saying what this is for, and it has no row in the old inventory. Needs reading.</t>
        </is>
      </c>
      <c r="G626" s="11" t="inlineStr">
        <is>
          <t>read as string async(uri, { encoding: encoding = 'base64' ? encoding type.base64 : encoding type.UTF8 })</t>
        </is>
      </c>
      <c r="H626" s="3" t="inlineStr">
        <is>
          <t>read as string async(uri, { encoding: encoding = 'base64' ? encoding type.base64 : encoding type.UTF8 }).</t>
        </is>
      </c>
      <c r="I626" s="3" t="inlineStr">
        <is>
          <t>READ FROM THE CODE — rendered from the expressions the function runs</t>
        </is>
      </c>
      <c r="J626" s="3" t="inlineStr">
        <is>
          <t>1. uri: string
2. encoding: 'utf8' | 'base64' = 'utf8'</t>
        </is>
      </c>
      <c r="K626" s="3" t="inlineStr">
        <is>
          <t>Promise&lt;string&gt;</t>
        </is>
      </c>
      <c r="L626" s="3" t="inlineStr">
        <is>
          <t>—</t>
        </is>
      </c>
      <c r="M626" s="3" t="inlineStr">
        <is>
          <t>None found in this function — anything it assumes comes from the functions it depends on.</t>
        </is>
      </c>
      <c r="N626" s="3" t="inlineStr">
        <is>
          <t>Yes</t>
        </is>
      </c>
      <c r="O626" s="3" t="inlineStr">
        <is>
          <t>—</t>
        </is>
      </c>
      <c r="P626" s="3" t="n">
        <v>0</v>
      </c>
      <c r="Q626" s="3" t="inlineStr">
        <is>
          <t>None — no dependent function stands behind it</t>
        </is>
      </c>
      <c r="R626" s="3" t="inlineStr">
        <is>
          <t>No dependent function — it reads its inputs and answers</t>
        </is>
      </c>
      <c r="S626" s="3" t="inlineStr">
        <is>
          <t>—</t>
        </is>
      </c>
      <c r="T626" s="3" t="inlineStr">
        <is>
          <t>—</t>
        </is>
      </c>
      <c r="U626" s="3" t="inlineStr">
        <is>
          <t>ACTIVE</t>
        </is>
      </c>
      <c r="V626" s="3" t="inlineStr">
        <is>
          <t>2026-08-27</t>
        </is>
      </c>
      <c r="W626" s="3" t="n"/>
      <c r="X626" s="3" t="n"/>
      <c r="Y626" s="3" t="inlineStr">
        <is>
          <t>NOTHING OPEN</t>
        </is>
      </c>
    </row>
    <row r="627" ht="60" customHeight="1">
      <c r="A627" s="3" t="inlineStr">
        <is>
          <t>MK-XS-F-060</t>
        </is>
      </c>
      <c r="B627" s="3" t="inlineStr">
        <is>
          <t>registerUser</t>
        </is>
      </c>
      <c r="C627" s="3" t="inlineStr">
        <is>
          <t>src/services/firebase.ts</t>
        </is>
      </c>
      <c r="D627" s="3" t="n">
        <v>88</v>
      </c>
      <c r="E627" s="3" t="inlineStr">
        <is>
          <t>2 · DISPLAYED</t>
        </is>
      </c>
      <c r="F627" s="3" t="inlineStr">
        <is>
          <t>Returns the new user AND a one-time recovery code the caller MUST show the user to save.</t>
        </is>
      </c>
      <c r="G627" s="11" t="inlineStr">
        <is>
          <t>cred = await create user with email and password(auth, email, password)
dek = generate data key()
recovery code = generate recovery code()
key envelope = make envelope(dek, cred.user.uid, password, recovery code)
the answer:
user = cred.user
recovery code = recovery code</t>
        </is>
      </c>
      <c r="H627"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627" s="3" t="inlineStr">
        <is>
          <t>READ FROM THE CODE — rendered from the expressions the function runs</t>
        </is>
      </c>
      <c r="J627" s="3" t="inlineStr">
        <is>
          <t>1. email: string
2. password: string
3. name: string
4. onCodeReady?: (code: string) =&gt; void</t>
        </is>
      </c>
      <c r="K627" s="3" t="inlineStr">
        <is>
          <t>NOT DECLARED — the code does not say what it gives back</t>
        </is>
      </c>
      <c r="L627" s="3" t="inlineStr">
        <is>
          <t>NOT FOUND — a screen calls it, but the words printed beside its answer could not be traced automatically. Needs reading.</t>
        </is>
      </c>
      <c r="M627" s="3" t="inlineStr">
        <is>
          <t>None found in this function — anything it assumes comes from the functions it depends on.</t>
        </is>
      </c>
      <c r="N627" s="3" t="inlineStr">
        <is>
          <t>Yes</t>
        </is>
      </c>
      <c r="O627" s="3" t="inlineStr">
        <is>
          <t>1. MK-XS-F-041 cacheDataKey
2. MK-XS-F-044 generateDataKey
3. MK-XS-F-045 generateRecoveryCode
4. MK-XS-F-046 makeEnvelope
5. MK-XS-F-175 uid</t>
        </is>
      </c>
      <c r="P627" s="3" t="n">
        <v>214</v>
      </c>
      <c r="Q627"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MK-CF-F-218 moveOldRentFigure
26. MK-XS-F-122 n
27. MK-ST-F-043 newEntityId
28. MK-XS-F-006 pruneDaily
29. MK-ST-F-073 rebuildDays
30. MK-NW-F-054 reclassifyAccounts
31. MK-XS-F-174 recomputeBalances
32. MK-CF-F-115 restoreUndo
33. MK-CF-F-109 reviewTransactions
34. MK-ST-F-044 setMoneyFormat
35. MK-NW-O-004 theEmergencyFund
36. MK-CF-F-114 undoSnapshot
37. MK-CF-F-191 ym
38. MK-XS-F-138 deriveKeyFromSecret
39. MK-XS-F-052 encryptWithKey
40. MK-CF-F-138 addLot
41. MK-CF-F-136 bumpCash
42. MK-CF-F-137 findPos
43. MK-CF-F-139 removeShares
44. MK-PF-F-001 totalShares
45. MK-ST-F-052 toNum
46. MK-ST-F-053 money
47. MK-CF-F-085 filingStatusOf
48. MK-CF-F-097 grossFromNet
49. MK-CF-F-185 needsTakeHomeConversion
50. MK-CF-F-089 over65CountOf
51. MK-CF-F-037 inferDebtType
52. MK-CF-F-217 hasOldRentFigure
53. MK-CF-F-216 typed
54. MK-ST-F-069 amountOf
55. MK-CF-F-133 cashOf
56. MK-ST-F-066 isDayKey
57. MK-ST-F-070 isOpening
58. MK-ST-F-039 on
59. MK-ST-F-071 rebuildableFrom
60. MK-ST-F-068 stepDay
61. MK-ST-F-072 undo
62. MK-NW-F-053 correctClassOf
63. MK-NW-F-123 holdingNameEvidence
64. MK-NW-F-121 holdingTagClass
65. MK-NW-F-122 holdingTagFor
66. MK-PF-F-002 costBasis
67. MK-PF-F-009 latestClose
68. MK-PF-F-004 marketValue
69. MK-ST-F-030 record
70. MK-XS-F-024 resolveLens
71. MK-ST-F-055 round2
72. MK-CF-F-162 daysApart
73. MK-CF-F-108 isMoneyOut
74. MK-PL-F-074 median
75. MK-CF-F-131 normPayee
76. MK-CF-F-155 cash
77. MK-NW-F-016 cashTotal
78. MK-CF-F-010 emergencyTest
79. MK-CF-F-190 essentialsMonthly
80. MK-CF-O-004 incomeSummary
81. MK-CF-F-009 monthlyEssentials
82. MK-CF-F-022 paymentShape
83. MK-CF-F-002 plannedMonthlySpend
84. MK-NW-F-117 propertyUseMap
85. MK-ST-F-085 rentFigure
86. MK-CF-O-020 theBudgetCounted
87. MK-CF-F-113 affectedAccountIds
88. MK-CF-F-134 usesSleeve
89. MK-ST-F-049 formatMoney
90. MK-CF-F-101 taxOwedFor
91. MK-ST-F-067 utcOfDay
92. MK-ST-F-035 covers
93. MK-NW-F-120 classEvidenceOf
94. MK-NW-F-008 incomeBearingClassOf
95. MK-PF-F-031 contractMultiplier
96. MK-PF-F-035 unknownFigure
97. MK-CF-F-072 currentRetirementIncomeMonthly
98. MK-NW-F-027 accountClassBreakdown
99. MK-NW-F-029 assetAllocation
100. MK-NW-F-011 assetClassOf
101. MK-CF-F-189 essentialsFromLoggedSpending
102. MK-CF-O-002 expenses
103. MK-CF-F-203 MONTH
104. MK-CF-O-001 basePay
105. MK-CF-F-069 benefitActiveMonths
106. MK-CF-F-173 earnerWages
107. MK-CF-F-179 entryFromWage
108. MK-CF-F-071 extraIncome
109. MK-CF-F-092 incomeMonthlyGrid
110. MK-CF-F-192 inflowLabel
111. MK-CF-F-103 marginalBracketFor
112. MK-CF-F-181 rateInForce
113. MK-CF-F-068 rentalNetAnnual
114. MK-CF-F-082 salaryAnnual
115. MK-CF-F-060 salaryGrossByMonth
116. MK-CF-F-084 taxableAnnual
117. MK-CF-F-120 pctBaseMonthly
118. MK-CF-F-004 spendBuckets
119. MK-CF-F-021 defaultPaymentType
120. MK-XS-F-027 takeHomeMonthly
121. MK-NW-F-116 rentedIdsOf
122. MK-NW-F-106 mortgagesByProperty
123. MK-NW-F-107 propertyUses
124. MK-ST-F-048 currencySymbol
125. MK-CF-F-100 taxableIncomeFor
126. MK-ST-F-034 firstDate
127. MK-NW-F-009 maturityClass
128. MK-ST-F-010 nameEvidence
129. MK-CF-F-075 retirementIncomeMonthly
130. MK-NW-F-109 holdingClassOf
131. MK-NW-F-067 plural
132. MK-CF-F-151 actualSpending
133. MK-CF-F-150 debtPaymentsCountedAsExpenses
134. MK-CF-F-153 radar
135. MK-CF-F-149 recurringDebtPayments
136. MK-CF-O-010 theMonth
137. MK-CF-F-171 earnerPay
138. MK-CF-F-204 line
139. MK-HM-F-006 money0
140. MK-CF-F-198 payrollTaxWithheld
141. MK-CF-F-172 hasWage
142. MK-CF-F-165 salaryMonths
143. MK-CF-F-070 benefitAnnual
144. MK-CF-F-065 equityVestWeights
145. MK-CF-F-206 householdK401ByMonth
146. MK-CF-F-087 monthlyTaxRates
147. MK-CF-F-073 otherIncomeMonth
148. MK-CF-F-066 rsuAnnual
149. MK-CF-F-077 scholarshipByCalendarMonth
150. MK-CF-F-088 taxableByCalendarMonth
151. MK-CF-F-177 wageGrossByMonth
152. MK-PL-F-012 waterfall
153. MK-CF-F-193 inflowSourceWord
154. MK-CF-F-180 enteredLandsAnnual
155. MK-CF-F-086 stateRateOf
156. MK-CF-F-067 rentalList
157. MK-CF-F-176 sumMonthsOverEarners
158. MK-CF-F-074 tipsAnnual
159. MK-CF-F-003 categoryMonthly
160. MK-CF-F-011 savingsByMonth
161. MK-NW-F-115 liveRent
162. MK-CF-F-023 requiredPayment
163. MK-ST-F-047 activeCurrency
164. MK-CF-F-099 deductionFor
165. MK-NW-F-124 maturityParts
166. MK-XS-F-147 call
167. MK-CF-F-148 inMonth
168. MK-CF-F-152 isRadarItem
169. MK-CF-O-003 thisMonth
170. MK-CF-F-143 annualisedGross
171. MK-CF-F-145 deductionsFromPay
172. MK-CF-F-128 grossByMonth
173. MK-CF-F-146 payFiguresAgree
174. MK-CF-F-144 takeHomeAsEntered
175. MK-XS-F-180 declareFigures
176. MK-HM-F-005 pctTxt
177. MK-CF-F-062 equityRowValue
178. MK-CF-F-090 effectiveRate
179. MK-CF-F-063 rowVestYear
180. MK-CF-F-130 enteredMonthlyRaw
181. MK-CF-F-166 hasMonthlySalaryTable
182. MK-ST-F-036 reconcile
183. MK-CF-F-167 salaryCalendarYear
184. MK-CF-F-081 salaryActiveMonths
185. MK-CF-F-008 spendByMonth
186. MK-NW-F-114 rentAmount
187. MK-CF-F-187 seniorDeductionFor
188. MK-XS-F-064 currentIdToken
189. MK-XS-F-112 relayUrl
190. MK-CF-F-005 actualMonthFlow
191. MK-CF-F-156 plannedMonthFlow
192. MK-CF-F-142 monthsOf
193. MK-CF-F-141 perMonth
194. MK-NW-F-078 ONE
195. MK-CF-F-157 debtPaymentsByDebt
196. MK-CF-F-140 periodsAYear
197. MK-NW-F-077 ALL
198. MK-NW-F-059 currentYield
199. MK-NW-O-001 theBonds
200. MK-NW-F-112 yearlyInterest
201. MK-NW-F-057 annualCoupon
202. MK-NW-F-056 bondInfo
203. MK-NW-F-064 bondRateSensitivity
204. MK-NW-F-061 bondSummary
205. MK-NW-F-055 isBond
206. MK-NW-F-072 rowOf
207. MK-NW-F-060 approxYTM
208. MK-NW-F-069 priceAtYield
209. MK-NW-F-131 pricedLikeBond
210. MK-NW-F-125 isPastMaturity
211. MK-NW-F-126 yearlyInterestNow
212. MK-NW-F-070 accruedInterestCaveat
213. MK-NW-F-058 yearsToMaturity
214. MK-NW-F-119 estimatedAccrued</t>
        </is>
      </c>
      <c r="R627"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627" s="3" t="inlineStr">
        <is>
          <t>—</t>
        </is>
      </c>
      <c r="T627" s="3" t="inlineStr">
        <is>
          <t>—</t>
        </is>
      </c>
      <c r="U627" s="3" t="inlineStr">
        <is>
          <t>ACTIVE</t>
        </is>
      </c>
      <c r="V627" s="3" t="inlineStr">
        <is>
          <t>2026-08-27</t>
        </is>
      </c>
      <c r="W627" s="3" t="n"/>
      <c r="X627" s="3" t="n"/>
      <c r="Y627" s="3" t="inlineStr">
        <is>
          <t>NOTHING OPEN</t>
        </is>
      </c>
    </row>
    <row r="628" ht="30" customHeight="1">
      <c r="A628" s="3" t="inlineStr">
        <is>
          <t>MK-XS-F-061</t>
        </is>
      </c>
      <c r="B628" s="3" t="inlineStr">
        <is>
          <t>resendVerification</t>
        </is>
      </c>
      <c r="C628" s="3" t="inlineStr">
        <is>
          <t>src/services/firebase.ts</t>
        </is>
      </c>
      <c r="D628" s="3" t="n">
        <v>130</v>
      </c>
      <c r="E628" s="3" t="inlineStr">
        <is>
          <t>1 · ACTION</t>
        </is>
      </c>
      <c r="F628" s="3" t="inlineStr">
        <is>
          <t>Resend the verification email to the signed-in user.</t>
        </is>
      </c>
      <c r="G628" s="11" t="inlineStr">
        <is>
          <t>sends the verification e-mail again to the signed-in person</t>
        </is>
      </c>
      <c r="H628" s="3" t="inlineStr">
        <is>
          <t>Resends the e-mail-verification message. Not a calculation.</t>
        </is>
      </c>
      <c r="I628" s="3" t="inlineStr">
        <is>
          <t>READ BY HAND 2026-08-26 — checked line by line against the code</t>
        </is>
      </c>
      <c r="J628" s="3" t="inlineStr">
        <is>
          <t>Nothing is handed to it</t>
        </is>
      </c>
      <c r="K628" s="3" t="inlineStr">
        <is>
          <t>NOT DECLARED — the code does not say what it gives back</t>
        </is>
      </c>
      <c r="L628" s="3" t="inlineStr">
        <is>
          <t>—</t>
        </is>
      </c>
      <c r="M628" s="3" t="inlineStr">
        <is>
          <t>None found in this function — anything it assumes comes from the functions it depends on.</t>
        </is>
      </c>
      <c r="N628" s="3" t="inlineStr">
        <is>
          <t>Yes</t>
        </is>
      </c>
      <c r="O628" s="3" t="inlineStr">
        <is>
          <t>—</t>
        </is>
      </c>
      <c r="P628" s="3" t="n">
        <v>0</v>
      </c>
      <c r="Q628" s="3" t="inlineStr">
        <is>
          <t>None — no dependent function stands behind it</t>
        </is>
      </c>
      <c r="R628" s="3" t="inlineStr">
        <is>
          <t>No dependent function — it reads its inputs and answers</t>
        </is>
      </c>
      <c r="S628" s="3" t="inlineStr">
        <is>
          <t>—</t>
        </is>
      </c>
      <c r="T628" s="3" t="inlineStr">
        <is>
          <t>—</t>
        </is>
      </c>
      <c r="U628" s="3" t="inlineStr">
        <is>
          <t>ACTIVE</t>
        </is>
      </c>
      <c r="V628" s="3" t="inlineStr">
        <is>
          <t>2026-09-12</t>
        </is>
      </c>
      <c r="W628" s="3" t="n"/>
      <c r="X628" s="3" t="n"/>
      <c r="Y628" s="3" t="inlineStr">
        <is>
          <t>NOTHING OPEN</t>
        </is>
      </c>
    </row>
    <row r="629" ht="60" customHeight="1">
      <c r="A629" s="3" t="inlineStr">
        <is>
          <t>MK-XS-F-062</t>
        </is>
      </c>
      <c r="B629" s="3" t="inlineStr">
        <is>
          <t>refreshEmailVerified</t>
        </is>
      </c>
      <c r="C629" s="3" t="inlineStr">
        <is>
          <t>src/services/firebase.ts</t>
        </is>
      </c>
      <c r="D629" s="3" t="n">
        <v>150</v>
      </c>
      <c r="E629" s="3" t="inlineStr">
        <is>
          <t>2 · DISPLAYED</t>
        </is>
      </c>
      <c r="F629" s="3" t="inlineStr">
        <is>
          <t>Re-check verification status from the server (call after the user clicks the email link).</t>
        </is>
      </c>
      <c r="G629" s="11" t="inlineStr">
        <is>
          <t>false   when auth.current user is missing
!!auth.current user.email verified</t>
        </is>
      </c>
      <c r="H629" s="3" t="inlineStr">
        <is>
          <t>When auth.current user is missing, it answers false. !!auth.current user.email verified.</t>
        </is>
      </c>
      <c r="I629" s="3" t="inlineStr">
        <is>
          <t>READ FROM THE CODE — rendered from the expressions the function runs</t>
        </is>
      </c>
      <c r="J629" s="3" t="inlineStr">
        <is>
          <t>Nothing is handed to it</t>
        </is>
      </c>
      <c r="K629" s="3" t="inlineStr">
        <is>
          <t>Promise&lt;boolean&gt;</t>
        </is>
      </c>
      <c r="L629"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629" s="3" t="inlineStr">
        <is>
          <t>None found in this function — anything it assumes comes from the functions it depends on.</t>
        </is>
      </c>
      <c r="N629" s="3" t="inlineStr">
        <is>
          <t>Yes</t>
        </is>
      </c>
      <c r="O629" s="3" t="inlineStr">
        <is>
          <t>—</t>
        </is>
      </c>
      <c r="P629" s="3" t="n">
        <v>0</v>
      </c>
      <c r="Q629" s="3" t="inlineStr">
        <is>
          <t>None — no dependent function stands behind it</t>
        </is>
      </c>
      <c r="R629" s="3" t="inlineStr">
        <is>
          <t>No dependent function — it reads its inputs and answers</t>
        </is>
      </c>
      <c r="S629" s="3" t="inlineStr">
        <is>
          <t>—</t>
        </is>
      </c>
      <c r="T629" s="3" t="inlineStr">
        <is>
          <t>—</t>
        </is>
      </c>
      <c r="U629" s="3" t="inlineStr">
        <is>
          <t>ACTIVE</t>
        </is>
      </c>
      <c r="V629" s="3" t="inlineStr">
        <is>
          <t>2026-08-27</t>
        </is>
      </c>
      <c r="W629" s="3" t="n"/>
      <c r="X629" s="3" t="n"/>
      <c r="Y629" s="3" t="inlineStr">
        <is>
          <t>NOTHING OPEN</t>
        </is>
      </c>
    </row>
    <row r="630" ht="60" customHeight="1">
      <c r="A630" s="3" t="inlineStr">
        <is>
          <t>MK-XS-F-063</t>
        </is>
      </c>
      <c r="B630" s="3" t="inlineStr">
        <is>
          <t>isEmailVerified</t>
        </is>
      </c>
      <c r="C630" s="3" t="inlineStr">
        <is>
          <t>src/services/firebase.ts</t>
        </is>
      </c>
      <c r="D630" s="3" t="n">
        <v>170</v>
      </c>
      <c r="E630" s="3" t="inlineStr">
        <is>
          <t>2 · DISPLAYED</t>
        </is>
      </c>
      <c r="F630" s="3" t="inlineStr">
        <is>
          <t>NOT DETERMINED — the code carries no note saying what this is for, and it has no row in the old inventory. Needs reading.</t>
        </is>
      </c>
      <c r="G630" s="11" t="inlineStr">
        <is>
          <t>!!auth.current user.email verified</t>
        </is>
      </c>
      <c r="H630" s="3" t="inlineStr">
        <is>
          <t>!!auth.current user.email verified.</t>
        </is>
      </c>
      <c r="I630" s="3" t="inlineStr">
        <is>
          <t>READ FROM THE CODE — rendered from the expressions the function runs</t>
        </is>
      </c>
      <c r="J630" s="3" t="inlineStr">
        <is>
          <t>Nothing is handed to it</t>
        </is>
      </c>
      <c r="K630" s="3" t="inlineStr">
        <is>
          <t>boolean</t>
        </is>
      </c>
      <c r="L630" s="3" t="inlineStr">
        <is>
          <t>NOT FOUND — a screen calls it, but the words printed beside its answer could not be traced automatically. Needs reading.</t>
        </is>
      </c>
      <c r="M630" s="3" t="inlineStr">
        <is>
          <t>None found in this function — anything it assumes comes from the functions it depends on.</t>
        </is>
      </c>
      <c r="N630" s="3" t="inlineStr">
        <is>
          <t>Yes</t>
        </is>
      </c>
      <c r="O630" s="3" t="inlineStr">
        <is>
          <t>—</t>
        </is>
      </c>
      <c r="P630" s="3" t="n">
        <v>0</v>
      </c>
      <c r="Q630" s="3" t="inlineStr">
        <is>
          <t>None — no dependent function stands behind it</t>
        </is>
      </c>
      <c r="R630" s="3" t="inlineStr">
        <is>
          <t>No dependent function — it reads its inputs and answers</t>
        </is>
      </c>
      <c r="S630" s="3" t="inlineStr">
        <is>
          <t>—</t>
        </is>
      </c>
      <c r="T630" s="3" t="inlineStr">
        <is>
          <t>—</t>
        </is>
      </c>
      <c r="U630" s="3" t="inlineStr">
        <is>
          <t>ACTIVE</t>
        </is>
      </c>
      <c r="V630" s="3" t="inlineStr">
        <is>
          <t>2026-08-27</t>
        </is>
      </c>
      <c r="W630" s="3" t="n"/>
      <c r="X630" s="3" t="n"/>
      <c r="Y630" s="3" t="inlineStr">
        <is>
          <t>NOTHING OPEN</t>
        </is>
      </c>
    </row>
    <row r="631" ht="60" customHeight="1">
      <c r="A631" s="3" t="inlineStr">
        <is>
          <t>MK-XS-F-064</t>
        </is>
      </c>
      <c r="B631" s="3" t="inlineStr">
        <is>
          <t>currentIdToken</t>
        </is>
      </c>
      <c r="C631" s="3" t="inlineStr">
        <is>
          <t>src/services/firebase.ts</t>
        </is>
      </c>
      <c r="D631" s="3" t="n">
        <v>204</v>
      </c>
      <c r="E631" s="3" t="inlineStr">
        <is>
          <t>3 · DEPENDENT (feeds an action only)</t>
        </is>
      </c>
      <c r="F631" s="3" t="inlineStr">
        <is>
          <t>The email of the account currently signed in to Firebase — the authoritative identity that account-level actions (delete, reauth) operate on.</t>
        </is>
      </c>
      <c r="G631" s="11" t="inlineStr">
        <is>
          <t>the answer = the signed-in person's identity token, or nothing</t>
        </is>
      </c>
      <c r="H631" s="3" t="inlineStr">
        <is>
          <t>The signed-in person's identity token for the relay, or nothing when nobody is signed in. Not a calculation.</t>
        </is>
      </c>
      <c r="I631" s="3" t="inlineStr">
        <is>
          <t>READ BY HAND 2026-08-26 — checked line by line against the code</t>
        </is>
      </c>
      <c r="J631" s="3" t="inlineStr">
        <is>
          <t>Nothing is handed to it</t>
        </is>
      </c>
      <c r="K631" s="3" t="inlineStr">
        <is>
          <t>Promise&lt;string | null&gt;</t>
        </is>
      </c>
      <c r="L631" s="3" t="inlineStr">
        <is>
          <t>—</t>
        </is>
      </c>
      <c r="M631" s="3" t="inlineStr">
        <is>
          <t>None found in this function — anything it assumes comes from the functions it depends on.</t>
        </is>
      </c>
      <c r="N631" s="3" t="inlineStr">
        <is>
          <t>No</t>
        </is>
      </c>
      <c r="O631" s="3" t="inlineStr">
        <is>
          <t>—</t>
        </is>
      </c>
      <c r="P631" s="3" t="n">
        <v>0</v>
      </c>
      <c r="Q631" s="3" t="inlineStr">
        <is>
          <t>None — no dependent function stands behind it</t>
        </is>
      </c>
      <c r="R631" s="3" t="inlineStr">
        <is>
          <t>No dependent function — it reads its inputs and answers</t>
        </is>
      </c>
      <c r="S631" s="3" t="inlineStr">
        <is>
          <t>—</t>
        </is>
      </c>
      <c r="T631" s="3" t="inlineStr">
        <is>
          <t>—</t>
        </is>
      </c>
      <c r="U631" s="3" t="inlineStr">
        <is>
          <t>ACTIVE</t>
        </is>
      </c>
      <c r="V631" s="3" t="inlineStr">
        <is>
          <t>2026-09-12</t>
        </is>
      </c>
      <c r="W631" s="3" t="n"/>
      <c r="X631" s="3" t="n"/>
      <c r="Y631" s="3" t="inlineStr">
        <is>
          <t>NOTHING OPEN</t>
        </is>
      </c>
    </row>
    <row r="632" ht="60" customHeight="1">
      <c r="A632" s="3" t="inlineStr">
        <is>
          <t>MK-XS-F-065</t>
        </is>
      </c>
      <c r="B632" s="3" t="inlineStr">
        <is>
          <t>currentUserEmail</t>
        </is>
      </c>
      <c r="C632" s="3" t="inlineStr">
        <is>
          <t>src/services/firebase.ts</t>
        </is>
      </c>
      <c r="D632" s="3" t="n">
        <v>223</v>
      </c>
      <c r="E632" s="3" t="inlineStr">
        <is>
          <t>2 · DISPLAYED</t>
        </is>
      </c>
      <c r="F632" s="3" t="inlineStr">
        <is>
          <t>NOT DETERMINED — the code carries no note saying what this is for, and it has no row in the old inventory. Needs reading.</t>
        </is>
      </c>
      <c r="G632" s="11" t="inlineStr">
        <is>
          <t>auth.current user.email (or nothing when missing)</t>
        </is>
      </c>
      <c r="H632" s="3" t="inlineStr">
        <is>
          <t>auth.current user.email (or no answer — when missing).</t>
        </is>
      </c>
      <c r="I632" s="3" t="inlineStr">
        <is>
          <t>PARTLY READ — some of the code is still showing through; needs a hand pass</t>
        </is>
      </c>
      <c r="J632" s="3" t="inlineStr">
        <is>
          <t>Nothing is handed to it</t>
        </is>
      </c>
      <c r="K632" s="3" t="inlineStr">
        <is>
          <t>string | null</t>
        </is>
      </c>
      <c r="L632" s="3" t="inlineStr">
        <is>
          <t>"Confirm account deletion" — on the Settings screen, under "Account"</t>
        </is>
      </c>
      <c r="M632" s="3" t="inlineStr">
        <is>
          <t>None found in this function — anything it assumes comes from the functions it depends on.</t>
        </is>
      </c>
      <c r="N632" s="3" t="inlineStr">
        <is>
          <t>Yes</t>
        </is>
      </c>
      <c r="O632" s="3" t="inlineStr">
        <is>
          <t>—</t>
        </is>
      </c>
      <c r="P632" s="3" t="n">
        <v>0</v>
      </c>
      <c r="Q632" s="3" t="inlineStr">
        <is>
          <t>None — no dependent function stands behind it</t>
        </is>
      </c>
      <c r="R632" s="3" t="inlineStr">
        <is>
          <t>No dependent function — it reads its inputs and answers</t>
        </is>
      </c>
      <c r="S632" s="3" t="inlineStr">
        <is>
          <t>—</t>
        </is>
      </c>
      <c r="T632" s="3" t="inlineStr">
        <is>
          <t>—</t>
        </is>
      </c>
      <c r="U632" s="3" t="inlineStr">
        <is>
          <t>ACTIVE</t>
        </is>
      </c>
      <c r="V632" s="3" t="inlineStr">
        <is>
          <t>2026-08-27</t>
        </is>
      </c>
      <c r="W632" s="3" t="n"/>
      <c r="X632" s="3" t="n"/>
      <c r="Y632" s="3" t="inlineStr">
        <is>
          <t>NOTHING OPEN</t>
        </is>
      </c>
    </row>
    <row r="633" ht="60" customHeight="1">
      <c r="A633" s="3" t="inlineStr">
        <is>
          <t>MK-XS-F-066</t>
        </is>
      </c>
      <c r="B633" s="3" t="inlineStr">
        <is>
          <t>loginUser</t>
        </is>
      </c>
      <c r="C633" s="3" t="inlineStr">
        <is>
          <t>src/services/firebase.ts</t>
        </is>
      </c>
      <c r="D633" s="3" t="n">
        <v>255</v>
      </c>
      <c r="E633" s="3" t="inlineStr">
        <is>
          <t>4 · BRINGS DATA IN</t>
        </is>
      </c>
      <c r="F633" s="3" t="inlineStr">
        <is>
          <t>Returns the user plus the unlock status: • needsRecovery=true → the password can't open the data (it was reset); prompt for the recovery code.</t>
        </is>
      </c>
      <c r="G633"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633"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633" s="3" t="inlineStr">
        <is>
          <t>PARTLY READ — some of the code is still showing through; needs a hand pass</t>
        </is>
      </c>
      <c r="J633" s="3" t="inlineStr">
        <is>
          <t>1. email: string
2. password: string
3. onCodeReady?: (code: string) =&gt; void</t>
        </is>
      </c>
      <c r="K633" s="3" t="inlineStr">
        <is>
          <t>Promise&lt;</t>
        </is>
      </c>
      <c r="L633" s="3" t="inlineStr">
        <is>
          <t>—</t>
        </is>
      </c>
      <c r="M633" s="3" t="inlineStr">
        <is>
          <t>None found in this function — anything it assumes comes from the functions it depends on.</t>
        </is>
      </c>
      <c r="N633" s="3" t="inlineStr">
        <is>
          <t>Yes</t>
        </is>
      </c>
      <c r="O633" s="3" t="inlineStr">
        <is>
          <t>1. MK-XS-F-041 cacheDataKey
2. MK-XS-F-044 generateDataKey
3. MK-XS-F-045 generateRecoveryCode
4. MK-XS-F-046 makeEnvelope
5. MK-XS-F-060 registerUser
6. MK-XS-F-175 uid
7. MK-XS-F-047 unwrapWithPassword</t>
        </is>
      </c>
      <c r="P633" s="3" t="n">
        <v>218</v>
      </c>
      <c r="Q633"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MK-CF-F-218 moveOldRentFigure
28. MK-XS-F-122 n
29. MK-ST-F-043 newEntityId
30. MK-XS-F-006 pruneDaily
31. MK-ST-F-073 rebuildDays
32. MK-NW-F-054 reclassifyAccounts
33. MK-XS-F-174 recomputeBalances
34. MK-CF-F-115 restoreUndo
35. MK-CF-F-109 reviewTransactions
36. MK-ST-F-044 setMoneyFormat
37. MK-NW-O-004 theEmergencyFund
38. MK-CF-F-114 undoSnapshot
39. MK-CF-F-191 ym
40. MK-XS-F-053 decryptWithKey
41. MK-XS-F-138 deriveKeyFromSecret
42. MK-XS-F-052 encryptWithKey
43. MK-CF-F-138 addLot
44. MK-CF-F-136 bumpCash
45. MK-CF-F-137 findPos
46. MK-CF-F-139 removeShares
47. MK-PF-F-001 totalShares
48. MK-ST-F-052 toNum
49. MK-ST-F-053 money
50. MK-CF-F-085 filingStatusOf
51. MK-CF-F-097 grossFromNet
52. MK-CF-F-185 needsTakeHomeConversion
53. MK-CF-F-089 over65CountOf
54. MK-CF-F-037 inferDebtType
55. MK-CF-F-217 hasOldRentFigure
56. MK-CF-F-216 typed
57. MK-ST-F-069 amountOf
58. MK-CF-F-133 cashOf
59. MK-ST-F-066 isDayKey
60. MK-ST-F-070 isOpening
61. MK-ST-F-039 on
62. MK-ST-F-071 rebuildableFrom
63. MK-ST-F-068 stepDay
64. MK-ST-F-072 undo
65. MK-NW-F-053 correctClassOf
66. MK-NW-F-123 holdingNameEvidence
67. MK-NW-F-121 holdingTagClass
68. MK-NW-F-122 holdingTagFor
69. MK-PF-F-002 costBasis
70. MK-PF-F-009 latestClose
71. MK-PF-F-004 marketValue
72. MK-ST-F-030 record
73. MK-XS-F-024 resolveLens
74. MK-ST-F-055 round2
75. MK-CF-F-162 daysApart
76. MK-CF-F-108 isMoneyOut
77. MK-PL-F-074 median
78. MK-CF-F-131 normPayee
79. MK-CF-F-155 cash
80. MK-NW-F-016 cashTotal
81. MK-CF-F-010 emergencyTest
82. MK-CF-F-190 essentialsMonthly
83. MK-CF-O-004 incomeSummary
84. MK-CF-F-009 monthlyEssentials
85. MK-CF-F-022 paymentShape
86. MK-CF-F-002 plannedMonthlySpend
87. MK-NW-F-117 propertyUseMap
88. MK-ST-F-085 rentFigure
89. MK-CF-O-020 theBudgetCounted
90. MK-CF-F-113 affectedAccountIds
91. MK-XS-F-051 isEncrypted
92. MK-CF-F-134 usesSleeve
93. MK-ST-F-049 formatMoney
94. MK-CF-F-101 taxOwedFor
95. MK-ST-F-067 utcOfDay
96. MK-ST-F-035 covers
97. MK-NW-F-120 classEvidenceOf
98. MK-NW-F-008 incomeBearingClassOf
99. MK-PF-F-031 contractMultiplier
100. MK-PF-F-035 unknownFigure
101. MK-CF-F-072 currentRetirementIncomeMonthly
102. MK-NW-F-027 accountClassBreakdown
103. MK-NW-F-029 assetAllocation
104. MK-NW-F-011 assetClassOf
105. MK-CF-F-189 essentialsFromLoggedSpending
106. MK-CF-O-002 expenses
107. MK-CF-F-203 MONTH
108. MK-CF-O-001 basePay
109. MK-CF-F-069 benefitActiveMonths
110. MK-CF-F-173 earnerWages
111. MK-CF-F-179 entryFromWage
112. MK-CF-F-071 extraIncome
113. MK-CF-F-092 incomeMonthlyGrid
114. MK-CF-F-192 inflowLabel
115. MK-CF-F-103 marginalBracketFor
116. MK-CF-F-181 rateInForce
117. MK-CF-F-068 rentalNetAnnual
118. MK-CF-F-082 salaryAnnual
119. MK-CF-F-060 salaryGrossByMonth
120. MK-CF-F-084 taxableAnnual
121. MK-CF-F-120 pctBaseMonthly
122. MK-CF-F-004 spendBuckets
123. MK-CF-F-021 defaultPaymentType
124. MK-XS-F-027 takeHomeMonthly
125. MK-NW-F-116 rentedIdsOf
126. MK-NW-F-106 mortgagesByProperty
127. MK-NW-F-107 propertyUses
128. MK-ST-F-048 currencySymbol
129. MK-CF-F-100 taxableIncomeFor
130. MK-ST-F-034 firstDate
131. MK-NW-F-009 maturityClass
132. MK-ST-F-010 nameEvidence
133. MK-CF-F-075 retirementIncomeMonthly
134. MK-NW-F-109 holdingClassOf
135. MK-NW-F-067 plural
136. MK-CF-F-151 actualSpending
137. MK-CF-F-150 debtPaymentsCountedAsExpenses
138. MK-CF-F-153 radar
139. MK-CF-F-149 recurringDebtPayments
140. MK-CF-O-010 theMonth
141. MK-CF-F-171 earnerPay
142. MK-CF-F-204 line
143. MK-HM-F-006 money0
144. MK-CF-F-198 payrollTaxWithheld
145. MK-CF-F-172 hasWage
146. MK-CF-F-165 salaryMonths
147. MK-CF-F-070 benefitAnnual
148. MK-CF-F-065 equityVestWeights
149. MK-CF-F-206 householdK401ByMonth
150. MK-CF-F-087 monthlyTaxRates
151. MK-CF-F-073 otherIncomeMonth
152. MK-CF-F-066 rsuAnnual
153. MK-CF-F-077 scholarshipByCalendarMonth
154. MK-CF-F-088 taxableByCalendarMonth
155. MK-CF-F-177 wageGrossByMonth
156. MK-PL-F-012 waterfall
157. MK-CF-F-193 inflowSourceWord
158. MK-CF-F-180 enteredLandsAnnual
159. MK-CF-F-086 stateRateOf
160. MK-CF-F-067 rentalList
161. MK-CF-F-176 sumMonthsOverEarners
162. MK-CF-F-074 tipsAnnual
163. MK-CF-F-003 categoryMonthly
164. MK-CF-F-011 savingsByMonth
165. MK-NW-F-115 liveRent
166. MK-CF-F-023 requiredPayment
167. MK-ST-F-047 activeCurrency
168. MK-CF-F-099 deductionFor
169. MK-NW-F-124 maturityParts
170. MK-XS-F-147 call
171. MK-CF-F-148 inMonth
172. MK-CF-F-152 isRadarItem
173. MK-CF-O-003 thisMonth
174. MK-CF-F-143 annualisedGross
175. MK-CF-F-145 deductionsFromPay
176. MK-CF-F-128 grossByMonth
177. MK-CF-F-146 payFiguresAgree
178. MK-CF-F-144 takeHomeAsEntered
179. MK-XS-F-180 declareFigures
180. MK-HM-F-005 pctTxt
181. MK-CF-F-062 equityRowValue
182. MK-CF-F-090 effectiveRate
183. MK-CF-F-063 rowVestYear
184. MK-CF-F-130 enteredMonthlyRaw
185. MK-CF-F-166 hasMonthlySalaryTable
186. MK-ST-F-036 reconcile
187. MK-CF-F-167 salaryCalendarYear
188. MK-CF-F-081 salaryActiveMonths
189. MK-CF-F-008 spendByMonth
190. MK-NW-F-114 rentAmount
191. MK-CF-F-187 seniorDeductionFor
192. MK-XS-F-064 currentIdToken
193. MK-XS-F-112 relayUrl
194. MK-CF-F-005 actualMonthFlow
195. MK-CF-F-156 plannedMonthFlow
196. MK-CF-F-142 monthsOf
197. MK-CF-F-141 perMonth
198. MK-NW-F-078 ONE
199. MK-CF-F-157 debtPaymentsByDebt
200. MK-CF-F-140 periodsAYear
201. MK-NW-F-077 ALL
202. MK-NW-F-059 currentYield
203. MK-NW-O-001 theBonds
204. MK-NW-F-112 yearlyInterest
205. MK-NW-F-057 annualCoupon
206. MK-NW-F-056 bondInfo
207. MK-NW-F-064 bondRateSensitivity
208. MK-NW-F-061 bondSummary
209. MK-NW-F-055 isBond
210. MK-NW-F-072 rowOf
211. MK-NW-F-060 approxYTM
212. MK-NW-F-069 priceAtYield
213. MK-NW-F-131 pricedLikeBond
214. MK-NW-F-125 isPastMaturity
215. MK-NW-F-126 yearlyInterestNow
216. MK-NW-F-070 accruedInterestCaveat
217. MK-NW-F-058 yearsToMaturity
218. MK-NW-F-119 estimatedAccrued</t>
        </is>
      </c>
      <c r="R633"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633" s="3" t="inlineStr">
        <is>
          <t>—</t>
        </is>
      </c>
      <c r="T633" s="3" t="inlineStr">
        <is>
          <t>—</t>
        </is>
      </c>
      <c r="U633" s="3" t="inlineStr">
        <is>
          <t>ACTIVE</t>
        </is>
      </c>
      <c r="V633" s="3" t="inlineStr">
        <is>
          <t>2026-08-27</t>
        </is>
      </c>
      <c r="W633" s="3" t="n"/>
      <c r="X633" s="3" t="n"/>
      <c r="Y633" s="3" t="inlineStr">
        <is>
          <t>NOTHING OPEN</t>
        </is>
      </c>
    </row>
    <row r="634" ht="60" customHeight="1">
      <c r="A634" s="3" t="inlineStr">
        <is>
          <t>MK-XS-F-067</t>
        </is>
      </c>
      <c r="B634" s="3" t="inlineStr">
        <is>
          <t>restoreWithRecoveryCode</t>
        </is>
      </c>
      <c r="C634" s="3" t="inlineStr">
        <is>
          <t>src/services/firebase.ts</t>
        </is>
      </c>
      <c r="D634" s="3" t="n">
        <v>303</v>
      </c>
      <c r="E634" s="3" t="inlineStr">
        <is>
          <t>4 · BRINGS DATA IN</t>
        </is>
      </c>
      <c r="F634" s="3" t="inlineStr">
        <is>
          <t>After a password reset, restore data access with the recovery code, then re-lock the data under the NEW password.</t>
        </is>
      </c>
      <c r="G634" s="11" t="inlineStr">
        <is>
          <t>u = auth.current user
snap = await get doc(doc(db, 'users', uid))
env = (snap.data() as any).key envelope   if snap.exists()
undefined   otherwise
dek = unwrap with recovery(env, uid, recovery code)</t>
        </is>
      </c>
      <c r="H634" s="3" t="inlineStr">
        <is>
          <t>U is auth.current user. Snap is await get doc(doc(db, 'users', uid)). Env is (snap.data() as any).key envelope — when snap.exists(); undefined — otherwise. Dek is unwrap with recovery(env, uid, recovery code).</t>
        </is>
      </c>
      <c r="I634" s="3" t="inlineStr">
        <is>
          <t>PARTLY READ — some of the code is still showing through; needs a hand pass</t>
        </is>
      </c>
      <c r="J634" s="3" t="inlineStr">
        <is>
          <t>1. recoveryCode: string
2. newPassword: string</t>
        </is>
      </c>
      <c r="K634" s="3" t="inlineStr">
        <is>
          <t>Promise&lt;void&gt;</t>
        </is>
      </c>
      <c r="L634" s="3" t="inlineStr">
        <is>
          <t>—</t>
        </is>
      </c>
      <c r="M634" s="3" t="inlineStr">
        <is>
          <t>None found in this function — anything it assumes comes from the functions it depends on.</t>
        </is>
      </c>
      <c r="N634" s="3" t="inlineStr">
        <is>
          <t>Yes</t>
        </is>
      </c>
      <c r="O634" s="3" t="inlineStr">
        <is>
          <t>1. MK-XS-F-041 cacheDataKey
2. MK-XS-F-049 rewrapPassword
3. MK-XS-F-175 uid
4. MK-XS-F-048 unwrapWithRecovery</t>
        </is>
      </c>
      <c r="P634" s="3" t="n">
        <v>215</v>
      </c>
      <c r="Q634"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MK-CF-F-218 moveOldRentFigure
25. MK-XS-F-122 n
26. MK-ST-F-043 newEntityId
27. MK-XS-F-006 pruneDaily
28. MK-ST-F-073 rebuildDays
29. MK-NW-F-054 reclassifyAccounts
30. MK-XS-F-174 recomputeBalances
31. MK-CF-F-115 restoreUndo
32. MK-CF-F-109 reviewTransactions
33. MK-ST-F-044 setMoneyFormat
34. MK-NW-O-004 theEmergencyFund
35. MK-CF-F-114 undoSnapshot
36. MK-CF-F-191 ym
37. MK-XS-F-053 decryptWithKey
38. MK-XS-F-138 deriveKeyFromSecret
39. MK-XS-F-052 encryptWithKey
40. MK-CF-F-138 addLot
41. MK-CF-F-136 bumpCash
42. MK-CF-F-137 findPos
43. MK-CF-F-139 removeShares
44. MK-PF-F-001 totalShares
45. MK-ST-F-052 toNum
46. MK-ST-F-053 money
47. MK-CF-F-085 filingStatusOf
48. MK-CF-F-097 grossFromNet
49. MK-CF-F-185 needsTakeHomeConversion
50. MK-CF-F-089 over65CountOf
51. MK-CF-F-037 inferDebtType
52. MK-CF-F-217 hasOldRentFigure
53. MK-CF-F-216 typed
54. MK-ST-F-069 amountOf
55. MK-CF-F-133 cashOf
56. MK-ST-F-066 isDayKey
57. MK-ST-F-070 isOpening
58. MK-ST-F-039 on
59. MK-ST-F-071 rebuildableFrom
60. MK-ST-F-068 stepDay
61. MK-ST-F-072 undo
62. MK-NW-F-053 correctClassOf
63. MK-NW-F-123 holdingNameEvidence
64. MK-NW-F-121 holdingTagClass
65. MK-NW-F-122 holdingTagFor
66. MK-PF-F-002 costBasis
67. MK-PF-F-009 latestClose
68. MK-PF-F-004 marketValue
69. MK-ST-F-030 record
70. MK-XS-F-024 resolveLens
71. MK-ST-F-055 round2
72. MK-CF-F-162 daysApart
73. MK-CF-F-108 isMoneyOut
74. MK-PL-F-074 median
75. MK-CF-F-131 normPayee
76. MK-CF-F-155 cash
77. MK-NW-F-016 cashTotal
78. MK-CF-F-010 emergencyTest
79. MK-CF-F-190 essentialsMonthly
80. MK-CF-O-004 incomeSummary
81. MK-CF-F-009 monthlyEssentials
82. MK-CF-F-022 paymentShape
83. MK-CF-F-002 plannedMonthlySpend
84. MK-NW-F-117 propertyUseMap
85. MK-ST-F-085 rentFigure
86. MK-CF-O-020 theBudgetCounted
87. MK-CF-F-113 affectedAccountIds
88. MK-XS-F-051 isEncrypted
89. MK-CF-F-134 usesSleeve
90. MK-ST-F-049 formatMoney
91. MK-CF-F-101 taxOwedFor
92. MK-ST-F-067 utcOfDay
93. MK-ST-F-035 covers
94. MK-NW-F-120 classEvidenceOf
95. MK-NW-F-008 incomeBearingClassOf
96. MK-PF-F-031 contractMultiplier
97. MK-PF-F-035 unknownFigure
98. MK-CF-F-072 currentRetirementIncomeMonthly
99. MK-NW-F-027 accountClassBreakdown
100. MK-NW-F-029 assetAllocation
101. MK-NW-F-011 assetClassOf
102. MK-CF-F-189 essentialsFromLoggedSpending
103. MK-CF-O-002 expenses
104. MK-CF-F-203 MONTH
105. MK-CF-O-001 basePay
106. MK-CF-F-069 benefitActiveMonths
107. MK-CF-F-173 earnerWages
108. MK-CF-F-179 entryFromWage
109. MK-CF-F-071 extraIncome
110. MK-CF-F-092 incomeMonthlyGrid
111. MK-CF-F-192 inflowLabel
112. MK-CF-F-103 marginalBracketFor
113. MK-CF-F-181 rateInForce
114. MK-CF-F-068 rentalNetAnnual
115. MK-CF-F-082 salaryAnnual
116. MK-CF-F-060 salaryGrossByMonth
117. MK-CF-F-084 taxableAnnual
118. MK-CF-F-120 pctBaseMonthly
119. MK-CF-F-004 spendBuckets
120. MK-CF-F-021 defaultPaymentType
121. MK-XS-F-027 takeHomeMonthly
122. MK-NW-F-116 rentedIdsOf
123. MK-NW-F-106 mortgagesByProperty
124. MK-NW-F-107 propertyUses
125. MK-ST-F-048 currencySymbol
126. MK-CF-F-100 taxableIncomeFor
127. MK-ST-F-034 firstDate
128. MK-NW-F-009 maturityClass
129. MK-ST-F-010 nameEvidence
130. MK-CF-F-075 retirementIncomeMonthly
131. MK-NW-F-109 holdingClassOf
132. MK-NW-F-067 plural
133. MK-CF-F-151 actualSpending
134. MK-CF-F-150 debtPaymentsCountedAsExpenses
135. MK-CF-F-153 radar
136. MK-CF-F-149 recurringDebtPayments
137. MK-CF-O-010 theMonth
138. MK-CF-F-171 earnerPay
139. MK-CF-F-204 line
140. MK-HM-F-006 money0
141. MK-CF-F-198 payrollTaxWithheld
142. MK-CF-F-172 hasWage
143. MK-CF-F-165 salaryMonths
144. MK-CF-F-070 benefitAnnual
145. MK-CF-F-065 equityVestWeights
146. MK-CF-F-206 householdK401ByMonth
147. MK-CF-F-087 monthlyTaxRates
148. MK-CF-F-073 otherIncomeMonth
149. MK-CF-F-066 rsuAnnual
150. MK-CF-F-077 scholarshipByCalendarMonth
151. MK-CF-F-088 taxableByCalendarMonth
152. MK-CF-F-177 wageGrossByMonth
153. MK-PL-F-012 waterfall
154. MK-CF-F-193 inflowSourceWord
155. MK-CF-F-180 enteredLandsAnnual
156. MK-CF-F-086 stateRateOf
157. MK-CF-F-067 rentalList
158. MK-CF-F-176 sumMonthsOverEarners
159. MK-CF-F-074 tipsAnnual
160. MK-CF-F-003 categoryMonthly
161. MK-CF-F-011 savingsByMonth
162. MK-NW-F-115 liveRent
163. MK-CF-F-023 requiredPayment
164. MK-ST-F-047 activeCurrency
165. MK-CF-F-099 deductionFor
166. MK-NW-F-124 maturityParts
167. MK-XS-F-147 call
168. MK-CF-F-148 inMonth
169. MK-CF-F-152 isRadarItem
170. MK-CF-O-003 thisMonth
171. MK-CF-F-143 annualisedGross
172. MK-CF-F-145 deductionsFromPay
173. MK-CF-F-128 grossByMonth
174. MK-CF-F-146 payFiguresAgree
175. MK-CF-F-144 takeHomeAsEntered
176. MK-XS-F-180 declareFigures
177. MK-HM-F-005 pctTxt
178. MK-CF-F-062 equityRowValue
179. MK-CF-F-090 effectiveRate
180. MK-CF-F-063 rowVestYear
181. MK-CF-F-130 enteredMonthlyRaw
182. MK-CF-F-166 hasMonthlySalaryTable
183. MK-ST-F-036 reconcile
184. MK-CF-F-167 salaryCalendarYear
185. MK-CF-F-081 salaryActiveMonths
186. MK-CF-F-008 spendByMonth
187. MK-NW-F-114 rentAmount
188. MK-CF-F-187 seniorDeductionFor
189. MK-XS-F-064 currentIdToken
190. MK-XS-F-112 relayUrl
191. MK-CF-F-005 actualMonthFlow
192. MK-CF-F-156 plannedMonthFlow
193. MK-CF-F-142 monthsOf
194. MK-CF-F-141 perMonth
195. MK-NW-F-078 ONE
196. MK-CF-F-157 debtPaymentsByDebt
197. MK-CF-F-140 periodsAYear
198. MK-NW-F-077 ALL
199. MK-NW-F-059 currentYield
200. MK-NW-O-001 theBonds
201. MK-NW-F-112 yearlyInterest
202. MK-NW-F-057 annualCoupon
203. MK-NW-F-056 bondInfo
204. MK-NW-F-064 bondRateSensitivity
205. MK-NW-F-061 bondSummary
206. MK-NW-F-055 isBond
207. MK-NW-F-072 rowOf
208. MK-NW-F-060 approxYTM
209. MK-NW-F-069 priceAtYield
210. MK-NW-F-131 pricedLikeBond
211. MK-NW-F-125 isPastMaturity
212. MK-NW-F-126 yearlyInterestNow
213. MK-NW-F-070 accruedInterestCaveat
214. MK-NW-F-058 yearsToMaturity
215. MK-NW-F-119 estimatedAccrued</t>
        </is>
      </c>
      <c r="R634"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634" s="3" t="inlineStr">
        <is>
          <t>—</t>
        </is>
      </c>
      <c r="T634" s="3" t="inlineStr">
        <is>
          <t>—</t>
        </is>
      </c>
      <c r="U634" s="3" t="inlineStr">
        <is>
          <t>ACTIVE</t>
        </is>
      </c>
      <c r="V634" s="3" t="inlineStr">
        <is>
          <t>2026-08-27</t>
        </is>
      </c>
      <c r="W634" s="3" t="n"/>
      <c r="X634" s="3" t="n"/>
      <c r="Y634" s="3" t="inlineStr">
        <is>
          <t>NOTHING OPEN</t>
        </is>
      </c>
    </row>
    <row r="635" ht="60" customHeight="1">
      <c r="A635" s="3" t="inlineStr">
        <is>
          <t>MK-XS-F-068</t>
        </is>
      </c>
      <c r="B635" s="3" t="inlineStr">
        <is>
          <t>regenerateRecoveryCode</t>
        </is>
      </c>
      <c r="C635" s="3" t="inlineStr">
        <is>
          <t>src/services/firebase.ts</t>
        </is>
      </c>
      <c r="D635" s="3" t="n">
        <v>338</v>
      </c>
      <c r="E635" s="3" t="inlineStr">
        <is>
          <t>4 · BRINGS DATA IN</t>
        </is>
      </c>
      <c r="F635" s="3" t="inlineStr">
        <is>
          <t>Issue a NEW recovery code for the signed-in user (the old one stops working).</t>
        </is>
      </c>
      <c r="G635" s="11" t="inlineStr">
        <is>
          <t>u = auth.current user
dek = await get data key()
snap = await get doc(doc(db, 'users', uid))
env = snap.exists() and (snap.data() as any).key envelope (or p = ''
r = '' when missing or zero)
recovery code = generate recovery code()
the answer = recovery code</t>
        </is>
      </c>
      <c r="H635" s="3" t="inlineStr">
        <is>
          <t>U is auth.current user. Dek is await get data key(). Snap is await get doc(doc(db, 'users', uid)). Env is snap.exists() and (snap.data() as any).key envelope (or p = ''; r = '' — when missing or zero). Recovery code is generate recovery code(). The answer is recovery code.</t>
        </is>
      </c>
      <c r="I635" s="3" t="inlineStr">
        <is>
          <t>PARTLY READ — some of the code is still showing through; needs a hand pass</t>
        </is>
      </c>
      <c r="J635" s="3" t="inlineStr">
        <is>
          <t>Nothing is handed to it</t>
        </is>
      </c>
      <c r="K635" s="3" t="inlineStr">
        <is>
          <t>Promise&lt;string&gt;</t>
        </is>
      </c>
      <c r="L635" s="3" t="inlineStr">
        <is>
          <t>—</t>
        </is>
      </c>
      <c r="M635" s="3" t="inlineStr">
        <is>
          <t>None found in this function — anything it assumes comes from the functions it depends on.</t>
        </is>
      </c>
      <c r="N635" s="3" t="inlineStr">
        <is>
          <t>Yes</t>
        </is>
      </c>
      <c r="O635" s="3" t="inlineStr">
        <is>
          <t>1. MK-XS-F-045 generateRecoveryCode
2. MK-XS-F-042 getDataKey
3. MK-XS-F-050 rewrapRecovery
4. MK-XS-F-175 uid</t>
        </is>
      </c>
      <c r="P635" s="3" t="n">
        <v>213</v>
      </c>
      <c r="Q635"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MK-CF-F-218 moveOldRentFigure
25. MK-XS-F-122 n
26. MK-ST-F-043 newEntityId
27. MK-XS-F-006 pruneDaily
28. MK-ST-F-073 rebuildDays
29. MK-NW-F-054 reclassifyAccounts
30. MK-XS-F-174 recomputeBalances
31. MK-CF-F-115 restoreUndo
32. MK-CF-F-109 reviewTransactions
33. MK-ST-F-044 setMoneyFormat
34. MK-NW-O-004 theEmergencyFund
35. MK-CF-F-114 undoSnapshot
36. MK-CF-F-191 ym
37. MK-XS-F-138 deriveKeyFromSecret
38. MK-XS-F-052 encryptWithKey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MK-CF-F-217 hasOldRentFigure
52. MK-CF-F-216 typed
53. MK-ST-F-069 amountOf
54. MK-CF-F-133 cashOf
55. MK-ST-F-066 isDayKey
56. MK-ST-F-070 isOpening
57. MK-ST-F-039 on
58. MK-ST-F-071 rebuildableFrom
59. MK-ST-F-068 stepDay
60. MK-ST-F-072 undo
61. MK-NW-F-053 correctClassOf
62. MK-NW-F-123 holdingNameEvidence
63. MK-NW-F-121 holdingTagClass
64. MK-NW-F-122 holdingTagFor
65. MK-PF-F-002 costBasis
66. MK-PF-F-009 latestClose
67. MK-PF-F-004 marketValue
68. MK-ST-F-030 record
69. MK-XS-F-024 resolveLens
70. MK-ST-F-055 round2
71. MK-CF-F-162 daysApart
72. MK-CF-F-108 isMoneyOut
73. MK-PL-F-074 median
74. MK-CF-F-131 normPayee
75. MK-CF-F-155 cash
76. MK-NW-F-016 cashTotal
77. MK-CF-F-010 emergencyTest
78. MK-CF-F-190 essentialsMonthly
79. MK-CF-O-004 incomeSummary
80. MK-CF-F-009 monthlyEssentials
81. MK-CF-F-022 paymentShape
82. MK-CF-F-002 plannedMonthlySpend
83. MK-NW-F-117 propertyUseMap
84. MK-ST-F-085 rentFigure
85. MK-CF-O-020 theBudgetCounted
86. MK-CF-F-113 affectedAccountIds
87. MK-CF-F-134 usesSleeve
88. MK-ST-F-049 formatMoney
89. MK-CF-F-101 taxOwedFor
90. MK-ST-F-067 utcOfDay
91. MK-ST-F-035 covers
92. MK-NW-F-120 classEvidenceOf
93. MK-NW-F-008 incomeBearingClassOf
94. MK-PF-F-031 contractMultiplier
95. MK-PF-F-035 unknownFigure
96. MK-CF-F-072 currentRetirementIncomeMonthly
97. MK-NW-F-027 accountClassBreakdown
98. MK-NW-F-029 assetAllocation
99. MK-NW-F-011 assetClassOf
100. MK-CF-F-189 essentialsFromLoggedSpending
101. MK-CF-O-002 expenses
102. MK-CF-F-203 MONTH
103. MK-CF-O-001 basePay
104. MK-CF-F-069 benefitActiveMonths
105. MK-CF-F-173 earnerWages
106. MK-CF-F-179 entryFromWage
107. MK-CF-F-071 extraIncome
108. MK-CF-F-092 incomeMonthlyGrid
109. MK-CF-F-192 inflowLabel
110. MK-CF-F-103 marginalBracketFor
111. MK-CF-F-181 rateInForce
112. MK-CF-F-068 rentalNetAnnual
113. MK-CF-F-082 salaryAnnual
114. MK-CF-F-060 salaryGrossByMonth
115. MK-CF-F-084 taxableAnnual
116. MK-CF-F-120 pctBaseMonthly
117. MK-CF-F-004 spendBuckets
118. MK-CF-F-021 defaultPaymentType
119. MK-XS-F-027 takeHomeMonthly
120. MK-NW-F-116 rentedIdsOf
121. MK-NW-F-106 mortgagesByProperty
122. MK-NW-F-107 propertyUses
123. MK-ST-F-048 currencySymbol
124. MK-CF-F-100 taxableIncomeFor
125. MK-ST-F-034 firstDate
126. MK-NW-F-009 maturityClass
127. MK-ST-F-010 nameEvidence
128. MK-CF-F-075 retirementIncomeMonthly
129. MK-NW-F-109 holdingClassOf
130. MK-NW-F-067 plural
131. MK-CF-F-151 actualSpending
132. MK-CF-F-150 debtPaymentsCountedAsExpenses
133. MK-CF-F-153 radar
134. MK-CF-F-149 recurringDebtPayments
135. MK-CF-O-010 theMonth
136. MK-CF-F-171 earnerPay
137. MK-CF-F-204 line
138. MK-HM-F-006 money0
139. MK-CF-F-198 payrollTaxWithheld
140. MK-CF-F-172 hasWage
141. MK-CF-F-165 salaryMonths
142. MK-CF-F-070 benefitAnnual
143. MK-CF-F-065 equityVestWeights
144. MK-CF-F-206 householdK401ByMonth
145. MK-CF-F-087 monthlyTaxRates
146. MK-CF-F-073 otherIncomeMonth
147. MK-CF-F-066 rsuAnnual
148. MK-CF-F-077 scholarshipByCalendarMonth
149. MK-CF-F-088 taxableByCalendarMonth
150. MK-CF-F-177 wageGrossByMonth
151. MK-PL-F-012 waterfall
152. MK-CF-F-193 inflowSourceWord
153. MK-CF-F-180 enteredLandsAnnual
154. MK-CF-F-086 stateRateOf
155. MK-CF-F-067 rentalList
156. MK-CF-F-176 sumMonthsOverEarners
157. MK-CF-F-074 tipsAnnual
158. MK-CF-F-003 categoryMonthly
159. MK-CF-F-011 savingsByMonth
160. MK-NW-F-115 liveRent
161. MK-CF-F-023 requiredPayment
162. MK-ST-F-047 activeCurrency
163. MK-CF-F-099 deductionFor
164. MK-NW-F-124 maturityParts
165. MK-XS-F-147 call
166. MK-CF-F-148 inMonth
167. MK-CF-F-152 isRadarItem
168. MK-CF-O-003 thisMonth
169. MK-CF-F-143 annualisedGross
170. MK-CF-F-145 deductionsFromPay
171. MK-CF-F-128 grossByMonth
172. MK-CF-F-146 payFiguresAgree
173. MK-CF-F-144 takeHomeAsEntered
174. MK-XS-F-180 declareFigures
175. MK-HM-F-005 pctTxt
176. MK-CF-F-062 equityRowValue
177. MK-CF-F-090 effectiveRate
178. MK-CF-F-063 rowVestYear
179. MK-CF-F-130 enteredMonthlyRaw
180. MK-CF-F-166 hasMonthlySalaryTable
181. MK-ST-F-036 reconcile
182. MK-CF-F-167 salaryCalendarYear
183. MK-CF-F-081 salaryActiveMonths
184. MK-CF-F-008 spendByMonth
185. MK-NW-F-114 rentAmount
186. MK-CF-F-187 seniorDeductionFor
187. MK-XS-F-064 currentIdToken
188. MK-XS-F-112 relayUrl
189. MK-CF-F-005 actualMonthFlow
190. MK-CF-F-156 plannedMonthFlow
191. MK-CF-F-142 monthsOf
192. MK-CF-F-141 perMonth
193. MK-NW-F-078 ONE
194. MK-CF-F-157 debtPaymentsByDebt
195. MK-CF-F-140 periodsAYear
196. MK-NW-F-077 ALL
197. MK-NW-F-059 currentYield
198. MK-NW-O-001 theBonds
199. MK-NW-F-112 yearlyInterest
200. MK-NW-F-057 annualCoupon
201. MK-NW-F-056 bondInfo
202. MK-NW-F-064 bondRateSensitivity
203. MK-NW-F-061 bondSummary
204. MK-NW-F-055 isBond
205. MK-NW-F-072 rowOf
206. MK-NW-F-060 approxYTM
207. MK-NW-F-069 priceAtYield
208. MK-NW-F-131 pricedLikeBond
209. MK-NW-F-125 isPastMaturity
210. MK-NW-F-126 yearlyInterestNow
211. MK-NW-F-070 accruedInterestCaveat
212. MK-NW-F-058 yearsToMaturity
213. MK-NW-F-119 estimatedAccrued</t>
        </is>
      </c>
      <c r="R635"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635" s="3" t="inlineStr">
        <is>
          <t>—</t>
        </is>
      </c>
      <c r="T635" s="3" t="inlineStr">
        <is>
          <t>—</t>
        </is>
      </c>
      <c r="U635" s="3" t="inlineStr">
        <is>
          <t>ACTIVE</t>
        </is>
      </c>
      <c r="V635" s="3" t="inlineStr">
        <is>
          <t>2026-08-27</t>
        </is>
      </c>
      <c r="W635" s="3" t="n"/>
      <c r="X635" s="3" t="n"/>
      <c r="Y635" s="3" t="inlineStr">
        <is>
          <t>NOTHING OPEN</t>
        </is>
      </c>
    </row>
    <row r="636" ht="60" customHeight="1">
      <c r="A636" s="3" t="inlineStr">
        <is>
          <t>MK-XS-F-069</t>
        </is>
      </c>
      <c r="B636" s="3" t="inlineStr">
        <is>
          <t>logoutUser</t>
        </is>
      </c>
      <c r="C636" s="3" t="inlineStr">
        <is>
          <t>src/services/firebase.ts</t>
        </is>
      </c>
      <c r="D636" s="3" t="n">
        <v>365</v>
      </c>
      <c r="E636" s="3" t="inlineStr">
        <is>
          <t>1 · ACTION</t>
        </is>
      </c>
      <c r="F636" s="3" t="inlineStr">
        <is>
          <t>NOT DETERMINED — the code carries no note saying what this is for, and it has no row in the old inventory. Needs reading.</t>
        </is>
      </c>
      <c r="G636" s="11" t="inlineStr">
        <is>
          <t>clears the data key, then signs out</t>
        </is>
      </c>
      <c r="H636" s="3" t="inlineStr">
        <is>
          <t>Forgets the decryption key and signs the person out. Not a calculation.</t>
        </is>
      </c>
      <c r="I636" s="3" t="inlineStr">
        <is>
          <t>READ BY HAND 2026-08-26 — checked line by line against the code</t>
        </is>
      </c>
      <c r="J636" s="3" t="inlineStr">
        <is>
          <t>Nothing is handed to it</t>
        </is>
      </c>
      <c r="K636" s="3" t="inlineStr">
        <is>
          <t>NOT DECLARED — the code does not say what it gives back</t>
        </is>
      </c>
      <c r="L636" s="3" t="inlineStr">
        <is>
          <t>—</t>
        </is>
      </c>
      <c r="M636" s="3" t="inlineStr">
        <is>
          <t>None found in this function — anything it assumes comes from the functions it depends on.</t>
        </is>
      </c>
      <c r="N636" s="3" t="inlineStr">
        <is>
          <t>Yes</t>
        </is>
      </c>
      <c r="O636" s="3" t="inlineStr">
        <is>
          <t>MK-XS-F-043 clearDataKey</t>
        </is>
      </c>
      <c r="P636" s="3" t="n">
        <v>2</v>
      </c>
      <c r="Q636" s="3" t="inlineStr">
        <is>
          <t>1. MK-XS-F-043 clearDataKey
2. MK-XS-F-137 secureDelete</t>
        </is>
      </c>
      <c r="R636" s="3" t="inlineStr">
        <is>
          <t>MK-XS-F-137 secureDelete → MK-XS-F-043 clearDataKey → MK-XS-F-069 logoutUser</t>
        </is>
      </c>
      <c r="S636" s="3" t="inlineStr">
        <is>
          <t>—</t>
        </is>
      </c>
      <c r="T636" s="3" t="inlineStr">
        <is>
          <t>—</t>
        </is>
      </c>
      <c r="U636" s="3" t="inlineStr">
        <is>
          <t>ACTIVE</t>
        </is>
      </c>
      <c r="V636" s="3" t="inlineStr">
        <is>
          <t>2026-09-12</t>
        </is>
      </c>
      <c r="W636" s="3" t="n"/>
      <c r="X636" s="3" t="n"/>
      <c r="Y636" s="3" t="inlineStr">
        <is>
          <t>NOTHING OPEN</t>
        </is>
      </c>
    </row>
    <row r="637" ht="60" customHeight="1">
      <c r="A637" s="3" t="inlineStr">
        <is>
          <t>MK-XS-F-070</t>
        </is>
      </c>
      <c r="B637" s="3" t="inlineStr">
        <is>
          <t>resetPassword</t>
        </is>
      </c>
      <c r="C637" s="3" t="inlineStr">
        <is>
          <t>src/services/firebase.ts</t>
        </is>
      </c>
      <c r="D637" s="3" t="n">
        <v>385</v>
      </c>
      <c r="E637" s="3" t="inlineStr">
        <is>
          <t>1 · ACTION</t>
        </is>
      </c>
      <c r="F637" s="3" t="inlineStr">
        <is>
          <t>NOT DETERMINED — the code carries no note saying what this is for, and it has no row in the old inventory. Needs reading.</t>
        </is>
      </c>
      <c r="G637" s="11" t="inlineStr">
        <is>
          <t>sends a password-reset e-mail to the address</t>
        </is>
      </c>
      <c r="H637" s="3" t="inlineStr">
        <is>
          <t>Sends the password-reset e-mail. Not a calculation.</t>
        </is>
      </c>
      <c r="I637" s="3" t="inlineStr">
        <is>
          <t>READ BY HAND 2026-08-26 — checked line by line against the code</t>
        </is>
      </c>
      <c r="J637" s="3" t="inlineStr">
        <is>
          <t>email: string</t>
        </is>
      </c>
      <c r="K637" s="3" t="inlineStr">
        <is>
          <t>NOT DECLARED — the code does not say what it gives back</t>
        </is>
      </c>
      <c r="L637" s="3" t="inlineStr">
        <is>
          <t>—</t>
        </is>
      </c>
      <c r="M637" s="3" t="inlineStr">
        <is>
          <t>None found in this function — anything it assumes comes from the functions it depends on.</t>
        </is>
      </c>
      <c r="N637" s="3" t="inlineStr">
        <is>
          <t>Yes</t>
        </is>
      </c>
      <c r="O637" s="3" t="inlineStr">
        <is>
          <t>—</t>
        </is>
      </c>
      <c r="P637" s="3" t="n">
        <v>0</v>
      </c>
      <c r="Q637" s="3" t="inlineStr">
        <is>
          <t>None — no dependent function stands behind it</t>
        </is>
      </c>
      <c r="R637" s="3" t="inlineStr">
        <is>
          <t>No dependent function — it reads its inputs and answers</t>
        </is>
      </c>
      <c r="S637" s="3" t="inlineStr">
        <is>
          <t>—</t>
        </is>
      </c>
      <c r="T637" s="3" t="inlineStr">
        <is>
          <t>—</t>
        </is>
      </c>
      <c r="U637" s="3" t="inlineStr">
        <is>
          <t>ACTIVE</t>
        </is>
      </c>
      <c r="V637" s="3" t="inlineStr">
        <is>
          <t>2026-09-12</t>
        </is>
      </c>
      <c r="W637" s="3" t="n"/>
      <c r="X637" s="3" t="n"/>
      <c r="Y637" s="3" t="inlineStr">
        <is>
          <t>NOTHING OPEN</t>
        </is>
      </c>
    </row>
    <row r="638" ht="60" customHeight="1">
      <c r="A638" s="3" t="inlineStr">
        <is>
          <t>MK-XS-F-071</t>
        </is>
      </c>
      <c r="B638" s="3" t="inlineStr">
        <is>
          <t>onAuthChange</t>
        </is>
      </c>
      <c r="C638" s="3" t="inlineStr">
        <is>
          <t>src/services/firebase.ts</t>
        </is>
      </c>
      <c r="D638" s="3" t="n">
        <v>404</v>
      </c>
      <c r="E638" s="3" t="inlineStr">
        <is>
          <t>2 · DISPLAYED</t>
        </is>
      </c>
      <c r="F638" s="3" t="inlineStr">
        <is>
          <t>NOT DETERMINED — the code carries no note saying what this is for, and it has no row in the old inventory. Needs reading.</t>
        </is>
      </c>
      <c r="G638" s="11" t="inlineStr">
        <is>
          <t>on auth state changed(auth, callback)</t>
        </is>
      </c>
      <c r="H638" s="3" t="inlineStr">
        <is>
          <t>on auth state changed(auth, callback).</t>
        </is>
      </c>
      <c r="I638" s="3" t="inlineStr">
        <is>
          <t>READ FROM THE CODE — rendered from the expressions the function runs</t>
        </is>
      </c>
      <c r="J638" s="3" t="inlineStr">
        <is>
          <t>callback: (user: any) =&gt; void</t>
        </is>
      </c>
      <c r="K638" s="3" t="inlineStr">
        <is>
          <t>NOT DECLARED — the code does not say what it gives back</t>
        </is>
      </c>
      <c r="L638" s="3" t="inlineStr">
        <is>
          <t>NOT FOUND — a screen calls it, but the words printed beside its answer could not be traced automatically. Needs reading.</t>
        </is>
      </c>
      <c r="M638" s="3" t="inlineStr">
        <is>
          <t>None found in this function — anything it assumes comes from the functions it depends on.</t>
        </is>
      </c>
      <c r="N638" s="3" t="inlineStr">
        <is>
          <t>Yes</t>
        </is>
      </c>
      <c r="O638" s="3" t="inlineStr">
        <is>
          <t>—</t>
        </is>
      </c>
      <c r="P638" s="3" t="n">
        <v>0</v>
      </c>
      <c r="Q638" s="3" t="inlineStr">
        <is>
          <t>None — no dependent function stands behind it</t>
        </is>
      </c>
      <c r="R638" s="3" t="inlineStr">
        <is>
          <t>No dependent function — it reads its inputs and answers</t>
        </is>
      </c>
      <c r="S638" s="3" t="inlineStr">
        <is>
          <t>—</t>
        </is>
      </c>
      <c r="T638" s="3" t="inlineStr">
        <is>
          <t>—</t>
        </is>
      </c>
      <c r="U638" s="3" t="inlineStr">
        <is>
          <t>ACTIVE</t>
        </is>
      </c>
      <c r="V638" s="3" t="inlineStr">
        <is>
          <t>2026-08-27</t>
        </is>
      </c>
      <c r="W638" s="3" t="n"/>
      <c r="X638" s="3" t="n"/>
      <c r="Y638" s="3" t="inlineStr">
        <is>
          <t>NOTHING OPEN</t>
        </is>
      </c>
    </row>
    <row r="639" ht="60" customHeight="1">
      <c r="A639" s="3" t="inlineStr">
        <is>
          <t>MK-XS-F-072</t>
        </is>
      </c>
      <c r="B639" s="3" t="inlineStr">
        <is>
          <t>deleteAccount</t>
        </is>
      </c>
      <c r="C639" s="3" t="inlineStr">
        <is>
          <t>src/services/firebase.ts</t>
        </is>
      </c>
      <c r="D639" s="3" t="n">
        <v>429</v>
      </c>
      <c r="E639" s="3" t="inlineStr">
        <is>
          <t>1 · ACTION</t>
        </is>
      </c>
      <c r="F639" s="3" t="inlineStr">
        <is>
          <t>Permanently delete the signed-in user's account (App Store Guideline 5.1.1(v)).</t>
        </is>
      </c>
      <c r="G639" s="11" t="inlineStr">
        <is>
          <t>u = auth.current user
cred = email auth provider.credential(email, password)
root = await load user root(uid)</t>
        </is>
      </c>
      <c r="H639" s="3" t="inlineStr">
        <is>
          <t>U is auth.current user. Cred is email auth provider.credential(email, password). Root is await load user root(uid).</t>
        </is>
      </c>
      <c r="I639" s="3" t="inlineStr">
        <is>
          <t>PARTLY READ — some of the code is still showing through; needs a hand pass</t>
        </is>
      </c>
      <c r="J639" s="3" t="inlineStr">
        <is>
          <t>password: string</t>
        </is>
      </c>
      <c r="K639" s="3" t="inlineStr">
        <is>
          <t>Promise&lt;void&gt;</t>
        </is>
      </c>
      <c r="L639" s="3" t="inlineStr">
        <is>
          <t>—</t>
        </is>
      </c>
      <c r="M639" s="3" t="inlineStr">
        <is>
          <t>None found in this function — anything it assumes comes from the functions it depends on.</t>
        </is>
      </c>
      <c r="N639" s="3" t="inlineStr">
        <is>
          <t>Yes</t>
        </is>
      </c>
      <c r="O639" s="3" t="inlineStr">
        <is>
          <t>1. MK-XS-F-035 authenticate
2. MK-XS-F-043 clearDataKey
3. MK-XS-F-079 loadUserRoot
4. MK-XS-F-175 uid</t>
        </is>
      </c>
      <c r="P639" s="3" t="n">
        <v>216</v>
      </c>
      <c r="Q639"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MK-CF-F-218 moveOldRentFigure
26. MK-XS-F-122 n
27. MK-ST-F-043 newEntityId
28. MK-XS-F-006 pruneDaily
29. MK-ST-F-073 rebuildDays
30. MK-NW-F-054 reclassifyAccounts
31. MK-XS-F-174 recomputeBalances
32. MK-CF-F-115 restoreUndo
33. MK-CF-F-109 reviewTransactions
34. MK-ST-F-044 setMoneyFormat
35. MK-NW-O-004 theEmergencyFund
36. MK-CF-F-114 undoSnapshot
37. MK-CF-F-191 ym
38. MK-XS-F-053 decryptWithKey
39. MK-XS-F-042 getDataKey
40. MK-XS-F-051 isEncrypted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MK-CF-F-217 hasOldRentFigure
54. MK-CF-F-216 typed
55. MK-ST-F-069 amountOf
56. MK-CF-F-133 cashOf
57. MK-ST-F-066 isDayKey
58. MK-ST-F-070 isOpening
59. MK-ST-F-039 on
60. MK-ST-F-071 rebuildableFrom
61. MK-ST-F-068 stepDay
62. MK-ST-F-072 undo
63. MK-NW-F-053 correctClassOf
64. MK-NW-F-123 holdingNameEvidence
65. MK-NW-F-121 holdingTagClass
66. MK-NW-F-122 holdingTagFor
67. MK-PF-F-002 costBasis
68. MK-PF-F-009 latestClose
69. MK-PF-F-004 marketValue
70. MK-ST-F-030 record
71. MK-XS-F-024 resolveLens
72. MK-ST-F-055 round2
73. MK-CF-F-162 daysApart
74. MK-CF-F-108 isMoneyOut
75. MK-PL-F-074 median
76. MK-CF-F-131 normPayee
77. MK-CF-F-155 cash
78. MK-NW-F-016 cashTotal
79. MK-CF-F-010 emergencyTest
80. MK-CF-F-190 essentialsMonthly
81. MK-CF-O-004 incomeSummary
82. MK-CF-F-009 monthlyEssentials
83. MK-CF-F-022 paymentShape
84. MK-CF-F-002 plannedMonthlySpend
85. MK-NW-F-117 propertyUseMap
86. MK-ST-F-085 rentFigure
87. MK-CF-O-020 theBudgetCounted
88. MK-CF-F-113 affectedAccountIds
89. MK-XS-F-135 secureGet
90. MK-CF-F-134 usesSleeve
91. MK-ST-F-049 formatMoney
92. MK-CF-F-101 taxOwedFor
93. MK-ST-F-067 utcOfDay
94. MK-ST-F-035 covers
95. MK-NW-F-120 classEvidenceOf
96. MK-NW-F-008 incomeBearingClassOf
97. MK-PF-F-031 contractMultiplier
98. MK-PF-F-035 unknownFigure
99. MK-CF-F-072 currentRetirementIncomeMonthly
100. MK-NW-F-027 accountClassBreakdown
101. MK-NW-F-029 assetAllocation
102. MK-NW-F-011 assetClassOf
103. MK-CF-F-189 essentialsFromLoggedSpending
104. MK-CF-O-002 expenses
105. MK-CF-F-203 MONTH
106. MK-CF-O-001 basePay
107. MK-CF-F-069 benefitActiveMonths
108. MK-CF-F-173 earnerWages
109. MK-CF-F-179 entryFromWage
110. MK-CF-F-071 extraIncome
111. MK-CF-F-092 incomeMonthlyGrid
112. MK-CF-F-192 inflowLabel
113. MK-CF-F-103 marginalBracketFor
114. MK-CF-F-181 rateInForce
115. MK-CF-F-068 rentalNetAnnual
116. MK-CF-F-082 salaryAnnual
117. MK-CF-F-060 salaryGrossByMonth
118. MK-CF-F-084 taxableAnnual
119. MK-CF-F-120 pctBaseMonthly
120. MK-CF-F-004 spendBuckets
121. MK-CF-F-021 defaultPaymentType
122. MK-XS-F-027 takeHomeMonthly
123. MK-NW-F-116 rentedIdsOf
124. MK-NW-F-106 mortgagesByProperty
125. MK-NW-F-107 propertyUses
126. MK-ST-F-048 currencySymbol
127. MK-CF-F-100 taxableIncomeFor
128. MK-ST-F-034 firstDate
129. MK-NW-F-009 maturityClass
130. MK-ST-F-010 nameEvidence
131. MK-CF-F-075 retirementIncomeMonthly
132. MK-NW-F-109 holdingClassOf
133. MK-NW-F-067 plural
134. MK-CF-F-151 actualSpending
135. MK-CF-F-150 debtPaymentsCountedAsExpenses
136. MK-CF-F-153 radar
137. MK-CF-F-149 recurringDebtPayments
138. MK-CF-O-010 theMonth
139. MK-CF-F-171 earnerPay
140. MK-CF-F-204 line
141. MK-HM-F-006 money0
142. MK-CF-F-198 payrollTaxWithheld
143. MK-CF-F-172 hasWage
144. MK-CF-F-165 salaryMonths
145. MK-CF-F-070 benefitAnnual
146. MK-CF-F-065 equityVestWeights
147. MK-CF-F-206 householdK401ByMonth
148. MK-CF-F-087 monthlyTaxRates
149. MK-CF-F-073 otherIncomeMonth
150. MK-CF-F-066 rsuAnnual
151. MK-CF-F-077 scholarshipByCalendarMonth
152. MK-CF-F-088 taxableByCalendarMonth
153. MK-CF-F-177 wageGrossByMonth
154. MK-PL-F-012 waterfall
155. MK-CF-F-193 inflowSourceWord
156. MK-CF-F-180 enteredLandsAnnual
157. MK-CF-F-086 stateRateOf
158. MK-CF-F-067 rentalList
159. MK-CF-F-176 sumMonthsOverEarners
160. MK-CF-F-074 tipsAnnual
161. MK-CF-F-003 categoryMonthly
162. MK-CF-F-011 savingsByMonth
163. MK-NW-F-115 liveRent
164. MK-CF-F-023 requiredPayment
165. MK-ST-F-047 activeCurrency
166. MK-CF-F-099 deductionFor
167. MK-NW-F-124 maturityParts
168. MK-XS-F-147 call
169. MK-CF-F-148 inMonth
170. MK-CF-F-152 isRadarItem
171. MK-CF-O-003 thisMonth
172. MK-CF-F-143 annualisedGross
173. MK-CF-F-145 deductionsFromPay
174. MK-CF-F-128 grossByMonth
175. MK-CF-F-146 payFiguresAgree
176. MK-CF-F-144 takeHomeAsEntered
177. MK-XS-F-180 declareFigures
178. MK-HM-F-005 pctTxt
179. MK-CF-F-062 equityRowValue
180. MK-CF-F-090 effectiveRate
181. MK-CF-F-063 rowVestYear
182. MK-CF-F-130 enteredMonthlyRaw
183. MK-CF-F-166 hasMonthlySalaryTable
184. MK-ST-F-036 reconcile
185. MK-CF-F-167 salaryCalendarYear
186. MK-CF-F-081 salaryActiveMonths
187. MK-CF-F-008 spendByMonth
188. MK-NW-F-114 rentAmount
189. MK-CF-F-187 seniorDeductionFor
190. MK-XS-F-064 currentIdToken
191. MK-XS-F-112 relayUrl
192. MK-CF-F-005 actualMonthFlow
193. MK-CF-F-156 plannedMonthFlow
194. MK-CF-F-142 monthsOf
195. MK-CF-F-141 perMonth
196. MK-NW-F-078 ONE
197. MK-CF-F-157 debtPaymentsByDebt
198. MK-CF-F-140 periodsAYear
199. MK-NW-F-077 ALL
200. MK-NW-F-059 currentYield
201. MK-NW-O-001 theBonds
202. MK-NW-F-112 yearlyInterest
203. MK-NW-F-057 annualCoupon
204. MK-NW-F-056 bondInfo
205. MK-NW-F-064 bondRateSensitivity
206. MK-NW-F-061 bondSummary
207. MK-NW-F-055 isBond
208. MK-NW-F-072 rowOf
209. MK-NW-F-060 approxYTM
210. MK-NW-F-069 priceAtYield
211. MK-NW-F-131 pricedLikeBond
212. MK-NW-F-125 isPastMaturity
213. MK-NW-F-126 yearlyInterestNow
214. MK-NW-F-070 accruedInterestCaveat
215. MK-NW-F-058 yearsToMaturity
216. MK-NW-F-119 estimatedAccrued</t>
        </is>
      </c>
      <c r="R639"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639" s="3" t="inlineStr">
        <is>
          <t>—</t>
        </is>
      </c>
      <c r="T639" s="3" t="inlineStr">
        <is>
          <t>—</t>
        </is>
      </c>
      <c r="U639" s="3" t="inlineStr">
        <is>
          <t>ACTIVE</t>
        </is>
      </c>
      <c r="V639" s="3" t="inlineStr">
        <is>
          <t>2026-08-27</t>
        </is>
      </c>
      <c r="W639" s="3" t="n"/>
      <c r="X639" s="3" t="n"/>
      <c r="Y639" s="3" t="inlineStr">
        <is>
          <t>NOTHING OPEN</t>
        </is>
      </c>
    </row>
    <row r="640" ht="60" customHeight="1">
      <c r="A640" s="3" t="inlineStr">
        <is>
          <t>MK-XS-F-073</t>
        </is>
      </c>
      <c r="B640" s="3" t="inlineStr">
        <is>
          <t>saveUserData</t>
        </is>
      </c>
      <c r="C640" s="3" t="inlineStr">
        <is>
          <t>src/services/firebase.ts</t>
        </is>
      </c>
      <c r="D640" s="3" t="n">
        <v>471</v>
      </c>
      <c r="E640" s="3" t="inlineStr">
        <is>
          <t>1 · ACTION</t>
        </is>
      </c>
      <c r="F640" s="3" t="inlineStr">
        <is>
          <t>Sync fields stored ENCRYPTED under users/{uid}.appStateEnc (zero-knowledge — see dataCrypto.ts).</t>
        </is>
      </c>
      <c r="G640" s="11" t="inlineStr">
        <is>
          <t>clean = JSON.parse(JSON.stringify(data ?? {}))
enc = await encrypt for sync(clean)</t>
        </is>
      </c>
      <c r="H640" s="3" t="inlineStr">
        <is>
          <t>Clean is JSON.parse(JSON.stringify(data ?? {})). Enc is await encrypt for sync(clean).</t>
        </is>
      </c>
      <c r="I640" s="3" t="inlineStr">
        <is>
          <t>PARTLY READ — some of the code is still showing through; needs a hand pass</t>
        </is>
      </c>
      <c r="J640" s="3" t="inlineStr">
        <is>
          <t>1. uid: string
2. data: object</t>
        </is>
      </c>
      <c r="K640" s="3" t="inlineStr">
        <is>
          <t>NOT DECLARED — the code does not say what it gives back</t>
        </is>
      </c>
      <c r="L640" s="3" t="inlineStr">
        <is>
          <t>—</t>
        </is>
      </c>
      <c r="M640" s="3" t="inlineStr">
        <is>
          <t>None found in this function — anything it assumes comes from the functions it depends on.</t>
        </is>
      </c>
      <c r="N640" s="3" t="inlineStr">
        <is>
          <t>Yes</t>
        </is>
      </c>
      <c r="O640" s="3" t="inlineStr">
        <is>
          <t>1. MK-XS-F-054 encryptForSync
2. MK-XS-F-175 uid</t>
        </is>
      </c>
      <c r="P640" s="3" t="n">
        <v>210</v>
      </c>
      <c r="Q640"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MK-CF-F-218 moveOldRentFigure
23. MK-XS-F-122 n
24. MK-ST-F-043 newEntityId
25. MK-XS-F-006 pruneDaily
26. MK-ST-F-073 rebuildDays
27. MK-NW-F-054 reclassifyAccounts
28. MK-XS-F-174 recomputeBalances
29. MK-CF-F-115 restoreUndo
30. MK-CF-F-109 reviewTransactions
31. MK-ST-F-044 setMoneyFormat
32. MK-NW-O-004 theEmergencyFund
33. MK-CF-F-114 undoSnapshot
34. MK-CF-F-191 ym
35. MK-XS-F-135 secureGet
36. MK-CF-F-138 addLot
37. MK-CF-F-136 bumpCash
38. MK-CF-F-137 findPos
39. MK-CF-F-139 removeShares
40. MK-PF-F-001 totalShares
41. MK-ST-F-052 toNum
42. MK-ST-F-053 money
43. MK-CF-F-085 filingStatusOf
44. MK-CF-F-097 grossFromNet
45. MK-CF-F-185 needsTakeHomeConversion
46. MK-CF-F-089 over65CountOf
47. MK-CF-F-037 inferDebtType
48. MK-CF-F-217 hasOldRentFigure
49. MK-CF-F-216 typed
50. MK-ST-F-069 amountOf
51. MK-CF-F-133 cashOf
52. MK-ST-F-066 isDayKey
53. MK-ST-F-070 isOpening
54. MK-ST-F-039 on
55. MK-ST-F-071 rebuildableFrom
56. MK-ST-F-068 stepDay
57. MK-ST-F-072 undo
58. MK-NW-F-053 correctClassOf
59. MK-NW-F-123 holdingNameEvidence
60. MK-NW-F-121 holdingTagClass
61. MK-NW-F-122 holdingTagFor
62. MK-PF-F-002 costBasis
63. MK-PF-F-009 latestClose
64. MK-PF-F-004 marketValue
65. MK-ST-F-030 record
66. MK-XS-F-024 resolveLens
67. MK-ST-F-055 round2
68. MK-CF-F-162 daysApart
69. MK-CF-F-108 isMoneyOut
70. MK-PL-F-074 median
71. MK-CF-F-131 normPayee
72. MK-CF-F-155 cash
73. MK-NW-F-016 cashTotal
74. MK-CF-F-010 emergencyTest
75. MK-CF-F-190 essentialsMonthly
76. MK-CF-O-004 incomeSummary
77. MK-CF-F-009 monthlyEssentials
78. MK-CF-F-022 paymentShape
79. MK-CF-F-002 plannedMonthlySpend
80. MK-NW-F-117 propertyUseMap
81. MK-ST-F-085 rentFigure
82. MK-CF-O-020 theBudgetCounted
83. MK-CF-F-113 affectedAccountIds
84. MK-CF-F-134 usesSleeve
85. MK-ST-F-049 formatMoney
86. MK-CF-F-101 taxOwedFor
87. MK-ST-F-067 utcOfDay
88. MK-ST-F-035 covers
89. MK-NW-F-120 classEvidenceOf
90. MK-NW-F-008 incomeBearingClassOf
91. MK-PF-F-031 contractMultiplier
92. MK-PF-F-035 unknownFigure
93. MK-CF-F-072 currentRetirementIncomeMonthly
94. MK-NW-F-027 accountClassBreakdown
95. MK-NW-F-029 assetAllocation
96. MK-NW-F-011 assetClassOf
97. MK-CF-F-189 essentialsFromLoggedSpending
98. MK-CF-O-002 expenses
99. MK-CF-F-203 MONTH
100. MK-CF-O-001 basePay
101. MK-CF-F-069 benefitActiveMonths
102. MK-CF-F-173 earnerWages
103. MK-CF-F-179 entryFromWage
104. MK-CF-F-071 extraIncome
105. MK-CF-F-092 incomeMonthlyGrid
106. MK-CF-F-192 inflowLabel
107. MK-CF-F-103 marginalBracketFor
108. MK-CF-F-181 rateInForce
109. MK-CF-F-068 rentalNetAnnual
110. MK-CF-F-082 salaryAnnual
111. MK-CF-F-060 salaryGrossByMonth
112. MK-CF-F-084 taxableAnnual
113. MK-CF-F-120 pctBaseMonthly
114. MK-CF-F-004 spendBuckets
115. MK-CF-F-021 defaultPaymentType
116. MK-XS-F-027 takeHomeMonthly
117. MK-NW-F-116 rentedIdsOf
118. MK-NW-F-106 mortgagesByProperty
119. MK-NW-F-107 propertyUses
120. MK-ST-F-048 currencySymbol
121. MK-CF-F-100 taxableIncomeFor
122. MK-ST-F-034 firstDate
123. MK-NW-F-009 maturityClass
124. MK-ST-F-010 nameEvidence
125. MK-CF-F-075 retirementIncomeMonthly
126. MK-NW-F-109 holdingClassOf
127. MK-NW-F-067 plural
128. MK-CF-F-151 actualSpending
129. MK-CF-F-150 debtPaymentsCountedAsExpenses
130. MK-CF-F-153 radar
131. MK-CF-F-149 recurringDebtPayments
132. MK-CF-O-010 theMonth
133. MK-CF-F-171 earnerPay
134. MK-CF-F-204 line
135. MK-HM-F-006 money0
136. MK-CF-F-198 payrollTaxWithheld
137. MK-CF-F-172 hasWage
138. MK-CF-F-165 salaryMonths
139. MK-CF-F-070 benefitAnnual
140. MK-CF-F-065 equityVestWeights
141. MK-CF-F-206 householdK401ByMonth
142. MK-CF-F-087 monthlyTaxRates
143. MK-CF-F-073 otherIncomeMonth
144. MK-CF-F-066 rsuAnnual
145. MK-CF-F-077 scholarshipByCalendarMonth
146. MK-CF-F-088 taxableByCalendarMonth
147. MK-CF-F-177 wageGrossByMonth
148. MK-PL-F-012 waterfall
149. MK-CF-F-193 inflowSourceWord
150. MK-CF-F-180 enteredLandsAnnual
151. MK-CF-F-086 stateRateOf
152. MK-CF-F-067 rentalList
153. MK-CF-F-176 sumMonthsOverEarners
154. MK-CF-F-074 tipsAnnual
155. MK-CF-F-003 categoryMonthly
156. MK-CF-F-011 savingsByMonth
157. MK-NW-F-115 liveRent
158. MK-CF-F-023 requiredPayment
159. MK-ST-F-047 activeCurrency
160. MK-CF-F-099 deductionFor
161. MK-NW-F-124 maturityParts
162. MK-XS-F-147 call
163. MK-CF-F-148 inMonth
164. MK-CF-F-152 isRadarItem
165. MK-CF-O-003 thisMonth
166. MK-CF-F-143 annualisedGross
167. MK-CF-F-145 deductionsFromPay
168. MK-CF-F-128 grossByMonth
169. MK-CF-F-146 payFiguresAgree
170. MK-CF-F-144 takeHomeAsEntered
171. MK-XS-F-180 declareFigures
172. MK-HM-F-005 pctTxt
173. MK-CF-F-062 equityRowValue
174. MK-CF-F-090 effectiveRate
175. MK-CF-F-063 rowVestYear
176. MK-CF-F-130 enteredMonthlyRaw
177. MK-CF-F-166 hasMonthlySalaryTable
178. MK-ST-F-036 reconcile
179. MK-CF-F-167 salaryCalendarYear
180. MK-CF-F-081 salaryActiveMonths
181. MK-CF-F-008 spendByMonth
182. MK-NW-F-114 rentAmount
183. MK-CF-F-187 seniorDeductionFor
184. MK-XS-F-064 currentIdToken
185. MK-XS-F-112 relayUrl
186. MK-CF-F-005 actualMonthFlow
187. MK-CF-F-156 plannedMonthFlow
188. MK-CF-F-142 monthsOf
189. MK-CF-F-141 perMonth
190. MK-NW-F-078 ONE
191. MK-CF-F-157 debtPaymentsByDebt
192. MK-CF-F-140 periodsAYear
193. MK-NW-F-077 ALL
194. MK-NW-F-059 currentYield
195. MK-NW-O-001 theBonds
196. MK-NW-F-112 yearlyInterest
197. MK-NW-F-057 annualCoupon
198. MK-NW-F-056 bondInfo
199. MK-NW-F-064 bondRateSensitivity
200. MK-NW-F-061 bondSummary
201. MK-NW-F-055 isBond
202. MK-NW-F-072 rowOf
203. MK-NW-F-060 approxYTM
204. MK-NW-F-069 priceAtYield
205. MK-NW-F-131 pricedLikeBond
206. MK-NW-F-125 isPastMaturity
207. MK-NW-F-126 yearlyInterestNow
208. MK-NW-F-070 accruedInterestCaveat
209. MK-NW-F-058 yearsToMaturity
210. MK-NW-F-119 estimatedAccrued</t>
        </is>
      </c>
      <c r="R640"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640" s="3" t="inlineStr">
        <is>
          <t>—</t>
        </is>
      </c>
      <c r="T640" s="3" t="inlineStr">
        <is>
          <t>—</t>
        </is>
      </c>
      <c r="U640" s="3" t="inlineStr">
        <is>
          <t>ACTIVE</t>
        </is>
      </c>
      <c r="V640" s="3" t="inlineStr">
        <is>
          <t>2026-08-27</t>
        </is>
      </c>
      <c r="W640" s="3" t="n"/>
      <c r="X640" s="3" t="n"/>
      <c r="Y640" s="3" t="inlineStr">
        <is>
          <t>NOTHING OPEN</t>
        </is>
      </c>
    </row>
    <row r="641" ht="60" customHeight="1">
      <c r="A641" s="3" t="inlineStr">
        <is>
          <t>MK-XS-F-074</t>
        </is>
      </c>
      <c r="B641" s="3" t="inlineStr">
        <is>
          <t>loadUserData</t>
        </is>
      </c>
      <c r="C641" s="3" t="inlineStr">
        <is>
          <t>src/services/firebase.ts</t>
        </is>
      </c>
      <c r="D641" s="3" t="n">
        <v>501</v>
      </c>
      <c r="E641" s="3" t="inlineStr">
        <is>
          <t>4 · BRINGS DATA IN</t>
        </is>
      </c>
      <c r="F641" s="3" t="inlineStr">
        <is>
          <t>NOT DETERMINED — the code carries no note saying what this is for, and it has no row in the old inventory. Needs reading.</t>
        </is>
      </c>
      <c r="G641" s="11" t="inlineStr">
        <is>
          <t>snap = await get doc(doc(db, 'users', uid))
nothing   when !snap.exists()
d = snap.data()
await decrypt from sync(app state enc)   when app state enc ≠ nothing
the answer = app state (or nothing when missing)</t>
        </is>
      </c>
      <c r="H641" s="3" t="inlineStr">
        <is>
          <t>Snap is await get doc(doc(db, 'users', uid)). When !snap.exists(), it answers no answer. D is snap.data(). When app state enc is not no answer, it answers await decrypt from sync(app state enc). The answer is app state (or no answer — when missing).</t>
        </is>
      </c>
      <c r="I641" s="3" t="inlineStr">
        <is>
          <t>PARTLY READ — some of the code is still showing through; needs a hand pass</t>
        </is>
      </c>
      <c r="J641" s="3" t="inlineStr">
        <is>
          <t>uid: string</t>
        </is>
      </c>
      <c r="K641" s="3" t="inlineStr">
        <is>
          <t>Promise&lt;Record&lt;string, any&gt; | null&gt;</t>
        </is>
      </c>
      <c r="L641" s="3" t="inlineStr">
        <is>
          <t>"Restore your data" — on the auth screen</t>
        </is>
      </c>
      <c r="M641" s="3" t="inlineStr">
        <is>
          <t>None found in this function — anything it assumes comes from the functions it depends on.</t>
        </is>
      </c>
      <c r="N641" s="3" t="inlineStr">
        <is>
          <t>Yes</t>
        </is>
      </c>
      <c r="O641" s="3" t="inlineStr">
        <is>
          <t>1. MK-XS-F-055 decryptFromSync
2. MK-XS-F-175 uid</t>
        </is>
      </c>
      <c r="P641" s="3" t="n">
        <v>211</v>
      </c>
      <c r="Q641"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MK-CF-F-218 moveOldRentFigure
24. MK-XS-F-122 n
25. MK-ST-F-043 newEntityId
26. MK-XS-F-006 pruneDaily
27. MK-ST-F-073 rebuildDays
28. MK-NW-F-054 reclassifyAccounts
29. MK-XS-F-174 recomputeBalances
30. MK-CF-F-115 restoreUndo
31. MK-CF-F-109 reviewTransactions
32. MK-ST-F-044 setMoneyFormat
33. MK-NW-O-004 theEmergencyFund
34. MK-CF-F-114 undoSnapshot
35. MK-CF-F-191 ym
36. MK-XS-F-135 secureGet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MK-CF-F-217 hasOldRentFigure
50. MK-CF-F-216 typed
51. MK-ST-F-069 amountOf
52. MK-CF-F-133 cashOf
53. MK-ST-F-066 isDayKey
54. MK-ST-F-070 isOpening
55. MK-ST-F-039 on
56. MK-ST-F-071 rebuildableFrom
57. MK-ST-F-068 stepDay
58. MK-ST-F-072 undo
59. MK-NW-F-053 correctClassOf
60. MK-NW-F-123 holdingNameEvidence
61. MK-NW-F-121 holdingTagClass
62. MK-NW-F-122 holdingTagFor
63. MK-PF-F-002 costBasis
64. MK-PF-F-009 latestClose
65. MK-PF-F-004 marketValue
66. MK-ST-F-030 record
67. MK-XS-F-024 resolveLens
68. MK-ST-F-055 round2
69. MK-CF-F-162 daysApart
70. MK-CF-F-108 isMoneyOut
71. MK-PL-F-074 median
72. MK-CF-F-131 normPayee
73. MK-CF-F-155 cash
74. MK-NW-F-016 cashTotal
75. MK-CF-F-010 emergencyTest
76. MK-CF-F-190 essentialsMonthly
77. MK-CF-O-004 incomeSummary
78. MK-CF-F-009 monthlyEssentials
79. MK-CF-F-022 paymentShape
80. MK-CF-F-002 plannedMonthlySpend
81. MK-NW-F-117 propertyUseMap
82. MK-ST-F-085 rentFigure
83. MK-CF-O-020 theBudgetCounted
84. MK-CF-F-113 affectedAccountIds
85. MK-CF-F-134 usesSleeve
86. MK-ST-F-049 formatMoney
87. MK-CF-F-101 taxOwedFor
88. MK-ST-F-067 utcOfDay
89. MK-ST-F-035 covers
90. MK-NW-F-120 classEvidenceOf
91. MK-NW-F-008 incomeBearingClassOf
92. MK-PF-F-031 contractMultiplier
93. MK-PF-F-035 unknownFigure
94. MK-CF-F-072 currentRetirementIncomeMonthly
95. MK-NW-F-027 accountClassBreakdown
96. MK-NW-F-029 assetAllocation
97. MK-NW-F-011 assetClassOf
98. MK-CF-F-189 essentialsFromLoggedSpending
99. MK-CF-O-002 expenses
100. MK-CF-F-203 MONTH
101. MK-CF-O-001 basePay
102. MK-CF-F-069 benefitActiveMonths
103. MK-CF-F-173 earnerWages
104. MK-CF-F-179 entryFromWage
105. MK-CF-F-071 extraIncome
106. MK-CF-F-092 incomeMonthlyGrid
107. MK-CF-F-192 inflowLabel
108. MK-CF-F-103 marginalBracketFor
109. MK-CF-F-181 rateInForce
110. MK-CF-F-068 rentalNetAnnual
111. MK-CF-F-082 salaryAnnual
112. MK-CF-F-060 salaryGrossByMonth
113. MK-CF-F-084 taxableAnnual
114. MK-CF-F-120 pctBaseMonthly
115. MK-CF-F-004 spendBuckets
116. MK-CF-F-021 defaultPaymentType
117. MK-XS-F-027 takeHomeMonthly
118. MK-NW-F-116 rentedIdsOf
119. MK-NW-F-106 mortgagesByProperty
120. MK-NW-F-107 propertyUses
121. MK-ST-F-048 currencySymbol
122. MK-CF-F-100 taxableIncomeFor
123. MK-ST-F-034 firstDate
124. MK-NW-F-009 maturityClass
125. MK-ST-F-010 nameEvidence
126. MK-CF-F-075 retirementIncomeMonthly
127. MK-NW-F-109 holdingClassOf
128. MK-NW-F-067 plural
129. MK-CF-F-151 actualSpending
130. MK-CF-F-150 debtPaymentsCountedAsExpenses
131. MK-CF-F-153 radar
132. MK-CF-F-149 recurringDebtPayments
133. MK-CF-O-010 theMonth
134. MK-CF-F-171 earnerPay
135. MK-CF-F-204 line
136. MK-HM-F-006 money0
137. MK-CF-F-198 payrollTaxWithheld
138. MK-CF-F-172 hasWage
139. MK-CF-F-165 salaryMonths
140. MK-CF-F-070 benefitAnnual
141. MK-CF-F-065 equityVestWeights
142. MK-CF-F-206 householdK401ByMonth
143. MK-CF-F-087 monthlyTaxRates
144. MK-CF-F-073 otherIncomeMonth
145. MK-CF-F-066 rsuAnnual
146. MK-CF-F-077 scholarshipByCalendarMonth
147. MK-CF-F-088 taxableByCalendarMonth
148. MK-CF-F-177 wageGrossByMonth
149. MK-PL-F-012 waterfall
150. MK-CF-F-193 inflowSourceWord
151. MK-CF-F-180 enteredLandsAnnual
152. MK-CF-F-086 stateRateOf
153. MK-CF-F-067 rentalList
154. MK-CF-F-176 sumMonthsOverEarners
155. MK-CF-F-074 tipsAnnual
156. MK-CF-F-003 categoryMonthly
157. MK-CF-F-011 savingsByMonth
158. MK-NW-F-115 liveRent
159. MK-CF-F-023 requiredPayment
160. MK-ST-F-047 activeCurrency
161. MK-CF-F-099 deductionFor
162. MK-NW-F-124 maturityParts
163. MK-XS-F-147 call
164. MK-CF-F-148 inMonth
165. MK-CF-F-152 isRadarItem
166. MK-CF-O-003 thisMonth
167. MK-CF-F-143 annualisedGross
168. MK-CF-F-145 deductionsFromPay
169. MK-CF-F-128 grossByMonth
170. MK-CF-F-146 payFiguresAgree
171. MK-CF-F-144 takeHomeAsEntered
172. MK-XS-F-180 declareFigures
173. MK-HM-F-005 pctTxt
174. MK-CF-F-062 equityRowValue
175. MK-CF-F-090 effectiveRate
176. MK-CF-F-063 rowVestYear
177. MK-CF-F-130 enteredMonthlyRaw
178. MK-CF-F-166 hasMonthlySalaryTable
179. MK-ST-F-036 reconcile
180. MK-CF-F-167 salaryCalendarYear
181. MK-CF-F-081 salaryActiveMonths
182. MK-CF-F-008 spendByMonth
183. MK-NW-F-114 rentAmount
184. MK-CF-F-187 seniorDeductionFor
185. MK-XS-F-064 currentIdToken
186. MK-XS-F-112 relayUrl
187. MK-CF-F-005 actualMonthFlow
188. MK-CF-F-156 plannedMonthFlow
189. MK-CF-F-142 monthsOf
190. MK-CF-F-141 perMonth
191. MK-NW-F-078 ONE
192. MK-CF-F-157 debtPaymentsByDebt
193. MK-CF-F-140 periodsAYear
194. MK-NW-F-077 ALL
195. MK-NW-F-059 currentYield
196. MK-NW-O-001 theBonds
197. MK-NW-F-112 yearlyInterest
198. MK-NW-F-057 annualCoupon
199. MK-NW-F-056 bondInfo
200. MK-NW-F-064 bondRateSensitivity
201. MK-NW-F-061 bondSummary
202. MK-NW-F-055 isBond
203. MK-NW-F-072 rowOf
204. MK-NW-F-060 approxYTM
205. MK-NW-F-069 priceAtYield
206. MK-NW-F-131 pricedLikeBond
207. MK-NW-F-125 isPastMaturity
208. MK-NW-F-126 yearlyInterestNow
209. MK-NW-F-070 accruedInterestCaveat
210. MK-NW-F-058 yearsToMaturity
211. MK-NW-F-119 estimatedAccrued</t>
        </is>
      </c>
      <c r="R641"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641" s="3" t="inlineStr">
        <is>
          <t>—</t>
        </is>
      </c>
      <c r="T641" s="3" t="inlineStr">
        <is>
          <t>—</t>
        </is>
      </c>
      <c r="U641" s="3" t="inlineStr">
        <is>
          <t>ACTIVE</t>
        </is>
      </c>
      <c r="V641" s="3" t="inlineStr">
        <is>
          <t>2026-08-27</t>
        </is>
      </c>
      <c r="W641" s="3" t="n"/>
      <c r="X641" s="3" t="n"/>
      <c r="Y641" s="3" t="inlineStr">
        <is>
          <t>NOTHING OPEN</t>
        </is>
      </c>
    </row>
    <row r="642" ht="45" customHeight="1">
      <c r="A642" s="3" t="inlineStr">
        <is>
          <t>MK-XS-F-075</t>
        </is>
      </c>
      <c r="B642" s="3" t="inlineStr">
        <is>
          <t>createInvite</t>
        </is>
      </c>
      <c r="C642" s="3" t="inlineStr">
        <is>
          <t>src/services/firebase.ts</t>
        </is>
      </c>
      <c r="D642" s="3" t="n">
        <v>557</v>
      </c>
      <c r="E642" s="3" t="inlineStr">
        <is>
          <t>2 · DISPLAYED (presentation only)</t>
        </is>
      </c>
      <c r="F642" s="3" t="inlineStr">
        <is>
          <t>Create an invite code pointing at this household's shared data doc.</t>
        </is>
      </c>
      <c r="G642" s="11" t="inlineStr">
        <is>
          <t>code = make invite code()
the answer = code</t>
        </is>
      </c>
      <c r="H642" s="3" t="inlineStr">
        <is>
          <t>Code is make invite code(). The answer is code.</t>
        </is>
      </c>
      <c r="I642" s="3" t="inlineStr">
        <is>
          <t>READ FROM THE CODE — rendered from the expressions the function runs</t>
        </is>
      </c>
      <c r="J642" s="3" t="inlineStr">
        <is>
          <t>1. householdId: string
2. inviterName: string | null</t>
        </is>
      </c>
      <c r="K642" s="3" t="inlineStr">
        <is>
          <t>Promise&lt;string&gt;</t>
        </is>
      </c>
      <c r="L642" s="3" t="inlineStr">
        <is>
          <t>"Vesting schedule" — on the setup questions, which appear on more than one screen</t>
        </is>
      </c>
      <c r="M642" s="3" t="inlineStr">
        <is>
          <t>None found in this function — anything it assumes comes from the functions it depends on.</t>
        </is>
      </c>
      <c r="N642" s="3" t="inlineStr">
        <is>
          <t>Yes</t>
        </is>
      </c>
      <c r="O642" s="3" t="inlineStr">
        <is>
          <t>MK-XS-F-142 makeInviteCode</t>
        </is>
      </c>
      <c r="P642" s="3" t="n">
        <v>1</v>
      </c>
      <c r="Q642" s="3" t="inlineStr">
        <is>
          <t>MK-XS-F-142 makeInviteCode</t>
        </is>
      </c>
      <c r="R642" s="3" t="inlineStr">
        <is>
          <t>MK-XS-F-142 makeInviteCode → MK-XS-F-075 createInvite</t>
        </is>
      </c>
      <c r="S642" s="3" t="inlineStr">
        <is>
          <t>—</t>
        </is>
      </c>
      <c r="T642" s="3" t="inlineStr">
        <is>
          <t>—</t>
        </is>
      </c>
      <c r="U642" s="3" t="inlineStr">
        <is>
          <t>ACTIVE</t>
        </is>
      </c>
      <c r="V642" s="3" t="inlineStr">
        <is>
          <t>2026-08-27</t>
        </is>
      </c>
      <c r="W642" s="3" t="n"/>
      <c r="X642" s="3" t="n"/>
      <c r="Y642" s="3" t="inlineStr">
        <is>
          <t>NOTHING OPEN</t>
        </is>
      </c>
    </row>
    <row r="643" ht="60" customHeight="1">
      <c r="A643" s="3" t="inlineStr">
        <is>
          <t>MK-XS-F-076</t>
        </is>
      </c>
      <c r="B643" s="3" t="inlineStr">
        <is>
          <t>lookupInvite</t>
        </is>
      </c>
      <c r="C643" s="3" t="inlineStr">
        <is>
          <t>src/services/firebase.ts</t>
        </is>
      </c>
      <c r="D643" s="3" t="n">
        <v>588</v>
      </c>
      <c r="E643" s="3" t="inlineStr">
        <is>
          <t>4 · BRINGS DATA IN</t>
        </is>
      </c>
      <c r="F643" s="3" t="inlineStr">
        <is>
          <t>NOT DETERMINED — the code carries no note saying what this is for, and it has no row in the old inventory. Needs reading.</t>
        </is>
      </c>
      <c r="G643" s="11" t="inlineStr">
        <is>
          <t>snap = await get doc(doc(db, 'invites', code.trim().to upper case()))
nothing   when !snap.exists()
d = snap.data() as any
the answer:
household id = household id
inviter name = inviter name (or nothing when missing)   if household id
nothing   otherwise</t>
        </is>
      </c>
      <c r="H643" s="3" t="inlineStr">
        <is>
          <t>Snap is await get doc(doc(db, 'invites', code.trim().to upper case())). When !snap.exists(), it answers no answer. D is snap.data() as any. The answer is household id = household id; inviter name = inviter name (or no answer when missing) — when household id; no answer — otherwise.</t>
        </is>
      </c>
      <c r="I643" s="3" t="inlineStr">
        <is>
          <t>PARTLY READ — some of the code is still showing through; needs a hand pass</t>
        </is>
      </c>
      <c r="J643" s="3" t="inlineStr">
        <is>
          <t>code: string</t>
        </is>
      </c>
      <c r="K643" s="3" t="inlineStr">
        <is>
          <t>Promise&lt;</t>
        </is>
      </c>
      <c r="L643" s="3" t="inlineStr">
        <is>
          <t>—</t>
        </is>
      </c>
      <c r="M643" s="3" t="inlineStr">
        <is>
          <t>None found in this function — anything it assumes comes from the functions it depends on.</t>
        </is>
      </c>
      <c r="N643" s="3" t="inlineStr">
        <is>
          <t>Yes</t>
        </is>
      </c>
      <c r="O643" s="3" t="inlineStr">
        <is>
          <t>—</t>
        </is>
      </c>
      <c r="P643" s="3" t="n">
        <v>0</v>
      </c>
      <c r="Q643" s="3" t="inlineStr">
        <is>
          <t>None — no dependent function stands behind it</t>
        </is>
      </c>
      <c r="R643" s="3" t="inlineStr">
        <is>
          <t>No dependent function — it reads its inputs and answers</t>
        </is>
      </c>
      <c r="S643" s="3" t="inlineStr">
        <is>
          <t>—</t>
        </is>
      </c>
      <c r="T643" s="3" t="inlineStr">
        <is>
          <t>—</t>
        </is>
      </c>
      <c r="U643" s="3" t="inlineStr">
        <is>
          <t>ACTIVE</t>
        </is>
      </c>
      <c r="V643" s="3" t="inlineStr">
        <is>
          <t>2026-08-27</t>
        </is>
      </c>
      <c r="W643" s="3" t="n"/>
      <c r="X643" s="3" t="n"/>
      <c r="Y643" s="3" t="inlineStr">
        <is>
          <t>NOTHING OPEN</t>
        </is>
      </c>
    </row>
    <row r="644" ht="60" customHeight="1">
      <c r="A644" s="3" t="inlineStr">
        <is>
          <t>MK-XS-F-077</t>
        </is>
      </c>
      <c r="B644" s="3" t="inlineStr">
        <is>
          <t>setUserHousehold</t>
        </is>
      </c>
      <c r="C644" s="3" t="inlineStr">
        <is>
          <t>src/services/firebase.ts</t>
        </is>
      </c>
      <c r="D644" s="3" t="n">
        <v>611</v>
      </c>
      <c r="E644" s="3" t="inlineStr">
        <is>
          <t>1 · ACTION</t>
        </is>
      </c>
      <c r="F644" s="3" t="inlineStr">
        <is>
          <t>Record household membership on the member's own user doc (survives reinstall/new device).</t>
        </is>
      </c>
      <c r="G644" s="11" t="inlineStr">
        <is>
          <t>It reaches outside the app for data and hands back what came back — no arithmetic of its own.</t>
        </is>
      </c>
      <c r="H644" s="3" t="inlineStr">
        <is>
          <t>It reaches outside the app for data and hands back what came back — no arithmetic of its own.</t>
        </is>
      </c>
      <c r="I644" s="3" t="inlineStr">
        <is>
          <t>NO ARITHMETIC — there is no formula to state</t>
        </is>
      </c>
      <c r="J644" s="3" t="inlineStr">
        <is>
          <t>1. uid: string
2. householdId: string</t>
        </is>
      </c>
      <c r="K644" s="3" t="inlineStr">
        <is>
          <t>Promise&lt;void&gt;</t>
        </is>
      </c>
      <c r="L644" s="3" t="inlineStr">
        <is>
          <t>—</t>
        </is>
      </c>
      <c r="M644" s="3" t="inlineStr">
        <is>
          <t>None found in this function — anything it assumes comes from the functions it depends on.</t>
        </is>
      </c>
      <c r="N644" s="3" t="inlineStr">
        <is>
          <t>Yes</t>
        </is>
      </c>
      <c r="O644" s="3" t="inlineStr">
        <is>
          <t>1. MK-XS-F-074 loadUserData
2. MK-XS-F-175 uid</t>
        </is>
      </c>
      <c r="P644" s="3" t="n">
        <v>212</v>
      </c>
      <c r="Q644"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MK-CF-F-218 moveOldRentFigure
22. MK-XS-F-122 n
23. MK-ST-F-043 newEntityId
24. MK-XS-F-006 pruneDaily
25. MK-ST-F-073 rebuildDays
26. MK-NW-F-054 reclassifyAccounts
27. MK-XS-F-174 recomputeBalances
28. MK-CF-F-115 restoreUndo
29. MK-CF-F-109 reviewTransactions
30. MK-ST-F-044 setMoneyFormat
31. MK-NW-O-004 theEmergencyFund
32. MK-CF-F-114 undoSnapshot
33. MK-CF-F-191 ym
34. MK-XS-F-053 decryptWithKey
35. MK-XS-F-042 getDataKey
36. MK-XS-F-051 isEncrypted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MK-CF-F-217 hasOldRentFigure
50. MK-CF-F-216 typed
51. MK-ST-F-069 amountOf
52. MK-CF-F-133 cashOf
53. MK-ST-F-066 isDayKey
54. MK-ST-F-070 isOpening
55. MK-ST-F-039 on
56. MK-ST-F-071 rebuildableFrom
57. MK-ST-F-068 stepDay
58. MK-ST-F-072 undo
59. MK-NW-F-053 correctClassOf
60. MK-NW-F-123 holdingNameEvidence
61. MK-NW-F-121 holdingTagClass
62. MK-NW-F-122 holdingTagFor
63. MK-PF-F-002 costBasis
64. MK-PF-F-009 latestClose
65. MK-PF-F-004 marketValue
66. MK-ST-F-030 record
67. MK-XS-F-024 resolveLens
68. MK-ST-F-055 round2
69. MK-CF-F-162 daysApart
70. MK-CF-F-108 isMoneyOut
71. MK-PL-F-074 median
72. MK-CF-F-131 normPayee
73. MK-CF-F-155 cash
74. MK-NW-F-016 cashTotal
75. MK-CF-F-010 emergencyTest
76. MK-CF-F-190 essentialsMonthly
77. MK-CF-O-004 incomeSummary
78. MK-CF-F-009 monthlyEssentials
79. MK-CF-F-022 paymentShape
80. MK-CF-F-002 plannedMonthlySpend
81. MK-NW-F-117 propertyUseMap
82. MK-ST-F-085 rentFigure
83. MK-CF-O-020 theBudgetCounted
84. MK-CF-F-113 affectedAccountIds
85. MK-XS-F-135 secureGet
86. MK-CF-F-134 usesSleeve
87. MK-ST-F-049 formatMoney
88. MK-CF-F-101 taxOwedFor
89. MK-ST-F-067 utcOfDay
90. MK-ST-F-035 covers
91. MK-NW-F-120 classEvidenceOf
92. MK-NW-F-008 incomeBearingClassOf
93. MK-PF-F-031 contractMultiplier
94. MK-PF-F-035 unknownFigure
95. MK-CF-F-072 currentRetirementIncomeMonthly
96. MK-NW-F-027 accountClassBreakdown
97. MK-NW-F-029 assetAllocation
98. MK-NW-F-011 assetClassOf
99. MK-CF-F-189 essentialsFromLoggedSpending
100. MK-CF-O-002 expenses
101. MK-CF-F-203 MONTH
102. MK-CF-O-001 basePay
103. MK-CF-F-069 benefitActiveMonths
104. MK-CF-F-173 earnerWages
105. MK-CF-F-179 entryFromWage
106. MK-CF-F-071 extraIncome
107. MK-CF-F-092 incomeMonthlyGrid
108. MK-CF-F-192 inflowLabel
109. MK-CF-F-103 marginalBracketFor
110. MK-CF-F-181 rateInForce
111. MK-CF-F-068 rentalNetAnnual
112. MK-CF-F-082 salaryAnnual
113. MK-CF-F-060 salaryGrossByMonth
114. MK-CF-F-084 taxableAnnual
115. MK-CF-F-120 pctBaseMonthly
116. MK-CF-F-004 spendBuckets
117. MK-CF-F-021 defaultPaymentType
118. MK-XS-F-027 takeHomeMonthly
119. MK-NW-F-116 rentedIdsOf
120. MK-NW-F-106 mortgagesByProperty
121. MK-NW-F-107 propertyUses
122. MK-ST-F-048 currencySymbol
123. MK-CF-F-100 taxableIncomeFor
124. MK-ST-F-034 firstDate
125. MK-NW-F-009 maturityClass
126. MK-ST-F-010 nameEvidence
127. MK-CF-F-075 retirementIncomeMonthly
128. MK-NW-F-109 holdingClassOf
129. MK-NW-F-067 plural
130. MK-CF-F-151 actualSpending
131. MK-CF-F-150 debtPaymentsCountedAsExpenses
132. MK-CF-F-153 radar
133. MK-CF-F-149 recurringDebtPayments
134. MK-CF-O-010 theMonth
135. MK-CF-F-171 earnerPay
136. MK-CF-F-204 line
137. MK-HM-F-006 money0
138. MK-CF-F-198 payrollTaxWithheld
139. MK-CF-F-172 hasWage
140. MK-CF-F-165 salaryMonths
141. MK-CF-F-070 benefitAnnual
142. MK-CF-F-065 equityVestWeights
143. MK-CF-F-206 householdK401ByMonth
144. MK-CF-F-087 monthlyTaxRates
145. MK-CF-F-073 otherIncomeMonth
146. MK-CF-F-066 rsuAnnual
147. MK-CF-F-077 scholarshipByCalendarMonth
148. MK-CF-F-088 taxableByCalendarMonth
149. MK-CF-F-177 wageGrossByMonth
150. MK-PL-F-012 waterfall
151. MK-CF-F-193 inflowSourceWord
152. MK-CF-F-180 enteredLandsAnnual
153. MK-CF-F-086 stateRateOf
154. MK-CF-F-067 rentalList
155. MK-CF-F-176 sumMonthsOverEarners
156. MK-CF-F-074 tipsAnnual
157. MK-CF-F-003 categoryMonthly
158. MK-CF-F-011 savingsByMonth
159. MK-NW-F-115 liveRent
160. MK-CF-F-023 requiredPayment
161. MK-ST-F-047 activeCurrency
162. MK-CF-F-099 deductionFor
163. MK-NW-F-124 maturityParts
164. MK-XS-F-147 call
165. MK-CF-F-148 inMonth
166. MK-CF-F-152 isRadarItem
167. MK-CF-O-003 thisMonth
168. MK-CF-F-143 annualisedGross
169. MK-CF-F-145 deductionsFromPay
170. MK-CF-F-128 grossByMonth
171. MK-CF-F-146 payFiguresAgree
172. MK-CF-F-144 takeHomeAsEntered
173. MK-XS-F-180 declareFigures
174. MK-HM-F-005 pctTxt
175. MK-CF-F-062 equityRowValue
176. MK-CF-F-090 effectiveRate
177. MK-CF-F-063 rowVestYear
178. MK-CF-F-130 enteredMonthlyRaw
179. MK-CF-F-166 hasMonthlySalaryTable
180. MK-ST-F-036 reconcile
181. MK-CF-F-167 salaryCalendarYear
182. MK-CF-F-081 salaryActiveMonths
183. MK-CF-F-008 spendByMonth
184. MK-NW-F-114 rentAmount
185. MK-CF-F-187 seniorDeductionFor
186. MK-XS-F-064 currentIdToken
187. MK-XS-F-112 relayUrl
188. MK-CF-F-005 actualMonthFlow
189. MK-CF-F-156 plannedMonthFlow
190. MK-CF-F-142 monthsOf
191. MK-CF-F-141 perMonth
192. MK-NW-F-078 ONE
193. MK-CF-F-157 debtPaymentsByDebt
194. MK-CF-F-140 periodsAYear
195. MK-NW-F-077 ALL
196. MK-NW-F-059 currentYield
197. MK-NW-O-001 theBonds
198. MK-NW-F-112 yearlyInterest
199. MK-NW-F-057 annualCoupon
200. MK-NW-F-056 bondInfo
201. MK-NW-F-064 bondRateSensitivity
202. MK-NW-F-061 bondSummary
203. MK-NW-F-055 isBond
204. MK-NW-F-072 rowOf
205. MK-NW-F-060 approxYTM
206. MK-NW-F-069 priceAtYield
207. MK-NW-F-131 pricedLikeBond
208. MK-NW-F-125 isPastMaturity
209. MK-NW-F-126 yearlyInterestNow
210. MK-NW-F-070 accruedInterestCaveat
211. MK-NW-F-058 yearsToMaturity
212. MK-NW-F-119 estimatedAccrued</t>
        </is>
      </c>
      <c r="R644"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44" s="3" t="inlineStr">
        <is>
          <t>—</t>
        </is>
      </c>
      <c r="T644" s="3" t="inlineStr">
        <is>
          <t>—</t>
        </is>
      </c>
      <c r="U644" s="3" t="inlineStr">
        <is>
          <t>ACTIVE</t>
        </is>
      </c>
      <c r="V644" s="3" t="inlineStr">
        <is>
          <t>2026-08-27</t>
        </is>
      </c>
      <c r="W644" s="3" t="n"/>
      <c r="X644" s="3" t="n"/>
      <c r="Y644" s="3" t="inlineStr">
        <is>
          <t>NOTHING OPEN</t>
        </is>
      </c>
    </row>
    <row r="645" ht="60" customHeight="1">
      <c r="A645" s="3" t="inlineStr">
        <is>
          <t>MK-XS-F-078</t>
        </is>
      </c>
      <c r="B645" s="3" t="inlineStr">
        <is>
          <t>joinHouseholdMembership</t>
        </is>
      </c>
      <c r="C645" s="3" t="inlineStr">
        <is>
          <t>src/services/firebase.ts</t>
        </is>
      </c>
      <c r="D645" s="3" t="n">
        <v>636</v>
      </c>
      <c r="E645" s="3" t="inlineStr">
        <is>
          <t>1 · ACTION</t>
        </is>
      </c>
      <c r="F645" s="3" t="inlineStr">
        <is>
          <t>Claim membership in {householdId} by writing the member doc the security rules gate access on.</t>
        </is>
      </c>
      <c r="G645" s="11" t="inlineStr">
        <is>
          <t>It reaches outside the app for data and hands back what came back — no arithmetic of its own.</t>
        </is>
      </c>
      <c r="H645" s="3" t="inlineStr">
        <is>
          <t>It reaches outside the app for data and hands back what came back — no arithmetic of its own.</t>
        </is>
      </c>
      <c r="I645" s="3" t="inlineStr">
        <is>
          <t>NO ARITHMETIC — there is no formula to state</t>
        </is>
      </c>
      <c r="J645" s="3" t="inlineStr">
        <is>
          <t>1. uid: string
2. householdId: string
3. code: string</t>
        </is>
      </c>
      <c r="K645" s="3" t="inlineStr">
        <is>
          <t>Promise&lt;void&gt;</t>
        </is>
      </c>
      <c r="L645" s="3" t="inlineStr">
        <is>
          <t>—</t>
        </is>
      </c>
      <c r="M645" s="3" t="inlineStr">
        <is>
          <t>None found in this function — anything it assumes comes from the functions it depends on.</t>
        </is>
      </c>
      <c r="N645" s="3" t="inlineStr">
        <is>
          <t>Yes</t>
        </is>
      </c>
      <c r="O645" s="3" t="inlineStr">
        <is>
          <t>MK-XS-F-175 uid</t>
        </is>
      </c>
      <c r="P645" s="3" t="n">
        <v>206</v>
      </c>
      <c r="Q645"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645"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45" s="3" t="inlineStr">
        <is>
          <t>—</t>
        </is>
      </c>
      <c r="T645" s="3" t="inlineStr">
        <is>
          <t>—</t>
        </is>
      </c>
      <c r="U645" s="3" t="inlineStr">
        <is>
          <t>ACTIVE</t>
        </is>
      </c>
      <c r="V645" s="3" t="inlineStr">
        <is>
          <t>2026-08-27</t>
        </is>
      </c>
      <c r="W645" s="3" t="n"/>
      <c r="X645" s="3" t="n"/>
      <c r="Y645" s="3" t="inlineStr">
        <is>
          <t>NOTHING OPEN</t>
        </is>
      </c>
    </row>
    <row r="646" ht="60" customHeight="1">
      <c r="A646" s="3" t="inlineStr">
        <is>
          <t>MK-XS-F-079</t>
        </is>
      </c>
      <c r="B646" s="3" t="inlineStr">
        <is>
          <t>loadUserRoot</t>
        </is>
      </c>
      <c r="C646" s="3" t="inlineStr">
        <is>
          <t>src/services/firebase.ts</t>
        </is>
      </c>
      <c r="D646" s="3" t="n">
        <v>670</v>
      </c>
      <c r="E646" s="3" t="inlineStr">
        <is>
          <t>4 · BRINGS DATA IN</t>
        </is>
      </c>
      <c r="F646" s="3" t="inlineStr">
        <is>
          <t>The member's own top-level doc fields (householdId + decrypted appState) in one read.</t>
        </is>
      </c>
      <c r="G646"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46"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46" s="3" t="inlineStr">
        <is>
          <t>PARTLY READ — some of the code is still showing through; needs a hand pass</t>
        </is>
      </c>
      <c r="J646" s="3" t="inlineStr">
        <is>
          <t>uid: string</t>
        </is>
      </c>
      <c r="K646" s="3" t="inlineStr">
        <is>
          <t>Promise&lt;</t>
        </is>
      </c>
      <c r="L646" s="3" t="inlineStr">
        <is>
          <t>—</t>
        </is>
      </c>
      <c r="M646" s="3" t="inlineStr">
        <is>
          <t>None found in this function — anything it assumes comes from the functions it depends on.</t>
        </is>
      </c>
      <c r="N646" s="3" t="inlineStr">
        <is>
          <t>Yes</t>
        </is>
      </c>
      <c r="O646" s="3" t="inlineStr">
        <is>
          <t>1. MK-XS-F-055 decryptFromSync
2. MK-XS-F-175 uid</t>
        </is>
      </c>
      <c r="P646" s="3" t="n">
        <v>211</v>
      </c>
      <c r="Q646"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MK-CF-F-218 moveOldRentFigure
24. MK-XS-F-122 n
25. MK-ST-F-043 newEntityId
26. MK-XS-F-006 pruneDaily
27. MK-ST-F-073 rebuildDays
28. MK-NW-F-054 reclassifyAccounts
29. MK-XS-F-174 recomputeBalances
30. MK-CF-F-115 restoreUndo
31. MK-CF-F-109 reviewTransactions
32. MK-ST-F-044 setMoneyFormat
33. MK-NW-O-004 theEmergencyFund
34. MK-CF-F-114 undoSnapshot
35. MK-CF-F-191 ym
36. MK-XS-F-135 secureGet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MK-CF-F-217 hasOldRentFigure
50. MK-CF-F-216 typed
51. MK-ST-F-069 amountOf
52. MK-CF-F-133 cashOf
53. MK-ST-F-066 isDayKey
54. MK-ST-F-070 isOpening
55. MK-ST-F-039 on
56. MK-ST-F-071 rebuildableFrom
57. MK-ST-F-068 stepDay
58. MK-ST-F-072 undo
59. MK-NW-F-053 correctClassOf
60. MK-NW-F-123 holdingNameEvidence
61. MK-NW-F-121 holdingTagClass
62. MK-NW-F-122 holdingTagFor
63. MK-PF-F-002 costBasis
64. MK-PF-F-009 latestClose
65. MK-PF-F-004 marketValue
66. MK-ST-F-030 record
67. MK-XS-F-024 resolveLens
68. MK-ST-F-055 round2
69. MK-CF-F-162 daysApart
70. MK-CF-F-108 isMoneyOut
71. MK-PL-F-074 median
72. MK-CF-F-131 normPayee
73. MK-CF-F-155 cash
74. MK-NW-F-016 cashTotal
75. MK-CF-F-010 emergencyTest
76. MK-CF-F-190 essentialsMonthly
77. MK-CF-O-004 incomeSummary
78. MK-CF-F-009 monthlyEssentials
79. MK-CF-F-022 paymentShape
80. MK-CF-F-002 plannedMonthlySpend
81. MK-NW-F-117 propertyUseMap
82. MK-ST-F-085 rentFigure
83. MK-CF-O-020 theBudgetCounted
84. MK-CF-F-113 affectedAccountIds
85. MK-CF-F-134 usesSleeve
86. MK-ST-F-049 formatMoney
87. MK-CF-F-101 taxOwedFor
88. MK-ST-F-067 utcOfDay
89. MK-ST-F-035 covers
90. MK-NW-F-120 classEvidenceOf
91. MK-NW-F-008 incomeBearingClassOf
92. MK-PF-F-031 contractMultiplier
93. MK-PF-F-035 unknownFigure
94. MK-CF-F-072 currentRetirementIncomeMonthly
95. MK-NW-F-027 accountClassBreakdown
96. MK-NW-F-029 assetAllocation
97. MK-NW-F-011 assetClassOf
98. MK-CF-F-189 essentialsFromLoggedSpending
99. MK-CF-O-002 expenses
100. MK-CF-F-203 MONTH
101. MK-CF-O-001 basePay
102. MK-CF-F-069 benefitActiveMonths
103. MK-CF-F-173 earnerWages
104. MK-CF-F-179 entryFromWage
105. MK-CF-F-071 extraIncome
106. MK-CF-F-092 incomeMonthlyGrid
107. MK-CF-F-192 inflowLabel
108. MK-CF-F-103 marginalBracketFor
109. MK-CF-F-181 rateInForce
110. MK-CF-F-068 rentalNetAnnual
111. MK-CF-F-082 salaryAnnual
112. MK-CF-F-060 salaryGrossByMonth
113. MK-CF-F-084 taxableAnnual
114. MK-CF-F-120 pctBaseMonthly
115. MK-CF-F-004 spendBuckets
116. MK-CF-F-021 defaultPaymentType
117. MK-XS-F-027 takeHomeMonthly
118. MK-NW-F-116 rentedIdsOf
119. MK-NW-F-106 mortgagesByProperty
120. MK-NW-F-107 propertyUses
121. MK-ST-F-048 currencySymbol
122. MK-CF-F-100 taxableIncomeFor
123. MK-ST-F-034 firstDate
124. MK-NW-F-009 maturityClass
125. MK-ST-F-010 nameEvidence
126. MK-CF-F-075 retirementIncomeMonthly
127. MK-NW-F-109 holdingClassOf
128. MK-NW-F-067 plural
129. MK-CF-F-151 actualSpending
130. MK-CF-F-150 debtPaymentsCountedAsExpenses
131. MK-CF-F-153 radar
132. MK-CF-F-149 recurringDebtPayments
133. MK-CF-O-010 theMonth
134. MK-CF-F-171 earnerPay
135. MK-CF-F-204 line
136. MK-HM-F-006 money0
137. MK-CF-F-198 payrollTaxWithheld
138. MK-CF-F-172 hasWage
139. MK-CF-F-165 salaryMonths
140. MK-CF-F-070 benefitAnnual
141. MK-CF-F-065 equityVestWeights
142. MK-CF-F-206 householdK401ByMonth
143. MK-CF-F-087 monthlyTaxRates
144. MK-CF-F-073 otherIncomeMonth
145. MK-CF-F-066 rsuAnnual
146. MK-CF-F-077 scholarshipByCalendarMonth
147. MK-CF-F-088 taxableByCalendarMonth
148. MK-CF-F-177 wageGrossByMonth
149. MK-PL-F-012 waterfall
150. MK-CF-F-193 inflowSourceWord
151. MK-CF-F-180 enteredLandsAnnual
152. MK-CF-F-086 stateRateOf
153. MK-CF-F-067 rentalList
154. MK-CF-F-176 sumMonthsOverEarners
155. MK-CF-F-074 tipsAnnual
156. MK-CF-F-003 categoryMonthly
157. MK-CF-F-011 savingsByMonth
158. MK-NW-F-115 liveRent
159. MK-CF-F-023 requiredPayment
160. MK-ST-F-047 activeCurrency
161. MK-CF-F-099 deductionFor
162. MK-NW-F-124 maturityParts
163. MK-XS-F-147 call
164. MK-CF-F-148 inMonth
165. MK-CF-F-152 isRadarItem
166. MK-CF-O-003 thisMonth
167. MK-CF-F-143 annualisedGross
168. MK-CF-F-145 deductionsFromPay
169. MK-CF-F-128 grossByMonth
170. MK-CF-F-146 payFiguresAgree
171. MK-CF-F-144 takeHomeAsEntered
172. MK-XS-F-180 declareFigures
173. MK-HM-F-005 pctTxt
174. MK-CF-F-062 equityRowValue
175. MK-CF-F-090 effectiveRate
176. MK-CF-F-063 rowVestYear
177. MK-CF-F-130 enteredMonthlyRaw
178. MK-CF-F-166 hasMonthlySalaryTable
179. MK-ST-F-036 reconcile
180. MK-CF-F-167 salaryCalendarYear
181. MK-CF-F-081 salaryActiveMonths
182. MK-CF-F-008 spendByMonth
183. MK-NW-F-114 rentAmount
184. MK-CF-F-187 seniorDeductionFor
185. MK-XS-F-064 currentIdToken
186. MK-XS-F-112 relayUrl
187. MK-CF-F-005 actualMonthFlow
188. MK-CF-F-156 plannedMonthFlow
189. MK-CF-F-142 monthsOf
190. MK-CF-F-141 perMonth
191. MK-NW-F-078 ONE
192. MK-CF-F-157 debtPaymentsByDebt
193. MK-CF-F-140 periodsAYear
194. MK-NW-F-077 ALL
195. MK-NW-F-059 currentYield
196. MK-NW-O-001 theBonds
197. MK-NW-F-112 yearlyInterest
198. MK-NW-F-057 annualCoupon
199. MK-NW-F-056 bondInfo
200. MK-NW-F-064 bondRateSensitivity
201. MK-NW-F-061 bondSummary
202. MK-NW-F-055 isBond
203. MK-NW-F-072 rowOf
204. MK-NW-F-060 approxYTM
205. MK-NW-F-069 priceAtYield
206. MK-NW-F-131 pricedLikeBond
207. MK-NW-F-125 isPastMaturity
208. MK-NW-F-126 yearlyInterestNow
209. MK-NW-F-070 accruedInterestCaveat
210. MK-NW-F-058 yearsToMaturity
211. MK-NW-F-119 estimatedAccrued</t>
        </is>
      </c>
      <c r="R646"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46" s="3" t="inlineStr">
        <is>
          <t>—</t>
        </is>
      </c>
      <c r="T646" s="3" t="inlineStr">
        <is>
          <t>—</t>
        </is>
      </c>
      <c r="U646" s="3" t="inlineStr">
        <is>
          <t>ACTIVE</t>
        </is>
      </c>
      <c r="V646" s="3" t="inlineStr">
        <is>
          <t>2026-08-27</t>
        </is>
      </c>
      <c r="W646" s="3" t="n"/>
      <c r="X646" s="3" t="n"/>
      <c r="Y646" s="3" t="inlineStr">
        <is>
          <t>NOTHING OPEN</t>
        </is>
      </c>
    </row>
    <row r="647" ht="60" customHeight="1">
      <c r="A647" s="3" t="inlineStr">
        <is>
          <t>MK-XS-F-080</t>
        </is>
      </c>
      <c r="B647" s="3" t="inlineStr">
        <is>
          <t>submitFeedback</t>
        </is>
      </c>
      <c r="C647" s="3" t="inlineStr">
        <is>
          <t>src/services/firebase.ts</t>
        </is>
      </c>
      <c r="D647" s="3" t="n">
        <v>693</v>
      </c>
      <c r="E647" s="3" t="inlineStr">
        <is>
          <t>1 · ACTION</t>
        </is>
      </c>
      <c r="F647" s="3" t="inlineStr">
        <is>
          <t>NOT DETERMINED — the code carries no note saying what this is for, and it has no row in the old inventory. Needs reading.</t>
        </is>
      </c>
      <c r="G647" s="11" t="inlineStr">
        <is>
          <t>It reaches outside the app for data and hands back what came back — no arithmetic of its own.</t>
        </is>
      </c>
      <c r="H647" s="3" t="inlineStr">
        <is>
          <t>It reaches outside the app for data and hands back what came back — no arithmetic of its own.</t>
        </is>
      </c>
      <c r="I647" s="3" t="inlineStr">
        <is>
          <t>NO ARITHMETIC — there is no formula to state</t>
        </is>
      </c>
      <c r="J647" s="3" t="inlineStr">
        <is>
          <t>Nothing is handed to it</t>
        </is>
      </c>
      <c r="K647" s="3" t="inlineStr">
        <is>
          <t>NOT DECLARED — the code does not say what it gives back</t>
        </is>
      </c>
      <c r="L647" s="3" t="inlineStr">
        <is>
          <t>—</t>
        </is>
      </c>
      <c r="M647" s="3" t="inlineStr">
        <is>
          <t>None found in this function — anything it assumes comes from the functions it depends on.</t>
        </is>
      </c>
      <c r="N647" s="3" t="inlineStr">
        <is>
          <t>Yes</t>
        </is>
      </c>
      <c r="O647" s="3" t="inlineStr">
        <is>
          <t>—</t>
        </is>
      </c>
      <c r="P647" s="3" t="n">
        <v>0</v>
      </c>
      <c r="Q647" s="3" t="inlineStr">
        <is>
          <t>None — no dependent function stands behind it</t>
        </is>
      </c>
      <c r="R647" s="3" t="inlineStr">
        <is>
          <t>No dependent function — it reads its inputs and answers</t>
        </is>
      </c>
      <c r="S647" s="3" t="inlineStr">
        <is>
          <t>—</t>
        </is>
      </c>
      <c r="T647" s="3" t="inlineStr">
        <is>
          <t>—</t>
        </is>
      </c>
      <c r="U647" s="3" t="inlineStr">
        <is>
          <t>ACTIVE</t>
        </is>
      </c>
      <c r="V647" s="3" t="inlineStr">
        <is>
          <t>2026-08-27</t>
        </is>
      </c>
      <c r="W647" s="3" t="n"/>
      <c r="X647" s="3" t="n"/>
      <c r="Y647" s="3" t="inlineStr">
        <is>
          <t>NOTHING OPEN</t>
        </is>
      </c>
    </row>
    <row r="648" ht="45" customHeight="1">
      <c r="A648" s="3" t="inlineStr">
        <is>
          <t>MK-XS-F-081</t>
        </is>
      </c>
      <c r="B648" s="3" t="inlineStr">
        <is>
          <t>isPlausibleTicker</t>
        </is>
      </c>
      <c r="C648" s="3" t="inlineStr">
        <is>
          <t>src/services/marketData.ts</t>
        </is>
      </c>
      <c r="D648" s="3" t="n">
        <v>96</v>
      </c>
      <c r="E648" s="3" t="inlineStr">
        <is>
          <t>2 · DISPLAYED</t>
        </is>
      </c>
      <c r="F648" s="3" t="inlineStr">
        <is>
          <t>Is a ticker plausibly valid before we spend a network call?</t>
        </is>
      </c>
      <c r="G648" s="11" t="inlineStr">
        <is>
          <t>÷ ^[A − za − z]{1,6}([.\-][A − za − z]{1,4})?$ ÷ .test((ticker ?? '').trim())</t>
        </is>
      </c>
      <c r="H648" s="3" t="inlineStr">
        <is>
          <t>÷ ^[A minus za minus z]{1,6}([.\-][A minus za minus z]{1,4})?$ divided by .test((ticker ?? '').trim()).</t>
        </is>
      </c>
      <c r="I648" s="3" t="inlineStr">
        <is>
          <t>PARTLY READ — some of the code is still showing through; needs a hand pass</t>
        </is>
      </c>
      <c r="J648" s="3" t="inlineStr">
        <is>
          <t>ticker: string</t>
        </is>
      </c>
      <c r="K648" s="3" t="inlineStr">
        <is>
          <t>boolean</t>
        </is>
      </c>
      <c r="L648" s="3" t="inlineStr">
        <is>
          <t>NOT FOUND — a screen calls it, but the words printed beside its answer could not be traced automatically. Needs reading.</t>
        </is>
      </c>
      <c r="M648" s="3" t="inlineStr">
        <is>
          <t>None found in this function — anything it assumes comes from the functions it depends on.</t>
        </is>
      </c>
      <c r="N648" s="3" t="inlineStr">
        <is>
          <t>Yes</t>
        </is>
      </c>
      <c r="O648" s="3" t="inlineStr">
        <is>
          <t>—</t>
        </is>
      </c>
      <c r="P648" s="3" t="n">
        <v>0</v>
      </c>
      <c r="Q648" s="3" t="inlineStr">
        <is>
          <t>None — no dependent function stands behind it</t>
        </is>
      </c>
      <c r="R648" s="3" t="inlineStr">
        <is>
          <t>No dependent function — it reads its inputs and answers</t>
        </is>
      </c>
      <c r="S648" s="3" t="inlineStr">
        <is>
          <t>—</t>
        </is>
      </c>
      <c r="T648" s="3" t="inlineStr">
        <is>
          <t>TICKER_PLAUSIBLE</t>
        </is>
      </c>
      <c r="U648" s="3" t="inlineStr">
        <is>
          <t>ACTIVE</t>
        </is>
      </c>
      <c r="V648" s="3" t="inlineStr">
        <is>
          <t>2026-08-27</t>
        </is>
      </c>
      <c r="W648" s="3" t="n"/>
      <c r="X648" s="3" t="n"/>
      <c r="Y648" s="3" t="inlineStr">
        <is>
          <t>NOTHING OPEN</t>
        </is>
      </c>
    </row>
    <row r="649" ht="60" customHeight="1">
      <c r="A649" s="3" t="inlineStr">
        <is>
          <t>MK-XS-F-082</t>
        </is>
      </c>
      <c r="B649" s="3" t="inlineStr">
        <is>
          <t>priceFreshness</t>
        </is>
      </c>
      <c r="C649" s="3" t="inlineStr">
        <is>
          <t>src/services/marketData.ts</t>
        </is>
      </c>
      <c r="D649" s="3" t="n">
        <v>120</v>
      </c>
      <c r="E649" s="3" t="inlineStr">
        <is>
          <t>2 · DISPLAYED</t>
        </is>
      </c>
      <c r="F649" s="3" t="inlineStr">
        <is>
          <t>Human freshness of the price cache + whether it's stale enough to warn (markets move daily, so anything older than ~4 days — a long weekend/holiday — is worth a "may be out of date" note).</t>
        </is>
      </c>
      <c r="G649" s="11" t="inlineStr">
        <is>
          <t>age   = now − the moment prices were last fetched
stale = age ≥ 4 days,  or nothing was ever fetched,  or the moment cannot be read</t>
        </is>
      </c>
      <c r="H649"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49" s="3" t="inlineStr">
        <is>
          <t>READ BY HAND 2026-08-26 — checked line by line against the code</t>
        </is>
      </c>
      <c r="J649" s="3" t="inlineStr">
        <is>
          <t>1. fetchedAt: string | null | undefined
2. now: number</t>
        </is>
      </c>
      <c r="K649" s="3" t="inlineStr">
        <is>
          <t>PriceFreshness</t>
        </is>
      </c>
      <c r="L649" s="3" t="inlineStr">
        <is>
          <t>"Performance" — on the Performance screen</t>
        </is>
      </c>
      <c r="M649" s="3" t="inlineStr">
        <is>
          <t>None found in this function — anything it assumes comes from the functions it depends on.</t>
        </is>
      </c>
      <c r="N649" s="3" t="inlineStr">
        <is>
          <t>Yes</t>
        </is>
      </c>
      <c r="O649" s="3" t="inlineStr">
        <is>
          <t>1. MK-ST-F-075 agoLabel
2. MK-ST-F-077 isStale</t>
        </is>
      </c>
      <c r="P649" s="3" t="n">
        <v>5</v>
      </c>
      <c r="Q649" s="3" t="inlineStr">
        <is>
          <t>1. MK-ST-F-075 agoLabel
2. MK-ST-F-077 isStale
3. MK-XS-F-170 daysSince
4. MK-NW-F-067 plural
5. MK-XS-F-122 n</t>
        </is>
      </c>
      <c r="R649" s="3" t="inlineStr">
        <is>
          <t>1. MK-XS-F-170 daysSince → MK-ST-F-075 agoLabel → MK-XS-F-082 priceFreshness
2. MK-XS-F-122 n → MK-NW-F-067 plural → MK-ST-F-075 agoLabel → MK-XS-F-082 priceFreshness
3. MK-XS-F-170 daysSince → MK-ST-F-077 isStale → MK-XS-F-082 priceFreshness</t>
        </is>
      </c>
      <c r="S649" s="3" t="inlineStr">
        <is>
          <t>MK-HM-M-001</t>
        </is>
      </c>
      <c r="T649" s="3" t="inlineStr">
        <is>
          <t>PRICE_FRESHNESS</t>
        </is>
      </c>
      <c r="U649" s="3" t="inlineStr">
        <is>
          <t>ACTIVE</t>
        </is>
      </c>
      <c r="V649" s="3" t="inlineStr">
        <is>
          <t>2026-08-27</t>
        </is>
      </c>
      <c r="W649" s="3" t="n"/>
      <c r="X649" s="3" t="n"/>
      <c r="Y649" s="3" t="inlineStr">
        <is>
          <t>NOTHING OPEN</t>
        </is>
      </c>
    </row>
    <row r="650" ht="60" customHeight="1">
      <c r="A650" s="3" t="inlineStr">
        <is>
          <t>MK-XS-F-083</t>
        </is>
      </c>
      <c r="B650" s="3" t="inlineStr">
        <is>
          <t>fetchPriceSeries</t>
        </is>
      </c>
      <c r="C650" s="3" t="inlineStr">
        <is>
          <t>src/services/marketData.ts</t>
        </is>
      </c>
      <c r="D650" s="3" t="n">
        <v>160</v>
      </c>
      <c r="E650" s="3" t="inlineStr">
        <is>
          <t>3 · DEPENDENT</t>
        </is>
      </c>
      <c r="F650" s="3" t="inlineStr">
        <is>
          <t>Fetch many tickers in parallel; returns only the ones that resolved.</t>
        </is>
      </c>
      <c r="G650" s="11" t="inlineStr">
        <is>
          <t>unique = array.from(new set(tickers.map((t) =&gt; trim().to upper case()).filter(boolean)))
results = await promise.all settled(unique.map((t) =&gt; provider.fetch series(t, range)))
out = {}
r = results[i]
the answer = out</t>
        </is>
      </c>
      <c r="H650" s="3" t="inlineStr">
        <is>
          <t>Unique is array.from(new set(tickers.map((t) =&gt; trim().to upper case()).filter(boolean))). Results is await promise.all settled(unique.map((t) =&gt; provider.fetch series(t, range))). Out is {}. R is results[i]. The answer is out.</t>
        </is>
      </c>
      <c r="I650" s="3" t="inlineStr">
        <is>
          <t>PARTLY READ — some of the code is still showing through; needs a hand pass</t>
        </is>
      </c>
      <c r="J650" s="3" t="inlineStr">
        <is>
          <t>Nothing is handed to it</t>
        </is>
      </c>
      <c r="K650" s="3" t="inlineStr">
        <is>
          <t>NOT DECLARED — the code does not say what it gives back</t>
        </is>
      </c>
      <c r="L650" s="3" t="inlineStr">
        <is>
          <t>—</t>
        </is>
      </c>
      <c r="M650" s="3" t="inlineStr">
        <is>
          <t>None found in this function — anything it assumes comes from the functions it depends on.</t>
        </is>
      </c>
      <c r="N650" s="3" t="inlineStr">
        <is>
          <t>Yes</t>
        </is>
      </c>
      <c r="O650" s="3" t="inlineStr">
        <is>
          <t>MK-CF-F-132 map</t>
        </is>
      </c>
      <c r="P650" s="3" t="n">
        <v>1</v>
      </c>
      <c r="Q650" s="3" t="inlineStr">
        <is>
          <t>MK-CF-F-132 map</t>
        </is>
      </c>
      <c r="R650" s="3" t="inlineStr">
        <is>
          <t>MK-CF-F-132 map → MK-XS-F-083 fetchPriceSeries</t>
        </is>
      </c>
      <c r="S650" s="3" t="inlineStr">
        <is>
          <t>—</t>
        </is>
      </c>
      <c r="T650" s="3" t="inlineStr">
        <is>
          <t>FETCH_PRICES</t>
        </is>
      </c>
      <c r="U650" s="3" t="inlineStr">
        <is>
          <t>ACTIVE</t>
        </is>
      </c>
      <c r="V650" s="3" t="inlineStr">
        <is>
          <t>2026-09-12</t>
        </is>
      </c>
      <c r="W650" s="3" t="n"/>
      <c r="X650" s="3" t="n"/>
      <c r="Y650" s="3" t="inlineStr">
        <is>
          <t>NOTHING OPEN</t>
        </is>
      </c>
    </row>
    <row r="651" ht="60" customHeight="1">
      <c r="A651" s="3" t="inlineStr">
        <is>
          <t>MK-XS-F-084</t>
        </is>
      </c>
      <c r="B651" s="3" t="inlineStr">
        <is>
          <t>requestNotificationPermission</t>
        </is>
      </c>
      <c r="C651" s="3" t="inlineStr">
        <is>
          <t>src/services/notifications.ts</t>
        </is>
      </c>
      <c r="D651" s="3" t="n">
        <v>34</v>
      </c>
      <c r="E651" s="3" t="inlineStr">
        <is>
          <t>2 · DISPLAYED</t>
        </is>
      </c>
      <c r="F651" s="3" t="inlineStr">
        <is>
          <t>NOT DETERMINED — the code carries no note saying what this is for, and it has no row in the old inventory. Needs reading.</t>
        </is>
      </c>
      <c r="G651" s="11" t="inlineStr">
        <is>
          <t>false   when device.is device is missing
true   when existing = 'granted'
status = 'granted'</t>
        </is>
      </c>
      <c r="H651" s="3" t="inlineStr">
        <is>
          <t>When device.is device is missing, it answers false. When existing = 'granted', it answers true. status = 'granted'.</t>
        </is>
      </c>
      <c r="I651" s="3" t="inlineStr">
        <is>
          <t>READ FROM THE CODE — rendered from the expressions the function runs</t>
        </is>
      </c>
      <c r="J651" s="3" t="inlineStr">
        <is>
          <t>Nothing is handed to it</t>
        </is>
      </c>
      <c r="K651" s="3" t="inlineStr">
        <is>
          <t>Promise&lt;boolean&gt;</t>
        </is>
      </c>
      <c r="L651" s="3" t="inlineStr">
        <is>
          <t>NOT FOUND — a screen calls it, but the words printed beside its answer could not be traced automatically. Needs reading.</t>
        </is>
      </c>
      <c r="M651" s="3" t="inlineStr">
        <is>
          <t>None found in this function — anything it assumes comes from the functions it depends on.</t>
        </is>
      </c>
      <c r="N651" s="3" t="inlineStr">
        <is>
          <t>Yes</t>
        </is>
      </c>
      <c r="O651" s="3" t="inlineStr">
        <is>
          <t>—</t>
        </is>
      </c>
      <c r="P651" s="3" t="n">
        <v>0</v>
      </c>
      <c r="Q651" s="3" t="inlineStr">
        <is>
          <t>None — no dependent function stands behind it</t>
        </is>
      </c>
      <c r="R651" s="3" t="inlineStr">
        <is>
          <t>No dependent function — it reads its inputs and answers</t>
        </is>
      </c>
      <c r="S651" s="3" t="inlineStr">
        <is>
          <t>—</t>
        </is>
      </c>
      <c r="T651" s="3" t="inlineStr">
        <is>
          <t>—</t>
        </is>
      </c>
      <c r="U651" s="3" t="inlineStr">
        <is>
          <t>ACTIVE</t>
        </is>
      </c>
      <c r="V651" s="3" t="inlineStr">
        <is>
          <t>2026-08-27</t>
        </is>
      </c>
      <c r="W651" s="3" t="n"/>
      <c r="X651" s="3" t="n"/>
      <c r="Y651" s="3" t="inlineStr">
        <is>
          <t>NOTHING OPEN</t>
        </is>
      </c>
    </row>
    <row r="652" ht="30" customHeight="1">
      <c r="A652" s="3" t="inlineStr">
        <is>
          <t>MK-XS-F-085</t>
        </is>
      </c>
      <c r="B652" s="3" t="inlineStr">
        <is>
          <t>scheduleStreakReminder</t>
        </is>
      </c>
      <c r="C652" s="3" t="inlineStr">
        <is>
          <t>src/services/notifications.ts</t>
        </is>
      </c>
      <c r="D652" s="3" t="n">
        <v>60</v>
      </c>
      <c r="E652" s="3" t="inlineStr">
        <is>
          <t>1 · ACTION</t>
        </is>
      </c>
      <c r="F652" s="3" t="inlineStr">
        <is>
          <t>── Schedule daily streak reminder ─────────────────────────────────</t>
        </is>
      </c>
      <c r="G652" s="11" t="inlineStr">
        <is>
          <t>cancels the existing reminder, then schedules a daily one at 20:00</t>
        </is>
      </c>
      <c r="H652" s="3" t="inlineStr">
        <is>
          <t>Schedules the daily 8 pm streak reminder, replacing any existing one. Not a calculation.</t>
        </is>
      </c>
      <c r="I652" s="3" t="inlineStr">
        <is>
          <t>READ BY HAND 2026-08-26 — checked line by line against the code</t>
        </is>
      </c>
      <c r="J652" s="3" t="inlineStr">
        <is>
          <t>Nothing is handed to it</t>
        </is>
      </c>
      <c r="K652" s="3" t="inlineStr">
        <is>
          <t>NOT DECLARED — the code does not say what it gives back</t>
        </is>
      </c>
      <c r="L652" s="3" t="inlineStr">
        <is>
          <t>—</t>
        </is>
      </c>
      <c r="M652" s="3" t="inlineStr">
        <is>
          <t>None found in this function — anything it assumes comes from the functions it depends on.</t>
        </is>
      </c>
      <c r="N652" s="3" t="inlineStr">
        <is>
          <t>No</t>
        </is>
      </c>
      <c r="O652" s="3" t="inlineStr">
        <is>
          <t>—</t>
        </is>
      </c>
      <c r="P652" s="3" t="n">
        <v>0</v>
      </c>
      <c r="Q652" s="3" t="inlineStr">
        <is>
          <t>None — no dependent function stands behind it</t>
        </is>
      </c>
      <c r="R652" s="3" t="inlineStr">
        <is>
          <t>No dependent function — it reads its inputs and answers</t>
        </is>
      </c>
      <c r="S652" s="3" t="inlineStr">
        <is>
          <t>—</t>
        </is>
      </c>
      <c r="T652" s="3" t="inlineStr">
        <is>
          <t>—</t>
        </is>
      </c>
      <c r="U652" s="3" t="inlineStr">
        <is>
          <t>ACTIVE</t>
        </is>
      </c>
      <c r="V652" s="3" t="inlineStr">
        <is>
          <t>2026-09-12</t>
        </is>
      </c>
      <c r="W652" s="3" t="n"/>
      <c r="X652" s="3" t="n"/>
      <c r="Y652" s="3" t="inlineStr">
        <is>
          <t>NOTHING OPEN</t>
        </is>
      </c>
    </row>
    <row r="653" ht="30" customHeight="1">
      <c r="A653" s="3" t="inlineStr">
        <is>
          <t>MK-XS-F-086</t>
        </is>
      </c>
      <c r="B653" s="3" t="inlineStr">
        <is>
          <t>cancelStreakReminder</t>
        </is>
      </c>
      <c r="C653" s="3" t="inlineStr">
        <is>
          <t>src/services/notifications.ts</t>
        </is>
      </c>
      <c r="D653" s="3" t="n">
        <v>94</v>
      </c>
      <c r="E653" s="3" t="inlineStr">
        <is>
          <t>1 · ACTION</t>
        </is>
      </c>
      <c r="F653" s="3" t="inlineStr">
        <is>
          <t>── Cancel streak reminder (e.g.</t>
        </is>
      </c>
      <c r="G653" s="11" t="inlineStr">
        <is>
          <t>cancels the daily reminder</t>
        </is>
      </c>
      <c r="H653" s="3" t="inlineStr">
        <is>
          <t>Cancels the daily streak reminder. Not a calculation.</t>
        </is>
      </c>
      <c r="I653" s="3" t="inlineStr">
        <is>
          <t>READ BY HAND 2026-08-26 — checked line by line against the code</t>
        </is>
      </c>
      <c r="J653" s="3" t="inlineStr">
        <is>
          <t>Nothing is handed to it</t>
        </is>
      </c>
      <c r="K653" s="3" t="inlineStr">
        <is>
          <t>NOT DECLARED — the code does not say what it gives back</t>
        </is>
      </c>
      <c r="L653" s="3" t="inlineStr">
        <is>
          <t>—</t>
        </is>
      </c>
      <c r="M653" s="3" t="inlineStr">
        <is>
          <t>None found in this function — anything it assumes comes from the functions it depends on.</t>
        </is>
      </c>
      <c r="N653" s="3" t="inlineStr">
        <is>
          <t>No</t>
        </is>
      </c>
      <c r="O653" s="3" t="inlineStr">
        <is>
          <t>—</t>
        </is>
      </c>
      <c r="P653" s="3" t="n">
        <v>0</v>
      </c>
      <c r="Q653" s="3" t="inlineStr">
        <is>
          <t>None — no dependent function stands behind it</t>
        </is>
      </c>
      <c r="R653" s="3" t="inlineStr">
        <is>
          <t>No dependent function — it reads its inputs and answers</t>
        </is>
      </c>
      <c r="S653" s="3" t="inlineStr">
        <is>
          <t>—</t>
        </is>
      </c>
      <c r="T653" s="3" t="inlineStr">
        <is>
          <t>—</t>
        </is>
      </c>
      <c r="U653" s="3" t="inlineStr">
        <is>
          <t>ACTIVE</t>
        </is>
      </c>
      <c r="V653" s="3" t="inlineStr">
        <is>
          <t>2026-09-12</t>
        </is>
      </c>
      <c r="W653" s="3" t="n"/>
      <c r="X653" s="3" t="n"/>
      <c r="Y653" s="3" t="inlineStr">
        <is>
          <t>NOTHING OPEN</t>
        </is>
      </c>
    </row>
    <row r="654" ht="60" customHeight="1">
      <c r="A654" s="3" t="inlineStr">
        <is>
          <t>MK-XS-F-087</t>
        </is>
      </c>
      <c r="B654" s="3" t="inlineStr">
        <is>
          <t>scheduleRmdReminder</t>
        </is>
      </c>
      <c r="C654" s="3" t="inlineStr">
        <is>
          <t>src/services/notifications.ts</t>
        </is>
      </c>
      <c r="D654" s="3" t="n">
        <v>121</v>
      </c>
      <c r="E654" s="3" t="inlineStr">
        <is>
          <t>2 · DISPLAYED</t>
        </is>
      </c>
      <c r="F654" s="3" t="inlineStr">
        <is>
          <t>── Required-withdrawal reminders (FCC Plan r48/r51 — logistics only, no timing advice) ── November 1 nudge ahead of the Dec 31 deadline (this year or a future start year).</t>
        </is>
      </c>
      <c r="G654" s="11" t="inlineStr">
        <is>
          <t>id = `rmd − reminder-${year}`
fire at = the date year, 10, 1, 10, 0, 0
false   when fire at.get time() ≤ date.now()
the answer = true</t>
        </is>
      </c>
      <c r="H654" s="3" t="inlineStr">
        <is>
          <t>Id is `rmd minus reminder-${year}`. Fire at: the date year, 10, 1, 10, 0, 0. When fire at.get time() is at most date.now(), it answers false. The answer is true.</t>
        </is>
      </c>
      <c r="I654" s="3" t="inlineStr">
        <is>
          <t>PARTLY READ — some of the code is still showing through; needs a hand pass</t>
        </is>
      </c>
      <c r="J654" s="3" t="inlineStr">
        <is>
          <t>year: number</t>
        </is>
      </c>
      <c r="K654" s="3" t="inlineStr">
        <is>
          <t>NOT DECLARED — the code does not say what it gives back</t>
        </is>
      </c>
      <c r="L654" s="3" t="inlineStr">
        <is>
          <t>NOT FOUND — a screen calls it, but the words printed beside its answer could not be traced automatically. Needs reading.</t>
        </is>
      </c>
      <c r="M654" s="3" t="inlineStr">
        <is>
          <t>· Uses today's date from the device clock, so the answer changes by itself overnight.</t>
        </is>
      </c>
      <c r="N654" s="3" t="inlineStr">
        <is>
          <t>Yes</t>
        </is>
      </c>
      <c r="O654" s="3" t="inlineStr">
        <is>
          <t>—</t>
        </is>
      </c>
      <c r="P654" s="3" t="n">
        <v>0</v>
      </c>
      <c r="Q654" s="3" t="inlineStr">
        <is>
          <t>None — no dependent function stands behind it</t>
        </is>
      </c>
      <c r="R654" s="3" t="inlineStr">
        <is>
          <t>No dependent function — it reads its inputs and answers</t>
        </is>
      </c>
      <c r="S654" s="3" t="inlineStr">
        <is>
          <t>—</t>
        </is>
      </c>
      <c r="T654" s="3" t="inlineStr">
        <is>
          <t>—</t>
        </is>
      </c>
      <c r="U654" s="3" t="inlineStr">
        <is>
          <t>ACTIVE</t>
        </is>
      </c>
      <c r="V654" s="3" t="inlineStr">
        <is>
          <t>2026-08-27</t>
        </is>
      </c>
      <c r="W654" s="3" t="n"/>
      <c r="X654" s="3" t="n"/>
      <c r="Y654" s="3" t="inlineStr">
        <is>
          <t>NOTHING OPEN</t>
        </is>
      </c>
    </row>
    <row r="655" ht="45" customHeight="1">
      <c r="A655" s="3" t="inlineStr">
        <is>
          <t>MK-XS-F-088</t>
        </is>
      </c>
      <c r="B655" s="3" t="inlineStr">
        <is>
          <t>sendBudgetAlert</t>
        </is>
      </c>
      <c r="C655" s="3" t="inlineStr">
        <is>
          <t>src/services/notifications.ts</t>
        </is>
      </c>
      <c r="D655" s="3" t="n">
        <v>158</v>
      </c>
      <c r="E655" s="3" t="inlineStr">
        <is>
          <t>1 · ACTION</t>
        </is>
      </c>
      <c r="F655" s="3" t="inlineStr">
        <is>
          <t>── Budget alert (fire immediately) ────────────────────────────────</t>
        </is>
      </c>
      <c r="G655" s="11" t="inlineStr">
        <is>
          <t>sends one alert now: '&lt;category&gt; budget at &lt;round(pct)&gt;%'</t>
        </is>
      </c>
      <c r="H655" s="3" t="inlineStr">
        <is>
          <t>Sends an immediate alert naming the category and how much of its budget is used, to the whole percent. Display only.</t>
        </is>
      </c>
      <c r="I655" s="3" t="inlineStr">
        <is>
          <t>READ BY HAND 2026-08-26 — checked line by line against the code</t>
        </is>
      </c>
      <c r="J655" s="3" t="inlineStr">
        <is>
          <t>1. category: string
2. pct: number</t>
        </is>
      </c>
      <c r="K655" s="3" t="inlineStr">
        <is>
          <t>NOT DECLARED — the code does not say what it gives back</t>
        </is>
      </c>
      <c r="L655" s="3" t="inlineStr">
        <is>
          <t>—</t>
        </is>
      </c>
      <c r="M655" s="3" t="inlineStr">
        <is>
          <t>· Rounds the answer to a whole number.</t>
        </is>
      </c>
      <c r="N655" s="3" t="inlineStr">
        <is>
          <t>No</t>
        </is>
      </c>
      <c r="O655" s="3" t="inlineStr">
        <is>
          <t>—</t>
        </is>
      </c>
      <c r="P655" s="3" t="n">
        <v>0</v>
      </c>
      <c r="Q655" s="3" t="inlineStr">
        <is>
          <t>None — no dependent function stands behind it</t>
        </is>
      </c>
      <c r="R655" s="3" t="inlineStr">
        <is>
          <t>No dependent function — it reads its inputs and answers</t>
        </is>
      </c>
      <c r="S655" s="3" t="inlineStr">
        <is>
          <t>—</t>
        </is>
      </c>
      <c r="T655" s="3" t="inlineStr">
        <is>
          <t>—</t>
        </is>
      </c>
      <c r="U655" s="3" t="inlineStr">
        <is>
          <t>ACTIVE</t>
        </is>
      </c>
      <c r="V655" s="3" t="inlineStr">
        <is>
          <t>2026-09-12</t>
        </is>
      </c>
      <c r="W655" s="3" t="n"/>
      <c r="X655" s="3" t="n"/>
      <c r="Y655" s="3" t="inlineStr">
        <is>
          <t>NOTHING OPEN</t>
        </is>
      </c>
    </row>
    <row r="656" ht="30" customHeight="1">
      <c r="A656" s="3" t="inlineStr">
        <is>
          <t>MK-XS-F-089</t>
        </is>
      </c>
      <c r="B656" s="3" t="inlineStr">
        <is>
          <t>scheduleWeeklySummary</t>
        </is>
      </c>
      <c r="C656" s="3" t="inlineStr">
        <is>
          <t>src/services/notifications.ts</t>
        </is>
      </c>
      <c r="D656" s="3" t="n">
        <v>186</v>
      </c>
      <c r="E656" s="3" t="inlineStr">
        <is>
          <t>1 · ACTION</t>
        </is>
      </c>
      <c r="F656" s="3" t="inlineStr">
        <is>
          <t>── Weekly summary notification ────────────────────────────────────</t>
        </is>
      </c>
      <c r="G656" s="11" t="inlineStr">
        <is>
          <t>cancels the existing summary, then schedules a weekly one on Monday at 09:00</t>
        </is>
      </c>
      <c r="H656" s="3" t="inlineStr">
        <is>
          <t>Schedules the Monday 9 am weekly summary, replacing any existing one. Not a calculation.</t>
        </is>
      </c>
      <c r="I656" s="3" t="inlineStr">
        <is>
          <t>READ BY HAND 2026-08-26 — checked line by line against the code</t>
        </is>
      </c>
      <c r="J656" s="3" t="inlineStr">
        <is>
          <t>Nothing is handed to it</t>
        </is>
      </c>
      <c r="K656" s="3" t="inlineStr">
        <is>
          <t>NOT DECLARED — the code does not say what it gives back</t>
        </is>
      </c>
      <c r="L656" s="3" t="inlineStr">
        <is>
          <t>—</t>
        </is>
      </c>
      <c r="M656" s="3" t="inlineStr">
        <is>
          <t>None found in this function — anything it assumes comes from the functions it depends on.</t>
        </is>
      </c>
      <c r="N656" s="3" t="inlineStr">
        <is>
          <t>No</t>
        </is>
      </c>
      <c r="O656" s="3" t="inlineStr">
        <is>
          <t>—</t>
        </is>
      </c>
      <c r="P656" s="3" t="n">
        <v>0</v>
      </c>
      <c r="Q656" s="3" t="inlineStr">
        <is>
          <t>None — no dependent function stands behind it</t>
        </is>
      </c>
      <c r="R656" s="3" t="inlineStr">
        <is>
          <t>No dependent function — it reads its inputs and answers</t>
        </is>
      </c>
      <c r="S656" s="3" t="inlineStr">
        <is>
          <t>—</t>
        </is>
      </c>
      <c r="T656" s="3" t="inlineStr">
        <is>
          <t>—</t>
        </is>
      </c>
      <c r="U656" s="3" t="inlineStr">
        <is>
          <t>ACTIVE</t>
        </is>
      </c>
      <c r="V656" s="3" t="inlineStr">
        <is>
          <t>2026-09-12</t>
        </is>
      </c>
      <c r="W656" s="3" t="n"/>
      <c r="X656" s="3" t="n"/>
      <c r="Y656" s="3" t="inlineStr">
        <is>
          <t>NOTHING OPEN</t>
        </is>
      </c>
    </row>
    <row r="657" ht="45" customHeight="1">
      <c r="A657" s="3" t="inlineStr">
        <is>
          <t>MK-XS-F-090</t>
        </is>
      </c>
      <c r="B657" s="3" t="inlineStr">
        <is>
          <t>addNotificationResponseListener</t>
        </is>
      </c>
      <c r="C657" s="3" t="inlineStr">
        <is>
          <t>src/services/notifications.ts</t>
        </is>
      </c>
      <c r="D657" s="3" t="n">
        <v>221</v>
      </c>
      <c r="E657" s="3" t="inlineStr">
        <is>
          <t>3 · DEPENDENT (feeds an action only)</t>
        </is>
      </c>
      <c r="F657" s="3" t="inlineStr">
        <is>
          <t>── Listen for notification taps ───────────────────────────────────</t>
        </is>
      </c>
      <c r="G657" s="11" t="inlineStr">
        <is>
          <t>screen = response.notification.request.content.data.screen as string</t>
        </is>
      </c>
      <c r="H657" s="3" t="inlineStr">
        <is>
          <t>Screen is response.notification.request.content.data.screen as string.</t>
        </is>
      </c>
      <c r="I657" s="3" t="inlineStr">
        <is>
          <t>READ FROM THE CODE — rendered from the expressions the function runs</t>
        </is>
      </c>
      <c r="J657" s="3" t="inlineStr">
        <is>
          <t>Nothing is handed to it</t>
        </is>
      </c>
      <c r="K657" s="3" t="inlineStr">
        <is>
          <t>NOT DECLARED — the code does not say what it gives back</t>
        </is>
      </c>
      <c r="L657" s="3" t="inlineStr">
        <is>
          <t>—</t>
        </is>
      </c>
      <c r="M657" s="3" t="inlineStr">
        <is>
          <t>None found in this function — anything it assumes comes from the functions it depends on.</t>
        </is>
      </c>
      <c r="N657" s="3" t="inlineStr">
        <is>
          <t>No</t>
        </is>
      </c>
      <c r="O657" s="3" t="inlineStr">
        <is>
          <t>—</t>
        </is>
      </c>
      <c r="P657" s="3" t="n">
        <v>0</v>
      </c>
      <c r="Q657" s="3" t="inlineStr">
        <is>
          <t>None — no dependent function stands behind it</t>
        </is>
      </c>
      <c r="R657" s="3" t="inlineStr">
        <is>
          <t>No dependent function — it reads its inputs and answers</t>
        </is>
      </c>
      <c r="S657" s="3" t="inlineStr">
        <is>
          <t>—</t>
        </is>
      </c>
      <c r="T657" s="3" t="inlineStr">
        <is>
          <t>—</t>
        </is>
      </c>
      <c r="U657" s="3" t="inlineStr">
        <is>
          <t>ACTIVE</t>
        </is>
      </c>
      <c r="V657" s="3" t="inlineStr">
        <is>
          <t>2026-08-27</t>
        </is>
      </c>
      <c r="W657" s="3" t="n"/>
      <c r="X657" s="3" t="n"/>
      <c r="Y657" s="3" t="inlineStr">
        <is>
          <t>NOTHING OPEN</t>
        </is>
      </c>
    </row>
    <row r="658" ht="60" customHeight="1">
      <c r="A658" s="3" t="inlineStr">
        <is>
          <t>MK-XS-F-091</t>
        </is>
      </c>
      <c r="B658" s="3" t="inlineStr">
        <is>
          <t>scheduleSsWindowReminder</t>
        </is>
      </c>
      <c r="C658" s="3" t="inlineStr">
        <is>
          <t>src/services/notifications.ts</t>
        </is>
      </c>
      <c r="D658" s="3" t="n">
        <v>253</v>
      </c>
      <c r="E658" s="3" t="inlineStr">
        <is>
          <t>2 · DISPLAYED</t>
        </is>
      </c>
      <c r="F658" s="3" t="inlineStr">
        <is>
          <t>── Social Security claim-window reminder (design r18, built pre-48 per founder decision) ── Fires the month the claim window opens (their 62nd-birthday month), 10:00 on the 1st.</t>
        </is>
      </c>
      <c r="G658" s="11" t="inlineStr">
        <is>
          <t>id = 'ss − window − reminder'
fire at = the date opens year, opens month1 − 1, 1, 10, 0, 0
false   when fire at.get time() ≤ date.now()
the answer = true</t>
        </is>
      </c>
      <c r="H658" s="3" t="inlineStr">
        <is>
          <t>Id is 'ss minus window minus reminder'. Fire at: the date opens year, opens month1 minus 1, 1, 10, 0, 0. When fire at.get time() is at most date.now(), it answers false. The answer is true.</t>
        </is>
      </c>
      <c r="I658" s="3" t="inlineStr">
        <is>
          <t>PARTLY READ — some of the code is still showing through; needs a hand pass</t>
        </is>
      </c>
      <c r="J658" s="3" t="inlineStr">
        <is>
          <t>1. opensYear: number
2. opensMonth1: number</t>
        </is>
      </c>
      <c r="K658" s="3" t="inlineStr">
        <is>
          <t>NOT DECLARED — the code does not say what it gives back</t>
        </is>
      </c>
      <c r="L658" s="3" t="inlineStr">
        <is>
          <t>NOT FOUND — a screen calls it, but the words printed beside its answer could not be traced automatically. Needs reading.</t>
        </is>
      </c>
      <c r="M658" s="3" t="inlineStr">
        <is>
          <t>· Uses today's date from the device clock, so the answer changes by itself overnight.</t>
        </is>
      </c>
      <c r="N658" s="3" t="inlineStr">
        <is>
          <t>Yes</t>
        </is>
      </c>
      <c r="O658" s="3" t="inlineStr">
        <is>
          <t>—</t>
        </is>
      </c>
      <c r="P658" s="3" t="n">
        <v>0</v>
      </c>
      <c r="Q658" s="3" t="inlineStr">
        <is>
          <t>None — no dependent function stands behind it</t>
        </is>
      </c>
      <c r="R658" s="3" t="inlineStr">
        <is>
          <t>No dependent function — it reads its inputs and answers</t>
        </is>
      </c>
      <c r="S658" s="3" t="inlineStr">
        <is>
          <t>—</t>
        </is>
      </c>
      <c r="T658" s="3" t="inlineStr">
        <is>
          <t>—</t>
        </is>
      </c>
      <c r="U658" s="3" t="inlineStr">
        <is>
          <t>ACTIVE</t>
        </is>
      </c>
      <c r="V658" s="3" t="inlineStr">
        <is>
          <t>2026-08-27</t>
        </is>
      </c>
      <c r="W658" s="3" t="n"/>
      <c r="X658" s="3" t="n"/>
      <c r="Y658" s="3" t="inlineStr">
        <is>
          <t>NOTHING OPEN</t>
        </is>
      </c>
    </row>
    <row r="659" ht="60" customHeight="1">
      <c r="A659" s="3" t="inlineStr">
        <is>
          <t>MK-XS-F-092</t>
        </is>
      </c>
      <c r="B659" s="3" t="inlineStr">
        <is>
          <t>parseReceiptWithOCR</t>
        </is>
      </c>
      <c r="C659" s="3" t="inlineStr">
        <is>
          <t>src/services/receiptOCR.ts</t>
        </is>
      </c>
      <c r="D659" s="3" t="n">
        <v>40</v>
      </c>
      <c r="E659" s="3" t="inlineStr">
        <is>
          <t>4 · BRINGS DATA IN</t>
        </is>
      </c>
      <c r="F659" s="3" t="inlineStr">
        <is>
          <t>Sends a receipt image to Google Cloud Vision API for OCR, then parses the raw text to extract store, total, date, category.</t>
        </is>
      </c>
      <c r="G659" s="11" t="inlineStr">
        <is>
          <t>the answer = nothing
json = await response.json()
raw text = json.responses.[0].full text annotation.text (or '' when missing or zero)
nothing   when raw text is missing</t>
        </is>
      </c>
      <c r="H659" s="3" t="inlineStr">
        <is>
          <t>The answer is no answer. Json is await response.json(). Raw text is json.responses.[0].full text annotation.text (or '' — when missing or zero). When raw text is missing, it answers no answer.</t>
        </is>
      </c>
      <c r="I659" s="3" t="inlineStr">
        <is>
          <t>PARTLY READ — some of the code is still showing through; needs a hand pass</t>
        </is>
      </c>
      <c r="J659" s="3" t="inlineStr">
        <is>
          <t>imageUri: string</t>
        </is>
      </c>
      <c r="K659" s="3" t="inlineStr">
        <is>
          <t>Promise&lt;ParsedReceipt | null&gt;</t>
        </is>
      </c>
      <c r="L659" s="3" t="inlineStr">
        <is>
          <t>—</t>
        </is>
      </c>
      <c r="M659" s="3" t="inlineStr">
        <is>
          <t>None found in this function — anything it assumes comes from the functions it depends on.</t>
        </is>
      </c>
      <c r="N659" s="3" t="inlineStr">
        <is>
          <t>No</t>
        </is>
      </c>
      <c r="O659" s="3" t="inlineStr">
        <is>
          <t>MK-XS-F-094 parseReceiptText</t>
        </is>
      </c>
      <c r="P659" s="3" t="n">
        <v>116</v>
      </c>
      <c r="Q659"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MK-ST-F-039 on
43. MK-ST-F-027 accountId
44. MK-NW-F-057 annualCoupon
45. MK-NW-F-056 bondInfo
46. MK-NW-F-064 bondRateSensitivity
47. MK-NW-F-061 bondSummary
48. MK-NW-F-055 isBond
49. MK-NW-F-124 maturityParts
50. MK-NW-F-072 rowOf
51. MK-CF-F-069 benefitActiveMonths
52. MK-CF-F-072 currentRetirementIncomeMonthly
53. MK-CF-F-173 earnerWages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MK-CF-F-177 wageGrossByMonth
66. MK-PL-F-012 waterfall
67. MK-CF-F-008 spendByMonth
68. MK-ST-F-047 activeCurrency
69. MK-NW-F-060 approxYTM
70. MK-NW-F-069 priceAtYield
71. MK-NW-F-131 pricedLikeBond
72. MK-NW-F-125 isPastMaturity
73. MK-ST-F-065 isoLocalDate
74. MK-NW-F-126 yearlyInterestNow
75. MK-NW-F-011 assetClassOf
76. MK-NW-F-009 maturityClass
77. MK-CF-F-216 typed
78. MK-NW-F-070 accruedInterestCaveat
79. MK-NW-F-058 yearsToMaturity
80. MK-CF-F-075 retirementIncomeMonthly
81. MK-CF-F-172 hasWage
82. MK-CF-F-062 equityRowValue
83. MK-CF-F-070 benefitAnnual
84. MK-CF-F-176 sumMonthsOverEarners
85. MK-CF-F-090 effectiveRate
86. MK-CF-F-180 enteredLandsAnnual
87. MK-CF-F-085 filingStatusOf
88. MK-CF-F-089 over65CountOf
89. MK-CF-F-082 salaryAnnual
90. MK-CF-F-086 stateRateOf
91. MK-CF-F-101 taxOwedFor
92. MK-CF-F-084 taxableAnnual
93. MK-CF-F-067 rentalList
94. MK-CF-F-063 rowVestYear
95. MK-CF-F-130 enteredMonthlyRaw
96. MK-CF-F-166 hasMonthlySalaryTable
97. MK-ST-F-036 reconcile
98. MK-CF-F-167 salaryCalendarYear
99. MK-CF-F-120 pctBaseMonthly
100. MK-CF-F-004 spendBuckets
101. MK-NW-F-119 estimatedAccrued
102. MK-NW-F-120 classEvidenceOf
103. MK-NW-F-067 plural
104. MK-CF-F-100 taxableIncomeFor
105. MK-CF-F-074 tipsAnnual
106. MK-ST-F-085 rentFigure
107. MK-CF-F-165 salaryMonths
108. MK-CF-F-003 categoryMonthly
109. MK-NW-F-008 incomeBearingClassOf
110. MK-CF-F-099 deductionFor
111. MK-CF-F-081 salaryActiveMonths
112. MK-ST-F-010 nameEvidence
113. MK-CF-F-187 seniorDeductionFor
114. MK-XS-F-147 call
115. MK-XS-F-064 currentIdToken
116. MK-XS-F-112 relayUrl</t>
        </is>
      </c>
      <c r="R659"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59" s="3" t="inlineStr">
        <is>
          <t>—</t>
        </is>
      </c>
      <c r="T659" s="3" t="inlineStr">
        <is>
          <t>—</t>
        </is>
      </c>
      <c r="U659" s="3" t="inlineStr">
        <is>
          <t>ACTIVE</t>
        </is>
      </c>
      <c r="V659" s="3" t="inlineStr">
        <is>
          <t>2026-08-27</t>
        </is>
      </c>
      <c r="W659" s="3" t="n"/>
      <c r="X659" s="3" t="n"/>
      <c r="Y659" s="3" t="inlineStr">
        <is>
          <t>NOTHING OPEN</t>
        </is>
      </c>
    </row>
    <row r="660" ht="45" customHeight="1">
      <c r="A660" s="3" t="inlineStr">
        <is>
          <t>MK-XS-F-093</t>
        </is>
      </c>
      <c r="B660" s="3" t="inlineStr">
        <is>
          <t>stripNonMoney</t>
        </is>
      </c>
      <c r="C660" s="3" t="inlineStr">
        <is>
          <t>src/services/receiptOCR.ts</t>
        </is>
      </c>
      <c r="D660" s="3" t="n">
        <v>109</v>
      </c>
      <c r="E660" s="3" t="inlineStr">
        <is>
          <t>3 · DEPENDENT</t>
        </is>
      </c>
      <c r="F660" s="3" t="inlineStr">
        <is>
          <t>A DATE IS NOT MONEY.</t>
        </is>
      </c>
      <c r="G660" s="11" t="inlineStr">
        <is>
          <t>the answer = the line with dates (30.04.24, 04/30/24, 2024-04-30) and times (08:30, 7:54:10) blanked out</t>
        </is>
      </c>
      <c r="H660" s="3" t="inlineStr">
        <is>
          <t>Blanks the dates and times on a receipt line so only the money figures remain for reading. No arithmetic.</t>
        </is>
      </c>
      <c r="I660" s="3" t="inlineStr">
        <is>
          <t>READ BY HAND 2026-08-26 — checked line by line against the code</t>
        </is>
      </c>
      <c r="J660" s="3" t="inlineStr">
        <is>
          <t>line: string</t>
        </is>
      </c>
      <c r="K660" s="3" t="inlineStr">
        <is>
          <t>string</t>
        </is>
      </c>
      <c r="L660" s="3" t="inlineStr">
        <is>
          <t>—</t>
        </is>
      </c>
      <c r="M660" s="3" t="inlineStr">
        <is>
          <t>None found in this function — anything it assumes comes from the functions it depends on.</t>
        </is>
      </c>
      <c r="N660" s="3" t="inlineStr">
        <is>
          <t>Yes</t>
        </is>
      </c>
      <c r="O660" s="3" t="inlineStr">
        <is>
          <t>—</t>
        </is>
      </c>
      <c r="P660" s="3" t="n">
        <v>0</v>
      </c>
      <c r="Q660" s="3" t="inlineStr">
        <is>
          <t>None — no dependent function stands behind it</t>
        </is>
      </c>
      <c r="R660" s="3" t="inlineStr">
        <is>
          <t>No dependent function — it reads its inputs and answers</t>
        </is>
      </c>
      <c r="S660" s="3" t="inlineStr">
        <is>
          <t>—</t>
        </is>
      </c>
      <c r="T660" s="3" t="inlineStr">
        <is>
          <t>—</t>
        </is>
      </c>
      <c r="U660" s="3" t="inlineStr">
        <is>
          <t>ACTIVE</t>
        </is>
      </c>
      <c r="V660" s="3" t="inlineStr">
        <is>
          <t>2026-09-12</t>
        </is>
      </c>
      <c r="W660" s="3" t="n"/>
      <c r="X660" s="3" t="n"/>
      <c r="Y660" s="3" t="inlineStr">
        <is>
          <t>NOTHING OPEN</t>
        </is>
      </c>
    </row>
    <row r="661" ht="60" customHeight="1">
      <c r="A661" s="3" t="inlineStr">
        <is>
          <t>MK-XS-F-094</t>
        </is>
      </c>
      <c r="B661" s="3" t="inlineStr">
        <is>
          <t>parseReceiptText</t>
        </is>
      </c>
      <c r="C661" s="3" t="inlineStr">
        <is>
          <t>src/services/receiptOCR.ts</t>
        </is>
      </c>
      <c r="D661" s="3" t="n">
        <v>155</v>
      </c>
      <c r="E661" s="3" t="inlineStr">
        <is>
          <t>3 · DEPENDENT (feeds an action only)</t>
        </is>
      </c>
      <c r="F661" s="3" t="inlineStr">
        <is>
          <t>NOT DETERMINED — the code carries no note saying what this is for, and it has no row in the old inventory. Needs reading.</t>
        </is>
      </c>
      <c r="G661"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61"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61" s="3" t="inlineStr">
        <is>
          <t>PARTLY READ — some of the code is still showing through; needs a hand pass</t>
        </is>
      </c>
      <c r="J661" s="3" t="inlineStr">
        <is>
          <t>text: string</t>
        </is>
      </c>
      <c r="K661" s="3" t="inlineStr">
        <is>
          <t>ParsedReceipt</t>
        </is>
      </c>
      <c r="L661" s="3" t="inlineStr">
        <is>
          <t>—</t>
        </is>
      </c>
      <c r="M661" s="3" t="inlineStr">
        <is>
          <t>1. Uses a built-in strong t of 0.
2. Uses a built-in weak t of 0.
3. Uses a built-in subtotal of 0.
4. Uses a built-in largest safe of 0.
5. Uses today's date from the device clock, so the answer changes by itself overnight.</t>
        </is>
      </c>
      <c r="N661" s="3" t="inlineStr">
        <is>
          <t>No</t>
        </is>
      </c>
      <c r="O661" s="3" t="inlineStr">
        <is>
          <t>1. MK-XS-F-144 guessCategory
2. MK-CF-F-204 line
3. MK-CF-F-132 map
4. MK-XS-F-058 parseReceipt
5. MK-XS-F-093 stripNonMoney</t>
        </is>
      </c>
      <c r="P661" s="3" t="n">
        <v>115</v>
      </c>
      <c r="Q661"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MK-NW-F-124 maturityParts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MK-NW-F-131 pricedLikeBond
71. MK-NW-F-125 isPastMaturity
72. MK-ST-F-065 isoLocalDate
73. MK-NW-F-126 yearlyInterestNow
74. MK-NW-F-011 assetClassOf
75. MK-NW-F-009 maturityClass
76. MK-CF-F-216 typed
77. MK-NW-F-070 accruedInterestCaveat
78. MK-NW-F-058 yearsToMaturity
79. MK-CF-F-075 retirementIncomeMonthly
80. MK-CF-F-172 hasWage
81. MK-CF-F-062 equityRowValue
82. MK-CF-F-070 benefitAnnual
83. MK-CF-F-176 sumMonthsOverEarners
84. MK-CF-F-090 effectiveRate
85. MK-CF-F-180 enteredLandsAnnual
86. MK-CF-F-085 filingStatusOf
87. MK-CF-F-089 over65CountOf
88. MK-CF-F-082 salaryAnnual
89. MK-CF-F-086 stateRateOf
90. MK-CF-F-101 taxOwedFor
91. MK-CF-F-084 taxableAnnual
92. MK-CF-F-067 rentalList
93. MK-CF-F-063 rowVestYear
94. MK-CF-F-130 enteredMonthlyRaw
95. MK-CF-F-166 hasMonthlySalaryTable
96. MK-ST-F-036 reconcile
97. MK-CF-F-167 salaryCalendarYear
98. MK-CF-F-120 pctBaseMonthly
99. MK-CF-F-004 spendBuckets
100. MK-NW-F-119 estimatedAccrued
101. MK-NW-F-120 classEvidenceOf
102. MK-NW-F-067 plural
103. MK-CF-F-100 taxableIncomeFor
104. MK-CF-F-074 tipsAnnual
105. MK-ST-F-085 rentFigure
106. MK-CF-F-165 salaryMonths
107. MK-CF-F-003 categoryMonthly
108. MK-NW-F-008 incomeBearingClassOf
109. MK-CF-F-099 deductionFor
110. MK-CF-F-081 salaryActiveMonths
111. MK-ST-F-010 nameEvidence
112. MK-CF-F-187 seniorDeductionFor
113. MK-XS-F-147 call
114. MK-XS-F-064 currentIdToken
115. MK-XS-F-112 relayUrl</t>
        </is>
      </c>
      <c r="R661"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61" s="3" t="inlineStr">
        <is>
          <t>—</t>
        </is>
      </c>
      <c r="T661" s="3" t="inlineStr">
        <is>
          <t>—</t>
        </is>
      </c>
      <c r="U661" s="3" t="inlineStr">
        <is>
          <t>ACTIVE</t>
        </is>
      </c>
      <c r="V661" s="3" t="inlineStr">
        <is>
          <t>2026-08-27</t>
        </is>
      </c>
      <c r="W661" s="3" t="n"/>
      <c r="X661" s="3" t="n"/>
      <c r="Y661" s="3" t="inlineStr">
        <is>
          <t>NOTHING OPEN</t>
        </is>
      </c>
    </row>
    <row r="662" ht="60" customHeight="1">
      <c r="A662" s="3" t="inlineStr">
        <is>
          <t>MK-XS-F-095</t>
        </is>
      </c>
      <c r="B662" s="3" t="inlineStr">
        <is>
          <t>ocrAvailable</t>
        </is>
      </c>
      <c r="C662" s="3" t="inlineStr">
        <is>
          <t>src/services/receiptScan.ts</t>
        </is>
      </c>
      <c r="D662" s="3" t="n">
        <v>27</v>
      </c>
      <c r="E662" s="3" t="inlineStr">
        <is>
          <t>2 · DISPLAYED</t>
        </is>
      </c>
      <c r="F662" s="3" t="inlineStr">
        <is>
          <t>NOT DETERMINED — the code carries no note saying what this is for, and it has no row in the old inventory. Needs reading.</t>
        </is>
      </c>
      <c r="G662" s="11" t="inlineStr">
        <is>
          <t>the answer = true when the text-recognition module is present and usable</t>
        </is>
      </c>
      <c r="H662" s="3" t="inlineStr">
        <is>
          <t>Whether receipt scanning is available on this device. Not a calculation.</t>
        </is>
      </c>
      <c r="I662" s="3" t="inlineStr">
        <is>
          <t>READ BY HAND 2026-08-26 — checked line by line against the code</t>
        </is>
      </c>
      <c r="J662" s="3" t="inlineStr">
        <is>
          <t>Nothing is handed to it</t>
        </is>
      </c>
      <c r="K662" s="3" t="inlineStr">
        <is>
          <t>boolean</t>
        </is>
      </c>
      <c r="L662" s="3" t="inlineStr">
        <is>
          <t>NOT FOUND — a screen calls it, but the words printed beside its answer could not be traced automatically. Needs reading.</t>
        </is>
      </c>
      <c r="M662" s="3" t="inlineStr">
        <is>
          <t>None found in this function — anything it assumes comes from the functions it depends on.</t>
        </is>
      </c>
      <c r="N662" s="3" t="inlineStr">
        <is>
          <t>Yes</t>
        </is>
      </c>
      <c r="O662" s="3" t="inlineStr">
        <is>
          <t>—</t>
        </is>
      </c>
      <c r="P662" s="3" t="n">
        <v>0</v>
      </c>
      <c r="Q662" s="3" t="inlineStr">
        <is>
          <t>None — no dependent function stands behind it</t>
        </is>
      </c>
      <c r="R662" s="3" t="inlineStr">
        <is>
          <t>No dependent function — it reads its inputs and answers</t>
        </is>
      </c>
      <c r="S662" s="3" t="inlineStr">
        <is>
          <t>—</t>
        </is>
      </c>
      <c r="T662" s="3" t="inlineStr">
        <is>
          <t>—</t>
        </is>
      </c>
      <c r="U662" s="3" t="inlineStr">
        <is>
          <t>ACTIVE</t>
        </is>
      </c>
      <c r="V662" s="3" t="inlineStr">
        <is>
          <t>2026-09-12</t>
        </is>
      </c>
      <c r="W662" s="3" t="n"/>
      <c r="X662" s="3" t="n"/>
      <c r="Y662" s="3" t="inlineStr">
        <is>
          <t>NOTHING OPEN</t>
        </is>
      </c>
    </row>
    <row r="663" ht="60" customHeight="1">
      <c r="A663" s="3" t="inlineStr">
        <is>
          <t>MK-XS-F-096</t>
        </is>
      </c>
      <c r="B663" s="3" t="inlineStr">
        <is>
          <t>pickReceipt</t>
        </is>
      </c>
      <c r="C663" s="3" t="inlineStr">
        <is>
          <t>src/services/receiptScan.ts</t>
        </is>
      </c>
      <c r="D663" s="3" t="n">
        <v>55</v>
      </c>
      <c r="E663" s="3" t="inlineStr">
        <is>
          <t>2 · DISPLAYED</t>
        </is>
      </c>
      <c r="F663" s="3" t="inlineStr">
        <is>
          <t>Capture (camera) or pick (library) a receipt image; returns its uri or null if cancelled/denied.</t>
        </is>
      </c>
      <c r="G663"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63"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63" s="3" t="inlineStr">
        <is>
          <t>PARTLY READ — some of the code is still showing through; needs a hand pass</t>
        </is>
      </c>
      <c r="J663" s="3" t="inlineStr">
        <is>
          <t>source: 'camera' | 'library'</t>
        </is>
      </c>
      <c r="K663" s="3" t="inlineStr">
        <is>
          <t>Promise&lt;string | null&gt;</t>
        </is>
      </c>
      <c r="L663" s="3" t="inlineStr">
        <is>
          <t>NOT FOUND — a screen calls it, but the words printed beside its answer could not be traced automatically. Needs reading.</t>
        </is>
      </c>
      <c r="M663" s="3" t="inlineStr">
        <is>
          <t>None found in this function — anything it assumes comes from the functions it depends on.</t>
        </is>
      </c>
      <c r="N663" s="3" t="inlineStr">
        <is>
          <t>Yes</t>
        </is>
      </c>
      <c r="O663" s="3" t="inlineStr">
        <is>
          <t>MK-CF-F-204 line</t>
        </is>
      </c>
      <c r="P663" s="3" t="n">
        <v>112</v>
      </c>
      <c r="Q663"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MK-NW-F-112 yearlyInterest
37. MK-ST-F-048 currencySymbol
38. MK-ST-F-039 on
39. MK-ST-F-027 accountId
40. MK-NW-F-057 annualCoupon
41. MK-NW-F-056 bondInfo
42. MK-NW-F-064 bondRateSensitivity
43. MK-NW-F-061 bondSummary
44. MK-NW-F-055 isBond
45. MK-NW-F-124 maturityParts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MK-NW-F-131 pricedLikeBond
68. MK-NW-F-125 isPastMaturity
69. MK-ST-F-065 isoLocalDate
70. MK-NW-F-126 yearlyInterestNow
71. MK-NW-F-011 assetClassOf
72. MK-NW-F-009 maturityClass
73. MK-CF-F-216 typed
74. MK-NW-F-070 accruedInterestCaveat
75. MK-NW-F-058 yearsToMaturity
76. MK-CF-F-075 retirementIncomeMonthly
77. MK-CF-F-172 hasWage
78. MK-CF-F-062 equityRowValue
79. MK-CF-F-070 benefitAnnual
80. MK-CF-F-176 sumMonthsOverEarners
81. MK-CF-F-090 effectiveRate
82. MK-CF-F-180 enteredLandsAnnual
83. MK-CF-F-085 filingStatusOf
84. MK-CF-F-089 over65CountOf
85. MK-CF-F-082 salaryAnnual
86. MK-CF-F-086 stateRateOf
87. MK-CF-F-101 taxOwedFor
88. MK-CF-F-084 taxableAnnual
89. MK-CF-F-067 rentalList
90. MK-CF-F-063 rowVestYear
91. MK-CF-F-130 enteredMonthlyRaw
92. MK-CF-F-166 hasMonthlySalaryTable
93. MK-ST-F-036 reconcile
94. MK-CF-F-167 salaryCalendarYear
95. MK-CF-F-120 pctBaseMonthly
96. MK-CF-F-004 spendBuckets
97. MK-NW-F-119 estimatedAccrued
98. MK-NW-F-120 classEvidenceOf
99. MK-NW-F-067 plural
100. MK-CF-F-100 taxableIncomeFor
101. MK-CF-F-074 tipsAnnual
102. MK-ST-F-085 rentFigure
103. MK-CF-F-165 salaryMonths
104. MK-CF-F-003 categoryMonthly
105. MK-NW-F-008 incomeBearingClassOf
106. MK-CF-F-099 deductionFor
107. MK-CF-F-081 salaryActiveMonths
108. MK-ST-F-010 nameEvidence
109. MK-CF-F-187 seniorDeductionFor
110. MK-XS-F-147 call
111. MK-XS-F-064 currentIdToken
112. MK-XS-F-112 relayUrl</t>
        </is>
      </c>
      <c r="R663"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63" s="3" t="inlineStr">
        <is>
          <t>—</t>
        </is>
      </c>
      <c r="T663" s="3" t="inlineStr">
        <is>
          <t>—</t>
        </is>
      </c>
      <c r="U663" s="3" t="inlineStr">
        <is>
          <t>ACTIVE</t>
        </is>
      </c>
      <c r="V663" s="3" t="inlineStr">
        <is>
          <t>2026-08-27</t>
        </is>
      </c>
      <c r="W663" s="3" t="n"/>
      <c r="X663" s="3" t="n"/>
      <c r="Y663" s="3" t="inlineStr">
        <is>
          <t>NOTHING OPEN</t>
        </is>
      </c>
    </row>
    <row r="664" ht="60" customHeight="1">
      <c r="A664" s="3" t="inlineStr">
        <is>
          <t>MK-XS-F-097</t>
        </is>
      </c>
      <c r="B664" s="3" t="inlineStr">
        <is>
          <t>ocrReceipt</t>
        </is>
      </c>
      <c r="C664" s="3" t="inlineStr">
        <is>
          <t>src/services/receiptScan.ts</t>
        </is>
      </c>
      <c r="D664" s="3" t="n">
        <v>172</v>
      </c>
      <c r="E664" s="3" t="inlineStr">
        <is>
          <t>2 · DISPLAYED (presentation only)</t>
        </is>
      </c>
      <c r="F664" s="3" t="inlineStr">
        <is>
          <t>NOT DETERMINED — the code carries no note saying what this is for, and it has no row in the old inventory. Needs reading.</t>
        </is>
      </c>
      <c r="G664" s="11" t="inlineStr">
        <is>
          <t>raw = ''   when !ocr available()
res = await mlkit.recognize(uri)
text = res.text (or '' when missing)
the answer:
...parse receipt(text) = ...parse receipt(text)
raw = text</t>
        </is>
      </c>
      <c r="H664" s="3" t="inlineStr">
        <is>
          <t>When !ocr available(), it answers raw = ''. Res is await mlkit.recognize(uri). Text is res.text (or '' — when missing). The answer is ...parse receipt(text) = ...parse receipt(text); raw = text.</t>
        </is>
      </c>
      <c r="I664" s="3" t="inlineStr">
        <is>
          <t>PARTLY READ — some of the code is still showing through; needs a hand pass</t>
        </is>
      </c>
      <c r="J664" s="3" t="inlineStr">
        <is>
          <t>uri: string</t>
        </is>
      </c>
      <c r="K664" s="3" t="inlineStr">
        <is>
          <t>Promise&lt;</t>
        </is>
      </c>
      <c r="L664" s="3" t="inlineStr">
        <is>
          <t>NOT FOUND — a screen calls it, but the words printed beside its answer could not be traced automatically. Needs reading.</t>
        </is>
      </c>
      <c r="M664" s="3" t="inlineStr">
        <is>
          <t>None found in this function — anything it assumes comes from the functions it depends on.</t>
        </is>
      </c>
      <c r="N664" s="3" t="inlineStr">
        <is>
          <t>Yes</t>
        </is>
      </c>
      <c r="O664" s="3" t="inlineStr">
        <is>
          <t>1. MK-XS-F-095 ocrAvailable
2. MK-XS-F-058 parseReceipt</t>
        </is>
      </c>
      <c r="P664" s="3" t="n">
        <v>115</v>
      </c>
      <c r="Q664"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MK-NW-F-124 maturityParts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MK-NW-F-131 pricedLikeBond
71. MK-NW-F-125 isPastMaturity
72. MK-ST-F-065 isoLocalDate
73. MK-NW-F-126 yearlyInterestNow
74. MK-NW-F-011 assetClassOf
75. MK-NW-F-009 maturityClass
76. MK-CF-F-216 typed
77. MK-NW-F-070 accruedInterestCaveat
78. MK-NW-F-058 yearsToMaturity
79. MK-CF-F-075 retirementIncomeMonthly
80. MK-CF-F-172 hasWage
81. MK-CF-F-062 equityRowValue
82. MK-CF-F-070 benefitAnnual
83. MK-CF-F-176 sumMonthsOverEarners
84. MK-CF-F-090 effectiveRate
85. MK-CF-F-180 enteredLandsAnnual
86. MK-CF-F-085 filingStatusOf
87. MK-CF-F-089 over65CountOf
88. MK-CF-F-082 salaryAnnual
89. MK-CF-F-086 stateRateOf
90. MK-CF-F-101 taxOwedFor
91. MK-CF-F-084 taxableAnnual
92. MK-CF-F-067 rentalList
93. MK-CF-F-063 rowVestYear
94. MK-CF-F-130 enteredMonthlyRaw
95. MK-CF-F-166 hasMonthlySalaryTable
96. MK-ST-F-036 reconcile
97. MK-CF-F-167 salaryCalendarYear
98. MK-CF-F-120 pctBaseMonthly
99. MK-CF-F-004 spendBuckets
100. MK-NW-F-119 estimatedAccrued
101. MK-NW-F-120 classEvidenceOf
102. MK-NW-F-067 plural
103. MK-CF-F-100 taxableIncomeFor
104. MK-CF-F-074 tipsAnnual
105. MK-ST-F-085 rentFigure
106. MK-CF-F-165 salaryMonths
107. MK-CF-F-003 categoryMonthly
108. MK-NW-F-008 incomeBearingClassOf
109. MK-CF-F-099 deductionFor
110. MK-CF-F-081 salaryActiveMonths
111. MK-ST-F-010 nameEvidence
112. MK-CF-F-187 seniorDeductionFor
113. MK-XS-F-147 call
114. MK-XS-F-064 currentIdToken
115. MK-XS-F-112 relayUrl</t>
        </is>
      </c>
      <c r="R664"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64" s="3" t="inlineStr">
        <is>
          <t>—</t>
        </is>
      </c>
      <c r="T664" s="3" t="inlineStr">
        <is>
          <t>—</t>
        </is>
      </c>
      <c r="U664" s="3" t="inlineStr">
        <is>
          <t>ACTIVE</t>
        </is>
      </c>
      <c r="V664" s="3" t="inlineStr">
        <is>
          <t>2026-08-27</t>
        </is>
      </c>
      <c r="W664" s="3" t="n"/>
      <c r="X664" s="3" t="n"/>
      <c r="Y664" s="3" t="inlineStr">
        <is>
          <t>NOTHING OPEN</t>
        </is>
      </c>
    </row>
    <row r="665" ht="60" customHeight="1">
      <c r="A665" s="3" t="inlineStr">
        <is>
          <t>MK-XS-F-098</t>
        </is>
      </c>
      <c r="B665" s="3" t="inlineStr">
        <is>
          <t>setSyncProviderForTesting</t>
        </is>
      </c>
      <c r="C665" s="3" t="inlineStr">
        <is>
          <t>src/services/sync/index.ts</t>
        </is>
      </c>
      <c r="D665" s="3" t="n">
        <v>68</v>
      </c>
      <c r="E665" s="3" t="inlineStr">
        <is>
          <t>1 · ACTION</t>
        </is>
      </c>
      <c r="F665" s="3" t="inlineStr">
        <is>
          <t>NOT DETERMINED — the code carries no note saying what this is for, and it has no row in the old inventory. Needs reading.</t>
        </is>
      </c>
      <c r="G665" s="11" t="inlineStr">
        <is>
          <t>It records or announces something and returns no figure — no arithmetic of its own.</t>
        </is>
      </c>
      <c r="H665" s="3" t="inlineStr">
        <is>
          <t>It records or announces something and returns no figure — no arithmetic of its own.</t>
        </is>
      </c>
      <c r="I665" s="3" t="inlineStr">
        <is>
          <t>NO ARITHMETIC — there is no formula to state</t>
        </is>
      </c>
      <c r="J665" s="3" t="inlineStr">
        <is>
          <t>p: SyncProvider | null</t>
        </is>
      </c>
      <c r="K665" s="3" t="inlineStr">
        <is>
          <t>NOT DECLARED — the code does not say what it gives back</t>
        </is>
      </c>
      <c r="L665" s="3" t="inlineStr">
        <is>
          <t>—</t>
        </is>
      </c>
      <c r="M665" s="3" t="inlineStr">
        <is>
          <t>None found in this function — anything it assumes comes from the functions it depends on.</t>
        </is>
      </c>
      <c r="N665" s="3" t="inlineStr">
        <is>
          <t>No</t>
        </is>
      </c>
      <c r="O665" s="3" t="inlineStr">
        <is>
          <t>—</t>
        </is>
      </c>
      <c r="P665" s="3" t="n">
        <v>0</v>
      </c>
      <c r="Q665" s="3" t="inlineStr">
        <is>
          <t>None — no dependent function stands behind it</t>
        </is>
      </c>
      <c r="R665" s="3" t="inlineStr">
        <is>
          <t>No dependent function — it reads its inputs and answers</t>
        </is>
      </c>
      <c r="S665" s="3" t="inlineStr">
        <is>
          <t>—</t>
        </is>
      </c>
      <c r="T665" s="3" t="inlineStr">
        <is>
          <t>—</t>
        </is>
      </c>
      <c r="U665" s="3" t="inlineStr">
        <is>
          <t>ACTIVE</t>
        </is>
      </c>
      <c r="V665" s="3" t="inlineStr">
        <is>
          <t>2026-08-27</t>
        </is>
      </c>
      <c r="W665" s="3" t="n"/>
      <c r="X665" s="3" t="n"/>
      <c r="Y665" s="3" t="inlineStr">
        <is>
          <t>NOTHING OPEN</t>
        </is>
      </c>
    </row>
    <row r="666" ht="60" customHeight="1">
      <c r="A666" s="3" t="inlineStr">
        <is>
          <t>MK-XS-F-099</t>
        </is>
      </c>
      <c r="B666" s="3" t="inlineStr">
        <is>
          <t>activeSyncProvider</t>
        </is>
      </c>
      <c r="C666" s="3" t="inlineStr">
        <is>
          <t>src/services/sync/index.ts</t>
        </is>
      </c>
      <c r="D666" s="3" t="n">
        <v>89</v>
      </c>
      <c r="E666" s="3" t="inlineStr">
        <is>
          <t>2 · DISPLAYED</t>
        </is>
      </c>
      <c r="F666" s="3" t="inlineStr">
        <is>
          <t>The one lookup the UI uses.</t>
        </is>
      </c>
      <c r="G666" s="11" t="inlineStr">
        <is>
          <t>override provider   when override provider ! = undefined
new sandbox sync provider()   if typeof __DEV__ ! = 'undefined' and __DEV__
nothing   otherwise</t>
        </is>
      </c>
      <c r="H666" s="3" t="inlineStr">
        <is>
          <t>When override provider ! = undefined, it answers override provider. new sandbox sync provider() — when typeof __DEV__ ! = 'undefined' and __DEV__; no answer — otherwise.</t>
        </is>
      </c>
      <c r="I666" s="3" t="inlineStr">
        <is>
          <t>PARTLY READ — some of the code is still showing through; needs a hand pass</t>
        </is>
      </c>
      <c r="J666" s="3" t="inlineStr">
        <is>
          <t>Nothing is handed to it</t>
        </is>
      </c>
      <c r="K666" s="3" t="inlineStr">
        <is>
          <t>SyncProvider | null</t>
        </is>
      </c>
      <c r="L666" s="3" t="inlineStr">
        <is>
          <t>NOT FOUND — a screen calls it, but the words printed beside its answer could not be traced automatically. Needs reading.</t>
        </is>
      </c>
      <c r="M666" s="3" t="inlineStr">
        <is>
          <t>None found in this function — anything it assumes comes from the functions it depends on.</t>
        </is>
      </c>
      <c r="N666" s="3" t="inlineStr">
        <is>
          <t>Yes</t>
        </is>
      </c>
      <c r="O666" s="3" t="inlineStr">
        <is>
          <t>—</t>
        </is>
      </c>
      <c r="P666" s="3" t="n">
        <v>0</v>
      </c>
      <c r="Q666" s="3" t="inlineStr">
        <is>
          <t>None — no dependent function stands behind it</t>
        </is>
      </c>
      <c r="R666" s="3" t="inlineStr">
        <is>
          <t>No dependent function — it reads its inputs and answers</t>
        </is>
      </c>
      <c r="S666" s="3" t="inlineStr">
        <is>
          <t>—</t>
        </is>
      </c>
      <c r="T666" s="3" t="inlineStr">
        <is>
          <t>—</t>
        </is>
      </c>
      <c r="U666" s="3" t="inlineStr">
        <is>
          <t>ACTIVE</t>
        </is>
      </c>
      <c r="V666" s="3" t="inlineStr">
        <is>
          <t>2026-08-27</t>
        </is>
      </c>
      <c r="W666" s="3" t="n"/>
      <c r="X666" s="3" t="n"/>
      <c r="Y666" s="3" t="inlineStr">
        <is>
          <t>NOTHING OPEN</t>
        </is>
      </c>
    </row>
    <row r="667" ht="60" customHeight="1">
      <c r="A667" s="3" t="inlineStr">
        <is>
          <t>MK-XS-F-100</t>
        </is>
      </c>
      <c r="B667" s="3" t="inlineStr">
        <is>
          <t>connectionFreshness</t>
        </is>
      </c>
      <c r="C667" s="3" t="inlineStr">
        <is>
          <t>src/services/sync/index.ts</t>
        </is>
      </c>
      <c r="D667" s="3" t="n">
        <v>124</v>
      </c>
      <c r="E667" s="3" t="inlineStr">
        <is>
          <t>2 · DISPLAYED</t>
        </is>
      </c>
      <c r="F667" s="3" t="inlineStr">
        <is>
          <t>How old a connected account's last successful sync is.</t>
        </is>
      </c>
      <c r="G667" s="11" t="inlineStr">
        <is>
          <t>days = days since(last synced, now)
label = age label(last synced, now)
nothing   when days = nothing (or label = nothing when missing or zero)
the answer:
label = label
stale = is stale(last synced, now)
days old = days</t>
        </is>
      </c>
      <c r="H667" s="3" t="inlineStr">
        <is>
          <t>Days is days since(last synced, now). Label is age label(last synced, now). When days is missing (or label is missing — when missing or zero), it answers no answer. The answer is label = label; stale = is stale(last synced, now); days old = days.</t>
        </is>
      </c>
      <c r="I667" s="3" t="inlineStr">
        <is>
          <t>READ FROM THE CODE — rendered from the expressions the function runs</t>
        </is>
      </c>
      <c r="J667" s="3" t="inlineStr">
        <is>
          <t>1. lastSynced: string | null | undefined
2. now: number = Date.now()</t>
        </is>
      </c>
      <c r="K667" s="3" t="inlineStr">
        <is>
          <t>ConnectionFreshness | null</t>
        </is>
      </c>
      <c r="L667" s="3" t="inlineStr">
        <is>
          <t>NOT FOUND — a screen calls it, but the words printed beside its answer could not be traced automatically. Needs reading.</t>
        </is>
      </c>
      <c r="M667" s="3" t="inlineStr">
        <is>
          <t>· Uses today's date from the device clock, so the answer changes by itself overnight.</t>
        </is>
      </c>
      <c r="N667" s="3" t="inlineStr">
        <is>
          <t>Yes</t>
        </is>
      </c>
      <c r="O667" s="3" t="inlineStr">
        <is>
          <t>1. MK-ST-F-076 ageLabel
2. MK-XS-F-170 daysSince
3. MK-ST-F-077 isStale</t>
        </is>
      </c>
      <c r="P667" s="3" t="n">
        <v>3</v>
      </c>
      <c r="Q667" s="3" t="inlineStr">
        <is>
          <t>1. MK-ST-F-076 ageLabel
2. MK-XS-F-170 daysSince
3. MK-ST-F-077 isStale</t>
        </is>
      </c>
      <c r="R667" s="3" t="inlineStr">
        <is>
          <t>1. MK-XS-F-170 daysSince → MK-ST-F-076 ageLabel → MK-XS-F-100 connectionFreshness
2. MK-XS-F-170 daysSince → MK-XS-F-100 connectionFreshness
3. MK-XS-F-170 daysSince → MK-ST-F-077 isStale → MK-XS-F-100 connectionFreshness</t>
        </is>
      </c>
      <c r="S667" s="3" t="inlineStr">
        <is>
          <t>—</t>
        </is>
      </c>
      <c r="T667" s="3" t="inlineStr">
        <is>
          <t>—</t>
        </is>
      </c>
      <c r="U667" s="3" t="inlineStr">
        <is>
          <t>ACTIVE</t>
        </is>
      </c>
      <c r="V667" s="3" t="inlineStr">
        <is>
          <t>2026-10-01</t>
        </is>
      </c>
      <c r="W667" s="3" t="n"/>
      <c r="X667" s="3" t="n"/>
      <c r="Y667" s="3" t="inlineStr">
        <is>
          <t>NOTHING OPEN</t>
        </is>
      </c>
    </row>
    <row r="668" ht="45" customHeight="1">
      <c r="A668" s="3" t="inlineStr">
        <is>
          <t>MK-XS-F-101</t>
        </is>
      </c>
      <c r="B668" s="3" t="inlineStr">
        <is>
          <t>stAssetId</t>
        </is>
      </c>
      <c r="C668" s="3" t="inlineStr">
        <is>
          <t>src/services/sync/ingest.ts</t>
        </is>
      </c>
      <c r="D668" s="3" t="n">
        <v>57</v>
      </c>
      <c r="E668" s="3" t="inlineStr">
        <is>
          <t>1 · ACTION</t>
        </is>
      </c>
      <c r="F668" s="3" t="inlineStr">
        <is>
          <t>What do we call this connected account internally?</t>
        </is>
      </c>
      <c r="G668" s="11" t="inlineStr">
        <is>
          <t>the answer = 'st-' + the SnapTrade account identifier</t>
        </is>
      </c>
      <c r="H668" s="3" t="inlineStr">
        <is>
          <t>The app's identifier for a connected account: the institution's identifier with an 'st-' prefix. No arithmetic.</t>
        </is>
      </c>
      <c r="I668" s="3" t="inlineStr">
        <is>
          <t>READ BY HAND 2026-08-26 — checked line by line against the code</t>
        </is>
      </c>
      <c r="J668" s="3" t="inlineStr">
        <is>
          <t>snapTradeAccountId: string</t>
        </is>
      </c>
      <c r="K668" s="3" t="inlineStr">
        <is>
          <t>NOT DECLARED — the code does not say what it gives back</t>
        </is>
      </c>
      <c r="L668" s="3" t="inlineStr">
        <is>
          <t>—</t>
        </is>
      </c>
      <c r="M668" s="3" t="inlineStr">
        <is>
          <t>None found in this function — anything it assumes comes from the functions it depends on.</t>
        </is>
      </c>
      <c r="N668" s="3" t="inlineStr">
        <is>
          <t>Yes</t>
        </is>
      </c>
      <c r="O668" s="3" t="inlineStr">
        <is>
          <t>—</t>
        </is>
      </c>
      <c r="P668" s="3" t="n">
        <v>0</v>
      </c>
      <c r="Q668" s="3" t="inlineStr">
        <is>
          <t>None — no dependent function stands behind it</t>
        </is>
      </c>
      <c r="R668" s="3" t="inlineStr">
        <is>
          <t>No dependent function — it reads its inputs and answers</t>
        </is>
      </c>
      <c r="S668" s="3" t="inlineStr">
        <is>
          <t>—</t>
        </is>
      </c>
      <c r="T668" s="3" t="inlineStr">
        <is>
          <t>ACCOUNT_IDENTITY</t>
        </is>
      </c>
      <c r="U668" s="3" t="inlineStr">
        <is>
          <t>ACTIVE</t>
        </is>
      </c>
      <c r="V668" s="3" t="inlineStr">
        <is>
          <t>2026-09-12</t>
        </is>
      </c>
      <c r="W668" s="3" t="n"/>
      <c r="X668" s="3" t="n"/>
      <c r="Y668" s="3" t="inlineStr">
        <is>
          <t>NOTHING OPEN</t>
        </is>
      </c>
    </row>
    <row r="669" ht="60" customHeight="1">
      <c r="A669" s="3" t="inlineStr">
        <is>
          <t>MK-XS-F-102</t>
        </is>
      </c>
      <c r="B669" s="3" t="inlineStr">
        <is>
          <t>ingestSync</t>
        </is>
      </c>
      <c r="C669" s="3" t="inlineStr">
        <is>
          <t>src/services/sync/ingest.ts</t>
        </is>
      </c>
      <c r="D669" s="3" t="n">
        <v>140</v>
      </c>
      <c r="E669" s="3" t="inlineStr">
        <is>
          <t>3 · DEPENDENT (feeds an action only)</t>
        </is>
      </c>
      <c r="F669" s="3" t="inlineStr">
        <is>
          <t>A broker just sent us data — what changes?</t>
        </is>
      </c>
      <c r="G669" s="11" t="inlineStr">
        <is>
          <t>accounts = [...existing accounts]
seen keys = { ...existing seen keys }
new transactions = []
needs wrapper confirm = []
direction of = []
st = account
guess = map account type(st.raw type, st.account category)
tail = string(st.number).slice(-4)   if st.number
''   otherwise
mask = `••${tail}`   if ÷ ^\d{4}$ ÷ .test(tail)
undefined   otherwise
inst = st.institution name.trim().to lower case()
asset id = prior.asset id (or st asset id(st.id) when missing)
… the first steps only — the rest of the body needs reading by hand.</t>
        </is>
      </c>
      <c r="H669" s="3" t="inlineStr">
        <is>
          <t>Accounts is [...existing accounts]. Seen keys is { ...existing seen keys }. New transactions is []. Needs wrapper confirm is []. Direction of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Only the first steps are shown; the rest of the body needs reading by hand.</t>
        </is>
      </c>
      <c r="I669" s="3" t="inlineStr">
        <is>
          <t>PARTLY READ — some of the code is still showing through; needs a hand pass</t>
        </is>
      </c>
      <c r="J669" s="3" t="inlineStr">
        <is>
          <t>Nothing is handed to it</t>
        </is>
      </c>
      <c r="K669" s="3" t="inlineStr">
        <is>
          <t>NOT DECLARED — the code does not say what it gives back</t>
        </is>
      </c>
      <c r="L669" s="3" t="inlineStr">
        <is>
          <t>—</t>
        </is>
      </c>
      <c r="M669"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69" s="3" t="inlineStr">
        <is>
          <t>No</t>
        </is>
      </c>
      <c r="O669" s="3" t="inlineStr">
        <is>
          <t>1. MK-NW-F-026 accountDisplayNames
2. MK-XS-F-108 activityKey
3. MK-ST-F-011 classifyHoldingClass
4. MK-PF-F-002 costBasis
5. MK-CF-F-132 map
6. MK-XS-F-104 mapAccountType
7. MK-XS-F-106 mapOptionHolding
8. MK-XS-F-105 mapPosition
9. MK-XS-F-111 mergeHistoryFrom
10. MK-XS-F-110 netCashSleeve
11. MK-ST-F-043 newEntityId
12. MK-ST-F-022 reconcileAccountTotal
13. MK-XS-F-101 stAssetId
14. MK-XS-F-184 theirCost
15. MK-ST-F-012 toLedgerRow
16. MK-ST-F-021 toNumber</t>
        </is>
      </c>
      <c r="P669" s="3" t="n">
        <v>50</v>
      </c>
      <c r="Q669" s="3" t="inlineStr">
        <is>
          <t>1. MK-NW-F-026 accountDisplayNames
2. MK-XS-F-108 activityKey
3. MK-ST-F-011 classifyHoldingClass
4. MK-PF-F-002 costBasis
5. MK-CF-F-132 map
6. MK-XS-F-104 mapAccountType
7. MK-XS-F-106 mapOptionHolding
8. MK-XS-F-105 mapPosition
9. MK-XS-F-111 mergeHistoryFrom
10. MK-XS-F-110 netCashSleeve
11. MK-ST-F-043 newEntityId
12. MK-ST-F-022 reconcileAccountTotal
13. MK-XS-F-101 stAssetId
14. MK-XS-F-184 theirCost
15. MK-ST-F-012 toLedgerRow
16. MK-ST-F-021 toNumber
17. MK-NW-F-025 accountDisplayName
18. MK-ST-F-056 has
19. MK-XS-F-122 n
20. MK-ST-F-027 accountId
21. MK-ST-F-014 importKey
22. MK-NW-F-124 maturityParts
23. MK-ST-F-010 nameEvidence
24. MK-PF-F-031 contractMultiplier
25. MK-PF-F-035 unknownFigure
26. MK-ST-F-007 classifyEvent
27. MK-XS-F-146 prettyExpiry
28. MK-XS-F-145 flatSymbol
29. MK-ST-F-060 verdict
30. MK-ST-F-053 money
31. MK-ST-F-058 numberOrUndefined
32. MK-ST-F-018 readMoney
33. MK-ST-F-019 signed
34. MK-NW-F-024 accountLastFour
35. MK-ST-F-039 on
36. MK-NW-F-012 taxTreatmentOf
37. MK-NW-F-023 wrapperWord
38. MK-NW-F-009 maturityClass
39. MK-CF-F-216 typed
40. MK-XS-F-147 call
41. MK-ST-F-049 formatMoney
42. MK-NW-F-007 assetKind
43. MK-NW-F-011 assetClassOf
44. MK-XS-F-064 currentIdToken
45. MK-XS-F-112 relayUrl
46. MK-ST-F-048 currencySymbol
47. MK-CF-F-155 cash
48. MK-NW-F-120 classEvidenceOf
49. MK-ST-F-047 activeCurrency
50. MK-NW-F-008 incomeBearingClassOf</t>
        </is>
      </c>
      <c r="R669" s="3" t="inlineStr">
        <is>
          <t>1. accountDisplayNames (already above — a loop) → MK-NW-F-025 accountDisplayName → MK-NW-F-026 accountDisplayNames → MK-XS-F-102 ingestSync
2. MK-NW-F-024 accountLastFour → MK-NW-F-025 accountDisplayName → MK-NW-F-026 accountDisplayNames → MK-XS-F-102 ingestSync
3. MK-ST-F-039 on → MK-NW-F-025 accountDisplayName → MK-NW-F-026 accountDisplayNames → MK-XS-F-102 ingestSync
4. MK-NW-F-011 assetClassOf → MK-NW-F-007 assetKind → MK-NW-F-012 taxTreatmentOf → MK-NW-F-025 accountDisplayName → MK-NW-F-026 accountDisplayNames → MK-XS-F-102 ingestSync
5. MK-CF-F-155 cash → MK-NW-F-007 assetKind → MK-NW-F-012 taxTreatmentOf → MK-NW-F-025 accountDisplayName → MK-NW-F-026 accountDisplayNames → MK-XS-F-102 ingestSync
6. MK-NW-F-023 wrapperWord → MK-NW-F-025 accountDisplayName → MK-NW-F-026 accountDisplayNames → MK-XS-F-102 ingestSync
7. MK-ST-F-056 has → MK-NW-F-026 accountDisplayNames → MK-XS-F-102 ingestSync
8. MK-CF-F-132 map → MK-NW-F-026 accountDisplayNames → MK-XS-F-102 ingestSync
9. … and 5 more paths</t>
        </is>
      </c>
      <c r="S669" s="3" t="inlineStr">
        <is>
          <t>—</t>
        </is>
      </c>
      <c r="T669" s="3" t="inlineStr">
        <is>
          <t>SYNC_ONE_ACCOUNT</t>
        </is>
      </c>
      <c r="U669" s="3" t="inlineStr">
        <is>
          <t>ACTIVE</t>
        </is>
      </c>
      <c r="V669" s="3" t="inlineStr">
        <is>
          <t>2026-10-05</t>
        </is>
      </c>
      <c r="W669" s="3" t="n"/>
      <c r="X669" s="3" t="n"/>
      <c r="Y669" s="3" t="inlineStr">
        <is>
          <t>NOTHING OPEN</t>
        </is>
      </c>
    </row>
    <row r="670" ht="60" customHeight="1">
      <c r="A670" s="3" t="inlineStr">
        <is>
          <t>MK-XS-F-103</t>
        </is>
      </c>
      <c r="B670" s="3" t="inlineStr">
        <is>
          <t>confirmWrapper</t>
        </is>
      </c>
      <c r="C670" s="3" t="inlineStr">
        <is>
          <t>src/services/sync/ingest.ts</t>
        </is>
      </c>
      <c r="D670" s="3" t="n">
        <v>388</v>
      </c>
      <c r="E670" s="3" t="inlineStr">
        <is>
          <t>3 · DEPENDENT (feeds an action only)</t>
        </is>
      </c>
      <c r="F670" s="3" t="inlineStr">
        <is>
          <t>Mark an account's wrapper as USER-CONFIRMED — future syncs never override it.</t>
        </is>
      </c>
      <c r="G670" s="11" t="inlineStr">
        <is>
          <t>for each of accounts: ...each = ...each
kind = kind
tax bucket = tax bucket
wrapper confirmed = true   if asset id = asset id
each   otherwise</t>
        </is>
      </c>
      <c r="H670" s="3" t="inlineStr">
        <is>
          <t>for each of accounts: ...each = ...each; kind = kind; tax bucket = tax bucket; wrapper confirmed = true — when asset id = asset id; each — otherwise.</t>
        </is>
      </c>
      <c r="I670" s="3" t="inlineStr">
        <is>
          <t>READ FROM THE CODE — rendered from the expressions the function runs</t>
        </is>
      </c>
      <c r="J670" s="3" t="inlineStr">
        <is>
          <t>1. accounts: AssetAccount[]
2. assetId: string
3. kind: string
4. taxBucket: AssetAccount['tax_bucket']</t>
        </is>
      </c>
      <c r="K670" s="3" t="inlineStr">
        <is>
          <t>AssetAccount[]</t>
        </is>
      </c>
      <c r="L670" s="3" t="inlineStr">
        <is>
          <t>—</t>
        </is>
      </c>
      <c r="M670" s="3" t="inlineStr">
        <is>
          <t>None found in this function — anything it assumes comes from the functions it depends on.</t>
        </is>
      </c>
      <c r="N670" s="3" t="inlineStr">
        <is>
          <t>No</t>
        </is>
      </c>
      <c r="O670" s="3" t="inlineStr">
        <is>
          <t>MK-CF-F-132 map</t>
        </is>
      </c>
      <c r="P670" s="3" t="n">
        <v>1</v>
      </c>
      <c r="Q670" s="3" t="inlineStr">
        <is>
          <t>MK-CF-F-132 map</t>
        </is>
      </c>
      <c r="R670" s="3" t="inlineStr">
        <is>
          <t>MK-CF-F-132 map → MK-XS-F-103 confirmWrapper</t>
        </is>
      </c>
      <c r="S670" s="3" t="inlineStr">
        <is>
          <t>—</t>
        </is>
      </c>
      <c r="T670" s="3" t="inlineStr">
        <is>
          <t>CONFIRM_TAX_TYPE</t>
        </is>
      </c>
      <c r="U670" s="3" t="inlineStr">
        <is>
          <t>ACTIVE</t>
        </is>
      </c>
      <c r="V670" s="3" t="inlineStr">
        <is>
          <t>2026-08-27</t>
        </is>
      </c>
      <c r="W670" s="3" t="n"/>
      <c r="X670" s="3" t="n"/>
      <c r="Y670" s="3" t="inlineStr">
        <is>
          <t>NOTHING OPEN</t>
        </is>
      </c>
    </row>
    <row r="671" ht="60" customHeight="1">
      <c r="A671" s="3" t="inlineStr">
        <is>
          <t>MK-XS-F-104</t>
        </is>
      </c>
      <c r="B671" s="3" t="inlineStr">
        <is>
          <t>mapAccountType</t>
        </is>
      </c>
      <c r="C671" s="3" t="inlineStr">
        <is>
          <t>src/services/sync/snaptrade.ts</t>
        </is>
      </c>
      <c r="D671" s="3" t="n">
        <v>127</v>
      </c>
      <c r="E671" s="3" t="inlineStr">
        <is>
          <t>3 · DEPENDENT (feeds an action only)</t>
        </is>
      </c>
      <c r="F671" s="3" t="inlineStr">
        <is>
          <t>What kind of account is this, and how is it taxed?</t>
        </is>
      </c>
      <c r="G671"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undefined
confident = false   when has('savings')
kind = 'college_529'
tax bucket = 'TAXABLE'
confident = true   when has('529', 'education')
the answer:
kind = 'brokerage'
tax bucket = 'TAXABLE'
confident = true
… the first steps only — the rest of the body needs reading by hand.</t>
        </is>
      </c>
      <c r="H671"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undefined; confident = false. When has('529', 'education'), it answers kind = 'college_529'; tax bucket = 'TAXABLE'; confident = true. The answer is kind = 'brokerage'; tax bucket = 'TAXABLE'; confident = true. Only the first steps are shown; the rest of the body needs reading by hand.</t>
        </is>
      </c>
      <c r="I671" s="3" t="inlineStr">
        <is>
          <t>PARTLY READ — some of the code is still showing through; needs a hand pass</t>
        </is>
      </c>
      <c r="J671" s="3" t="inlineStr">
        <is>
          <t>1. rawType: string | null | undefined
2. category?: string | null</t>
        </is>
      </c>
      <c r="K671" s="3" t="inlineStr">
        <is>
          <t>WrapperGuess</t>
        </is>
      </c>
      <c r="L671" s="3" t="inlineStr">
        <is>
          <t>—</t>
        </is>
      </c>
      <c r="M671" s="3" t="inlineStr">
        <is>
          <t>None found in this function — anything it assumes comes from the functions it depends on.</t>
        </is>
      </c>
      <c r="N671" s="3" t="inlineStr">
        <is>
          <t>No</t>
        </is>
      </c>
      <c r="O671" s="3" t="inlineStr">
        <is>
          <t>MK-ST-F-056 has</t>
        </is>
      </c>
      <c r="P671" s="3" t="n">
        <v>1</v>
      </c>
      <c r="Q671" s="3" t="inlineStr">
        <is>
          <t>MK-ST-F-056 has</t>
        </is>
      </c>
      <c r="R671" s="3" t="inlineStr">
        <is>
          <t>MK-ST-F-056 has → MK-XS-F-104 mapAccountType</t>
        </is>
      </c>
      <c r="S671" s="3" t="inlineStr">
        <is>
          <t>—</t>
        </is>
      </c>
      <c r="T671" s="3" t="inlineStr">
        <is>
          <t>ACCOUNT_TAX_TYPE_GUESS</t>
        </is>
      </c>
      <c r="U671" s="3" t="inlineStr">
        <is>
          <t>ACTIVE</t>
        </is>
      </c>
      <c r="V671" s="3" t="inlineStr">
        <is>
          <t>2026-10-10</t>
        </is>
      </c>
      <c r="W671" s="3" t="n"/>
      <c r="X671" s="3" t="n"/>
      <c r="Y671" s="3" t="inlineStr">
        <is>
          <t>NOTHING OPEN</t>
        </is>
      </c>
    </row>
    <row r="672" ht="60" customHeight="1">
      <c r="A672" s="3" t="inlineStr">
        <is>
          <t>MK-XS-F-105</t>
        </is>
      </c>
      <c r="B672" s="3" t="inlineStr">
        <is>
          <t>mapPosition</t>
        </is>
      </c>
      <c r="C672" s="3" t="inlineStr">
        <is>
          <t>src/services/sync/snaptrade.ts</t>
        </is>
      </c>
      <c r="D672" s="3" t="n">
        <v>225</v>
      </c>
      <c r="E672" s="3" t="inlineStr">
        <is>
          <t>3 · DEPENDENT (feeds an action only)</t>
        </is>
      </c>
      <c r="F672" s="3" t="inlineStr">
        <is>
          <t>B7 (founder brief 2026-08-20): classification lives in the ONE function — name first, broker tag as fallback only.</t>
        </is>
      </c>
      <c r="G672" s="11" t="inlineStr">
        <is>
          <t>sym = flat symbol(p)
shares = units (or 0 when missing)
nothing   when sym is missing (or shares = 0 when missing or zero)
code = (sym.type.code ?? '').to lower case()
tick = (sym.raw symbol or sym.symbol or '').to upper case()</t>
        </is>
      </c>
      <c r="H672" s="3" t="inlineStr">
        <is>
          <t>Sym is flat symbol(p). Shares is units (or 0 — when missing). When sym is missing (or shares = 0 — when missing or zero), it answers no answer. Code is (sym.type.code ?? '').to lower case(). Tick is (sym.raw symbol or sym.symbol or '').to upper case().</t>
        </is>
      </c>
      <c r="I672" s="3" t="inlineStr">
        <is>
          <t>PARTLY READ — some of the code is still showing through; needs a hand pass</t>
        </is>
      </c>
      <c r="J672" s="3" t="inlineStr">
        <is>
          <t>p: StPosition</t>
        </is>
      </c>
      <c r="K672" s="3" t="inlineStr">
        <is>
          <t>MappedPosition | null</t>
        </is>
      </c>
      <c r="L672" s="3" t="inlineStr">
        <is>
          <t>—</t>
        </is>
      </c>
      <c r="M672" s="3" t="inlineStr">
        <is>
          <t>1. If units is missing it uses 0.
2. If quantity is missing it uses 0.</t>
        </is>
      </c>
      <c r="N672" s="3" t="inlineStr">
        <is>
          <t>No</t>
        </is>
      </c>
      <c r="O672" s="3" t="inlineStr">
        <is>
          <t>1. MK-ST-F-011 classifyHoldingClass
2. MK-XS-F-145 flatSymbol
3. MK-CF-F-132 map</t>
        </is>
      </c>
      <c r="P672" s="3" t="n">
        <v>17</v>
      </c>
      <c r="Q672" s="3" t="inlineStr">
        <is>
          <t>1. MK-ST-F-011 classifyHoldingClass
2. MK-XS-F-145 flatSymbol
3. MK-CF-F-132 map
4. MK-NW-F-124 maturityParts
5. MK-ST-F-010 nameEvidence
6. MK-NW-F-009 maturityClass
7. MK-CF-F-216 typed
8. MK-XS-F-147 call
9. MK-ST-F-056 has
10. MK-NW-F-011 assetClassOf
11. MK-ST-F-027 accountId
12. MK-XS-F-064 currentIdToken
13. MK-XS-F-112 relayUrl
14. MK-NW-F-120 classEvidenceOf
15. MK-CF-F-155 cash
16. MK-NW-F-008 incomeBearingClassOf
17. MK-XS-F-122 n</t>
        </is>
      </c>
      <c r="R672" s="3" t="inlineStr">
        <is>
          <t>1. MK-NW-F-120 classEvidenceOf → MK-NW-F-011 assetClassOf → MK-NW-F-009 maturityClass → MK-NW-F-124 maturityParts → MK-ST-F-011 classifyHoldingClass → MK-XS-F-105 mapPosition
2. maturityParts (already above — a loop) → MK-NW-F-009 maturityClass → MK-NW-F-124 maturityParts → MK-ST-F-011 classifyHoldingClass → MK-XS-F-105 mapPosition
3. MK-CF-F-216 typed → MK-NW-F-009 maturityClass → MK-NW-F-124 maturityParts → MK-ST-F-011 classifyHoldingClass → MK-XS-F-105 mapPosition
4. MK-CF-F-216 typed → MK-NW-F-124 maturityParts → MK-ST-F-011 classifyHoldingClass → MK-XS-F-105 mapPosition
5. MK-ST-F-027 accountId → MK-XS-F-147 call → MK-ST-F-010 nameEvidence → MK-ST-F-011 classifyHoldingClass → MK-XS-F-105 mapPosition
6. MK-XS-F-064 currentIdToken → MK-XS-F-147 call → MK-ST-F-010 nameEvidence → MK-ST-F-011 classifyHoldingClass → MK-XS-F-105 mapPosition
7. MK-XS-F-112 relayUrl → MK-XS-F-147 call → MK-ST-F-010 nameEvidence → MK-ST-F-011 classifyHoldingClass → MK-XS-F-105 mapPosition
8. MK-ST-F-056 has → MK-ST-F-010 nameEvidence → MK-ST-F-011 classifyHoldingClass → MK-XS-F-105 mapPosition
9. … and 3 more paths</t>
        </is>
      </c>
      <c r="S672" s="3" t="inlineStr">
        <is>
          <t>—</t>
        </is>
      </c>
      <c r="T672" s="3" t="inlineStr">
        <is>
          <t>CLASS_FROM_BROKER</t>
        </is>
      </c>
      <c r="U672" s="3" t="inlineStr">
        <is>
          <t>ACTIVE</t>
        </is>
      </c>
      <c r="V672" s="3" t="inlineStr">
        <is>
          <t>2026-08-27</t>
        </is>
      </c>
      <c r="W672" s="3" t="n"/>
      <c r="X672" s="3" t="n"/>
      <c r="Y672" s="3" t="inlineStr">
        <is>
          <t>NOTHING OPEN</t>
        </is>
      </c>
    </row>
    <row r="673" ht="60" customHeight="1">
      <c r="A673" s="3" t="inlineStr">
        <is>
          <t>MK-XS-F-106</t>
        </is>
      </c>
      <c r="B673" s="3" t="inlineStr">
        <is>
          <t>mapOptionHolding</t>
        </is>
      </c>
      <c r="C673" s="3" t="inlineStr">
        <is>
          <t>src/services/sync/snaptrade.ts</t>
        </is>
      </c>
      <c r="D673" s="3" t="n">
        <v>318</v>
      </c>
      <c r="E673" s="3" t="inlineStr">
        <is>
          <t>3 · DEPENDENT (feeds an action only)</t>
        </is>
      </c>
      <c r="F673" s="3" t="inlineStr">
        <is>
          <t>What is this option position worth, and what do we call it?</t>
        </is>
      </c>
      <c r="G673" s="11" t="inlineStr">
        <is>
          <t>os = symbol.option symbol
contracts = units (or 0 when missing)
nothing   when os is missing (or contracts = 0 when missing or zero)
multiplier = multiplier given (or 10   if os.is mini option = true
100   otherwise when missing)
under = (os.underlying symbol.raw symbol or os.underlying symbol.symbol or os.ticker or '?').to upper case()
kind word = 'put'   if os.option type = 'PUT'
'call'   otherwise
strike = `$${os.strike price}`   if os.strike price ≠ nothing
''   otherwise</t>
        </is>
      </c>
      <c r="H673" s="3" t="inlineStr">
        <is>
          <t>Os is symbol.option symbol. Contracts is units (or 0 — when missing). When os is missing (or contracts = 0 — when missing or zero), it answers no answer. Multiplier is multiplier given (or 10 — when os.is mini option = true; 100 — otherwise — when missing). Under is (os.underlying symbol.raw symbol or os.underlying symbol.symbol or os.ticker or '?').to upper case(). Kind word is 'put' — when os.option type = 'PUT'; 'call' — otherwise. Strike is `$${os.strike price}` — when os.strike price is not no answer; '' — otherwise.</t>
        </is>
      </c>
      <c r="I673" s="3" t="inlineStr">
        <is>
          <t>PARTLY READ — some of the code is still showing through; needs a hand pass</t>
        </is>
      </c>
      <c r="J673" s="3" t="inlineStr">
        <is>
          <t>1. o: StOptionHolding
2. multiplierGiven?: number</t>
        </is>
      </c>
      <c r="K673" s="3" t="inlineStr">
        <is>
          <t>MappedOption | null</t>
        </is>
      </c>
      <c r="L673" s="3" t="inlineStr">
        <is>
          <t>—</t>
        </is>
      </c>
      <c r="M673" s="3" t="inlineStr">
        <is>
          <t>1. If units is missing it uses 0.
2. If price is missing it uses 0.
3. Rounds the answer to two decimals (cents).</t>
        </is>
      </c>
      <c r="N673" s="3" t="inlineStr">
        <is>
          <t>No</t>
        </is>
      </c>
      <c r="O673" s="3" t="inlineStr">
        <is>
          <t>1. MK-ST-F-007 classifyEvent
2. MK-XS-F-146 prettyExpiry</t>
        </is>
      </c>
      <c r="P673" s="3" t="n">
        <v>3</v>
      </c>
      <c r="Q673" s="3" t="inlineStr">
        <is>
          <t>1. MK-ST-F-007 classifyEvent
2. MK-XS-F-146 prettyExpiry
3. MK-CF-F-132 map</t>
        </is>
      </c>
      <c r="R673" s="3" t="inlineStr">
        <is>
          <t>1. MK-ST-F-007 classifyEvent → MK-XS-F-106 mapOptionHolding
2. MK-CF-F-132 map → MK-XS-F-146 prettyExpiry → MK-XS-F-106 mapOptionHolding</t>
        </is>
      </c>
      <c r="S673" s="3" t="inlineStr">
        <is>
          <t>—</t>
        </is>
      </c>
      <c r="T673" s="3" t="inlineStr">
        <is>
          <t>OPTION_HOLDING</t>
        </is>
      </c>
      <c r="U673" s="3" t="inlineStr">
        <is>
          <t>ACTIVE</t>
        </is>
      </c>
      <c r="V673" s="3" t="inlineStr">
        <is>
          <t>2026-10-12</t>
        </is>
      </c>
      <c r="W673" s="3" t="n"/>
      <c r="X673" s="3" t="n"/>
      <c r="Y673" s="3" t="inlineStr">
        <is>
          <t>NOTHING OPEN</t>
        </is>
      </c>
    </row>
    <row r="674" ht="60" customHeight="1">
      <c r="A674" s="3" t="inlineStr">
        <is>
          <t>MK-XS-F-107</t>
        </is>
      </c>
      <c r="B674" s="3" t="inlineStr">
        <is>
          <t>mapActivityType</t>
        </is>
      </c>
      <c r="C674" s="3" t="inlineStr">
        <is>
          <t>src/services/sync/snaptrade.ts</t>
        </is>
      </c>
      <c r="D674" s="3" t="n">
        <v>386</v>
      </c>
      <c r="E674" s="3" t="inlineStr">
        <is>
          <t>3 · DEPENDENT (feeds an action only)</t>
        </is>
      </c>
      <c r="F674" s="3" t="inlineStr">
        <is>
          <t>A line arrived from the broker. Is this money you paid IN, money you took OUT, or something that happened inside the account?</t>
        </is>
      </c>
      <c r="G674"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74"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74" s="3" t="inlineStr">
        <is>
          <t>PARTLY READ — some of the code is still showing through; needs a hand pass</t>
        </is>
      </c>
      <c r="J674" s="3" t="inlineStr">
        <is>
          <t>a: StActivity</t>
        </is>
      </c>
      <c r="K674" s="3" t="inlineStr">
        <is>
          <t>MappedActivity</t>
        </is>
      </c>
      <c r="L674" s="3" t="inlineStr">
        <is>
          <t>—</t>
        </is>
      </c>
      <c r="M674" s="3" t="inlineStr">
        <is>
          <t>· If amount is missing it uses 0.</t>
        </is>
      </c>
      <c r="N674" s="3" t="inlineStr">
        <is>
          <t>No</t>
        </is>
      </c>
      <c r="O674" s="3" t="inlineStr">
        <is>
          <t>MK-CF-F-155 cash</t>
        </is>
      </c>
      <c r="P674" s="3" t="n">
        <v>2</v>
      </c>
      <c r="Q674" s="3" t="inlineStr">
        <is>
          <t>1. MK-CF-F-155 cash
2. MK-XS-F-122 n</t>
        </is>
      </c>
      <c r="R674" s="3" t="inlineStr">
        <is>
          <t>MK-XS-F-122 n → MK-CF-F-155 cash → MK-XS-F-107 mapActivityType</t>
        </is>
      </c>
      <c r="S674" s="3" t="inlineStr">
        <is>
          <t>—</t>
        </is>
      </c>
      <c r="T674" s="3" t="inlineStr">
        <is>
          <t>TRANSLATE_BROKER_WORD</t>
        </is>
      </c>
      <c r="U674" s="3" t="inlineStr">
        <is>
          <t>ACTIVE</t>
        </is>
      </c>
      <c r="V674" s="3" t="inlineStr">
        <is>
          <t>2026-08-27</t>
        </is>
      </c>
      <c r="W674" s="3" t="n"/>
      <c r="X674" s="3" t="n"/>
      <c r="Y674" s="3" t="inlineStr">
        <is>
          <t>NOTHING OPEN</t>
        </is>
      </c>
    </row>
    <row r="675" ht="60" customHeight="1">
      <c r="A675" s="3" t="inlineStr">
        <is>
          <t>MK-XS-F-108</t>
        </is>
      </c>
      <c r="B675" s="3" t="inlineStr">
        <is>
          <t>activityKey</t>
        </is>
      </c>
      <c r="C675" s="3" t="inlineStr">
        <is>
          <t>src/services/sync/snaptrade.ts</t>
        </is>
      </c>
      <c r="D675" s="3" t="n">
        <v>467</v>
      </c>
      <c r="E675" s="3" t="inlineStr">
        <is>
          <t>3 · DEPENDENT (feeds an action only)</t>
        </is>
      </c>
      <c r="F675" s="3" t="inlineStr">
        <is>
          <t>── duplicate-proofing ───────────────────────────────────────────────────────────────────────── SnapTrade activity ids can change when they reprocess history, so identity = the composite of everything that makes the row THAT row.</t>
        </is>
      </c>
      <c r="G675" s="11" t="inlineStr">
        <is>
          <t>the answer = import key(account, trade date or settlement date, type, amount, units, security, reference, description)</t>
        </is>
      </c>
      <c r="H675" s="3" t="inlineStr">
        <is>
          <t>The stable identity of one imported activity row, built by MK-ST-F-014 importKey from the account, the date, the type, the amount, the units, the security, the reference and the description.</t>
        </is>
      </c>
      <c r="I675" s="3" t="inlineStr">
        <is>
          <t>READ BY HAND 2026-08-26 — checked line by line against the code</t>
        </is>
      </c>
      <c r="J675" s="3" t="inlineStr">
        <is>
          <t>1. accountId: string
2. a: StActivity</t>
        </is>
      </c>
      <c r="K675" s="3" t="inlineStr">
        <is>
          <t>string</t>
        </is>
      </c>
      <c r="L675" s="3" t="inlineStr">
        <is>
          <t>—</t>
        </is>
      </c>
      <c r="M675" s="3" t="inlineStr">
        <is>
          <t>None found in this function — anything it assumes comes from the functions it depends on.</t>
        </is>
      </c>
      <c r="N675" s="3" t="inlineStr">
        <is>
          <t>No</t>
        </is>
      </c>
      <c r="O675" s="3" t="inlineStr">
        <is>
          <t>1. MK-ST-F-027 accountId
2. MK-ST-F-014 importKey</t>
        </is>
      </c>
      <c r="P675" s="3" t="n">
        <v>2</v>
      </c>
      <c r="Q675" s="3" t="inlineStr">
        <is>
          <t>1. MK-ST-F-027 accountId
2. MK-ST-F-014 importKey</t>
        </is>
      </c>
      <c r="R675" s="3" t="inlineStr">
        <is>
          <t>1. MK-ST-F-027 accountId → MK-XS-F-108 activityKey
2. MK-ST-F-014 importKey → MK-XS-F-108 activityKey</t>
        </is>
      </c>
      <c r="S675" s="3" t="inlineStr">
        <is>
          <t>—</t>
        </is>
      </c>
      <c r="T675" s="3" t="inlineStr">
        <is>
          <t>ACTIVITY_IDENTITY</t>
        </is>
      </c>
      <c r="U675" s="3" t="inlineStr">
        <is>
          <t>ACTIVE</t>
        </is>
      </c>
      <c r="V675" s="3" t="inlineStr">
        <is>
          <t>2026-09-12</t>
        </is>
      </c>
      <c r="W675" s="3" t="n"/>
      <c r="X675" s="3" t="n"/>
      <c r="Y675" s="3" t="inlineStr">
        <is>
          <t>NOTHING OPEN</t>
        </is>
      </c>
    </row>
    <row r="676" ht="60" customHeight="1">
      <c r="A676" s="3" t="inlineStr">
        <is>
          <t>MK-XS-F-109</t>
        </is>
      </c>
      <c r="B676" s="3" t="inlineStr">
        <is>
          <t>dedupeActivities</t>
        </is>
      </c>
      <c r="C676" s="3" t="inlineStr">
        <is>
          <t>src/services/sync/snaptrade.ts</t>
        </is>
      </c>
      <c r="D676" s="3" t="n">
        <v>496</v>
      </c>
      <c r="E676" s="3" t="inlineStr">
        <is>
          <t>3 · DEPENDENT (feeds an action only)</t>
        </is>
      </c>
      <c r="F676" s="3" t="inlineStr">
        <is>
          <t>Which of these activities are new since the last sync?</t>
        </is>
      </c>
      <c r="G676" s="11" t="inlineStr">
        <is>
          <t>fresh = []
k = activity key(account id, a)
the answer = fresh</t>
        </is>
      </c>
      <c r="H676" s="3" t="inlineStr">
        <is>
          <t>Fresh is []. K is activity key(account id, a). The answer is fresh.</t>
        </is>
      </c>
      <c r="I676" s="3" t="inlineStr">
        <is>
          <t>READ FROM THE CODE — rendered from the expressions the function runs</t>
        </is>
      </c>
      <c r="J676" s="3" t="inlineStr">
        <is>
          <t>1. accountId: string
2. incoming: StActivity[]
3. seenKeys: Set&lt;string&gt;</t>
        </is>
      </c>
      <c r="K676" s="3" t="inlineStr">
        <is>
          <t>StActivity[]</t>
        </is>
      </c>
      <c r="L676" s="3" t="inlineStr">
        <is>
          <t>—</t>
        </is>
      </c>
      <c r="M676" s="3" t="inlineStr">
        <is>
          <t>None found in this function — anything it assumes comes from the functions it depends on.</t>
        </is>
      </c>
      <c r="N676" s="3" t="inlineStr">
        <is>
          <t>No</t>
        </is>
      </c>
      <c r="O676" s="3" t="inlineStr">
        <is>
          <t>1. MK-ST-F-027 accountId
2. MK-XS-F-108 activityKey
3. MK-ST-F-056 has</t>
        </is>
      </c>
      <c r="P676" s="3" t="n">
        <v>4</v>
      </c>
      <c r="Q676" s="3" t="inlineStr">
        <is>
          <t>1. MK-ST-F-027 accountId
2. MK-XS-F-108 activityKey
3. MK-ST-F-056 has
4. MK-ST-F-014 importKey</t>
        </is>
      </c>
      <c r="R676" s="3" t="inlineStr">
        <is>
          <t>1. MK-ST-F-027 accountId → MK-XS-F-109 dedupeActivities
2. MK-ST-F-027 accountId → MK-XS-F-108 activityKey → MK-XS-F-109 dedupeActivities
3. MK-ST-F-014 importKey → MK-XS-F-108 activityKey → MK-XS-F-109 dedupeActivities
4. MK-ST-F-056 has → MK-XS-F-109 dedupeActivities</t>
        </is>
      </c>
      <c r="S676" s="3" t="inlineStr">
        <is>
          <t>—</t>
        </is>
      </c>
      <c r="T676" s="3" t="inlineStr">
        <is>
          <t>ALREADY_SEEN_CHECK</t>
        </is>
      </c>
      <c r="U676" s="3" t="inlineStr">
        <is>
          <t>ACTIVE</t>
        </is>
      </c>
      <c r="V676" s="3" t="inlineStr">
        <is>
          <t>2026-08-27</t>
        </is>
      </c>
      <c r="W676" s="3" t="n"/>
      <c r="X676" s="3" t="n"/>
      <c r="Y676" s="3" t="inlineStr">
        <is>
          <t>NOTHING OPEN</t>
        </is>
      </c>
    </row>
    <row r="677" ht="60" customHeight="1">
      <c r="A677" s="3" t="inlineStr">
        <is>
          <t>MK-XS-F-110</t>
        </is>
      </c>
      <c r="B677" s="3" t="inlineStr">
        <is>
          <t>netCashSleeve</t>
        </is>
      </c>
      <c r="C677" s="3" t="inlineStr">
        <is>
          <t>src/services/sync/snaptrade.ts</t>
        </is>
      </c>
      <c r="D677" s="3" t="n">
        <v>537</v>
      </c>
      <c r="E677" s="3" t="inlineStr">
        <is>
          <t>3 · DEPENDENT (feeds an action only)</t>
        </is>
      </c>
      <c r="F677" s="3" t="inlineStr">
        <is>
          <t>── the cash sleeve, deduped ─────────────────────────────────────────────────────────────────── SnapTrade counts money-market (cash_equivalent) positions INSIDE balances.cash too.</t>
        </is>
      </c>
      <c r="G677" s="11" t="inlineStr">
        <is>
          <t>net = round((balances cash ?? 0) − mmf, 2 dp)
the answer:
0   if net &lt; 0 and net &gt; -1
net   otherwise</t>
        </is>
      </c>
      <c r="H677" s="3" t="inlineStr">
        <is>
          <t>Net is (balances cash ?? 0) minus mmf, to the cent. The answer is 0 — when net &lt; 0 and net &gt; -1; net — otherwise.</t>
        </is>
      </c>
      <c r="I677" s="3" t="inlineStr">
        <is>
          <t>PARTLY READ — some of the code is still showing through; needs a hand pass</t>
        </is>
      </c>
      <c r="J677" s="3" t="inlineStr">
        <is>
          <t>1. balancesCash: number | null | undefined
2. positions: MappedPosition[]</t>
        </is>
      </c>
      <c r="K677" s="3" t="inlineStr">
        <is>
          <t>number</t>
        </is>
      </c>
      <c r="L677" s="3" t="inlineStr">
        <is>
          <t>—</t>
        </is>
      </c>
      <c r="M677" s="3" t="inlineStr">
        <is>
          <t>1. If price is missing it uses 0.
2. If balances cash is missing it uses 0.
3. Rounds the answer to two decimals (cents).</t>
        </is>
      </c>
      <c r="N677" s="3" t="inlineStr">
        <is>
          <t>No</t>
        </is>
      </c>
      <c r="O677" s="3" t="inlineStr">
        <is>
          <t>—</t>
        </is>
      </c>
      <c r="P677" s="3" t="n">
        <v>0</v>
      </c>
      <c r="Q677" s="3" t="inlineStr">
        <is>
          <t>None — no dependent function stands behind it</t>
        </is>
      </c>
      <c r="R677" s="3" t="inlineStr">
        <is>
          <t>No dependent function — it reads its inputs and answers</t>
        </is>
      </c>
      <c r="S677" s="3" t="inlineStr">
        <is>
          <t>—</t>
        </is>
      </c>
      <c r="T677" s="3" t="inlineStr">
        <is>
          <t>UNINVESTED_CASH</t>
        </is>
      </c>
      <c r="U677" s="3" t="inlineStr">
        <is>
          <t>ACTIVE</t>
        </is>
      </c>
      <c r="V677" s="3" t="inlineStr">
        <is>
          <t>2026-08-27</t>
        </is>
      </c>
      <c r="W677" s="3" t="n"/>
      <c r="X677" s="3" t="n"/>
      <c r="Y677" s="3" t="inlineStr">
        <is>
          <t>NOTHING OPEN</t>
        </is>
      </c>
    </row>
    <row r="678" ht="60" customHeight="1">
      <c r="A678" s="3" t="inlineStr">
        <is>
          <t>MK-XS-F-111</t>
        </is>
      </c>
      <c r="B678" s="3" t="inlineStr">
        <is>
          <t>mergeHistoryFrom</t>
        </is>
      </c>
      <c r="C678" s="3" t="inlineStr">
        <is>
          <t>src/services/sync/snaptrade.ts</t>
        </is>
      </c>
      <c r="D678" s="3" t="n">
        <v>573</v>
      </c>
      <c r="E678" s="3" t="inlineStr">
        <is>
          <t>3 · DEPENDENT (feeds an action only)</t>
        </is>
      </c>
      <c r="F678" s="3" t="inlineStr">
        <is>
          <t>FOUNDER RULE 2026-08-04: record how far back the broker's OWN activity feed reaches, so a "past year" income figure can label itself honestly.</t>
        </is>
      </c>
      <c r="G678" s="11" t="inlineStr">
        <is>
          <t>earliest now = the first of dates
existing   when earliest now is missing
earliest now   when existing is missing
the answer:
earliest now   if earliest now &lt; existing
existing   otherwise</t>
        </is>
      </c>
      <c r="H678" s="3" t="inlineStr">
        <is>
          <t>Earliest now: the first of dates. When earliest now is missing, it answers existing. When existing is missing, it answers earliest now. The answer is earliest now — when earliest now &lt; existing; existing — otherwise.</t>
        </is>
      </c>
      <c r="I678" s="3" t="inlineStr">
        <is>
          <t>READ FROM THE CODE — rendered from the expressions the function runs</t>
        </is>
      </c>
      <c r="J678" s="3" t="inlineStr">
        <is>
          <t>1. existing: string | undefined
2. activityDates: (string | null | undefined)[]</t>
        </is>
      </c>
      <c r="K678" s="3" t="inlineStr">
        <is>
          <t>string | undefined</t>
        </is>
      </c>
      <c r="L678" s="3" t="inlineStr">
        <is>
          <t>—</t>
        </is>
      </c>
      <c r="M678" s="3" t="inlineStr">
        <is>
          <t>None found in this function — anything it assumes comes from the functions it depends on.</t>
        </is>
      </c>
      <c r="N678" s="3" t="inlineStr">
        <is>
          <t>No</t>
        </is>
      </c>
      <c r="O678" s="3" t="inlineStr">
        <is>
          <t>MK-CF-F-132 map</t>
        </is>
      </c>
      <c r="P678" s="3" t="n">
        <v>1</v>
      </c>
      <c r="Q678" s="3" t="inlineStr">
        <is>
          <t>MK-CF-F-132 map</t>
        </is>
      </c>
      <c r="R678" s="3" t="inlineStr">
        <is>
          <t>MK-CF-F-132 map → MK-XS-F-111 mergeHistoryFrom</t>
        </is>
      </c>
      <c r="S678" s="3" t="inlineStr">
        <is>
          <t>—</t>
        </is>
      </c>
      <c r="T678" s="3" t="inlineStr">
        <is>
          <t>HISTORY_DEPTH</t>
        </is>
      </c>
      <c r="U678" s="3" t="inlineStr">
        <is>
          <t>ACTIVE</t>
        </is>
      </c>
      <c r="V678" s="3" t="inlineStr">
        <is>
          <t>2026-08-27</t>
        </is>
      </c>
      <c r="W678" s="3" t="n"/>
      <c r="X678" s="3" t="n"/>
      <c r="Y678" s="3" t="inlineStr">
        <is>
          <t>NOTHING OPEN</t>
        </is>
      </c>
    </row>
    <row r="679" ht="60" customHeight="1">
      <c r="A679" s="3" t="inlineStr">
        <is>
          <t>MK-XS-F-112</t>
        </is>
      </c>
      <c r="B679" s="3" t="inlineStr">
        <is>
          <t>relayUrl</t>
        </is>
      </c>
      <c r="C679" s="3" t="inlineStr">
        <is>
          <t>src/services/sync/snaptradeClient.ts</t>
        </is>
      </c>
      <c r="D679" s="3" t="n">
        <v>35</v>
      </c>
      <c r="E679" s="3" t="inlineStr">
        <is>
          <t>3 · DEPENDENT</t>
        </is>
      </c>
      <c r="F679" s="3" t="inlineStr">
        <is>
          <t>NOT DETERMINED — the code carries no note saying what this is for, and it has no row in the old inventory. Needs reading.</t>
        </is>
      </c>
      <c r="G679" s="11" t="inlineStr">
        <is>
          <t>the answer = the relay address from the app config, else from the environment, else nothing</t>
        </is>
      </c>
      <c r="H679" s="3" t="inlineStr">
        <is>
          <t>Where the connection relay lives, read from the app configuration. Not a calculation.</t>
        </is>
      </c>
      <c r="I679" s="3" t="inlineStr">
        <is>
          <t>READ BY HAND 2026-08-26 — checked line by line against the code</t>
        </is>
      </c>
      <c r="J679" s="3" t="inlineStr">
        <is>
          <t>Nothing is handed to it</t>
        </is>
      </c>
      <c r="K679" s="3" t="inlineStr">
        <is>
          <t>string | null</t>
        </is>
      </c>
      <c r="L679" s="3" t="inlineStr">
        <is>
          <t>—</t>
        </is>
      </c>
      <c r="M679" s="3" t="inlineStr">
        <is>
          <t>None found in this function — anything it assumes comes from the functions it depends on.</t>
        </is>
      </c>
      <c r="N679" s="3" t="inlineStr">
        <is>
          <t>Yes</t>
        </is>
      </c>
      <c r="O679" s="3" t="inlineStr">
        <is>
          <t>—</t>
        </is>
      </c>
      <c r="P679" s="3" t="n">
        <v>0</v>
      </c>
      <c r="Q679" s="3" t="inlineStr">
        <is>
          <t>None — no dependent function stands behind it</t>
        </is>
      </c>
      <c r="R679" s="3" t="inlineStr">
        <is>
          <t>No dependent function — it reads its inputs and answers</t>
        </is>
      </c>
      <c r="S679" s="3" t="inlineStr">
        <is>
          <t>—</t>
        </is>
      </c>
      <c r="T679" s="3" t="inlineStr">
        <is>
          <t>—</t>
        </is>
      </c>
      <c r="U679" s="3" t="inlineStr">
        <is>
          <t>ACTIVE</t>
        </is>
      </c>
      <c r="V679" s="3" t="inlineStr">
        <is>
          <t>2026-09-12</t>
        </is>
      </c>
      <c r="W679" s="3" t="n"/>
      <c r="X679" s="3" t="n"/>
      <c r="Y679" s="3" t="inlineStr">
        <is>
          <t>NOTHING OPEN</t>
        </is>
      </c>
    </row>
    <row r="680" ht="60" customHeight="1">
      <c r="A680" s="3" t="inlineStr">
        <is>
          <t>MK-XS-F-113</t>
        </is>
      </c>
      <c r="B680" s="3" t="inlineStr">
        <is>
          <t>snaptradeConfigured</t>
        </is>
      </c>
      <c r="C680" s="3" t="inlineStr">
        <is>
          <t>src/services/sync/snaptradeClient.ts</t>
        </is>
      </c>
      <c r="D680" s="3" t="n">
        <v>60</v>
      </c>
      <c r="E680" s="3" t="inlineStr">
        <is>
          <t>1 · ACTION</t>
        </is>
      </c>
      <c r="F680" s="3" t="inlineStr">
        <is>
          <t>NOT DETERMINED — the code carries no note saying what this is for, and it has no row in the old inventory. Needs reading.</t>
        </is>
      </c>
      <c r="G680" s="11" t="inlineStr">
        <is>
          <t>!!relay url()</t>
        </is>
      </c>
      <c r="H680" s="3" t="inlineStr">
        <is>
          <t>!!relay url()</t>
        </is>
      </c>
      <c r="I680" s="3" t="inlineStr">
        <is>
          <t>READ FROM THE CODE — rendered from the expressions the function runs</t>
        </is>
      </c>
      <c r="J680" s="3" t="inlineStr">
        <is>
          <t>Nothing is handed to it</t>
        </is>
      </c>
      <c r="K680" s="3" t="inlineStr">
        <is>
          <t>NOT DECLARED — the code does not say what it gives back</t>
        </is>
      </c>
      <c r="L680" s="3" t="inlineStr">
        <is>
          <t>—</t>
        </is>
      </c>
      <c r="M680" s="3" t="inlineStr">
        <is>
          <t>None found in this function — anything it assumes comes from the functions it depends on.</t>
        </is>
      </c>
      <c r="N680" s="3" t="inlineStr">
        <is>
          <t>Yes</t>
        </is>
      </c>
      <c r="O680" s="3" t="inlineStr">
        <is>
          <t>MK-XS-F-112 relayUrl</t>
        </is>
      </c>
      <c r="P680" s="3" t="n">
        <v>1</v>
      </c>
      <c r="Q680" s="3" t="inlineStr">
        <is>
          <t>MK-XS-F-112 relayUrl</t>
        </is>
      </c>
      <c r="R680" s="3" t="inlineStr">
        <is>
          <t>MK-XS-F-112 relayUrl → MK-XS-F-113 snaptradeConfigured</t>
        </is>
      </c>
      <c r="S680" s="3" t="inlineStr">
        <is>
          <t>—</t>
        </is>
      </c>
      <c r="T680" s="3" t="inlineStr">
        <is>
          <t>—</t>
        </is>
      </c>
      <c r="U680" s="3" t="inlineStr">
        <is>
          <t>ACTIVE</t>
        </is>
      </c>
      <c r="V680" s="3" t="inlineStr">
        <is>
          <t>2026-08-27</t>
        </is>
      </c>
      <c r="W680" s="3" t="n"/>
      <c r="X680" s="3" t="n"/>
      <c r="Y680" s="3" t="inlineStr">
        <is>
          <t>NOTHING OPEN</t>
        </is>
      </c>
    </row>
    <row r="681" ht="60" customHeight="1">
      <c r="A681" s="3" t="inlineStr">
        <is>
          <t>MK-XS-F-114</t>
        </is>
      </c>
      <c r="B681" s="3" t="inlineStr">
        <is>
          <t>usdCash</t>
        </is>
      </c>
      <c r="C681" s="3" t="inlineStr">
        <is>
          <t>src/services/sync/snaptradeClient.ts</t>
        </is>
      </c>
      <c r="D681" s="3" t="n">
        <v>148</v>
      </c>
      <c r="E681" s="3" t="inlineStr">
        <is>
          <t>3 · DEPENDENT</t>
        </is>
      </c>
      <c r="F681" s="3" t="inlineStr">
        <is>
          <t>USD cash across the balances list (v1 is USD-only; other currencies are ignored, not guessed).</t>
        </is>
      </c>
      <c r="G681" s="11" t="inlineStr">
        <is>
          <t>the answer = Σ over balances in USD (or with no currency) of (cash, or 0)</t>
        </is>
      </c>
      <c r="H681" s="3" t="inlineStr">
        <is>
          <t>Adds up the cash balances a connected account reports in US dollars (a balance with no currency code counts as dollars). Other currencies are left out.</t>
        </is>
      </c>
      <c r="I681" s="3" t="inlineStr">
        <is>
          <t>READ BY HAND 2026-08-26 — checked line by line against the code</t>
        </is>
      </c>
      <c r="J681" s="3" t="inlineStr">
        <is>
          <t>balances: HoldingsPayload['balances'] | null | undefined</t>
        </is>
      </c>
      <c r="K681" s="3" t="inlineStr">
        <is>
          <t>number</t>
        </is>
      </c>
      <c r="L681" s="3" t="inlineStr">
        <is>
          <t>—</t>
        </is>
      </c>
      <c r="M681" s="3" t="inlineStr">
        <is>
          <t>· If cash is missing it uses 0.</t>
        </is>
      </c>
      <c r="N681" s="3" t="inlineStr">
        <is>
          <t>Yes</t>
        </is>
      </c>
      <c r="O681" s="3" t="inlineStr">
        <is>
          <t>—</t>
        </is>
      </c>
      <c r="P681" s="3" t="n">
        <v>0</v>
      </c>
      <c r="Q681" s="3" t="inlineStr">
        <is>
          <t>None — no dependent function stands behind it</t>
        </is>
      </c>
      <c r="R681" s="3" t="inlineStr">
        <is>
          <t>No dependent function — it reads its inputs and answers</t>
        </is>
      </c>
      <c r="S681" s="3" t="inlineStr">
        <is>
          <t>—</t>
        </is>
      </c>
      <c r="T681" s="3" t="inlineStr">
        <is>
          <t>—</t>
        </is>
      </c>
      <c r="U681" s="3" t="inlineStr">
        <is>
          <t>ACTIVE</t>
        </is>
      </c>
      <c r="V681" s="3" t="inlineStr">
        <is>
          <t>2026-09-12</t>
        </is>
      </c>
      <c r="W681" s="3" t="n"/>
      <c r="X681" s="3" t="n"/>
      <c r="Y681" s="3" t="inlineStr">
        <is>
          <t>NOTHING OPEN</t>
        </is>
      </c>
    </row>
    <row r="682" ht="60" customHeight="1">
      <c r="A682" s="3" t="inlineStr">
        <is>
          <t>MK-XS-F-115</t>
        </is>
      </c>
      <c r="B682" s="3" t="inlineStr">
        <is>
          <t>shouldDailySync</t>
        </is>
      </c>
      <c r="C682" s="3" t="inlineStr">
        <is>
          <t>src/services/sync/snaptradeSync.ts</t>
        </is>
      </c>
      <c r="D682" s="3" t="n">
        <v>38</v>
      </c>
      <c r="E682" s="3" t="inlineStr">
        <is>
          <t>3 · DEPENDENT</t>
        </is>
      </c>
      <c r="F682" s="3" t="inlineStr">
        <is>
          <t>NOT DETERMINED — the code carries no note saying what this is for, and it has no row in the old inventory. Needs reading.</t>
        </is>
      </c>
      <c r="G682" s="11" t="inlineStr">
        <is>
          <t>true   when last sync at is missing
t = date.parse(last sync at)
the answer = number.is na n(t) (or now − t &gt; 20 × 3600000 when missing or zero)</t>
        </is>
      </c>
      <c r="H682" s="3" t="inlineStr">
        <is>
          <t>When last sync at is missing, it answers true. T is date.parse(last sync at). The answer is number.is na n(t) (or now minus t &gt; 20 times 3600000 — when missing or zero).</t>
        </is>
      </c>
      <c r="I682" s="3" t="inlineStr">
        <is>
          <t>PARTLY READ — some of the code is still showing through; needs a hand pass</t>
        </is>
      </c>
      <c r="J682" s="3" t="inlineStr">
        <is>
          <t>1. lastSyncAt: string | null | undefined
2. now: number = Date.now()</t>
        </is>
      </c>
      <c r="K682" s="3" t="inlineStr">
        <is>
          <t>boolean</t>
        </is>
      </c>
      <c r="L682" s="3" t="inlineStr">
        <is>
          <t>—</t>
        </is>
      </c>
      <c r="M682" s="3" t="inlineStr">
        <is>
          <t>· Uses today's date from the device clock, so the answer changes by itself overnight.</t>
        </is>
      </c>
      <c r="N682" s="3" t="inlineStr">
        <is>
          <t>Yes</t>
        </is>
      </c>
      <c r="O682" s="3" t="inlineStr">
        <is>
          <t>—</t>
        </is>
      </c>
      <c r="P682" s="3" t="n">
        <v>0</v>
      </c>
      <c r="Q682" s="3" t="inlineStr">
        <is>
          <t>None — no dependent function stands behind it</t>
        </is>
      </c>
      <c r="R682" s="3" t="inlineStr">
        <is>
          <t>No dependent function — it reads its inputs and answers</t>
        </is>
      </c>
      <c r="S682" s="3" t="inlineStr">
        <is>
          <t>—</t>
        </is>
      </c>
      <c r="T682" s="3" t="inlineStr">
        <is>
          <t>—</t>
        </is>
      </c>
      <c r="U682" s="3" t="inlineStr">
        <is>
          <t>ACTIVE</t>
        </is>
      </c>
      <c r="V682" s="3" t="inlineStr">
        <is>
          <t>2026-08-27</t>
        </is>
      </c>
      <c r="W682" s="3" t="n"/>
      <c r="X682" s="3" t="n"/>
      <c r="Y682" s="3" t="inlineStr">
        <is>
          <t>NOTHING OPEN</t>
        </is>
      </c>
    </row>
    <row r="683" ht="60" customHeight="1">
      <c r="A683" s="3" t="inlineStr">
        <is>
          <t>MK-XS-F-116</t>
        </is>
      </c>
      <c r="B683" s="3" t="inlineStr">
        <is>
          <t>runSnapTradeSync</t>
        </is>
      </c>
      <c r="C683" s="3" t="inlineStr">
        <is>
          <t>src/services/sync/snaptradeSync.ts</t>
        </is>
      </c>
      <c r="D683" s="3" t="n">
        <v>144</v>
      </c>
      <c r="E683" s="3" t="inlineStr">
        <is>
          <t>2 · DISPLAYED</t>
        </is>
      </c>
      <c r="F683" s="3" t="inlineStr">
        <is>
          <t>Full sync. Returns the number of accounts synced (0 = nothing connected).</t>
        </is>
      </c>
      <c r="G683"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83"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83" s="3" t="inlineStr">
        <is>
          <t>PARTLY READ — some of the code is still showing through; needs a hand pass</t>
        </is>
      </c>
      <c r="J683" s="3" t="inlineStr">
        <is>
          <t>1. opts: { force?: boolean } = {}
2. reads the app's stored data</t>
        </is>
      </c>
      <c r="K683" s="3" t="inlineStr">
        <is>
          <t>Promise&lt;number&gt;</t>
        </is>
      </c>
      <c r="L683" s="3" t="inlineStr">
        <is>
          <t>NOT FOUND — a screen calls it, but the words printed beside its answer could not be traced automatically. Needs reading.</t>
        </is>
      </c>
      <c r="M683" s="3" t="inlineStr">
        <is>
          <t>· Uses today's date from the device clock, so the answer changes by itself overnight.</t>
        </is>
      </c>
      <c r="N683" s="3" t="inlineStr">
        <is>
          <t>Yes</t>
        </is>
      </c>
      <c r="O683" s="3" t="inlineStr">
        <is>
          <t>1. MK-XS-F-149 allActivities
2. MK-CF-F-132 map
3. MK-XS-F-115 shouldDailySync
4. MK-XS-F-113 snaptradeConfigured
5. MK-XS-F-101 stAssetId
6. MK-XS-F-114 usdCash</t>
        </is>
      </c>
      <c r="P683" s="3" t="n">
        <v>9</v>
      </c>
      <c r="Q683" s="3" t="inlineStr">
        <is>
          <t>1. MK-XS-F-149 allActivities
2. MK-CF-F-132 map
3. MK-XS-F-115 shouldDailySync
4. MK-XS-F-113 snaptradeConfigured
5. MK-XS-F-101 stAssetId
6. MK-XS-F-114 usdCash
7. MK-ST-F-027 accountId
8. MK-XS-F-148 unwrapActivities
9. MK-XS-F-112 relayUrl</t>
        </is>
      </c>
      <c r="R683"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83" s="3" t="inlineStr">
        <is>
          <t>—</t>
        </is>
      </c>
      <c r="T683" s="3" t="inlineStr">
        <is>
          <t>—</t>
        </is>
      </c>
      <c r="U683" s="3" t="inlineStr">
        <is>
          <t>ACTIVE</t>
        </is>
      </c>
      <c r="V683" s="3" t="inlineStr">
        <is>
          <t>2026-08-27</t>
        </is>
      </c>
      <c r="W683" s="3" t="n"/>
      <c r="X683" s="3" t="n"/>
      <c r="Y683" s="3" t="inlineStr">
        <is>
          <t>NOTHING OPEN</t>
        </is>
      </c>
    </row>
    <row r="684" ht="60" customHeight="1">
      <c r="A684" s="3" t="inlineStr">
        <is>
          <t>MK-XS-F-118</t>
        </is>
      </c>
      <c r="B684" s="3" t="inlineStr">
        <is>
          <t>prettyDate</t>
        </is>
      </c>
      <c r="C684" s="3" t="inlineStr">
        <is>
          <t>src/domain/gaps/index.ts</t>
        </is>
      </c>
      <c r="D684" s="3" t="n">
        <v>61</v>
      </c>
      <c r="E684" s="3" t="inlineStr">
        <is>
          <t>3 · DEPENDENT</t>
        </is>
      </c>
      <c r="F684" s="3" t="inlineStr">
        <is>
          <t>daysSince now comes from the ONE freshness rule in src/domain/_shared/freshness.ts (DEC-0301).</t>
        </is>
      </c>
      <c r="G684" s="11" t="inlineStr">
        <is>
          <t>d = the date `${iso}-15T12:00:00`   if iso.length = 7
`${iso}T12:00:00`   otherwise
the answer:
iso   if is na n(get time())
to locale date string('en − US', { month: 'short', day: 'numeric' })   otherwise</t>
        </is>
      </c>
      <c r="H684" s="3" t="inlineStr">
        <is>
          <t>D: the date `${iso}-15T12:00:00` — when iso.length = 7; `${iso}T12:00:00` — otherwise. The answer is iso — when is na n(get time()); to locale date string('en minus US', { month: 'short', day: 'numeric' }) — otherwise.</t>
        </is>
      </c>
      <c r="I684" s="3" t="inlineStr">
        <is>
          <t>PARTLY READ — some of the code is still showing through; needs a hand pass</t>
        </is>
      </c>
      <c r="J684" s="3" t="inlineStr">
        <is>
          <t>iso: string</t>
        </is>
      </c>
      <c r="K684" s="3" t="inlineStr">
        <is>
          <t>NOT DECLARED — the code does not say what it gives back</t>
        </is>
      </c>
      <c r="L684" s="3" t="inlineStr">
        <is>
          <t>—</t>
        </is>
      </c>
      <c r="M684" s="3" t="inlineStr">
        <is>
          <t>None found in this function — anything it assumes comes from the functions it depends on.</t>
        </is>
      </c>
      <c r="N684" s="3" t="inlineStr">
        <is>
          <t>Yes</t>
        </is>
      </c>
      <c r="O684" s="3" t="inlineStr">
        <is>
          <t>—</t>
        </is>
      </c>
      <c r="P684" s="3" t="n">
        <v>0</v>
      </c>
      <c r="Q684" s="3" t="inlineStr">
        <is>
          <t>None — no dependent function stands behind it</t>
        </is>
      </c>
      <c r="R684" s="3" t="inlineStr">
        <is>
          <t>No dependent function — it reads its inputs and answers</t>
        </is>
      </c>
      <c r="S684" s="3" t="inlineStr">
        <is>
          <t>—</t>
        </is>
      </c>
      <c r="T684" s="3" t="inlineStr">
        <is>
          <t>—</t>
        </is>
      </c>
      <c r="U684" s="3" t="inlineStr">
        <is>
          <t>ACTIVE</t>
        </is>
      </c>
      <c r="V684" s="3" t="inlineStr">
        <is>
          <t>2026-08-27</t>
        </is>
      </c>
      <c r="W684" s="3" t="n"/>
      <c r="X684" s="3" t="n"/>
      <c r="Y684" s="3" t="inlineStr">
        <is>
          <t>NOTHING OPEN</t>
        </is>
      </c>
    </row>
    <row r="685" ht="60" customHeight="1">
      <c r="A685" s="3" t="inlineStr">
        <is>
          <t>MK-XS-F-119</t>
        </is>
      </c>
      <c r="B685" s="3" t="inlineStr">
        <is>
          <t>namesFor</t>
        </is>
      </c>
      <c r="C685" s="3" t="inlineStr">
        <is>
          <t>src/domain/gaps/index.ts</t>
        </is>
      </c>
      <c r="D685" s="3" t="n">
        <v>87</v>
      </c>
      <c r="E685" s="3" t="inlineStr">
        <is>
          <t>1 · ACTION</t>
        </is>
      </c>
      <c r="F685" s="3" t="inlineStr">
        <is>
          <t>Founder finding 2026-08-11: this named an account by its INSTITUTION alone, so two Vanguard accounts produced two identical banner lines ("Vanguard last updated Aug 3" twice) with no way to tell which was which.</t>
        </is>
      </c>
      <c r="G685" s="11" t="inlineStr">
        <is>
          <t>account display names(accounts)</t>
        </is>
      </c>
      <c r="H685" s="3" t="inlineStr">
        <is>
          <t>account display names(accounts)</t>
        </is>
      </c>
      <c r="I685" s="3" t="inlineStr">
        <is>
          <t>READ FROM THE CODE — rendered from the expressions the function runs</t>
        </is>
      </c>
      <c r="J685" s="3" t="inlineStr">
        <is>
          <t>accounts: AssetAccount[]</t>
        </is>
      </c>
      <c r="K685" s="3" t="inlineStr">
        <is>
          <t>NOT DECLARED — the code does not say what it gives back</t>
        </is>
      </c>
      <c r="L685" s="3" t="inlineStr">
        <is>
          <t>—</t>
        </is>
      </c>
      <c r="M685" s="3" t="inlineStr">
        <is>
          <t>None found in this function — anything it assumes comes from the functions it depends on.</t>
        </is>
      </c>
      <c r="N685" s="3" t="inlineStr">
        <is>
          <t>Yes</t>
        </is>
      </c>
      <c r="O685" s="3" t="inlineStr">
        <is>
          <t>MK-NW-F-026 accountDisplayNames</t>
        </is>
      </c>
      <c r="P685" s="3" t="n">
        <v>22</v>
      </c>
      <c r="Q685" s="3" t="inlineStr">
        <is>
          <t>1. MK-NW-F-026 accountDisplayNames
2. MK-NW-F-025 accountDisplayName
3. MK-ST-F-056 has
4. MK-CF-F-132 map
5. MK-XS-F-122 n
6. MK-NW-F-024 accountLastFour
7. MK-ST-F-039 on
8. MK-NW-F-012 taxTreatmentOf
9. MK-NW-F-023 wrapperWord
10. MK-NW-F-007 assetKind
11. MK-NW-F-011 assetClassOf
12. MK-CF-F-155 cash
13. MK-NW-F-120 classEvidenceOf
14. MK-NW-F-008 incomeBearingClassOf
15. MK-NW-F-009 maturityClass
16. MK-ST-F-010 nameEvidence
17. MK-NW-F-124 maturityParts
18. MK-CF-F-216 typed
19. MK-XS-F-147 call
20. MK-ST-F-027 accountId
21. MK-XS-F-064 currentIdToken
22. MK-XS-F-112 relayUrl</t>
        </is>
      </c>
      <c r="R685" s="3" t="inlineStr">
        <is>
          <t>1. accountDisplayNames (already above — a loop) → MK-NW-F-025 accountDisplayName → MK-NW-F-026 accountDisplayNames → MK-XS-F-119 namesFor
2. MK-NW-F-024 accountLastFour → MK-NW-F-025 accountDisplayName → MK-NW-F-026 accountDisplayNames → MK-XS-F-119 namesFor
3. MK-ST-F-039 on → MK-NW-F-025 accountDisplayName → MK-NW-F-026 accountDisplayNames → MK-XS-F-119 namesFor
4. MK-NW-F-011 assetClassOf → MK-NW-F-007 assetKind → MK-NW-F-012 taxTreatmentOf → MK-NW-F-025 accountDisplayName → MK-NW-F-026 accountDisplayNames → MK-XS-F-119 namesFor
5. MK-CF-F-155 cash → MK-NW-F-007 assetKind → MK-NW-F-012 taxTreatmentOf → MK-NW-F-025 accountDisplayName → MK-NW-F-026 accountDisplayNames → MK-XS-F-119 namesFor
6. MK-NW-F-023 wrapperWord → MK-NW-F-025 accountDisplayName → MK-NW-F-026 accountDisplayNames → MK-XS-F-119 namesFor
7. MK-ST-F-056 has → MK-NW-F-026 accountDisplayNames → MK-XS-F-119 namesFor
8. MK-CF-F-132 map → MK-NW-F-026 accountDisplayNames → MK-XS-F-119 namesFor
9. … and 1 more paths</t>
        </is>
      </c>
      <c r="S685" s="3" t="inlineStr">
        <is>
          <t>—</t>
        </is>
      </c>
      <c r="T685" s="3" t="inlineStr">
        <is>
          <t>—</t>
        </is>
      </c>
      <c r="U685" s="3" t="inlineStr">
        <is>
          <t>ACTIVE</t>
        </is>
      </c>
      <c r="V685" s="3" t="inlineStr">
        <is>
          <t>2026-08-27</t>
        </is>
      </c>
      <c r="W685" s="3" t="n"/>
      <c r="X685" s="3" t="n"/>
      <c r="Y685" s="3" t="inlineStr">
        <is>
          <t>NOTHING OPEN</t>
        </is>
      </c>
    </row>
    <row r="686" ht="60" customHeight="1">
      <c r="A686" s="3" t="inlineStr">
        <is>
          <t>MK-XS-F-120</t>
        </is>
      </c>
      <c r="B686" s="3" t="inlineStr">
        <is>
          <t>nameOf</t>
        </is>
      </c>
      <c r="C686" s="3" t="inlineStr">
        <is>
          <t>src/domain/gaps/index.ts</t>
        </is>
      </c>
      <c r="D686" s="3" t="n">
        <v>108</v>
      </c>
      <c r="E686" s="3" t="inlineStr">
        <is>
          <t>1 · ACTION</t>
        </is>
      </c>
      <c r="F686" s="3" t="inlineStr">
        <is>
          <t>NOT DETERMINED — the code carries no note saying what this is for, and it has no row in the old inventory. Needs reading.</t>
        </is>
      </c>
      <c r="G686" s="11" t="inlineStr">
        <is>
          <t>the answer = the person's name for the account, else the institution, else the label, else 'this account'</t>
        </is>
      </c>
      <c r="H686" s="3" t="inlineStr">
        <is>
          <t>What to call an account in a sentence — the person's own name for it, then the institution, then the label. No arithmetic.</t>
        </is>
      </c>
      <c r="I686" s="3" t="inlineStr">
        <is>
          <t>READ BY HAND 2026-08-26 — checked line by line against the code</t>
        </is>
      </c>
      <c r="J686" s="3" t="inlineStr">
        <is>
          <t>1. a: AssetAccount
2. names: Map&lt;string, string&gt;</t>
        </is>
      </c>
      <c r="K686" s="3" t="inlineStr">
        <is>
          <t>NOT DECLARED — the code does not say what it gives back</t>
        </is>
      </c>
      <c r="L686" s="3" t="inlineStr">
        <is>
          <t>—</t>
        </is>
      </c>
      <c r="M686" s="3" t="inlineStr">
        <is>
          <t>None found in this function — anything it assumes comes from the functions it depends on.</t>
        </is>
      </c>
      <c r="N686" s="3" t="inlineStr">
        <is>
          <t>Yes</t>
        </is>
      </c>
      <c r="O686" s="3" t="inlineStr">
        <is>
          <t>—</t>
        </is>
      </c>
      <c r="P686" s="3" t="n">
        <v>0</v>
      </c>
      <c r="Q686" s="3" t="inlineStr">
        <is>
          <t>None — no dependent function stands behind it</t>
        </is>
      </c>
      <c r="R686" s="3" t="inlineStr">
        <is>
          <t>No dependent function — it reads its inputs and answers</t>
        </is>
      </c>
      <c r="S686" s="3" t="inlineStr">
        <is>
          <t>—</t>
        </is>
      </c>
      <c r="T686" s="3" t="inlineStr">
        <is>
          <t>—</t>
        </is>
      </c>
      <c r="U686" s="3" t="inlineStr">
        <is>
          <t>ACTIVE</t>
        </is>
      </c>
      <c r="V686" s="3" t="inlineStr">
        <is>
          <t>2026-09-12</t>
        </is>
      </c>
      <c r="W686" s="3" t="n"/>
      <c r="X686" s="3" t="n"/>
      <c r="Y686" s="3" t="inlineStr">
        <is>
          <t>NOTHING OPEN</t>
        </is>
      </c>
    </row>
    <row r="687" ht="60" customHeight="1">
      <c r="A687" s="3" t="inlineStr">
        <is>
          <t>MK-XS-F-121</t>
        </is>
      </c>
      <c r="B687" s="3" t="inlineStr">
        <is>
          <t>isYm</t>
        </is>
      </c>
      <c r="C687" s="3" t="inlineStr">
        <is>
          <t>src/domain/history.ts</t>
        </is>
      </c>
      <c r="D687" s="3" t="n">
        <v>133</v>
      </c>
      <c r="E687" s="3" t="inlineStr">
        <is>
          <t>1 · ACTION</t>
        </is>
      </c>
      <c r="F687" s="3" t="inlineStr">
        <is>
          <t>NOT DETERMINED — the code carries no note saying what this is for, and it has no row in the old inventory. Needs reading.</t>
        </is>
      </c>
      <c r="G687" s="11" t="inlineStr">
        <is>
          <t>the answer = true when the text is exactly 'YYYY-MM'</t>
        </is>
      </c>
      <c r="H687" s="3" t="inlineStr">
        <is>
          <t>Whether a text is a month key of the form 'YYYY-MM'. No arithmetic.</t>
        </is>
      </c>
      <c r="I687" s="3" t="inlineStr">
        <is>
          <t>READ BY HAND 2026-08-26 — checked line by line against the code</t>
        </is>
      </c>
      <c r="J687" s="3" t="inlineStr">
        <is>
          <t>s: unknown</t>
        </is>
      </c>
      <c r="K687" s="3" t="inlineStr">
        <is>
          <t>s is string</t>
        </is>
      </c>
      <c r="L687" s="3" t="inlineStr">
        <is>
          <t>—</t>
        </is>
      </c>
      <c r="M687" s="3" t="inlineStr">
        <is>
          <t>None found in this function — anything it assumes comes from the functions it depends on.</t>
        </is>
      </c>
      <c r="N687" s="3" t="inlineStr">
        <is>
          <t>Yes</t>
        </is>
      </c>
      <c r="O687" s="3" t="inlineStr">
        <is>
          <t>—</t>
        </is>
      </c>
      <c r="P687" s="3" t="n">
        <v>0</v>
      </c>
      <c r="Q687" s="3" t="inlineStr">
        <is>
          <t>None — no dependent function stands behind it</t>
        </is>
      </c>
      <c r="R687" s="3" t="inlineStr">
        <is>
          <t>No dependent function — it reads its inputs and answers</t>
        </is>
      </c>
      <c r="S687" s="3" t="inlineStr">
        <is>
          <t>—</t>
        </is>
      </c>
      <c r="T687" s="3" t="inlineStr">
        <is>
          <t>—</t>
        </is>
      </c>
      <c r="U687" s="3" t="inlineStr">
        <is>
          <t>ACTIVE</t>
        </is>
      </c>
      <c r="V687" s="3" t="inlineStr">
        <is>
          <t>2026-09-12</t>
        </is>
      </c>
      <c r="W687" s="3" t="n"/>
      <c r="X687" s="3" t="n"/>
      <c r="Y687" s="3" t="inlineStr">
        <is>
          <t>NOTHING OPEN</t>
        </is>
      </c>
    </row>
    <row r="688" ht="60" customHeight="1">
      <c r="A688" s="3" t="inlineStr">
        <is>
          <t>MK-XS-F-122</t>
        </is>
      </c>
      <c r="B688" s="3" t="inlineStr">
        <is>
          <t>n</t>
        </is>
      </c>
      <c r="C688" s="3" t="inlineStr">
        <is>
          <t>src/domain/history.ts</t>
        </is>
      </c>
      <c r="D688" s="3" t="n">
        <v>177</v>
      </c>
      <c r="E688" s="3" t="inlineStr">
        <is>
          <t>1 · ACTION</t>
        </is>
      </c>
      <c r="F688" s="3" t="inlineStr">
        <is>
          <t>NOT DETERMINED — the code carries no note saying what this is for, and it has no row in the old inventory. Needs reading.</t>
        </is>
      </c>
      <c r="G688" s="11" t="inlineStr">
        <is>
          <t>v   if typeof v = 'number' and number.is finite(v)
fallback   otherwise</t>
        </is>
      </c>
      <c r="H688" s="3" t="inlineStr">
        <is>
          <t>v — when typeof v = 'number' and number.is finite(v); fallback — otherwise</t>
        </is>
      </c>
      <c r="I688" s="3" t="inlineStr">
        <is>
          <t>PARTLY READ — some of the code is still showing through; needs a hand pass</t>
        </is>
      </c>
      <c r="J688" s="3" t="inlineStr">
        <is>
          <t>1. v: unknown
2. fallback = 0</t>
        </is>
      </c>
      <c r="K688" s="3" t="inlineStr">
        <is>
          <t>number</t>
        </is>
      </c>
      <c r="L688" s="3" t="inlineStr">
        <is>
          <t>—</t>
        </is>
      </c>
      <c r="M688" s="3" t="inlineStr">
        <is>
          <t>None found in this function — anything it assumes comes from the functions it depends on.</t>
        </is>
      </c>
      <c r="N688" s="3" t="inlineStr">
        <is>
          <t>Yes</t>
        </is>
      </c>
      <c r="O688" s="3" t="inlineStr">
        <is>
          <t>—</t>
        </is>
      </c>
      <c r="P688" s="3" t="n">
        <v>0</v>
      </c>
      <c r="Q688" s="3" t="inlineStr">
        <is>
          <t>None — no dependent function stands behind it</t>
        </is>
      </c>
      <c r="R688" s="3" t="inlineStr">
        <is>
          <t>No dependent function — it reads its inputs and answers</t>
        </is>
      </c>
      <c r="S688" s="3" t="inlineStr">
        <is>
          <t>—</t>
        </is>
      </c>
      <c r="T688" s="3" t="inlineStr">
        <is>
          <t>—</t>
        </is>
      </c>
      <c r="U688" s="3" t="inlineStr">
        <is>
          <t>ACTIVE</t>
        </is>
      </c>
      <c r="V688" s="3" t="inlineStr">
        <is>
          <t>2026-08-27</t>
        </is>
      </c>
      <c r="W688" s="3" t="n"/>
      <c r="X688" s="3" t="n"/>
      <c r="Y688" s="3" t="inlineStr">
        <is>
          <t>NOTHING OPEN</t>
        </is>
      </c>
    </row>
    <row r="689" ht="60" customHeight="1">
      <c r="A689" s="3" t="inlineStr">
        <is>
          <t>MK-XS-F-123</t>
        </is>
      </c>
      <c r="B689" s="3" t="inlineStr">
        <is>
          <t>base64ToBytes</t>
        </is>
      </c>
      <c r="C689" s="3" t="inlineStr">
        <is>
          <t>src/domain/import/holdingsImport.ts</t>
        </is>
      </c>
      <c r="D689" s="3" t="n">
        <v>56</v>
      </c>
      <c r="E689" s="3" t="inlineStr">
        <is>
          <t>3 · DEPENDENT</t>
        </is>
      </c>
      <c r="F689" s="3" t="inlineStr">
        <is>
          <t>NOT DETERMINED — the code carries no note saying what this is for, and it has no row in the old inventory. Needs reading.</t>
        </is>
      </c>
      <c r="G689" s="11" t="inlineStr">
        <is>
          <t>c = b64.replace( ÷ [^A − za − z0 − 9+ ÷ ] ÷ g, '')
out = []
e1 = B64.index of(c[i]), e2 = B64.index of(c[i + 1]), e3 = B64.index of(c[i + 2]), e4 = B64.index of(c[i + 3])
n = (e1 &lt;&lt; 18) | (e2 &lt;&lt; 12) | ((e3 &amp; 63) &lt;&lt; 6) | (e4 &amp; 63)
the answer = out</t>
        </is>
      </c>
      <c r="H689"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89" s="3" t="inlineStr">
        <is>
          <t>PARTLY READ — some of the code is still showing through; needs a hand pass</t>
        </is>
      </c>
      <c r="J689" s="3" t="inlineStr">
        <is>
          <t>b64: string</t>
        </is>
      </c>
      <c r="K689" s="3" t="inlineStr">
        <is>
          <t>number[]</t>
        </is>
      </c>
      <c r="L689" s="3" t="inlineStr">
        <is>
          <t>—</t>
        </is>
      </c>
      <c r="M689" s="3" t="inlineStr">
        <is>
          <t>None found in this function — anything it assumes comes from the functions it depends on.</t>
        </is>
      </c>
      <c r="N689" s="3" t="inlineStr">
        <is>
          <t>Yes</t>
        </is>
      </c>
      <c r="O689" s="3" t="inlineStr">
        <is>
          <t>—</t>
        </is>
      </c>
      <c r="P689" s="3" t="n">
        <v>0</v>
      </c>
      <c r="Q689" s="3" t="inlineStr">
        <is>
          <t>None — no dependent function stands behind it</t>
        </is>
      </c>
      <c r="R689" s="3" t="inlineStr">
        <is>
          <t>No dependent function — it reads its inputs and answers</t>
        </is>
      </c>
      <c r="S689" s="3" t="inlineStr">
        <is>
          <t>—</t>
        </is>
      </c>
      <c r="T689" s="3" t="inlineStr">
        <is>
          <t>—</t>
        </is>
      </c>
      <c r="U689" s="3" t="inlineStr">
        <is>
          <t>ACTIVE</t>
        </is>
      </c>
      <c r="V689" s="3" t="inlineStr">
        <is>
          <t>2026-08-27</t>
        </is>
      </c>
      <c r="W689" s="3" t="n"/>
      <c r="X689" s="3" t="n"/>
      <c r="Y689" s="3" t="inlineStr">
        <is>
          <t>NOTHING OPEN</t>
        </is>
      </c>
    </row>
    <row r="690" ht="60" customHeight="1">
      <c r="A690" s="3" t="inlineStr">
        <is>
          <t>MK-XS-F-124</t>
        </is>
      </c>
      <c r="B690" s="3" t="inlineStr">
        <is>
          <t>decodeUtf8</t>
        </is>
      </c>
      <c r="C690" s="3" t="inlineStr">
        <is>
          <t>src/domain/import/holdingsImport.ts</t>
        </is>
      </c>
      <c r="D690" s="3" t="n">
        <v>88</v>
      </c>
      <c r="E690" s="3" t="inlineStr">
        <is>
          <t>3 · DEPENDENT</t>
        </is>
      </c>
      <c r="F690" s="3" t="inlineStr">
        <is>
          <t>NOT DETERMINED — the code carries no note saying what this is for, and it has no row in the old inventory. Needs reading.</t>
        </is>
      </c>
      <c r="G690" s="11" t="inlineStr">
        <is>
          <t>s = ''
c = b[i++]
the answer = s</t>
        </is>
      </c>
      <c r="H690" s="3" t="inlineStr">
        <is>
          <t>S is ''. C is b[i++]. The answer is s.</t>
        </is>
      </c>
      <c r="I690" s="3" t="inlineStr">
        <is>
          <t>READ FROM THE CODE — rendered from the expressions the function runs</t>
        </is>
      </c>
      <c r="J690" s="3" t="inlineStr">
        <is>
          <t>1. b: number[]
2. start = 0</t>
        </is>
      </c>
      <c r="K690" s="3" t="inlineStr">
        <is>
          <t>string</t>
        </is>
      </c>
      <c r="L690" s="3" t="inlineStr">
        <is>
          <t>—</t>
        </is>
      </c>
      <c r="M690" s="3" t="inlineStr">
        <is>
          <t>None found in this function — anything it assumes comes from the functions it depends on.</t>
        </is>
      </c>
      <c r="N690" s="3" t="inlineStr">
        <is>
          <t>Yes</t>
        </is>
      </c>
      <c r="O690" s="3" t="inlineStr">
        <is>
          <t>—</t>
        </is>
      </c>
      <c r="P690" s="3" t="n">
        <v>0</v>
      </c>
      <c r="Q690" s="3" t="inlineStr">
        <is>
          <t>None — no dependent function stands behind it</t>
        </is>
      </c>
      <c r="R690" s="3" t="inlineStr">
        <is>
          <t>No dependent function — it reads its inputs and answers</t>
        </is>
      </c>
      <c r="S690" s="3" t="inlineStr">
        <is>
          <t>—</t>
        </is>
      </c>
      <c r="T690" s="3" t="inlineStr">
        <is>
          <t>—</t>
        </is>
      </c>
      <c r="U690" s="3" t="inlineStr">
        <is>
          <t>ACTIVE</t>
        </is>
      </c>
      <c r="V690" s="3" t="inlineStr">
        <is>
          <t>2026-08-27</t>
        </is>
      </c>
      <c r="W690" s="3" t="n"/>
      <c r="X690" s="3" t="n"/>
      <c r="Y690" s="3" t="inlineStr">
        <is>
          <t>NOTHING OPEN</t>
        </is>
      </c>
    </row>
    <row r="691" ht="60" customHeight="1">
      <c r="A691" s="3" t="inlineStr">
        <is>
          <t>MK-XS-F-125</t>
        </is>
      </c>
      <c r="B691" s="3" t="inlineStr">
        <is>
          <t>decodeUtf16</t>
        </is>
      </c>
      <c r="C691" s="3" t="inlineStr">
        <is>
          <t>src/domain/import/holdingsImport.ts</t>
        </is>
      </c>
      <c r="D691" s="3" t="n">
        <v>118</v>
      </c>
      <c r="E691" s="3" t="inlineStr">
        <is>
          <t>3 · DEPENDENT</t>
        </is>
      </c>
      <c r="F691" s="3" t="inlineStr">
        <is>
          <t>NOT DETERMINED — the code carries no note saying what this is for, and it has no row in the old inventory. Needs reading.</t>
        </is>
      </c>
      <c r="G691" s="11" t="inlineStr">
        <is>
          <t>s = ''
[LOOP — the answer is found inside a loop the extractor cannot render; the steps above are the ones before it. Read by hand.]</t>
        </is>
      </c>
      <c r="H691" s="3" t="inlineStr">
        <is>
          <t>S is ''. The answer is s. The answer is found inside a loop that cannot be rendered here; read the code by hand.</t>
        </is>
      </c>
      <c r="I691" s="3" t="inlineStr">
        <is>
          <t>PARTLY READ — the body has a loop the extractor cannot render; the steps shown are the ones before it. Needs a hand pass (G23).</t>
        </is>
      </c>
      <c r="J691" s="3" t="inlineStr">
        <is>
          <t>1. b: number[]
2. start: number
3. le: boolean</t>
        </is>
      </c>
      <c r="K691" s="3" t="inlineStr">
        <is>
          <t>string</t>
        </is>
      </c>
      <c r="L691" s="3" t="inlineStr">
        <is>
          <t>—</t>
        </is>
      </c>
      <c r="M691" s="3" t="inlineStr">
        <is>
          <t>None found in this function — anything it assumes comes from the functions it depends on.</t>
        </is>
      </c>
      <c r="N691" s="3" t="inlineStr">
        <is>
          <t>Yes</t>
        </is>
      </c>
      <c r="O691" s="3" t="inlineStr">
        <is>
          <t>—</t>
        </is>
      </c>
      <c r="P691" s="3" t="n">
        <v>0</v>
      </c>
      <c r="Q691" s="3" t="inlineStr">
        <is>
          <t>None — no dependent function stands behind it</t>
        </is>
      </c>
      <c r="R691" s="3" t="inlineStr">
        <is>
          <t>No dependent function — it reads its inputs and answers</t>
        </is>
      </c>
      <c r="S691" s="3" t="inlineStr">
        <is>
          <t>—</t>
        </is>
      </c>
      <c r="T691" s="3" t="inlineStr">
        <is>
          <t>—</t>
        </is>
      </c>
      <c r="U691" s="3" t="inlineStr">
        <is>
          <t>ACTIVE</t>
        </is>
      </c>
      <c r="V691" s="3" t="inlineStr">
        <is>
          <t>2026-09-08</t>
        </is>
      </c>
      <c r="W691" s="3" t="n"/>
      <c r="X691" s="3" t="n"/>
      <c r="Y691" s="3" t="inlineStr">
        <is>
          <t>NOTHING OPEN</t>
        </is>
      </c>
    </row>
    <row r="692" ht="60" customHeight="1">
      <c r="A692" s="3" t="inlineStr">
        <is>
          <t>MK-XS-F-126</t>
        </is>
      </c>
      <c r="B692" s="3" t="inlineStr">
        <is>
          <t>findCol</t>
        </is>
      </c>
      <c r="C692" s="3" t="inlineStr">
        <is>
          <t>src/domain/import/holdingsImport.ts</t>
        </is>
      </c>
      <c r="D692" s="3" t="n">
        <v>258</v>
      </c>
      <c r="E692" s="3" t="inlineStr">
        <is>
          <t>3 · DEPENDENT</t>
        </is>
      </c>
      <c r="F692" s="3" t="inlineStr">
        <is>
          <t>NOT DETERMINED — the code carries no note saying what this is for, and it has no row in the old inventory. Needs reading.</t>
        </is>
      </c>
      <c r="G692" s="11" t="inlineStr">
        <is>
          <t>i = headers.find index((h) =&gt; re.test(h))
i   when i ≥ 0
[LOOP — the answer is found inside a loop the extractor cannot render; the steps above are the ones before it. Read by hand.]</t>
        </is>
      </c>
      <c r="H692" s="3" t="inlineStr">
        <is>
          <t>I is headers.find index((h) =&gt; re.test(h)). When i is at least 0, it answers i. The answer is -1. The answer is found inside a loop that cannot be rendered here; read the code by hand.</t>
        </is>
      </c>
      <c r="I692" s="3" t="inlineStr">
        <is>
          <t>PARTLY READ — the body has a loop the extractor cannot render; the steps shown are the ones before it. Needs a hand pass (G23).</t>
        </is>
      </c>
      <c r="J692" s="3" t="inlineStr">
        <is>
          <t>1. headers: string[]
2. patterns: RegExp[]</t>
        </is>
      </c>
      <c r="K692" s="3" t="inlineStr">
        <is>
          <t>number</t>
        </is>
      </c>
      <c r="L692" s="3" t="inlineStr">
        <is>
          <t>—</t>
        </is>
      </c>
      <c r="M692" s="3" t="inlineStr">
        <is>
          <t>None found in this function — anything it assumes comes from the functions it depends on.</t>
        </is>
      </c>
      <c r="N692" s="3" t="inlineStr">
        <is>
          <t>Yes</t>
        </is>
      </c>
      <c r="O692" s="3" t="inlineStr">
        <is>
          <t>—</t>
        </is>
      </c>
      <c r="P692" s="3" t="n">
        <v>0</v>
      </c>
      <c r="Q692" s="3" t="inlineStr">
        <is>
          <t>None — no dependent function stands behind it</t>
        </is>
      </c>
      <c r="R692" s="3" t="inlineStr">
        <is>
          <t>No dependent function — it reads its inputs and answers</t>
        </is>
      </c>
      <c r="S692" s="3" t="inlineStr">
        <is>
          <t>—</t>
        </is>
      </c>
      <c r="T692" s="3" t="inlineStr">
        <is>
          <t>—</t>
        </is>
      </c>
      <c r="U692" s="3" t="inlineStr">
        <is>
          <t>ACTIVE</t>
        </is>
      </c>
      <c r="V692" s="3" t="inlineStr">
        <is>
          <t>2026-09-08</t>
        </is>
      </c>
      <c r="W692" s="3" t="n"/>
      <c r="X692" s="3" t="n"/>
      <c r="Y692" s="3" t="inlineStr">
        <is>
          <t>NOTHING OPEN</t>
        </is>
      </c>
    </row>
    <row r="693" ht="60" customHeight="1">
      <c r="A693" s="3" t="inlineStr">
        <is>
          <t>MK-XS-F-127</t>
        </is>
      </c>
      <c r="B693" s="3" t="inlineStr">
        <is>
          <t>toIsoDate</t>
        </is>
      </c>
      <c r="C693" s="3" t="inlineStr">
        <is>
          <t>src/domain/import/holdingsImport.ts</t>
        </is>
      </c>
      <c r="D693" s="3" t="n">
        <v>290</v>
      </c>
      <c r="E693" s="3" t="inlineStr">
        <is>
          <t>3 · DEPENDENT</t>
        </is>
      </c>
      <c r="F693" s="3" t="inlineStr">
        <is>
          <t>Normalise a date cell to 'YYYY-MM-DD', or undefined if it isn't a usable date.</t>
        </is>
      </c>
      <c r="G693" s="11" t="inlineStr">
        <is>
          <t>t = (v ?? '').trim()
undefined   when t is missing
m = match( ÷ ^(\d{4})[- ÷ ](\d{1,2})[- ÷ ](\d{1,2})$ ÷ )
`${m[1]}-${m[2].pad start(2, '0')}-${m[3].pad start(2, '0')}`   when m
`${m[3]}-${m[1].pad start(2, '0')}-${m[2].pad start(2, '0')}`   when m
the answer = undefined</t>
        </is>
      </c>
      <c r="H693" s="3" t="inlineStr">
        <is>
          <t>T is (v ?? '').trim(). When t is missing, it answers undefined. M is match( divided by ^(\d{4})[- divided by ](\d{1,2})[- divided by ](\d{1,2})$ divided by ). When m, it answers `${m[1]}-${m[2].pad start(2, '0')}-${m[3].pad start(2, '0')}`. When m, it answers `${m[3]}-${m[1].pad start(2, '0')}-${m[2].pad start(2, '0')}`. The answer is undefined.</t>
        </is>
      </c>
      <c r="I693" s="3" t="inlineStr">
        <is>
          <t>PARTLY READ — some of the code is still showing through; needs a hand pass</t>
        </is>
      </c>
      <c r="J693" s="3" t="inlineStr">
        <is>
          <t>v: string</t>
        </is>
      </c>
      <c r="K693" s="3" t="inlineStr">
        <is>
          <t>string | undefined</t>
        </is>
      </c>
      <c r="L693" s="3" t="inlineStr">
        <is>
          <t>—</t>
        </is>
      </c>
      <c r="M693" s="3" t="inlineStr">
        <is>
          <t>None found in this function — anything it assumes comes from the functions it depends on.</t>
        </is>
      </c>
      <c r="N693" s="3" t="inlineStr">
        <is>
          <t>Yes</t>
        </is>
      </c>
      <c r="O693" s="3" t="inlineStr">
        <is>
          <t>—</t>
        </is>
      </c>
      <c r="P693" s="3" t="n">
        <v>0</v>
      </c>
      <c r="Q693" s="3" t="inlineStr">
        <is>
          <t>None — no dependent function stands behind it</t>
        </is>
      </c>
      <c r="R693" s="3" t="inlineStr">
        <is>
          <t>No dependent function — it reads its inputs and answers</t>
        </is>
      </c>
      <c r="S693" s="3" t="inlineStr">
        <is>
          <t>—</t>
        </is>
      </c>
      <c r="T693" s="3" t="inlineStr">
        <is>
          <t>—</t>
        </is>
      </c>
      <c r="U693" s="3" t="inlineStr">
        <is>
          <t>ACTIVE</t>
        </is>
      </c>
      <c r="V693" s="3" t="inlineStr">
        <is>
          <t>2026-08-27</t>
        </is>
      </c>
      <c r="W693" s="3" t="n"/>
      <c r="X693" s="3" t="n"/>
      <c r="Y693" s="3" t="inlineStr">
        <is>
          <t>NOTHING OPEN</t>
        </is>
      </c>
    </row>
    <row r="694" ht="60" customHeight="1">
      <c r="A694" s="3" t="inlineStr">
        <is>
          <t>MK-XS-F-128</t>
        </is>
      </c>
      <c r="B694" s="3" t="inlineStr">
        <is>
          <t>cleanTicker</t>
        </is>
      </c>
      <c r="C694" s="3" t="inlineStr">
        <is>
          <t>src/domain/import/holdingsImport.ts</t>
        </is>
      </c>
      <c r="D694" s="3" t="n">
        <v>323</v>
      </c>
      <c r="E694" s="3" t="inlineStr">
        <is>
          <t>3 · DEPENDENT</t>
        </is>
      </c>
      <c r="F694" s="3" t="inlineStr">
        <is>
          <t>A plausible tradeable ticker: 1–10 chars, letters/digits/.-, at least one letter, no spaces.</t>
        </is>
      </c>
      <c r="G694"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694"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694" s="3" t="inlineStr">
        <is>
          <t>PARTLY READ — some of the code is still showing through; needs a hand pass</t>
        </is>
      </c>
      <c r="J694" s="3" t="inlineStr">
        <is>
          <t>v: string</t>
        </is>
      </c>
      <c r="K694" s="3" t="inlineStr">
        <is>
          <t>string | null</t>
        </is>
      </c>
      <c r="L694" s="3" t="inlineStr">
        <is>
          <t>—</t>
        </is>
      </c>
      <c r="M694" s="3" t="inlineStr">
        <is>
          <t>None found in this function — anything it assumes comes from the functions it depends on.</t>
        </is>
      </c>
      <c r="N694" s="3" t="inlineStr">
        <is>
          <t>Yes</t>
        </is>
      </c>
      <c r="O694" s="3" t="inlineStr">
        <is>
          <t>—</t>
        </is>
      </c>
      <c r="P694" s="3" t="n">
        <v>0</v>
      </c>
      <c r="Q694" s="3" t="inlineStr">
        <is>
          <t>None — no dependent function stands behind it</t>
        </is>
      </c>
      <c r="R694" s="3" t="inlineStr">
        <is>
          <t>No dependent function — it reads its inputs and answers</t>
        </is>
      </c>
      <c r="S694" s="3" t="inlineStr">
        <is>
          <t>—</t>
        </is>
      </c>
      <c r="T694" s="3" t="inlineStr">
        <is>
          <t>—</t>
        </is>
      </c>
      <c r="U694" s="3" t="inlineStr">
        <is>
          <t>ACTIVE</t>
        </is>
      </c>
      <c r="V694" s="3" t="inlineStr">
        <is>
          <t>2026-08-27</t>
        </is>
      </c>
      <c r="W694" s="3" t="n"/>
      <c r="X694" s="3" t="n"/>
      <c r="Y694" s="3" t="inlineStr">
        <is>
          <t>NOTHING OPEN</t>
        </is>
      </c>
    </row>
    <row r="695" ht="60" customHeight="1">
      <c r="A695" s="3" t="inlineStr">
        <is>
          <t>MK-XS-F-129</t>
        </is>
      </c>
      <c r="B695" s="3" t="inlineStr">
        <is>
          <t>findHeaderRow</t>
        </is>
      </c>
      <c r="C695" s="3" t="inlineStr">
        <is>
          <t>src/domain/import/holdingsImport.ts</t>
        </is>
      </c>
      <c r="D695" s="3" t="n">
        <v>381</v>
      </c>
      <c r="E695" s="3" t="inlineStr">
        <is>
          <t>3 · DEPENDENT</t>
        </is>
      </c>
      <c r="F695" s="3" t="inlineStr">
        <is>
          <t>Find the real positions header — the first row that has BOTH a symbol/ticker AND a quantity/shares column (skips brokerage preambles like "Account Summary" and filter headers).</t>
        </is>
      </c>
      <c r="G695"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695"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695" s="3" t="inlineStr">
        <is>
          <t>PARTLY READ — the body has a loop the extractor cannot render; the steps shown are the ones before it. Needs a hand pass (G23).</t>
        </is>
      </c>
      <c r="J695" s="3" t="inlineStr">
        <is>
          <t>rows: string[][]</t>
        </is>
      </c>
      <c r="K695" s="3" t="inlineStr">
        <is>
          <t>number</t>
        </is>
      </c>
      <c r="L695" s="3" t="inlineStr">
        <is>
          <t>—</t>
        </is>
      </c>
      <c r="M695" s="3" t="inlineStr">
        <is>
          <t>None found in this function — anything it assumes comes from the functions it depends on.</t>
        </is>
      </c>
      <c r="N695" s="3" t="inlineStr">
        <is>
          <t>Yes</t>
        </is>
      </c>
      <c r="O695" s="3" t="inlineStr">
        <is>
          <t>MK-CF-F-132 map</t>
        </is>
      </c>
      <c r="P695" s="3" t="n">
        <v>1</v>
      </c>
      <c r="Q695" s="3" t="inlineStr">
        <is>
          <t>MK-CF-F-132 map</t>
        </is>
      </c>
      <c r="R695" s="3" t="inlineStr">
        <is>
          <t>MK-CF-F-132 map → MK-XS-F-129 findHeaderRow</t>
        </is>
      </c>
      <c r="S695" s="3" t="inlineStr">
        <is>
          <t>—</t>
        </is>
      </c>
      <c r="T695" s="3" t="inlineStr">
        <is>
          <t>—</t>
        </is>
      </c>
      <c r="U695" s="3" t="inlineStr">
        <is>
          <t>ACTIVE</t>
        </is>
      </c>
      <c r="V695" s="3" t="inlineStr">
        <is>
          <t>2026-09-08</t>
        </is>
      </c>
      <c r="W695" s="3" t="n"/>
      <c r="X695" s="3" t="n"/>
      <c r="Y695" s="3" t="inlineStr">
        <is>
          <t>NOTHING OPEN</t>
        </is>
      </c>
    </row>
    <row r="696" ht="60" customHeight="1">
      <c r="A696" s="3" t="inlineStr">
        <is>
          <t>MK-XS-F-130</t>
        </is>
      </c>
      <c r="B696" s="3" t="inlineStr">
        <is>
          <t>normInst</t>
        </is>
      </c>
      <c r="C696" s="3" t="inlineStr">
        <is>
          <t>src/domain/import/holdingsImport.ts</t>
        </is>
      </c>
      <c r="D696" s="3" t="n">
        <v>512</v>
      </c>
      <c r="E696" s="3" t="inlineStr">
        <is>
          <t>1 · ACTION</t>
        </is>
      </c>
      <c r="F696" s="3" t="inlineStr">
        <is>
          <t>NOT DETERMINED — the code carries no note saying what this is for, and it has no row in the old inventory. Needs reading.</t>
        </is>
      </c>
      <c r="G696" s="11" t="inlineStr">
        <is>
          <t>(s ?? '').trim().to lower case().replace( ÷ [^a − z0 − 9] ÷ g, '')</t>
        </is>
      </c>
      <c r="H696" s="3" t="inlineStr">
        <is>
          <t>(s ?? '').trim().to lower case().replace( divided by [^a minus z0 minus 9] divided by g, '')</t>
        </is>
      </c>
      <c r="I696" s="3" t="inlineStr">
        <is>
          <t>PARTLY READ — some of the code is still showing through; needs a hand pass</t>
        </is>
      </c>
      <c r="J696" s="3" t="inlineStr">
        <is>
          <t>s?: string</t>
        </is>
      </c>
      <c r="K696" s="3" t="inlineStr">
        <is>
          <t>NOT DECLARED — the code does not say what it gives back</t>
        </is>
      </c>
      <c r="L696" s="3" t="inlineStr">
        <is>
          <t>—</t>
        </is>
      </c>
      <c r="M696" s="3" t="inlineStr">
        <is>
          <t>None found in this function — anything it assumes comes from the functions it depends on.</t>
        </is>
      </c>
      <c r="N696" s="3" t="inlineStr">
        <is>
          <t>Yes</t>
        </is>
      </c>
      <c r="O696" s="3" t="inlineStr">
        <is>
          <t>—</t>
        </is>
      </c>
      <c r="P696" s="3" t="n">
        <v>0</v>
      </c>
      <c r="Q696" s="3" t="inlineStr">
        <is>
          <t>None — no dependent function stands behind it</t>
        </is>
      </c>
      <c r="R696" s="3" t="inlineStr">
        <is>
          <t>No dependent function — it reads its inputs and answers</t>
        </is>
      </c>
      <c r="S696" s="3" t="inlineStr">
        <is>
          <t>—</t>
        </is>
      </c>
      <c r="T696" s="3" t="inlineStr">
        <is>
          <t>—</t>
        </is>
      </c>
      <c r="U696" s="3" t="inlineStr">
        <is>
          <t>ACTIVE</t>
        </is>
      </c>
      <c r="V696" s="3" t="inlineStr">
        <is>
          <t>2026-08-27</t>
        </is>
      </c>
      <c r="W696" s="3" t="n"/>
      <c r="X696" s="3" t="n"/>
      <c r="Y696" s="3" t="inlineStr">
        <is>
          <t>NOTHING OPEN</t>
        </is>
      </c>
    </row>
    <row r="697" ht="60" customHeight="1">
      <c r="A697" s="3" t="inlineStr">
        <is>
          <t>MK-XS-F-131</t>
        </is>
      </c>
      <c r="B697" s="3" t="inlineStr">
        <is>
          <t>toInt</t>
        </is>
      </c>
      <c r="C697" s="3" t="inlineStr">
        <is>
          <t>src/domain/profile/onboarding.ts</t>
        </is>
      </c>
      <c r="D697" s="3" t="n">
        <v>28</v>
      </c>
      <c r="E697" s="3" t="inlineStr">
        <is>
          <t>3 · DEPENDENT</t>
        </is>
      </c>
      <c r="F697" s="3" t="inlineStr">
        <is>
          <t>NOT DETERMINED — the code carries no note saying what this is for, and it has no row in the old inventory. Needs reading.</t>
        </is>
      </c>
      <c r="G697" s="11" t="inlineStr">
        <is>
          <t>n = parse int(string(v ?? '').replace( ÷ [^0 − 9] ÷ g, ''), 10)
the answer:
n   if number.is finite(n)
nothing   otherwise</t>
        </is>
      </c>
      <c r="H697" s="3" t="inlineStr">
        <is>
          <t>N is parse int(string(v ?? '').replace( divided by [^0 minus 9] divided by g, ''), 10). The answer is n — when number.is finite(n); no answer — otherwise.</t>
        </is>
      </c>
      <c r="I697" s="3" t="inlineStr">
        <is>
          <t>PARTLY READ — some of the code is still showing through; needs a hand pass</t>
        </is>
      </c>
      <c r="J697" s="3" t="inlineStr">
        <is>
          <t>v: any</t>
        </is>
      </c>
      <c r="K697" s="3" t="inlineStr">
        <is>
          <t>number | null</t>
        </is>
      </c>
      <c r="L697" s="3" t="inlineStr">
        <is>
          <t>—</t>
        </is>
      </c>
      <c r="M697" s="3" t="inlineStr">
        <is>
          <t>None found in this function — anything it assumes comes from the functions it depends on.</t>
        </is>
      </c>
      <c r="N697" s="3" t="inlineStr">
        <is>
          <t>Yes</t>
        </is>
      </c>
      <c r="O697" s="3" t="inlineStr">
        <is>
          <t>MK-XS-F-122 n</t>
        </is>
      </c>
      <c r="P697" s="3" t="n">
        <v>1</v>
      </c>
      <c r="Q697" s="3" t="inlineStr">
        <is>
          <t>MK-XS-F-122 n</t>
        </is>
      </c>
      <c r="R697" s="3" t="inlineStr">
        <is>
          <t>MK-XS-F-122 n → MK-XS-F-131 toInt</t>
        </is>
      </c>
      <c r="S697" s="3" t="inlineStr">
        <is>
          <t>—</t>
        </is>
      </c>
      <c r="T697" s="3" t="inlineStr">
        <is>
          <t>—</t>
        </is>
      </c>
      <c r="U697" s="3" t="inlineStr">
        <is>
          <t>ACTIVE</t>
        </is>
      </c>
      <c r="V697" s="3" t="inlineStr">
        <is>
          <t>2026-08-27</t>
        </is>
      </c>
      <c r="W697" s="3" t="n"/>
      <c r="X697" s="3" t="n"/>
      <c r="Y697" s="3" t="inlineStr">
        <is>
          <t>NOTHING OPEN</t>
        </is>
      </c>
    </row>
    <row r="698" ht="60" customHeight="1">
      <c r="A698" s="3" t="inlineStr">
        <is>
          <t>MK-XS-F-132</t>
        </is>
      </c>
      <c r="B698" s="3" t="inlineStr">
        <is>
          <t>load</t>
        </is>
      </c>
      <c r="C698" s="3" t="inlineStr">
        <is>
          <t>src/services/appLock.ts</t>
        </is>
      </c>
      <c r="D698" s="3" t="n">
        <v>25</v>
      </c>
      <c r="E698" s="3" t="inlineStr">
        <is>
          <t>3 · DEPENDENT</t>
        </is>
      </c>
      <c r="F698" s="3" t="inlineStr">
        <is>
          <t>NOT DETERMINED — the code carries no note saying what this is for, and it has no row in the old inventory. Needs reading.</t>
        </is>
      </c>
      <c r="G698" s="11" t="inlineStr">
        <is>
          <t>LA   when LA
LA</t>
        </is>
      </c>
      <c r="H698" s="3" t="inlineStr">
        <is>
          <t>When LA, it answers LA. LA.</t>
        </is>
      </c>
      <c r="I698" s="3" t="inlineStr">
        <is>
          <t>READ FROM THE CODE — rendered from the expressions the function runs</t>
        </is>
      </c>
      <c r="J698" s="3" t="inlineStr">
        <is>
          <t>Nothing is handed to it</t>
        </is>
      </c>
      <c r="K698" s="3" t="inlineStr">
        <is>
          <t>any</t>
        </is>
      </c>
      <c r="L698" s="3" t="inlineStr">
        <is>
          <t>—</t>
        </is>
      </c>
      <c r="M698" s="3" t="inlineStr">
        <is>
          <t>None found in this function — anything it assumes comes from the functions it depends on.</t>
        </is>
      </c>
      <c r="N698" s="3" t="inlineStr">
        <is>
          <t>Yes</t>
        </is>
      </c>
      <c r="O698" s="3" t="inlineStr">
        <is>
          <t>—</t>
        </is>
      </c>
      <c r="P698" s="3" t="n">
        <v>0</v>
      </c>
      <c r="Q698" s="3" t="inlineStr">
        <is>
          <t>None — no dependent function stands behind it</t>
        </is>
      </c>
      <c r="R698" s="3" t="inlineStr">
        <is>
          <t>No dependent function — it reads its inputs and answers</t>
        </is>
      </c>
      <c r="S698" s="3" t="inlineStr">
        <is>
          <t>—</t>
        </is>
      </c>
      <c r="T698" s="3" t="inlineStr">
        <is>
          <t>—</t>
        </is>
      </c>
      <c r="U698" s="3" t="inlineStr">
        <is>
          <t>ACTIVE</t>
        </is>
      </c>
      <c r="V698" s="3" t="inlineStr">
        <is>
          <t>2026-08-27</t>
        </is>
      </c>
      <c r="W698" s="3" t="n"/>
      <c r="X698" s="3" t="n"/>
      <c r="Y698" s="3" t="inlineStr">
        <is>
          <t>NOTHING OPEN</t>
        </is>
      </c>
    </row>
    <row r="699" ht="60" customHeight="1">
      <c r="A699" s="3" t="inlineStr">
        <is>
          <t>MK-XS-F-133</t>
        </is>
      </c>
      <c r="B699" s="3" t="inlineStr">
        <is>
          <t>loadSentry</t>
        </is>
      </c>
      <c r="C699" s="3" t="inlineStr">
        <is>
          <t>src/services/crashReporter.ts</t>
        </is>
      </c>
      <c r="D699" s="3" t="n">
        <v>33</v>
      </c>
      <c r="E699" s="3" t="inlineStr">
        <is>
          <t>3 · DEPENDENT</t>
        </is>
      </c>
      <c r="F699" s="3" t="inlineStr">
        <is>
          <t>NOT DETERMINED — the code carries no note saying what this is for, and it has no row in the old inventory. Needs reading.</t>
        </is>
      </c>
      <c r="G699" s="11" t="inlineStr">
        <is>
          <t>the answer = the crash-reporting module, or nothing when it is absent</t>
        </is>
      </c>
      <c r="H699" s="3" t="inlineStr">
        <is>
          <t>Loads the crash reporter if it is installed. Not a calculation.</t>
        </is>
      </c>
      <c r="I699" s="3" t="inlineStr">
        <is>
          <t>READ BY HAND 2026-08-26 — checked line by line against the code</t>
        </is>
      </c>
      <c r="J699" s="3" t="inlineStr">
        <is>
          <t>Nothing is handed to it</t>
        </is>
      </c>
      <c r="K699" s="3" t="inlineStr">
        <is>
          <t>any</t>
        </is>
      </c>
      <c r="L699" s="3" t="inlineStr">
        <is>
          <t>—</t>
        </is>
      </c>
      <c r="M699" s="3" t="inlineStr">
        <is>
          <t>None found in this function — anything it assumes comes from the functions it depends on.</t>
        </is>
      </c>
      <c r="N699" s="3" t="inlineStr">
        <is>
          <t>Yes</t>
        </is>
      </c>
      <c r="O699" s="3" t="inlineStr">
        <is>
          <t>—</t>
        </is>
      </c>
      <c r="P699" s="3" t="n">
        <v>0</v>
      </c>
      <c r="Q699" s="3" t="inlineStr">
        <is>
          <t>None — no dependent function stands behind it</t>
        </is>
      </c>
      <c r="R699" s="3" t="inlineStr">
        <is>
          <t>No dependent function — it reads its inputs and answers</t>
        </is>
      </c>
      <c r="S699" s="3" t="inlineStr">
        <is>
          <t>—</t>
        </is>
      </c>
      <c r="T699" s="3" t="inlineStr">
        <is>
          <t>—</t>
        </is>
      </c>
      <c r="U699" s="3" t="inlineStr">
        <is>
          <t>ACTIVE</t>
        </is>
      </c>
      <c r="V699" s="3" t="inlineStr">
        <is>
          <t>2026-09-12</t>
        </is>
      </c>
      <c r="W699" s="3" t="n"/>
      <c r="X699" s="3" t="n"/>
      <c r="Y699" s="3" t="inlineStr">
        <is>
          <t>NOTHING OPEN</t>
        </is>
      </c>
    </row>
    <row r="700" ht="60" customHeight="1">
      <c r="A700" s="3" t="inlineStr">
        <is>
          <t>MK-XS-F-134</t>
        </is>
      </c>
      <c r="B700" s="3" t="inlineStr">
        <is>
          <t>installGlobalHandler</t>
        </is>
      </c>
      <c r="C700" s="3" t="inlineStr">
        <is>
          <t>src/services/crashReporter.ts</t>
        </is>
      </c>
      <c r="D700" s="3" t="n">
        <v>94</v>
      </c>
      <c r="E700" s="3" t="inlineStr">
        <is>
          <t>1 · ACTION</t>
        </is>
      </c>
      <c r="F700" s="3" t="inlineStr">
        <is>
          <t>NOT DETERMINED — the code carries no note saying what this is for, and it has no row in the old inventory. Needs reading.</t>
        </is>
      </c>
      <c r="G700" s="11" t="inlineStr">
        <is>
          <t>g = global this as any
prev = error utils.get global handler.()</t>
        </is>
      </c>
      <c r="H700" s="3" t="inlineStr">
        <is>
          <t>G is global this as any. Prev is error utils.get global handler.().</t>
        </is>
      </c>
      <c r="I700" s="3" t="inlineStr">
        <is>
          <t>READ FROM THE CODE — rendered from the expressions the function runs</t>
        </is>
      </c>
      <c r="J700" s="3" t="inlineStr">
        <is>
          <t>Nothing is handed to it</t>
        </is>
      </c>
      <c r="K700" s="3" t="inlineStr">
        <is>
          <t>void</t>
        </is>
      </c>
      <c r="L700" s="3" t="inlineStr">
        <is>
          <t>—</t>
        </is>
      </c>
      <c r="M700" s="3" t="inlineStr">
        <is>
          <t>None found in this function — anything it assumes comes from the functions it depends on.</t>
        </is>
      </c>
      <c r="N700" s="3" t="inlineStr">
        <is>
          <t>Yes</t>
        </is>
      </c>
      <c r="O700" s="3" t="inlineStr">
        <is>
          <t>MK-XS-F-037 captureException</t>
        </is>
      </c>
      <c r="P700" s="3" t="n">
        <v>1</v>
      </c>
      <c r="Q700" s="3" t="inlineStr">
        <is>
          <t>MK-XS-F-037 captureException</t>
        </is>
      </c>
      <c r="R700" s="3" t="inlineStr">
        <is>
          <t>MK-XS-F-037 captureException → MK-XS-F-134 installGlobalHandler</t>
        </is>
      </c>
      <c r="S700" s="3" t="inlineStr">
        <is>
          <t>—</t>
        </is>
      </c>
      <c r="T700" s="3" t="inlineStr">
        <is>
          <t>—</t>
        </is>
      </c>
      <c r="U700" s="3" t="inlineStr">
        <is>
          <t>ACTIVE</t>
        </is>
      </c>
      <c r="V700" s="3" t="inlineStr">
        <is>
          <t>2026-08-27</t>
        </is>
      </c>
      <c r="W700" s="3" t="n"/>
      <c r="X700" s="3" t="n"/>
      <c r="Y700" s="3" t="inlineStr">
        <is>
          <t>NOTHING OPEN</t>
        </is>
      </c>
    </row>
    <row r="701" ht="60" customHeight="1">
      <c r="A701" s="3" t="inlineStr">
        <is>
          <t>MK-XS-F-135</t>
        </is>
      </c>
      <c r="B701" s="3" t="inlineStr">
        <is>
          <t>secureGet</t>
        </is>
      </c>
      <c r="C701" s="3" t="inlineStr">
        <is>
          <t>src/services/dataCrypto.ts</t>
        </is>
      </c>
      <c r="D701" s="3" t="n">
        <v>48</v>
      </c>
      <c r="E701" s="3" t="inlineStr">
        <is>
          <t>4 · BRINGS DATA IN</t>
        </is>
      </c>
      <c r="F701" s="3" t="inlineStr">
        <is>
          <t>NOT DETERMINED — the code carries no note saying what this is for, and it has no row in the old inventory. Needs reading.</t>
        </is>
      </c>
      <c r="G701" s="11" t="inlineStr">
        <is>
          <t>It reaches outside the app for data and hands back what came back — no arithmetic of its own.</t>
        </is>
      </c>
      <c r="H701" s="3" t="inlineStr">
        <is>
          <t>It reaches outside the app for data and hands back what came back — no arithmetic of its own.</t>
        </is>
      </c>
      <c r="I701" s="3" t="inlineStr">
        <is>
          <t>NO ARITHMETIC — there is no formula to state</t>
        </is>
      </c>
      <c r="J701" s="3" t="inlineStr">
        <is>
          <t>name: string</t>
        </is>
      </c>
      <c r="K701" s="3" t="inlineStr">
        <is>
          <t>Promise&lt;string | null&gt;</t>
        </is>
      </c>
      <c r="L701" s="3" t="inlineStr">
        <is>
          <t>—</t>
        </is>
      </c>
      <c r="M701" s="3" t="inlineStr">
        <is>
          <t>None found in this function — anything it assumes comes from the functions it depends on.</t>
        </is>
      </c>
      <c r="N701" s="3" t="inlineStr">
        <is>
          <t>Yes</t>
        </is>
      </c>
      <c r="O701" s="3" t="inlineStr">
        <is>
          <t>—</t>
        </is>
      </c>
      <c r="P701" s="3" t="n">
        <v>0</v>
      </c>
      <c r="Q701" s="3" t="inlineStr">
        <is>
          <t>None — no dependent function stands behind it</t>
        </is>
      </c>
      <c r="R701" s="3" t="inlineStr">
        <is>
          <t>No dependent function — it reads its inputs and answers</t>
        </is>
      </c>
      <c r="S701" s="3" t="inlineStr">
        <is>
          <t>—</t>
        </is>
      </c>
      <c r="T701" s="3" t="inlineStr">
        <is>
          <t>—</t>
        </is>
      </c>
      <c r="U701" s="3" t="inlineStr">
        <is>
          <t>ACTIVE</t>
        </is>
      </c>
      <c r="V701" s="3" t="inlineStr">
        <is>
          <t>2026-08-27</t>
        </is>
      </c>
      <c r="W701" s="3" t="n"/>
      <c r="X701" s="3" t="n"/>
      <c r="Y701" s="3" t="inlineStr">
        <is>
          <t>NOTHING OPEN</t>
        </is>
      </c>
    </row>
    <row r="702" ht="60" customHeight="1">
      <c r="A702" s="3" t="inlineStr">
        <is>
          <t>MK-XS-F-136</t>
        </is>
      </c>
      <c r="B702" s="3" t="inlineStr">
        <is>
          <t>secureSet</t>
        </is>
      </c>
      <c r="C702" s="3" t="inlineStr">
        <is>
          <t>src/services/dataCrypto.ts</t>
        </is>
      </c>
      <c r="D702" s="3" t="n">
        <v>72</v>
      </c>
      <c r="E702" s="3" t="inlineStr">
        <is>
          <t>1 · ACTION</t>
        </is>
      </c>
      <c r="F702" s="3" t="inlineStr">
        <is>
          <t>NOT DETERMINED — the code carries no note saying what this is for, and it has no row in the old inventory. Needs reading.</t>
        </is>
      </c>
      <c r="G702" s="11" t="inlineStr">
        <is>
          <t>It reaches outside the app for data and hands back what came back — no arithmetic of its own.</t>
        </is>
      </c>
      <c r="H702" s="3" t="inlineStr">
        <is>
          <t>It reaches outside the app for data and hands back what came back — no arithmetic of its own.</t>
        </is>
      </c>
      <c r="I702" s="3" t="inlineStr">
        <is>
          <t>NO ARITHMETIC — there is no formula to state</t>
        </is>
      </c>
      <c r="J702" s="3" t="inlineStr">
        <is>
          <t>1. name: string
2. value: string</t>
        </is>
      </c>
      <c r="K702" s="3" t="inlineStr">
        <is>
          <t>Promise&lt;void&gt;</t>
        </is>
      </c>
      <c r="L702" s="3" t="inlineStr">
        <is>
          <t>—</t>
        </is>
      </c>
      <c r="M702" s="3" t="inlineStr">
        <is>
          <t>None found in this function — anything it assumes comes from the functions it depends on.</t>
        </is>
      </c>
      <c r="N702" s="3" t="inlineStr">
        <is>
          <t>Yes</t>
        </is>
      </c>
      <c r="O702" s="3" t="inlineStr">
        <is>
          <t>—</t>
        </is>
      </c>
      <c r="P702" s="3" t="n">
        <v>0</v>
      </c>
      <c r="Q702" s="3" t="inlineStr">
        <is>
          <t>None — no dependent function stands behind it</t>
        </is>
      </c>
      <c r="R702" s="3" t="inlineStr">
        <is>
          <t>No dependent function — it reads its inputs and answers</t>
        </is>
      </c>
      <c r="S702" s="3" t="inlineStr">
        <is>
          <t>—</t>
        </is>
      </c>
      <c r="T702" s="3" t="inlineStr">
        <is>
          <t>—</t>
        </is>
      </c>
      <c r="U702" s="3" t="inlineStr">
        <is>
          <t>ACTIVE</t>
        </is>
      </c>
      <c r="V702" s="3" t="inlineStr">
        <is>
          <t>2026-08-27</t>
        </is>
      </c>
      <c r="W702" s="3" t="n"/>
      <c r="X702" s="3" t="n"/>
      <c r="Y702" s="3" t="inlineStr">
        <is>
          <t>NOTHING OPEN</t>
        </is>
      </c>
    </row>
    <row r="703" ht="60" customHeight="1">
      <c r="A703" s="3" t="inlineStr">
        <is>
          <t>MK-XS-F-137</t>
        </is>
      </c>
      <c r="B703" s="3" t="inlineStr">
        <is>
          <t>secureDelete</t>
        </is>
      </c>
      <c r="C703" s="3" t="inlineStr">
        <is>
          <t>src/services/dataCrypto.ts</t>
        </is>
      </c>
      <c r="D703" s="3" t="n">
        <v>95</v>
      </c>
      <c r="E703" s="3" t="inlineStr">
        <is>
          <t>1 · ACTION</t>
        </is>
      </c>
      <c r="F703" s="3" t="inlineStr">
        <is>
          <t>NOT DETERMINED — the code carries no note saying what this is for, and it has no row in the old inventory. Needs reading.</t>
        </is>
      </c>
      <c r="G703" s="11" t="inlineStr">
        <is>
          <t>It reaches outside the app for data and hands back what came back — no arithmetic of its own.</t>
        </is>
      </c>
      <c r="H703" s="3" t="inlineStr">
        <is>
          <t>It reaches outside the app for data and hands back what came back — no arithmetic of its own.</t>
        </is>
      </c>
      <c r="I703" s="3" t="inlineStr">
        <is>
          <t>NO ARITHMETIC — there is no formula to state</t>
        </is>
      </c>
      <c r="J703" s="3" t="inlineStr">
        <is>
          <t>name: string</t>
        </is>
      </c>
      <c r="K703" s="3" t="inlineStr">
        <is>
          <t>Promise&lt;void&gt;</t>
        </is>
      </c>
      <c r="L703" s="3" t="inlineStr">
        <is>
          <t>—</t>
        </is>
      </c>
      <c r="M703" s="3" t="inlineStr">
        <is>
          <t>None found in this function — anything it assumes comes from the functions it depends on.</t>
        </is>
      </c>
      <c r="N703" s="3" t="inlineStr">
        <is>
          <t>Yes</t>
        </is>
      </c>
      <c r="O703" s="3" t="inlineStr">
        <is>
          <t>—</t>
        </is>
      </c>
      <c r="P703" s="3" t="n">
        <v>0</v>
      </c>
      <c r="Q703" s="3" t="inlineStr">
        <is>
          <t>None — no dependent function stands behind it</t>
        </is>
      </c>
      <c r="R703" s="3" t="inlineStr">
        <is>
          <t>No dependent function — it reads its inputs and answers</t>
        </is>
      </c>
      <c r="S703" s="3" t="inlineStr">
        <is>
          <t>—</t>
        </is>
      </c>
      <c r="T703" s="3" t="inlineStr">
        <is>
          <t>—</t>
        </is>
      </c>
      <c r="U703" s="3" t="inlineStr">
        <is>
          <t>ACTIVE</t>
        </is>
      </c>
      <c r="V703" s="3" t="inlineStr">
        <is>
          <t>2026-08-27</t>
        </is>
      </c>
      <c r="W703" s="3" t="n"/>
      <c r="X703" s="3" t="n"/>
      <c r="Y703" s="3" t="inlineStr">
        <is>
          <t>NOTHING OPEN</t>
        </is>
      </c>
    </row>
    <row r="704" ht="60" customHeight="1">
      <c r="A704" s="3" t="inlineStr">
        <is>
          <t>MK-XS-F-138</t>
        </is>
      </c>
      <c r="B704" s="3" t="inlineStr">
        <is>
          <t>deriveKeyFromSecret</t>
        </is>
      </c>
      <c r="C704" s="3" t="inlineStr">
        <is>
          <t>src/services/dataCrypto.ts</t>
        </is>
      </c>
      <c r="D704" s="3" t="n">
        <v>262</v>
      </c>
      <c r="E704" s="3" t="inlineStr">
        <is>
          <t>3 · DEPENDENT</t>
        </is>
      </c>
      <c r="F704" s="3" t="inlineStr">
        <is>
          <t>── Wrapping (lock/unlock the DEK with a password or recovery code) ───</t>
        </is>
      </c>
      <c r="G704" s="11" t="inlineStr">
        <is>
          <t>crypto js.PBKDF2(secret.trim(), uid, { key size: 256 ÷ 32, iterations: PBKDF2_ITERS }).to string(crypto js.enc.hex)</t>
        </is>
      </c>
      <c r="H704" s="3" t="inlineStr">
        <is>
          <t>crypto js.PBKDF2(secret.trim(), uid, { key size: 256 divided by 32, iterations: PBKDF2_ITERS }).to string(crypto js.enc.hex).</t>
        </is>
      </c>
      <c r="I704" s="3" t="inlineStr">
        <is>
          <t>PARTLY READ — some of the code is still showing through; needs a hand pass</t>
        </is>
      </c>
      <c r="J704" s="3" t="inlineStr">
        <is>
          <t>1. secret: string
2. uid: string</t>
        </is>
      </c>
      <c r="K704" s="3" t="inlineStr">
        <is>
          <t>string</t>
        </is>
      </c>
      <c r="L704" s="3" t="inlineStr">
        <is>
          <t>—</t>
        </is>
      </c>
      <c r="M704" s="3" t="inlineStr">
        <is>
          <t>None found in this function — anything it assumes comes from the functions it depends on.</t>
        </is>
      </c>
      <c r="N704" s="3" t="inlineStr">
        <is>
          <t>Yes</t>
        </is>
      </c>
      <c r="O704" s="3" t="inlineStr">
        <is>
          <t>MK-XS-F-175 uid</t>
        </is>
      </c>
      <c r="P704" s="3" t="n">
        <v>206</v>
      </c>
      <c r="Q704"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704"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704" s="3" t="inlineStr">
        <is>
          <t>—</t>
        </is>
      </c>
      <c r="T704" s="3" t="inlineStr">
        <is>
          <t>—</t>
        </is>
      </c>
      <c r="U704" s="3" t="inlineStr">
        <is>
          <t>ACTIVE</t>
        </is>
      </c>
      <c r="V704" s="3" t="inlineStr">
        <is>
          <t>2026-08-27</t>
        </is>
      </c>
      <c r="W704" s="3" t="n"/>
      <c r="X704" s="3" t="n"/>
      <c r="Y704" s="3" t="inlineStr">
        <is>
          <t>NOTHING OPEN</t>
        </is>
      </c>
    </row>
    <row r="705" ht="60" customHeight="1">
      <c r="A705" s="3" t="inlineStr">
        <is>
          <t>MK-XS-F-139</t>
        </is>
      </c>
      <c r="B705" s="3" t="inlineStr">
        <is>
          <t>wrapWithSecret</t>
        </is>
      </c>
      <c r="C705" s="3" t="inlineStr">
        <is>
          <t>src/services/dataCrypto.ts</t>
        </is>
      </c>
      <c r="D705" s="3" t="n">
        <v>287</v>
      </c>
      <c r="E705" s="3" t="inlineStr">
        <is>
          <t>3 · DEPENDENT</t>
        </is>
      </c>
      <c r="F705" s="3" t="inlineStr">
        <is>
          <t>NOT DETERMINED — the code carries no note saying what this is for, and it has no row in the old inventory. Needs reading.</t>
        </is>
      </c>
      <c r="G705" s="11" t="inlineStr">
        <is>
          <t>encrypt with key(dek, derive key from secret(secret, uid))</t>
        </is>
      </c>
      <c r="H705" s="3" t="inlineStr">
        <is>
          <t>encrypt with key(dek, derive key from secret(secret, uid)).</t>
        </is>
      </c>
      <c r="I705" s="3" t="inlineStr">
        <is>
          <t>READ FROM THE CODE — rendered from the expressions the function runs</t>
        </is>
      </c>
      <c r="J705" s="3" t="inlineStr">
        <is>
          <t>1. dek: string
2. uid: string
3. secret: string</t>
        </is>
      </c>
      <c r="K705" s="3" t="inlineStr">
        <is>
          <t>string</t>
        </is>
      </c>
      <c r="L705" s="3" t="inlineStr">
        <is>
          <t>—</t>
        </is>
      </c>
      <c r="M705" s="3" t="inlineStr">
        <is>
          <t>None found in this function — anything it assumes comes from the functions it depends on.</t>
        </is>
      </c>
      <c r="N705" s="3" t="inlineStr">
        <is>
          <t>Yes</t>
        </is>
      </c>
      <c r="O705" s="3" t="inlineStr">
        <is>
          <t>1. MK-XS-F-138 deriveKeyFromSecret
2. MK-XS-F-052 encryptWithKey
3. MK-XS-F-175 uid</t>
        </is>
      </c>
      <c r="P705" s="3" t="n">
        <v>208</v>
      </c>
      <c r="Q705"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MK-CF-F-218 moveOldRentFigure
22. MK-XS-F-122 n
23. MK-ST-F-043 newEntityId
24. MK-XS-F-006 pruneDaily
25. MK-ST-F-073 rebuildDays
26. MK-NW-F-054 reclassifyAccounts
27. MK-XS-F-174 recomputeBalances
28. MK-CF-F-115 restoreUndo
29. MK-CF-F-109 reviewTransactions
30. MK-ST-F-044 setMoneyFormat
31. MK-NW-O-004 theEmergencyFund
32. MK-CF-F-114 undoSnapshot
33. MK-CF-F-191 ym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MK-CF-F-217 hasOldRentFigure
47. MK-CF-F-216 typed
48. MK-ST-F-069 amountOf
49. MK-CF-F-133 cashOf
50. MK-ST-F-066 isDayKey
51. MK-ST-F-070 isOpening
52. MK-ST-F-039 on
53. MK-ST-F-071 rebuildableFrom
54. MK-ST-F-068 stepDay
55. MK-ST-F-072 undo
56. MK-NW-F-053 correctClassOf
57. MK-NW-F-123 holdingNameEvidence
58. MK-NW-F-121 holdingTagClass
59. MK-NW-F-122 holdingTagFor
60. MK-PF-F-002 costBasis
61. MK-PF-F-009 latestClose
62. MK-PF-F-004 marketValue
63. MK-ST-F-030 record
64. MK-XS-F-024 resolveLens
65. MK-ST-F-055 round2
66. MK-CF-F-162 daysApart
67. MK-CF-F-108 isMoneyOut
68. MK-PL-F-074 median
69. MK-CF-F-131 normPayee
70. MK-CF-F-155 cash
71. MK-NW-F-016 cashTotal
72. MK-CF-F-010 emergencyTest
73. MK-CF-F-190 essentialsMonthly
74. MK-CF-O-004 incomeSummary
75. MK-CF-F-009 monthlyEssentials
76. MK-CF-F-022 paymentShape
77. MK-CF-F-002 plannedMonthlySpend
78. MK-NW-F-117 propertyUseMap
79. MK-ST-F-085 rentFigure
80. MK-CF-O-020 theBudgetCounted
81. MK-CF-F-113 affectedAccountIds
82. MK-CF-F-134 usesSleeve
83. MK-ST-F-049 formatMoney
84. MK-CF-F-101 taxOwedFor
85. MK-ST-F-067 utcOfDay
86. MK-ST-F-035 covers
87. MK-NW-F-120 classEvidenceOf
88. MK-NW-F-008 incomeBearingClassOf
89. MK-PF-F-031 contractMultiplier
90. MK-PF-F-035 unknownFigure
91. MK-CF-F-072 currentRetirementIncomeMonthly
92. MK-NW-F-027 accountClassBreakdown
93. MK-NW-F-029 assetAllocation
94. MK-NW-F-011 assetClassOf
95. MK-CF-F-189 essentialsFromLoggedSpending
96. MK-CF-O-002 expenses
97. MK-CF-F-203 MONTH
98. MK-CF-O-001 basePay
99. MK-CF-F-069 benefitActiveMonths
100. MK-CF-F-173 earnerWages
101. MK-CF-F-179 entryFromWage
102. MK-CF-F-071 extraIncome
103. MK-CF-F-092 incomeMonthlyGrid
104. MK-CF-F-192 inflowLabel
105. MK-CF-F-103 marginalBracketFor
106. MK-CF-F-181 rateInForce
107. MK-CF-F-068 rentalNetAnnual
108. MK-CF-F-082 salaryAnnual
109. MK-CF-F-060 salaryGrossByMonth
110. MK-CF-F-084 taxableAnnual
111. MK-CF-F-120 pctBaseMonthly
112. MK-CF-F-004 spendBuckets
113. MK-CF-F-021 defaultPaymentType
114. MK-XS-F-027 takeHomeMonthly
115. MK-NW-F-116 rentedIdsOf
116. MK-NW-F-106 mortgagesByProperty
117. MK-NW-F-107 propertyUses
118. MK-ST-F-048 currencySymbol
119. MK-CF-F-100 taxableIncomeFor
120. MK-ST-F-034 firstDate
121. MK-NW-F-009 maturityClass
122. MK-ST-F-010 nameEvidence
123. MK-CF-F-075 retirementIncomeMonthly
124. MK-NW-F-109 holdingClassOf
125. MK-NW-F-067 plural
126. MK-CF-F-151 actualSpending
127. MK-CF-F-150 debtPaymentsCountedAsExpenses
128. MK-CF-F-153 radar
129. MK-CF-F-149 recurringDebtPayments
130. MK-CF-O-010 theMonth
131. MK-CF-F-171 earnerPay
132. MK-CF-F-204 line
133. MK-HM-F-006 money0
134. MK-CF-F-198 payrollTaxWithheld
135. MK-CF-F-172 hasWage
136. MK-CF-F-165 salaryMonths
137. MK-CF-F-070 benefitAnnual
138. MK-CF-F-065 equityVestWeights
139. MK-CF-F-206 householdK401ByMonth
140. MK-CF-F-087 monthlyTaxRates
141. MK-CF-F-073 otherIncomeMonth
142. MK-CF-F-066 rsuAnnual
143. MK-CF-F-077 scholarshipByCalendarMonth
144. MK-CF-F-088 taxableByCalendarMonth
145. MK-CF-F-177 wageGrossByMonth
146. MK-PL-F-012 waterfall
147. MK-CF-F-193 inflowSourceWord
148. MK-CF-F-180 enteredLandsAnnual
149. MK-CF-F-086 stateRateOf
150. MK-CF-F-067 rentalList
151. MK-CF-F-176 sumMonthsOverEarners
152. MK-CF-F-074 tipsAnnual
153. MK-CF-F-003 categoryMonthly
154. MK-CF-F-011 savingsByMonth
155. MK-NW-F-115 liveRent
156. MK-CF-F-023 requiredPayment
157. MK-ST-F-047 activeCurrency
158. MK-CF-F-099 deductionFor
159. MK-NW-F-124 maturityParts
160. MK-XS-F-147 call
161. MK-CF-F-148 inMonth
162. MK-CF-F-152 isRadarItem
163. MK-CF-O-003 thisMonth
164. MK-CF-F-143 annualisedGross
165. MK-CF-F-145 deductionsFromPay
166. MK-CF-F-128 grossByMonth
167. MK-CF-F-146 payFiguresAgree
168. MK-CF-F-144 takeHomeAsEntered
169. MK-XS-F-180 declareFigures
170. MK-HM-F-005 pctTxt
171. MK-CF-F-062 equityRowValue
172. MK-CF-F-090 effectiveRate
173. MK-CF-F-063 rowVestYear
174. MK-CF-F-130 enteredMonthlyRaw
175. MK-CF-F-166 hasMonthlySalaryTable
176. MK-ST-F-036 reconcile
177. MK-CF-F-167 salaryCalendarYear
178. MK-CF-F-081 salaryActiveMonths
179. MK-CF-F-008 spendByMonth
180. MK-NW-F-114 rentAmount
181. MK-CF-F-187 seniorDeductionFor
182. MK-XS-F-064 currentIdToken
183. MK-XS-F-112 relayUrl
184. MK-CF-F-005 actualMonthFlow
185. MK-CF-F-156 plannedMonthFlow
186. MK-CF-F-142 monthsOf
187. MK-CF-F-141 perMonth
188. MK-NW-F-078 ONE
189. MK-CF-F-157 debtPaymentsByDebt
190. MK-CF-F-140 periodsAYear
191. MK-NW-F-077 ALL
192. MK-NW-F-059 currentYield
193. MK-NW-O-001 theBonds
194. MK-NW-F-112 yearlyInterest
195. MK-NW-F-057 annualCoupon
196. MK-NW-F-056 bondInfo
197. MK-NW-F-064 bondRateSensitivity
198. MK-NW-F-061 bondSummary
199. MK-NW-F-055 isBond
200. MK-NW-F-072 rowOf
201. MK-NW-F-060 approxYTM
202. MK-NW-F-069 priceAtYield
203. MK-NW-F-131 pricedLikeBond
204. MK-NW-F-125 isPastMaturity
205. MK-NW-F-126 yearlyInterestNow
206. MK-NW-F-070 accruedInterestCaveat
207. MK-NW-F-058 yearsToMaturity
208. MK-NW-F-119 estimatedAccrued</t>
        </is>
      </c>
      <c r="R705"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705" s="3" t="inlineStr">
        <is>
          <t>—</t>
        </is>
      </c>
      <c r="T705" s="3" t="inlineStr">
        <is>
          <t>—</t>
        </is>
      </c>
      <c r="U705" s="3" t="inlineStr">
        <is>
          <t>ACTIVE</t>
        </is>
      </c>
      <c r="V705" s="3" t="inlineStr">
        <is>
          <t>2026-08-27</t>
        </is>
      </c>
      <c r="W705" s="3" t="n"/>
      <c r="X705" s="3" t="n"/>
      <c r="Y705" s="3" t="inlineStr">
        <is>
          <t>NOTHING OPEN</t>
        </is>
      </c>
    </row>
    <row r="706" ht="60" customHeight="1">
      <c r="A706" s="3" t="inlineStr">
        <is>
          <t>MK-XS-F-140</t>
        </is>
      </c>
      <c r="B706" s="3" t="inlineStr">
        <is>
          <t>fetchInflation</t>
        </is>
      </c>
      <c r="C706" s="3" t="inlineStr">
        <is>
          <t>src/services/economicData.ts</t>
        </is>
      </c>
      <c r="D706" s="3" t="n">
        <v>111</v>
      </c>
      <c r="E706" s="3" t="inlineStr">
        <is>
          <t>4 · BRINGS DATA IN</t>
        </is>
      </c>
      <c r="F706" s="3" t="inlineStr">
        <is>
          <t>NOT DETERMINED — the code carries no note saying what this is for, and it has no row in the old inventory. Needs reading.</t>
        </is>
      </c>
      <c r="G706" s="11" t="inlineStr">
        <is>
          <t>res = await fetch(BLS_API + BLS_CPI_SERIES)
json = await res.json()
series = json.results.series.[0].data
latest = parse float(series[0].value)
year ago = parse float(series[12].value)
rate = ((latest − year ago) ÷ year ago) × 100
the answer = round(rate, 2 dp)</t>
        </is>
      </c>
      <c r="H706"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706" s="3" t="inlineStr">
        <is>
          <t>PARTLY READ — some of the code is still showing through; needs a hand pass</t>
        </is>
      </c>
      <c r="J706" s="3" t="inlineStr">
        <is>
          <t>Nothing is handed to it</t>
        </is>
      </c>
      <c r="K706" s="3" t="inlineStr">
        <is>
          <t>Promise&lt;number&gt;</t>
        </is>
      </c>
      <c r="L706" s="3" t="inlineStr">
        <is>
          <t>—</t>
        </is>
      </c>
      <c r="M706" s="3" t="inlineStr">
        <is>
          <t>· Rounds the answer to two decimals (cents).</t>
        </is>
      </c>
      <c r="N706" s="3" t="inlineStr">
        <is>
          <t>No</t>
        </is>
      </c>
      <c r="O706" s="3" t="inlineStr">
        <is>
          <t>—</t>
        </is>
      </c>
      <c r="P706" s="3" t="n">
        <v>0</v>
      </c>
      <c r="Q706" s="3" t="inlineStr">
        <is>
          <t>None — no dependent function stands behind it</t>
        </is>
      </c>
      <c r="R706" s="3" t="inlineStr">
        <is>
          <t>No dependent function — it reads its inputs and answers</t>
        </is>
      </c>
      <c r="S706" s="3" t="inlineStr">
        <is>
          <t>—</t>
        </is>
      </c>
      <c r="T706" s="3" t="inlineStr">
        <is>
          <t>—</t>
        </is>
      </c>
      <c r="U706" s="3" t="inlineStr">
        <is>
          <t>ACTIVE</t>
        </is>
      </c>
      <c r="V706" s="3" t="inlineStr">
        <is>
          <t>2026-08-27</t>
        </is>
      </c>
      <c r="W706" s="3" t="n"/>
      <c r="X706" s="3" t="n"/>
      <c r="Y706" s="3" t="inlineStr">
        <is>
          <t>NOTHING OPEN</t>
        </is>
      </c>
    </row>
    <row r="707" ht="60" customHeight="1">
      <c r="A707" s="3" t="inlineStr">
        <is>
          <t>MK-XS-F-141</t>
        </is>
      </c>
      <c r="B707" s="3" t="inlineStr">
        <is>
          <t>fetchTreasuryYield</t>
        </is>
      </c>
      <c r="C707" s="3" t="inlineStr">
        <is>
          <t>src/services/economicData.ts</t>
        </is>
      </c>
      <c r="D707" s="3" t="n">
        <v>153</v>
      </c>
      <c r="E707" s="3" t="inlineStr">
        <is>
          <t>4 · BRINGS DATA IN</t>
        </is>
      </c>
      <c r="F707" s="3" t="inlineStr">
        <is>
          <t>NOT DETERMINED — the code carries no note saying what this is for, and it has no row in the old inventory. Needs reading.</t>
        </is>
      </c>
      <c r="G707" s="11" t="inlineStr">
        <is>
          <t>res = await fetch(TREASURY_API)
csv = await res.text()
rows = csv.trim().split('\n').slice(1)
value = rows[i].split(',')[1].trim()
rate = parse float(value)
[LOOP — the answer is found inside a loop the extractor cannot render; the steps above are the ones before it. Read by hand.]</t>
        </is>
      </c>
      <c r="H707" s="3" t="inlineStr">
        <is>
          <t>Res is await fetch(TREASURY_API). Csv is await res.text(). Rows is csv.trim().split('\n').slice(1). Value is rows[i].split(',')[1].trim(). Rate is parse float(value). The answer is rate, to the cent. The answer is found inside a loop that cannot be rendered here; read the code by hand.</t>
        </is>
      </c>
      <c r="I707" s="3" t="inlineStr">
        <is>
          <t>PARTLY READ — the body has a loop the extractor cannot render; the steps shown are the ones before it. Needs a hand pass (G23).</t>
        </is>
      </c>
      <c r="J707" s="3" t="inlineStr">
        <is>
          <t>Nothing is handed to it</t>
        </is>
      </c>
      <c r="K707" s="3" t="inlineStr">
        <is>
          <t>Promise&lt;number&gt;</t>
        </is>
      </c>
      <c r="L707" s="3" t="inlineStr">
        <is>
          <t>—</t>
        </is>
      </c>
      <c r="M707" s="3" t="inlineStr">
        <is>
          <t>· Rounds the answer to two decimals (cents).</t>
        </is>
      </c>
      <c r="N707" s="3" t="inlineStr">
        <is>
          <t>No</t>
        </is>
      </c>
      <c r="O707" s="3" t="inlineStr">
        <is>
          <t>—</t>
        </is>
      </c>
      <c r="P707" s="3" t="n">
        <v>0</v>
      </c>
      <c r="Q707" s="3" t="inlineStr">
        <is>
          <t>None — no dependent function stands behind it</t>
        </is>
      </c>
      <c r="R707" s="3" t="inlineStr">
        <is>
          <t>No dependent function — it reads its inputs and answers</t>
        </is>
      </c>
      <c r="S707" s="3" t="inlineStr">
        <is>
          <t>—</t>
        </is>
      </c>
      <c r="T707" s="3" t="inlineStr">
        <is>
          <t>—</t>
        </is>
      </c>
      <c r="U707" s="3" t="inlineStr">
        <is>
          <t>ACTIVE</t>
        </is>
      </c>
      <c r="V707" s="3" t="inlineStr">
        <is>
          <t>2026-09-08</t>
        </is>
      </c>
      <c r="W707" s="3" t="n"/>
      <c r="X707" s="3" t="n"/>
      <c r="Y707" s="3" t="inlineStr">
        <is>
          <t>NOTHING OPEN</t>
        </is>
      </c>
    </row>
    <row r="708" ht="60" customHeight="1">
      <c r="A708" s="3" t="inlineStr">
        <is>
          <t>MK-XS-F-142</t>
        </is>
      </c>
      <c r="B708" s="3" t="inlineStr">
        <is>
          <t>makeInviteCode</t>
        </is>
      </c>
      <c r="C708" s="3" t="inlineStr">
        <is>
          <t>src/services/firebase.ts</t>
        </is>
      </c>
      <c r="D708" s="3" t="n">
        <v>535</v>
      </c>
      <c r="E708" s="3" t="inlineStr">
        <is>
          <t>3 · DEPENDENT</t>
        </is>
      </c>
      <c r="F708" s="3" t="inlineStr">
        <is>
          <t>── Household / spouse invites ───────────────────────────────────── Spouses share ONE data document: all reads/writes go to users/{householdId} where householdId = the inviter's uid.</t>
        </is>
      </c>
      <c r="G708" s="11" t="inlineStr">
        <is>
          <t>alphabet = 'ABCDEFGHJKMNPQRSTUVWXYZ23456789'
the answer = array.from({ length: 6 }, () =&gt; ALPHABET[math.floor(math.random() × ALPHABET.length)]).join('')</t>
        </is>
      </c>
      <c r="H708" s="3" t="inlineStr">
        <is>
          <t>Alphabet is 'ABCDEFGHJKMNPQRSTUVWXYZ23456789'. The answer is array.from({ length: 6 }, () =&gt; ALPHABET[math.floor(math.random() times ALPHABET.length)]).join('').</t>
        </is>
      </c>
      <c r="I708" s="3" t="inlineStr">
        <is>
          <t>PARTLY READ — some of the code is still showing through; needs a hand pass</t>
        </is>
      </c>
      <c r="J708" s="3" t="inlineStr">
        <is>
          <t>Nothing is handed to it</t>
        </is>
      </c>
      <c r="K708" s="3" t="inlineStr">
        <is>
          <t>string</t>
        </is>
      </c>
      <c r="L708" s="3" t="inlineStr">
        <is>
          <t>—</t>
        </is>
      </c>
      <c r="M708" s="3" t="inlineStr">
        <is>
          <t>None found in this function — anything it assumes comes from the functions it depends on.</t>
        </is>
      </c>
      <c r="N708" s="3" t="inlineStr">
        <is>
          <t>Yes</t>
        </is>
      </c>
      <c r="O708" s="3" t="inlineStr">
        <is>
          <t>—</t>
        </is>
      </c>
      <c r="P708" s="3" t="n">
        <v>0</v>
      </c>
      <c r="Q708" s="3" t="inlineStr">
        <is>
          <t>None — no dependent function stands behind it</t>
        </is>
      </c>
      <c r="R708" s="3" t="inlineStr">
        <is>
          <t>No dependent function — it reads its inputs and answers</t>
        </is>
      </c>
      <c r="S708" s="3" t="inlineStr">
        <is>
          <t>—</t>
        </is>
      </c>
      <c r="T708" s="3" t="inlineStr">
        <is>
          <t>—</t>
        </is>
      </c>
      <c r="U708" s="3" t="inlineStr">
        <is>
          <t>ACTIVE</t>
        </is>
      </c>
      <c r="V708" s="3" t="inlineStr">
        <is>
          <t>2026-08-27</t>
        </is>
      </c>
      <c r="W708" s="3" t="n"/>
      <c r="X708" s="3" t="n"/>
      <c r="Y708" s="3" t="inlineStr">
        <is>
          <t>NOTHING OPEN</t>
        </is>
      </c>
    </row>
    <row r="709" ht="60" customHeight="1">
      <c r="A709" s="3" t="inlineStr">
        <is>
          <t>MK-XS-F-143</t>
        </is>
      </c>
      <c r="B709" s="3" t="inlineStr">
        <is>
          <t>yahooSymbol</t>
        </is>
      </c>
      <c r="C709" s="3" t="inlineStr">
        <is>
          <t>src/services/marketData.ts</t>
        </is>
      </c>
      <c r="D709" s="3" t="n">
        <v>41</v>
      </c>
      <c r="E709" s="3" t="inlineStr">
        <is>
          <t>4 · BRINGS DATA IN</t>
        </is>
      </c>
      <c r="F709" s="3" t="inlineStr">
        <is>
          <t>Map a plain ticker to the provider's symbol convention (crypto needs the -USD pair on Yahoo).</t>
        </is>
      </c>
      <c r="G709"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709"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709" s="3" t="inlineStr">
        <is>
          <t>PARTLY READ — some of the code is still showing through; needs a hand pass</t>
        </is>
      </c>
      <c r="J709" s="3" t="inlineStr">
        <is>
          <t>ticker: string</t>
        </is>
      </c>
      <c r="K709" s="3" t="inlineStr">
        <is>
          <t>string</t>
        </is>
      </c>
      <c r="L709" s="3" t="inlineStr">
        <is>
          <t>—</t>
        </is>
      </c>
      <c r="M709" s="3" t="inlineStr">
        <is>
          <t>None found in this function — anything it assumes comes from the functions it depends on.</t>
        </is>
      </c>
      <c r="N709" s="3" t="inlineStr">
        <is>
          <t>No</t>
        </is>
      </c>
      <c r="O709" s="3" t="inlineStr">
        <is>
          <t>—</t>
        </is>
      </c>
      <c r="P709" s="3" t="n">
        <v>0</v>
      </c>
      <c r="Q709" s="3" t="inlineStr">
        <is>
          <t>None — no dependent function stands behind it</t>
        </is>
      </c>
      <c r="R709" s="3" t="inlineStr">
        <is>
          <t>No dependent function — it reads its inputs and answers</t>
        </is>
      </c>
      <c r="S709" s="3" t="inlineStr">
        <is>
          <t>—</t>
        </is>
      </c>
      <c r="T709" s="3" t="inlineStr">
        <is>
          <t>—</t>
        </is>
      </c>
      <c r="U709" s="3" t="inlineStr">
        <is>
          <t>ACTIVE</t>
        </is>
      </c>
      <c r="V709" s="3" t="inlineStr">
        <is>
          <t>2026-08-27</t>
        </is>
      </c>
      <c r="W709" s="3" t="inlineStr">
        <is>
          <t>[from MK-NW-M-029, Formula (mathematical)] Is the formula embedded directly in the code and not as a separate function? Live price was to be sourced from Yahoo or similar engine.</t>
        </is>
      </c>
      <c r="X709" s="6" t="inlineStr">
        <is>
          <t>This is the feed: Yahoo Finance daily closes, free, no key. 'Current price' on the holding screen = the last close of this series, picked on the screen (no named function). Answer in full on MK-NW-M-029.</t>
        </is>
      </c>
      <c r="Y709" s="6" t="inlineStr">
        <is>
          <t>WAITING ON YOU — answer to read</t>
        </is>
      </c>
    </row>
    <row r="710" ht="60" customHeight="1">
      <c r="A710" s="3" t="inlineStr">
        <is>
          <t>MK-XS-F-144</t>
        </is>
      </c>
      <c r="B710" s="3" t="inlineStr">
        <is>
          <t>guessCategory</t>
        </is>
      </c>
      <c r="C710" s="3" t="inlineStr">
        <is>
          <t>src/services/receiptOCR.ts</t>
        </is>
      </c>
      <c r="D710" s="3" t="n">
        <v>287</v>
      </c>
      <c r="E710" s="3" t="inlineStr">
        <is>
          <t>3 · DEPENDENT (feeds an action only)</t>
        </is>
      </c>
      <c r="F710" s="3" t="inlineStr">
        <is>
          <t>NOT DETERMINED — the code carries no note saying what this is for, and it has no row in the old inventory. Needs reading.</t>
        </is>
      </c>
      <c r="G710"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710"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710" s="3" t="inlineStr">
        <is>
          <t>PARTLY READ — some of the code is still showing through; needs a hand pass</t>
        </is>
      </c>
      <c r="J710" s="3" t="inlineStr">
        <is>
          <t>1. store: string
2. text: string</t>
        </is>
      </c>
      <c r="K710" s="3" t="inlineStr">
        <is>
          <t>string</t>
        </is>
      </c>
      <c r="L710" s="3" t="inlineStr">
        <is>
          <t>—</t>
        </is>
      </c>
      <c r="M710" s="3" t="inlineStr">
        <is>
          <t>None found in this function — anything it assumes comes from the functions it depends on.</t>
        </is>
      </c>
      <c r="N710" s="3" t="inlineStr">
        <is>
          <t>No</t>
        </is>
      </c>
      <c r="O710" s="3" t="inlineStr">
        <is>
          <t>—</t>
        </is>
      </c>
      <c r="P710" s="3" t="n">
        <v>0</v>
      </c>
      <c r="Q710" s="3" t="inlineStr">
        <is>
          <t>None — no dependent function stands behind it</t>
        </is>
      </c>
      <c r="R710" s="3" t="inlineStr">
        <is>
          <t>No dependent function — it reads its inputs and answers</t>
        </is>
      </c>
      <c r="S710" s="3" t="inlineStr">
        <is>
          <t>—</t>
        </is>
      </c>
      <c r="T710" s="3" t="inlineStr">
        <is>
          <t>—</t>
        </is>
      </c>
      <c r="U710" s="3" t="inlineStr">
        <is>
          <t>ACTIVE</t>
        </is>
      </c>
      <c r="V710" s="3" t="inlineStr">
        <is>
          <t>2026-08-27</t>
        </is>
      </c>
      <c r="W710" s="3" t="n"/>
      <c r="X710" s="3" t="n"/>
      <c r="Y710" s="3" t="inlineStr">
        <is>
          <t>NOTHING OPEN</t>
        </is>
      </c>
    </row>
    <row r="711" ht="60" customHeight="1">
      <c r="A711" s="3" t="inlineStr">
        <is>
          <t>MK-XS-F-145</t>
        </is>
      </c>
      <c r="B711" s="3" t="inlineStr">
        <is>
          <t>flatSymbol</t>
        </is>
      </c>
      <c r="C711" s="3" t="inlineStr">
        <is>
          <t>src/services/sync/snaptrade.ts</t>
        </is>
      </c>
      <c r="D711" s="3" t="n">
        <v>175</v>
      </c>
      <c r="E711" s="3" t="inlineStr">
        <is>
          <t>3 · DEPENDENT (feeds an action only)</t>
        </is>
      </c>
      <c r="F711" s="3" t="inlineStr">
        <is>
          <t>── positions → our holdings ───────────────────────────────────────────────────────────────────</t>
        </is>
      </c>
      <c r="G711" s="11" t="inlineStr">
        <is>
          <t>s = symbol
nothing   when s is missing
the answer:
symbol   if symbol and typeof symbol = 'object'
s   otherwise</t>
        </is>
      </c>
      <c r="H711" s="3" t="inlineStr">
        <is>
          <t>S is symbol. When s is missing, it answers no answer. The answer is symbol — when symbol and typeof symbol = 'object'; s — otherwise.</t>
        </is>
      </c>
      <c r="I711" s="3" t="inlineStr">
        <is>
          <t>PARTLY READ — some of the code is still showing through; needs a hand pass</t>
        </is>
      </c>
      <c r="J711" s="3" t="inlineStr">
        <is>
          <t>p: StPosition</t>
        </is>
      </c>
      <c r="K711" s="3" t="inlineStr">
        <is>
          <t>StSymbol | null</t>
        </is>
      </c>
      <c r="L711" s="3" t="inlineStr">
        <is>
          <t>—</t>
        </is>
      </c>
      <c r="M711" s="3" t="inlineStr">
        <is>
          <t>None found in this function — anything it assumes comes from the functions it depends on.</t>
        </is>
      </c>
      <c r="N711" s="3" t="inlineStr">
        <is>
          <t>No</t>
        </is>
      </c>
      <c r="O711" s="3" t="inlineStr">
        <is>
          <t>—</t>
        </is>
      </c>
      <c r="P711" s="3" t="n">
        <v>0</v>
      </c>
      <c r="Q711" s="3" t="inlineStr">
        <is>
          <t>None — no dependent function stands behind it</t>
        </is>
      </c>
      <c r="R711" s="3" t="inlineStr">
        <is>
          <t>No dependent function — it reads its inputs and answers</t>
        </is>
      </c>
      <c r="S711" s="3" t="inlineStr">
        <is>
          <t>—</t>
        </is>
      </c>
      <c r="T711" s="3" t="inlineStr">
        <is>
          <t>—</t>
        </is>
      </c>
      <c r="U711" s="3" t="inlineStr">
        <is>
          <t>ACTIVE</t>
        </is>
      </c>
      <c r="V711" s="3" t="inlineStr">
        <is>
          <t>2026-08-27</t>
        </is>
      </c>
      <c r="W711" s="3" t="n"/>
      <c r="X711" s="3" t="n"/>
      <c r="Y711" s="3" t="inlineStr">
        <is>
          <t>NOTHING OPEN</t>
        </is>
      </c>
    </row>
    <row r="712" ht="60" customHeight="1">
      <c r="A712" s="3" t="inlineStr">
        <is>
          <t>MK-XS-F-146</t>
        </is>
      </c>
      <c r="B712" s="3" t="inlineStr">
        <is>
          <t>prettyExpiry</t>
        </is>
      </c>
      <c r="C712" s="3" t="inlineStr">
        <is>
          <t>src/services/sync/snaptrade.ts</t>
        </is>
      </c>
      <c r="D712" s="3" t="n">
        <v>278</v>
      </c>
      <c r="E712" s="3" t="inlineStr">
        <is>
          <t>3 · DEPENDENT (feeds an action only)</t>
        </is>
      </c>
      <c r="F712" s="3" t="inlineStr">
        <is>
          <t>NOT DETERMINED — the code carries no note saying what this is for, and it has no row in the old inventory. Needs reading.</t>
        </is>
      </c>
      <c r="G712" s="11" t="inlineStr">
        <is>
          <t>`${MONTHS[m − 1]} ${d} ${y}`   if y and m and d
'unknown expiry'   otherwise</t>
        </is>
      </c>
      <c r="H712" s="3" t="inlineStr">
        <is>
          <t>`${MONTHS[m minus 1]} ${d} ${y}` — when y and m and d; 'unknown expiry' — otherwise.</t>
        </is>
      </c>
      <c r="I712" s="3" t="inlineStr">
        <is>
          <t>PARTLY READ — some of the code is still showing through; needs a hand pass</t>
        </is>
      </c>
      <c r="J712" s="3" t="inlineStr">
        <is>
          <t>iso: string | null | undefined</t>
        </is>
      </c>
      <c r="K712" s="3" t="inlineStr">
        <is>
          <t>NOT DECLARED — the code does not say what it gives back</t>
        </is>
      </c>
      <c r="L712" s="3" t="inlineStr">
        <is>
          <t>—</t>
        </is>
      </c>
      <c r="M712" s="3" t="inlineStr">
        <is>
          <t>None found in this function — anything it assumes comes from the functions it depends on.</t>
        </is>
      </c>
      <c r="N712" s="3" t="inlineStr">
        <is>
          <t>No</t>
        </is>
      </c>
      <c r="O712" s="3" t="inlineStr">
        <is>
          <t>MK-CF-F-132 map</t>
        </is>
      </c>
      <c r="P712" s="3" t="n">
        <v>1</v>
      </c>
      <c r="Q712" s="3" t="inlineStr">
        <is>
          <t>MK-CF-F-132 map</t>
        </is>
      </c>
      <c r="R712" s="3" t="inlineStr">
        <is>
          <t>MK-CF-F-132 map → MK-XS-F-146 prettyExpiry</t>
        </is>
      </c>
      <c r="S712" s="3" t="inlineStr">
        <is>
          <t>—</t>
        </is>
      </c>
      <c r="T712" s="3" t="inlineStr">
        <is>
          <t>—</t>
        </is>
      </c>
      <c r="U712" s="3" t="inlineStr">
        <is>
          <t>ACTIVE</t>
        </is>
      </c>
      <c r="V712" s="3" t="inlineStr">
        <is>
          <t>2026-08-27</t>
        </is>
      </c>
      <c r="W712" s="3" t="n"/>
      <c r="X712" s="3" t="n"/>
      <c r="Y712" s="3" t="inlineStr">
        <is>
          <t>NOTHING OPEN</t>
        </is>
      </c>
    </row>
    <row r="713" ht="60" customHeight="1">
      <c r="A713" s="3" t="inlineStr">
        <is>
          <t>MK-XS-F-147</t>
        </is>
      </c>
      <c r="B713" s="3" t="inlineStr">
        <is>
          <t>call</t>
        </is>
      </c>
      <c r="C713" s="3" t="inlineStr">
        <is>
          <t>src/services/sync/snaptradeClient.ts</t>
        </is>
      </c>
      <c r="D713" s="3" t="n">
        <v>93</v>
      </c>
      <c r="E713" s="3" t="inlineStr">
        <is>
          <t>4 · BRINGS DATA IN</t>
        </is>
      </c>
      <c r="F713" s="3" t="inlineStr">
        <is>
          <t>NOT DETERMINED — the code carries no note saying what this is for, and it has no row in the old inventory. Needs reading.</t>
        </is>
      </c>
      <c r="G713" s="11" t="inlineStr">
        <is>
          <t>url = relay url()
token = await current id token()
data = await res.json().catch(() =&gt; nothing)
the answer = data as T</t>
        </is>
      </c>
      <c r="H713" s="3" t="inlineStr">
        <is>
          <t>Url is relay url(). Token is await current id token(). Data is await res.json().catch(() =&gt; no answer). The answer is data as T.</t>
        </is>
      </c>
      <c r="I713" s="3" t="inlineStr">
        <is>
          <t>PARTLY READ — some of the code is still showing through; needs a hand pass</t>
        </is>
      </c>
      <c r="J713" s="3" t="inlineStr">
        <is>
          <t>1. action: string
2. params: Record&lt;string, unknown&gt; = {}</t>
        </is>
      </c>
      <c r="K713" s="3" t="inlineStr">
        <is>
          <t>Promise&lt;T&gt;</t>
        </is>
      </c>
      <c r="L713" s="3" t="inlineStr">
        <is>
          <t>—</t>
        </is>
      </c>
      <c r="M713" s="3" t="inlineStr">
        <is>
          <t>None found in this function — anything it assumes comes from the functions it depends on.</t>
        </is>
      </c>
      <c r="N713" s="3" t="inlineStr">
        <is>
          <t>No</t>
        </is>
      </c>
      <c r="O713" s="3" t="inlineStr">
        <is>
          <t>1. MK-ST-F-027 accountId
2. MK-XS-F-064 currentIdToken
3. MK-XS-F-112 relayUrl</t>
        </is>
      </c>
      <c r="P713" s="3" t="n">
        <v>3</v>
      </c>
      <c r="Q713" s="3" t="inlineStr">
        <is>
          <t>1. MK-ST-F-027 accountId
2. MK-XS-F-064 currentIdToken
3. MK-XS-F-112 relayUrl</t>
        </is>
      </c>
      <c r="R713" s="3" t="inlineStr">
        <is>
          <t>1. MK-ST-F-027 accountId → MK-XS-F-147 call
2. MK-XS-F-064 currentIdToken → MK-XS-F-147 call
3. MK-XS-F-112 relayUrl → MK-XS-F-147 call</t>
        </is>
      </c>
      <c r="S713" s="3" t="inlineStr">
        <is>
          <t>—</t>
        </is>
      </c>
      <c r="T713" s="3" t="inlineStr">
        <is>
          <t>—</t>
        </is>
      </c>
      <c r="U713" s="3" t="inlineStr">
        <is>
          <t>ACTIVE</t>
        </is>
      </c>
      <c r="V713" s="3" t="inlineStr">
        <is>
          <t>2026-08-27</t>
        </is>
      </c>
      <c r="W713" s="3" t="n"/>
      <c r="X713" s="3" t="n"/>
      <c r="Y713" s="3" t="inlineStr">
        <is>
          <t>NOTHING OPEN</t>
        </is>
      </c>
    </row>
    <row r="714" ht="60" customHeight="1">
      <c r="A714" s="3" t="inlineStr">
        <is>
          <t>MK-XS-F-148</t>
        </is>
      </c>
      <c r="B714" s="3" t="inlineStr">
        <is>
          <t>unwrapActivities</t>
        </is>
      </c>
      <c r="C714" s="3" t="inlineStr">
        <is>
          <t>src/services/sync/snaptradeSync.ts</t>
        </is>
      </c>
      <c r="D714" s="3" t="n">
        <v>73</v>
      </c>
      <c r="E714" s="3" t="inlineStr">
        <is>
          <t>3 · DEPENDENT</t>
        </is>
      </c>
      <c r="F714" s="3" t="inlineStr">
        <is>
          <t>SnapTrade wraps this endpoint in a pagination envelope {data, pagination:{total}} — LIVE-VERIFIED 2026-07-19 against a real E*TRADE connection (their docs' examples show a bare array; production does not).</t>
        </is>
      </c>
      <c r="G714"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714"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714" s="3" t="inlineStr">
        <is>
          <t>PARTLY READ — some of the code is still showing through; needs a hand pass</t>
        </is>
      </c>
      <c r="J714" s="3" t="inlineStr">
        <is>
          <t>raw: unknown</t>
        </is>
      </c>
      <c r="K714" s="3" t="inlineStr">
        <is>
          <t>NOT DECLARED — the code does not say what it gives back</t>
        </is>
      </c>
      <c r="L714" s="3" t="inlineStr">
        <is>
          <t>—</t>
        </is>
      </c>
      <c r="M714" s="3" t="inlineStr">
        <is>
          <t>None found in this function — anything it assumes comes from the functions it depends on.</t>
        </is>
      </c>
      <c r="N714" s="3" t="inlineStr">
        <is>
          <t>Yes</t>
        </is>
      </c>
      <c r="O714" s="3" t="inlineStr">
        <is>
          <t>—</t>
        </is>
      </c>
      <c r="P714" s="3" t="n">
        <v>0</v>
      </c>
      <c r="Q714" s="3" t="inlineStr">
        <is>
          <t>None — no dependent function stands behind it</t>
        </is>
      </c>
      <c r="R714" s="3" t="inlineStr">
        <is>
          <t>No dependent function — it reads its inputs and answers</t>
        </is>
      </c>
      <c r="S714" s="3" t="inlineStr">
        <is>
          <t>—</t>
        </is>
      </c>
      <c r="T714" s="3" t="inlineStr">
        <is>
          <t>—</t>
        </is>
      </c>
      <c r="U714" s="3" t="inlineStr">
        <is>
          <t>ACTIVE</t>
        </is>
      </c>
      <c r="V714" s="3" t="inlineStr">
        <is>
          <t>2026-08-27</t>
        </is>
      </c>
      <c r="W714" s="3" t="n"/>
      <c r="X714" s="3" t="n"/>
      <c r="Y714" s="3" t="inlineStr">
        <is>
          <t>NOTHING OPEN</t>
        </is>
      </c>
    </row>
    <row r="715" ht="60" customHeight="1">
      <c r="A715" s="3" t="inlineStr">
        <is>
          <t>MK-XS-F-149</t>
        </is>
      </c>
      <c r="B715" s="3" t="inlineStr">
        <is>
          <t>allActivities</t>
        </is>
      </c>
      <c r="C715" s="3" t="inlineStr">
        <is>
          <t>src/services/sync/snaptradeSync.ts</t>
        </is>
      </c>
      <c r="D715" s="3" t="n">
        <v>102</v>
      </c>
      <c r="E715" s="3" t="inlineStr">
        <is>
          <t>3 · DEPENDENT</t>
        </is>
      </c>
      <c r="F715" s="3" t="inlineStr">
        <is>
          <t>NOT DETERMINED — the code carries no note saying what this is for, and it has no row in the old inventory. Needs reading.</t>
        </is>
      </c>
      <c r="G715" s="11" t="inlineStr">
        <is>
          <t>out = []
the answer = out</t>
        </is>
      </c>
      <c r="H715" s="3" t="inlineStr">
        <is>
          <t>Out is []. The answer is out.</t>
        </is>
      </c>
      <c r="I715" s="3" t="inlineStr">
        <is>
          <t>READ FROM THE CODE — rendered from the expressions the function runs</t>
        </is>
      </c>
      <c r="J715" s="3" t="inlineStr">
        <is>
          <t>1. accountId: string
2. startDate?: string</t>
        </is>
      </c>
      <c r="K715" s="3" t="inlineStr">
        <is>
          <t>Promise&lt;StActivity[]&gt;</t>
        </is>
      </c>
      <c r="L715" s="3" t="inlineStr">
        <is>
          <t>—</t>
        </is>
      </c>
      <c r="M715" s="3" t="inlineStr">
        <is>
          <t>· Uses a built-in page of 0.</t>
        </is>
      </c>
      <c r="N715" s="3" t="inlineStr">
        <is>
          <t>Yes</t>
        </is>
      </c>
      <c r="O715" s="3" t="inlineStr">
        <is>
          <t>1. MK-ST-F-027 accountId
2. MK-XS-F-148 unwrapActivities</t>
        </is>
      </c>
      <c r="P715" s="3" t="n">
        <v>2</v>
      </c>
      <c r="Q715" s="3" t="inlineStr">
        <is>
          <t>1. MK-ST-F-027 accountId
2. MK-XS-F-148 unwrapActivities</t>
        </is>
      </c>
      <c r="R715" s="3" t="inlineStr">
        <is>
          <t>1. MK-ST-F-027 accountId → MK-XS-F-149 allActivities
2. MK-XS-F-148 unwrapActivities → MK-XS-F-149 allActivities</t>
        </is>
      </c>
      <c r="S715" s="3" t="inlineStr">
        <is>
          <t>—</t>
        </is>
      </c>
      <c r="T715" s="3" t="inlineStr">
        <is>
          <t>—</t>
        </is>
      </c>
      <c r="U715" s="3" t="inlineStr">
        <is>
          <t>ACTIVE</t>
        </is>
      </c>
      <c r="V715" s="3" t="inlineStr">
        <is>
          <t>2026-08-27</t>
        </is>
      </c>
      <c r="W715" s="3" t="n"/>
      <c r="X715" s="3" t="n"/>
      <c r="Y715" s="3" t="inlineStr">
        <is>
          <t>NOTHING OPEN</t>
        </is>
      </c>
    </row>
    <row r="716" ht="60" customHeight="1">
      <c r="A716" s="3" t="inlineStr">
        <is>
          <t>MK-XS-F-170</t>
        </is>
      </c>
      <c r="B716" s="3" t="inlineStr">
        <is>
          <t>daysSince</t>
        </is>
      </c>
      <c r="C716" s="3" t="inlineStr">
        <is>
          <t>src/domain/_shared/freshness.ts</t>
        </is>
      </c>
      <c r="D716" s="3" t="n">
        <v>51</v>
      </c>
      <c r="E716" s="3" t="inlineStr">
        <is>
          <t>3 · DEPENDENT</t>
        </is>
      </c>
      <c r="F716" s="3" t="inlineStr">
        <is>
          <t>Whole days between a recorded moment and now, or null when the moment cannot be read.</t>
        </is>
      </c>
      <c r="G716" s="11" t="inlineStr">
        <is>
          <t>nothing   when when = nothing (or when = '' when missing or zero)
ms = now − (typeof when = 'number' ? when : date.parse(string(when)))
nothing   when !number.is finite(ms) (or ms &lt; 0 when missing or zero)
the answer = round down(ms ÷ 86400000)</t>
        </is>
      </c>
      <c r="H716"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716" s="3" t="inlineStr">
        <is>
          <t>PARTLY READ — some of the code is still showing through; needs a hand pass</t>
        </is>
      </c>
      <c r="J716" s="3" t="inlineStr">
        <is>
          <t>1. when: string | number | null | undefined
2. now: number</t>
        </is>
      </c>
      <c r="K716" s="3" t="inlineStr">
        <is>
          <t>number | null</t>
        </is>
      </c>
      <c r="L716" s="3" t="inlineStr">
        <is>
          <t>—</t>
        </is>
      </c>
      <c r="M716" s="3" t="inlineStr">
        <is>
          <t>None found in this function — anything it assumes comes from the functions it depends on.</t>
        </is>
      </c>
      <c r="N716" s="3" t="inlineStr">
        <is>
          <t>Yes</t>
        </is>
      </c>
      <c r="O716" s="3" t="inlineStr">
        <is>
          <t>—</t>
        </is>
      </c>
      <c r="P716" s="3" t="n">
        <v>0</v>
      </c>
      <c r="Q716" s="3" t="inlineStr">
        <is>
          <t>None — no dependent function stands behind it</t>
        </is>
      </c>
      <c r="R716" s="3" t="inlineStr">
        <is>
          <t>No dependent function — it reads its inputs and answers</t>
        </is>
      </c>
      <c r="S716" s="3" t="inlineStr">
        <is>
          <t>—</t>
        </is>
      </c>
      <c r="T716" s="3" t="inlineStr">
        <is>
          <t>—</t>
        </is>
      </c>
      <c r="U716" s="3" t="inlineStr">
        <is>
          <t>ACTIVE</t>
        </is>
      </c>
      <c r="V716" s="3" t="inlineStr">
        <is>
          <t>2026-10-01</t>
        </is>
      </c>
      <c r="W716" s="3" t="n"/>
      <c r="X716" s="3" t="n"/>
      <c r="Y716" s="3" t="inlineStr">
        <is>
          <t>NOTHING OPEN</t>
        </is>
      </c>
    </row>
    <row r="717" ht="60" customHeight="1">
      <c r="A717" s="3" t="inlineStr">
        <is>
          <t>MK-XS-F-171</t>
        </is>
      </c>
      <c r="B717" s="3" t="inlineStr">
        <is>
          <t>numOrNaN</t>
        </is>
      </c>
      <c r="C717" s="3" t="inlineStr">
        <is>
          <t>src/domain/import/holdingsImport.ts</t>
        </is>
      </c>
      <c r="D717" s="3" t="n">
        <v>233</v>
      </c>
      <c r="E717" s="3" t="inlineStr">
        <is>
          <t>3 · DEPENDENT</t>
        </is>
      </c>
      <c r="F717" s="3" t="inlineStr">
        <is>
          <t>NOT DETERMINED — the code carries no note saying what this is for, and it has no row in the old inventory. Needs reading.</t>
        </is>
      </c>
      <c r="G717" s="11" t="inlineStr">
        <is>
          <t>n = parse float(string(v ?? '').replace( ÷ [$,%\s] ÷ g, '').replace( ÷ [()] ÷ g, ''))
the answer:
n   if number.is finite(n)
na n   otherwise</t>
        </is>
      </c>
      <c r="H717" s="3" t="inlineStr">
        <is>
          <t>N is parse float(string(v ?? '').replace( divided by [$,%\s] divided by g, '').replace( divided by [()] divided by g, '')). The answer is n — when number.is finite(n); na n — otherwise.</t>
        </is>
      </c>
      <c r="I717" s="3" t="inlineStr">
        <is>
          <t>PARTLY READ — some of the code is still showing through; needs a hand pass</t>
        </is>
      </c>
      <c r="J717" s="3" t="inlineStr">
        <is>
          <t>v: string</t>
        </is>
      </c>
      <c r="K717" s="3" t="inlineStr">
        <is>
          <t>number</t>
        </is>
      </c>
      <c r="L717" s="3" t="inlineStr">
        <is>
          <t>—</t>
        </is>
      </c>
      <c r="M717" s="3" t="inlineStr">
        <is>
          <t>None found in this function — anything it assumes comes from the functions it depends on.</t>
        </is>
      </c>
      <c r="N717" s="3" t="inlineStr">
        <is>
          <t>Yes</t>
        </is>
      </c>
      <c r="O717" s="3" t="inlineStr">
        <is>
          <t>MK-XS-F-122 n</t>
        </is>
      </c>
      <c r="P717" s="3" t="n">
        <v>1</v>
      </c>
      <c r="Q717" s="3" t="inlineStr">
        <is>
          <t>MK-XS-F-122 n</t>
        </is>
      </c>
      <c r="R717" s="3" t="inlineStr">
        <is>
          <t>MK-XS-F-122 n → MK-XS-F-171 numOrNaN</t>
        </is>
      </c>
      <c r="S717" s="3" t="inlineStr">
        <is>
          <t>—</t>
        </is>
      </c>
      <c r="T717" s="3" t="inlineStr">
        <is>
          <t>—</t>
        </is>
      </c>
      <c r="U717" s="3" t="inlineStr">
        <is>
          <t>ACTIVE</t>
        </is>
      </c>
      <c r="V717" s="3" t="inlineStr">
        <is>
          <t>2026-08-27</t>
        </is>
      </c>
      <c r="W717" s="3" t="n"/>
      <c r="X717" s="3" t="n"/>
      <c r="Y717" s="3" t="inlineStr">
        <is>
          <t>NOTHING OPEN</t>
        </is>
      </c>
    </row>
    <row r="718" ht="60" customHeight="1">
      <c r="A718" s="3" t="inlineStr">
        <is>
          <t>MK-XS-F-172</t>
        </is>
      </c>
      <c r="B718" s="3" t="inlineStr">
        <is>
          <t>assetClassForSymbol</t>
        </is>
      </c>
      <c r="C718" s="3" t="inlineStr">
        <is>
          <t>src/domain/import/holdingsImport.ts</t>
        </is>
      </c>
      <c r="D718" s="3" t="n">
        <v>352</v>
      </c>
      <c r="E718" s="3" t="inlineStr">
        <is>
          <t>3 · DEPENDENT</t>
        </is>
      </c>
      <c r="F718" s="3" t="inlineStr">
        <is>
          <t>B7 (founder brief 2026-08-20): classification lives in the ONE function — this road only adapts.</t>
        </is>
      </c>
      <c r="G718" s="11" t="inlineStr">
        <is>
          <t>classify holding class({ ticker: symbol, name, has security identity: true }).cls</t>
        </is>
      </c>
      <c r="H718" s="3" t="inlineStr">
        <is>
          <t>classify holding class({ ticker: symbol, name, has security identity: true }).cls.</t>
        </is>
      </c>
      <c r="I718" s="3" t="inlineStr">
        <is>
          <t>PARTLY READ — some of the code is still showing through; needs a hand pass</t>
        </is>
      </c>
      <c r="J718" s="3" t="inlineStr">
        <is>
          <t>1. symbol: string
2. name = ''</t>
        </is>
      </c>
      <c r="K718" s="3" t="inlineStr">
        <is>
          <t>AssetClass</t>
        </is>
      </c>
      <c r="L718" s="3" t="inlineStr">
        <is>
          <t>—</t>
        </is>
      </c>
      <c r="M718" s="3" t="inlineStr">
        <is>
          <t>None found in this function — anything it assumes comes from the functions it depends on.</t>
        </is>
      </c>
      <c r="N718" s="3" t="inlineStr">
        <is>
          <t>Yes</t>
        </is>
      </c>
      <c r="O718" s="3" t="inlineStr">
        <is>
          <t>MK-ST-F-011 classifyHoldingClass</t>
        </is>
      </c>
      <c r="P718" s="3" t="n">
        <v>16</v>
      </c>
      <c r="Q718" s="3" t="inlineStr">
        <is>
          <t>1. MK-ST-F-011 classifyHoldingClass
2. MK-NW-F-124 maturityParts
3. MK-ST-F-010 nameEvidence
4. MK-NW-F-009 maturityClass
5. MK-CF-F-216 typed
6. MK-XS-F-147 call
7. MK-ST-F-056 has
8. MK-CF-F-132 map
9. MK-NW-F-011 assetClassOf
10. MK-ST-F-027 accountId
11. MK-XS-F-064 currentIdToken
12. MK-XS-F-112 relayUrl
13. MK-NW-F-120 classEvidenceOf
14. MK-CF-F-155 cash
15. MK-NW-F-008 incomeBearingClassOf
16. MK-XS-F-122 n</t>
        </is>
      </c>
      <c r="R718" s="3" t="inlineStr">
        <is>
          <t>1. MK-NW-F-120 classEvidenceOf → MK-NW-F-011 assetClassOf → MK-NW-F-009 maturityClass → MK-NW-F-124 maturityParts → MK-ST-F-011 classifyHoldingClass → MK-XS-F-172 assetClassForSymbol
2. maturityParts (already above — a loop) → MK-NW-F-009 maturityClass → MK-NW-F-124 maturityParts → MK-ST-F-011 classifyHoldingClass → MK-XS-F-172 assetClassForSymbol
3. MK-CF-F-216 typed → MK-NW-F-009 maturityClass → MK-NW-F-124 maturityParts → MK-ST-F-011 classifyHoldingClass → MK-XS-F-172 assetClassForSymbol
4. MK-CF-F-216 typed → MK-NW-F-124 maturityParts → MK-ST-F-011 classifyHoldingClass → MK-XS-F-172 assetClassForSymbol
5. MK-ST-F-027 accountId → MK-XS-F-147 call → MK-ST-F-010 nameEvidence → MK-ST-F-011 classifyHoldingClass → MK-XS-F-172 assetClassForSymbol
6. MK-XS-F-064 currentIdToken → MK-XS-F-147 call → MK-ST-F-010 nameEvidence → MK-ST-F-011 classifyHoldingClass → MK-XS-F-172 assetClassForSymbol
7. MK-XS-F-112 relayUrl → MK-XS-F-147 call → MK-ST-F-010 nameEvidence → MK-ST-F-011 classifyHoldingClass → MK-XS-F-172 assetClassForSymbol
8. MK-ST-F-056 has → MK-ST-F-010 nameEvidence → MK-ST-F-011 classifyHoldingClass → MK-XS-F-172 assetClassForSymbol
9. … and 1 more paths</t>
        </is>
      </c>
      <c r="S718" s="3" t="inlineStr">
        <is>
          <t>—</t>
        </is>
      </c>
      <c r="T718" s="3" t="inlineStr">
        <is>
          <t>—</t>
        </is>
      </c>
      <c r="U718" s="3" t="inlineStr">
        <is>
          <t>ACTIVE</t>
        </is>
      </c>
      <c r="V718" s="3" t="inlineStr">
        <is>
          <t>2026-08-27</t>
        </is>
      </c>
      <c r="W718" s="3" t="n"/>
      <c r="X718" s="3" t="n"/>
      <c r="Y718" s="3" t="inlineStr">
        <is>
          <t>NOTHING OPEN</t>
        </is>
      </c>
    </row>
    <row r="719" ht="60" customHeight="1">
      <c r="A719" s="3" t="inlineStr">
        <is>
          <t>MK-XS-F-173</t>
        </is>
      </c>
      <c r="B719" s="3" t="inlineStr">
        <is>
          <t>getOrCreateKey</t>
        </is>
      </c>
      <c r="C719" s="3" t="inlineStr">
        <is>
          <t>src/store/secureStorage.ts</t>
        </is>
      </c>
      <c r="D719" s="3" t="n">
        <v>47</v>
      </c>
      <c r="E719" s="3" t="inlineStr">
        <is>
          <t>4 · BRINGS DATA IN</t>
        </is>
      </c>
      <c r="F719" s="3" t="inlineStr">
        <is>
          <t>NOT DETERMINED — the code carries no note saying what this is for, and it has no row in the old inventory. Needs reading.</t>
        </is>
      </c>
      <c r="G719"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719"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719" s="3" t="inlineStr">
        <is>
          <t>PARTLY READ — some of the code is still showing through; needs a hand pass</t>
        </is>
      </c>
      <c r="J719" s="3" t="inlineStr">
        <is>
          <t>Nothing is handed to it</t>
        </is>
      </c>
      <c r="K719" s="3" t="inlineStr">
        <is>
          <t>Promise&lt;string&gt;</t>
        </is>
      </c>
      <c r="L719" s="3" t="inlineStr">
        <is>
          <t>—</t>
        </is>
      </c>
      <c r="M719" s="3" t="inlineStr">
        <is>
          <t>None found in this function — anything it assumes comes from the functions it depends on.</t>
        </is>
      </c>
      <c r="N719" s="3" t="inlineStr">
        <is>
          <t>No</t>
        </is>
      </c>
      <c r="O719" s="3" t="inlineStr">
        <is>
          <t>1. MK-XS-F-135 secureGet
2. MK-XS-F-136 secureSet</t>
        </is>
      </c>
      <c r="P719" s="3" t="n">
        <v>2</v>
      </c>
      <c r="Q719" s="3" t="inlineStr">
        <is>
          <t>1. MK-XS-F-135 secureGet
2. MK-XS-F-136 secureSet</t>
        </is>
      </c>
      <c r="R719" s="3" t="inlineStr">
        <is>
          <t>1. MK-XS-F-135 secureGet → MK-XS-F-173 getOrCreateKey
2. MK-XS-F-136 secureSet → MK-XS-F-173 getOrCreateKey</t>
        </is>
      </c>
      <c r="S719" s="3" t="inlineStr">
        <is>
          <t>—</t>
        </is>
      </c>
      <c r="T719" s="3" t="inlineStr">
        <is>
          <t>—</t>
        </is>
      </c>
      <c r="U719" s="3" t="inlineStr">
        <is>
          <t>ACTIVE</t>
        </is>
      </c>
      <c r="V719" s="3" t="inlineStr">
        <is>
          <t>2026-09-12</t>
        </is>
      </c>
      <c r="W719" s="3" t="n"/>
      <c r="X719" s="3" t="n"/>
      <c r="Y719" s="3" t="inlineStr">
        <is>
          <t>NOTHING OPEN</t>
        </is>
      </c>
    </row>
    <row r="720" ht="60" customHeight="1">
      <c r="A720" s="3" t="inlineStr">
        <is>
          <t>MK-XS-F-174</t>
        </is>
      </c>
      <c r="B720" s="3" t="inlineStr">
        <is>
          <t>recomputeBalances</t>
        </is>
      </c>
      <c r="C720" s="3" t="inlineStr">
        <is>
          <t>src/store/useStore.ts</t>
        </is>
      </c>
      <c r="D720" s="3" t="n">
        <v>63</v>
      </c>
      <c r="E720" s="3" t="inlineStr">
        <is>
          <t>3 · DEPENDENT</t>
        </is>
      </c>
      <c r="F720" s="3" t="inlineStr">
        <is>
          <t>Recompute the cached `balance` of every ledger-managed account = cash sleeve + Σ(position × live price).</t>
        </is>
      </c>
      <c r="G720" s="11" t="inlineStr">
        <is>
          <t>a   when source = 'connected'
ledger managed = derive balance = true (or cash balance ≠ nothing when missing or zero)
a   when ledger managed is missing
positions = for each of positions (or none when missing): const px = latest close(cache[ticker.trim().to upper case()]); return { ...each, value now: (px == null ? cost basis(each) : market value(each, px)) ?? value now ?? 0 }; = const px = latest close(cache[ticker.trim().to upper case()]); return { ...each, value now: (px == null ? cost basis(each) : market value(each, px)) ?? value now ?? 0 };
mv = Σ over positions of (value now)
the answer:
...a = ...a
positions = positions
balance = round((cash balance or 0) + mv, 2 dp)</t>
        </is>
      </c>
      <c r="H720" s="3" t="inlineStr">
        <is>
          <t>When source = 'connected', it answers a. Ledger managed is derive balance = true (or cash balance is not no answer — when missing or zero). When ledger managed is missing, it answers a. Positions is for each of positions (or none — when missing): const px = latest close(cache[ticker.trim().to upper case()]); return { ...each, value now: (px == null ? cost basis(each) : market value(each, px)) ?? value now ?? 0 }; = const px = latest close(cache[ticker.trim().to upper case()]); return { ...each, value now: (px == null ? cost basis(each) : market value(each, px)) ?? value now ?? 0 };. Mv: the value now added up across positions. The answer is ...a = ...a; positions = positions; balance = (cash balance or 0) plus mv, to the cent.</t>
        </is>
      </c>
      <c r="I720" s="3" t="inlineStr">
        <is>
          <t>PARTLY READ — some of the code is still showing through; needs a hand pass</t>
        </is>
      </c>
      <c r="J720" s="3" t="inlineStr">
        <is>
          <t>1. accs: AssetAccount[]
2. cache: Record&lt;string, PriceSeries&gt;</t>
        </is>
      </c>
      <c r="K720" s="3" t="inlineStr">
        <is>
          <t>AssetAccount[]</t>
        </is>
      </c>
      <c r="L720" s="3" t="inlineStr">
        <is>
          <t>—</t>
        </is>
      </c>
      <c r="M720" s="3" t="inlineStr">
        <is>
          <t>1. If value now is missing it uses 0.
2. If cash balance is missing it counts as zero, so nothing recorded and a real zero look the same.</t>
        </is>
      </c>
      <c r="N720" s="3" t="inlineStr">
        <is>
          <t>Yes</t>
        </is>
      </c>
      <c r="O720"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t>
        </is>
      </c>
      <c r="P720" s="3" t="n">
        <v>205</v>
      </c>
      <c r="Q720"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
13. MK-PF-F-031 contractMultiplier
14. MK-PF-F-035 unknownFigure
15. MK-CF-F-037 inferDebtType
16. MK-ST-F-043 newEntityId
17. MK-ST-F-052 toNum
18. MK-XS-F-175 uid
19. MK-PF-F-001 totalShares
20. MK-ST-F-069 amountOf
21. MK-CF-F-133 cashOf
22. MK-ST-F-056 has
23. MK-ST-F-066 isDayKey
24. MK-ST-F-070 isOpening
25. MK-ST-F-039 on
26. MK-ST-F-071 rebuildableFrom
27. MK-ST-F-068 stepDay
28. MK-ST-F-072 undo
29. MK-CF-F-072 currentRetirementIncomeMonthly
30. MK-ST-F-053 money
31. MK-XS-F-122 n
32. MK-ST-F-027 accountId
33. MK-CF-F-111 applyTransaction
34. MK-NW-F-040 assetsFromOnboarding
35. MK-PF-F-013 benchmarkTicker
36. MK-PF-F-034 closeOnOrBefore
37. MK-CF-F-186 convertTakeHomeMode
38. MK-XS-F-083 fetchPriceSeries
39. MK-ST-F-084 fillBetweenObservations
40. MK-PL-F-013 goalsFromOnboarding
41. MK-CF-F-116 inverseOf
42. MK-ST-F-065 isoLocalDate
43. MK-CF-F-112 makeTransaction
44. MK-CF-F-218 moveOldRentFigure
45. MK-XS-F-006 pruneDaily
46. MK-NW-F-054 reclassifyAccounts
47. MK-CF-F-115 restoreUndo
48. MK-CF-F-109 reviewTransactions
49. MK-NW-O-004 theEmergencyFund
50. MK-CF-F-114 undoSnapshot
51. MK-CF-F-191 ym
52. MK-ST-F-067 utcOfDay
53. MK-CF-F-155 cash
54. MK-ST-F-035 covers
55. MK-CF-F-075 retirementIncomeMonthly
56. MK-ST-F-049 formatMoney
57. MK-CF-F-138 addLot
58. MK-CF-F-136 bumpCash
59. MK-CF-F-137 findPos
60. MK-CF-F-139 removeShares
61. MK-CF-F-085 filingStatusOf
62. MK-CF-F-097 grossFromNet
63. MK-CF-F-185 needsTakeHomeConversion
64. MK-CF-F-089 over65CountOf
65. MK-CF-F-217 hasOldRentFigure
66. MK-CF-F-216 typed
67. MK-NW-F-053 correctClassOf
68. MK-NW-F-123 holdingNameEvidence
69. MK-NW-F-121 holdingTagClass
70. MK-NW-F-122 holdingTagFor
71. MK-CF-F-162 daysApart
72. MK-CF-F-108 isMoneyOut
73. MK-PL-F-074 median
74. MK-CF-F-131 normPayee
75. MK-NW-F-016 cashTotal
76. MK-CF-F-010 emergencyTest
77. MK-CF-F-190 essentialsMonthly
78. MK-CF-O-004 incomeSummary
79. MK-CF-F-009 monthlyEssentials
80. MK-CF-F-022 paymentShape
81. MK-CF-F-002 plannedMonthlySpend
82. MK-NW-F-117 propertyUseMap
83. MK-ST-F-085 rentFigure
84. MK-CF-O-020 theBudgetCounted
85. MK-CF-F-113 affectedAccountIds
86. MK-ST-F-034 firstDate
87. MK-ST-F-048 currencySymbol
88. MK-CF-F-134 usesSleeve
89. MK-CF-F-101 taxOwedFor
90. MK-NW-F-120 classEvidenceOf
91. MK-NW-F-008 incomeBearingClassOf
92. MK-NW-F-027 accountClassBreakdown
93. MK-NW-F-029 assetAllocation
94. MK-NW-F-011 assetClassOf
95. MK-CF-F-189 essentialsFromLoggedSpending
96. MK-CF-O-002 expenses
97. MK-CF-F-203 MONTH
98. MK-CF-O-001 basePay
99. MK-CF-F-069 benefitActiveMonths
100. MK-CF-F-173 earnerWages
101. MK-CF-F-179 entryFromWage
102. MK-CF-F-071 extraIncome
103. MK-CF-F-092 incomeMonthlyGrid
104. MK-CF-F-192 inflowLabel
105. MK-CF-F-103 marginalBracketFor
106. MK-CF-F-181 rateInForce
107. MK-CF-F-068 rentalNetAnnual
108. MK-CF-F-082 salaryAnnual
109. MK-CF-F-060 salaryGrossByMonth
110. MK-CF-F-084 taxableAnnual
111. MK-CF-F-120 pctBaseMonthly
112. MK-CF-F-004 spendBuckets
113. MK-CF-F-021 defaultPaymentType
114. MK-XS-F-027 takeHomeMonthly
115. MK-NW-F-116 rentedIdsOf
116. MK-NW-F-106 mortgagesByProperty
117. MK-NW-F-107 propertyUses
118. MK-ST-F-047 activeCurrency
119. MK-CF-F-100 taxableIncomeFor
120. MK-NW-F-009 maturityClass
121. MK-ST-F-010 nameEvidence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MK-CF-F-099 deductionFor
156. MK-NW-F-124 maturityParts
157. MK-XS-F-147 call
158. MK-CF-F-148 inMonth
159. MK-CF-F-152 isRadarItem
160. MK-CF-O-003 thisMonth
161. MK-CF-F-143 annualisedGross
162. MK-CF-F-145 deductionsFromPay
163. MK-CF-F-128 grossByMonth
164. MK-CF-F-146 payFiguresAgree
165. MK-CF-F-144 takeHomeAsEntered
166. MK-XS-F-180 declareFigures
167. MK-HM-F-005 pctTxt
168. MK-CF-F-062 equityRowValue
169. MK-CF-F-090 effectiveRate
170. MK-CF-F-063 rowVestYear
171. MK-CF-F-130 enteredMonthlyRaw
172. MK-CF-F-166 hasMonthlySalaryTable
173. MK-ST-F-036 reconcile
174. MK-CF-F-167 salaryCalendarYear
175. MK-CF-F-081 salaryActiveMonths
176. MK-CF-F-008 spendByMonth
177. MK-NW-F-114 rentAmount
178. MK-CF-F-187 seniorDeductionFor
179. MK-XS-F-064 currentIdToken
180. MK-XS-F-112 relayUrl
181. MK-CF-F-005 actualMonthFlow
182. MK-CF-F-156 plannedMonthFlow
183. MK-CF-F-142 monthsOf
184. MK-CF-F-141 perMonth
185. MK-NW-F-078 ONE
186. MK-CF-F-157 debtPaymentsByDebt
187. MK-CF-F-140 periodsAYear
188. MK-NW-F-077 ALL
189. MK-NW-F-059 currentYield
190. MK-NW-O-001 theBonds
191. MK-NW-F-112 yearlyInterest
192. MK-NW-F-057 annualCoupon
193. MK-NW-F-056 bondInfo
194. MK-NW-F-064 bondRateSensitivity
195. MK-NW-F-061 bondSummary
196. MK-NW-F-055 isBond
197. MK-NW-F-072 rowOf
198. MK-NW-F-060 approxYTM
199. MK-NW-F-069 priceAtYield
200. MK-NW-F-131 pricedLikeBond
201. MK-NW-F-125 isPastMaturity
202. MK-NW-F-126 yearlyInterestNow
203. MK-NW-F-070 accruedInterestCaveat
204. MK-NW-F-058 yearsToMaturity
205. MK-NW-F-119 estimatedAccrued</t>
        </is>
      </c>
      <c r="R720" s="3" t="inlineStr">
        <is>
          <t>1. MK-ST-F-028 buildDayFromAccounts → MK-XS-F-174 recomputeBalances
2. MK-PF-F-031 contractMultiplier → MK-PF-F-002 costBasis → MK-XS-F-174 recomputeBalances
3. MK-PF-F-035 unknownFigure → MK-PF-F-002 costBasis → MK-XS-F-174 recomputeBalances
4. MK-ST-F-079 dailyWindowStart → MK-XS-F-174 recomputeBalances
5. MK-CF-F-037 inferDebtType → MK-CF-F-038 debtsFromOnboarding → MK-XS-F-174 recomputeBalances
6. MK-ST-F-043 newEntityId → MK-CF-F-038 debtsFromOnboarding → MK-XS-F-174 recomputeBalances
7. MK-XS-F-122 n → MK-ST-F-052 toNum → MK-CF-F-038 debtsFromOnboarding → MK-XS-F-174 recomputeBalances
8. MK-ST-F-027 accountId → MK-XS-F-175 uid → MK-CF-F-038 debtsFromOnboarding → MK-XS-F-174 recomputeBalances
9. … and 5 more paths</t>
        </is>
      </c>
      <c r="S720" s="3" t="inlineStr">
        <is>
          <t>—</t>
        </is>
      </c>
      <c r="T720" s="3" t="inlineStr">
        <is>
          <t>—</t>
        </is>
      </c>
      <c r="U720" s="3" t="inlineStr">
        <is>
          <t>ACTIVE</t>
        </is>
      </c>
      <c r="V720" s="3" t="inlineStr">
        <is>
          <t>2026-10-11</t>
        </is>
      </c>
      <c r="W720" s="3" t="n"/>
      <c r="X720" s="3" t="n"/>
      <c r="Y720" s="3" t="inlineStr">
        <is>
          <t>NOTHING OPEN</t>
        </is>
      </c>
    </row>
    <row r="721" ht="60" customHeight="1">
      <c r="A721" s="3" t="inlineStr">
        <is>
          <t>MK-XS-F-175</t>
        </is>
      </c>
      <c r="B721" s="3" t="inlineStr">
        <is>
          <t>uid</t>
        </is>
      </c>
      <c r="C721" s="3" t="inlineStr">
        <is>
          <t>src/store/useStore.ts</t>
        </is>
      </c>
      <c r="D721" s="3" t="n">
        <v>594</v>
      </c>
      <c r="E721" s="3" t="inlineStr">
        <is>
          <t>2 · DISPLAYED</t>
        </is>
      </c>
      <c r="F721" s="3" t="inlineStr">
        <is>
          <t>NOT DETERMINED — the code carries no note saying what this is for, and it has no row in the old inventory. Needs reading.</t>
        </is>
      </c>
      <c r="G721" s="11" t="inlineStr">
        <is>
          <t>math.random().to string(36).slice(2, 10) + date.now().to string(36)
t   when type ! = 'TRANSFER_IN_KIND' (or direction when missing or zero)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[LOOP — the answer is found inside a loop the extractor cannot render; the steps above are the ones before it. Read by hand.]
… the first steps only — the rest of the body needs reading by hand.</t>
        </is>
      </c>
      <c r="H721" s="3" t="inlineStr">
        <is>
          <t>math.random().to string(36).slice(2, 10) plus date.now().to string(36). When type ! = 'TRANSFER_IN_KIND' (or direction — when missing or zero), it answers t.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The answer is found inside a loop that cannot be rendered here; read the code by hand. Only the first steps are shown; the rest of the body needs reading by hand.</t>
        </is>
      </c>
      <c r="I721" s="3" t="inlineStr">
        <is>
          <t>PARTLY READ — the body has a loop the extractor cannot render; the steps shown are the ones before it. Needs a hand pass (G23).</t>
        </is>
      </c>
      <c r="J721" s="3" t="inlineStr">
        <is>
          <t>1. Nothing is handed to it
2. reads the app's stored data</t>
        </is>
      </c>
      <c r="K721" s="3" t="inlineStr">
        <is>
          <t>NOT DECLARED — the code does not say what it gives back</t>
        </is>
      </c>
      <c r="L721" s="3" t="inlineStr">
        <is>
          <t>NOT FOUND — a screen calls it, but the words printed beside its answer could not be traced automatically. Needs reading.</t>
        </is>
      </c>
      <c r="M721"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721" s="3" t="inlineStr">
        <is>
          <t>Yes</t>
        </is>
      </c>
      <c r="O721"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MK-CF-F-218 moveOldRentFigure
19. MK-XS-F-122 n
20. MK-ST-F-043 newEntityId
21. MK-XS-F-006 pruneDaily
22. MK-ST-F-073 rebuildDays
23. MK-NW-F-054 reclassifyAccounts
24. MK-XS-F-174 recomputeBalances
25. MK-CF-F-115 restoreUndo
26. MK-CF-F-109 reviewTransactions
27. MK-ST-F-044 setMoneyFormat
28. MK-NW-O-004 theEmergencyFund
29. MK-CF-F-114 undoSnapshot
30. MK-CF-F-191 ym</t>
        </is>
      </c>
      <c r="P721" s="3" t="n">
        <v>205</v>
      </c>
      <c r="Q721"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MK-CF-F-218 moveOldRentFigure
19. MK-XS-F-122 n
20. MK-ST-F-043 newEntityId
21. MK-XS-F-006 pruneDaily
22. MK-ST-F-073 rebuildDays
23. MK-NW-F-054 reclassifyAccounts
24. MK-XS-F-174 recomputeBalances
25. MK-CF-F-115 restoreUndo
26. MK-CF-F-109 reviewTransactions
27. MK-ST-F-044 setMoneyFormat
28. MK-NW-O-004 theEmergencyFund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MK-CF-F-217 hasOldRentFigure
44. MK-CF-F-216 typed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MK-CF-F-155 cash
68. MK-NW-F-016 cashTotal
69. MK-CF-F-010 emergencyTest
70. MK-CF-F-190 essentialsMonthly
71. MK-CF-O-004 incomeSummary
72. MK-CF-F-009 monthlyEssentials
73. MK-CF-F-022 paymentShape
74. MK-CF-F-002 plannedMonthlySpend
75. MK-NW-F-117 propertyUseMap
76. MK-ST-F-085 rentFigure
77. MK-CF-O-020 theBudgetCounted
78. MK-CF-F-113 affectedAccountIds
79. MK-CF-F-134 usesSleeve
80. MK-ST-F-049 formatMoney
81. MK-CF-F-101 taxOwedFor
82. MK-ST-F-067 utcOfDay
83. MK-ST-F-035 covers
84. MK-NW-F-120 classEvidenceOf
85. MK-NW-F-008 incomeBearingClassOf
86. MK-PF-F-031 contractMultiplier
87. MK-PF-F-035 unknownFigure
88. MK-CF-F-072 currentRetirementIncomeMonthly
89. MK-NW-F-027 accountClassBreakdown
90. MK-NW-F-029 assetAllocation
91. MK-NW-F-011 assetClassOf
92. MK-CF-F-189 essentialsFromLoggedSpending
93. MK-CF-O-002 expenses
94. MK-CF-F-203 MONTH
95. MK-CF-O-001 basePay
96. MK-CF-F-069 benefitActiveMonths
97. MK-CF-F-173 earnerWages
98. MK-CF-F-179 entryFromWage
99. MK-CF-F-071 extraIncome
100. MK-CF-F-092 incomeMonthlyGrid
101. MK-CF-F-192 inflowLabel
102. MK-CF-F-103 marginalBracketFor
103. MK-CF-F-181 rateInForce
104. MK-CF-F-068 rentalNetAnnual
105. MK-CF-F-082 salaryAnnual
106. MK-CF-F-060 salaryGrossByMonth
107. MK-CF-F-084 taxableAnnual
108. MK-CF-F-120 pctBaseMonthly
109. MK-CF-F-004 spendBuckets
110. MK-CF-F-021 defaultPaymentType
111. MK-XS-F-027 takeHomeMonthly
112. MK-NW-F-116 rentedIdsOf
113. MK-NW-F-106 mortgagesByProperty
114. MK-NW-F-107 propertyUses
115. MK-ST-F-048 currencySymbol
116. MK-CF-F-100 taxableIncomeFor
117. MK-ST-F-034 firstDate
118. MK-NW-F-009 maturityClass
119. MK-ST-F-010 nameEvidence
120. MK-CF-F-075 retirementIncomeMonthly
121. MK-NW-F-109 holdingClassOf
122. MK-NW-F-067 plural
123. MK-CF-F-151 actualSpending
124. MK-CF-F-150 debtPaymentsCountedAsExpenses
125. MK-CF-F-153 radar
126. MK-CF-F-149 recurringDebtPayments
127. MK-CF-O-010 theMonth
128. MK-CF-F-171 earnerPay
129. MK-CF-F-204 line
130. MK-HM-F-006 money0
131. MK-CF-F-198 payrollTaxWithheld
132. MK-CF-F-172 hasWage
133. MK-CF-F-165 salaryMonths
134. MK-CF-F-070 benefitAnnual
135. MK-CF-F-065 equityVestWeights
136. MK-CF-F-206 householdK401ByMonth
137. MK-CF-F-087 monthlyTaxRates
138. MK-CF-F-073 otherIncomeMonth
139. MK-CF-F-066 rsuAnnual
140. MK-CF-F-077 scholarshipByCalendarMonth
141. MK-CF-F-088 taxableByCalendarMonth
142. MK-CF-F-177 wageGrossByMonth
143. MK-PL-F-012 waterfall
144. MK-CF-F-193 inflowSourceWord
145. MK-CF-F-180 enteredLandsAnnual
146. MK-CF-F-086 stateRateOf
147. MK-CF-F-067 rentalList
148. MK-CF-F-176 sumMonthsOverEarners
149. MK-CF-F-074 tipsAnnual
150. MK-CF-F-003 categoryMonthly
151. MK-CF-F-011 savingsByMonth
152. MK-NW-F-115 liveRent
153. MK-CF-F-023 requiredPayment
154. MK-ST-F-047 activeCurrency
155. MK-CF-F-099 deductionFor
156. MK-NW-F-124 maturityParts
157. MK-XS-F-147 call
158. MK-CF-F-148 inMonth
159. MK-CF-F-152 isRadarItem
160. MK-CF-O-003 thisMonth
161. MK-CF-F-143 annualisedGross
162. MK-CF-F-145 deductionsFromPay
163. MK-CF-F-128 grossByMonth
164. MK-CF-F-146 payFiguresAgree
165. MK-CF-F-144 takeHomeAsEntered
166. MK-XS-F-180 declareFigures
167. MK-HM-F-005 pctTxt
168. MK-CF-F-062 equityRowValue
169. MK-CF-F-090 effectiveRate
170. MK-CF-F-063 rowVestYear
171. MK-CF-F-130 enteredMonthlyRaw
172. MK-CF-F-166 hasMonthlySalaryTable
173. MK-ST-F-036 reconcile
174. MK-CF-F-167 salaryCalendarYear
175. MK-CF-F-081 salaryActiveMonths
176. MK-CF-F-008 spendByMonth
177. MK-NW-F-114 rentAmount
178. MK-CF-F-187 seniorDeductionFor
179. MK-XS-F-064 currentIdToken
180. MK-XS-F-112 relayUrl
181. MK-CF-F-005 actualMonthFlow
182. MK-CF-F-156 plannedMonthFlow
183. MK-CF-F-142 monthsOf
184. MK-CF-F-141 perMonth
185. MK-NW-F-078 ONE
186. MK-CF-F-157 debtPaymentsByDebt
187. MK-CF-F-140 periodsAYear
188. MK-NW-F-077 ALL
189. MK-NW-F-059 currentYield
190. MK-NW-O-001 theBonds
191. MK-NW-F-112 yearlyInterest
192. MK-NW-F-057 annualCoupon
193. MK-NW-F-056 bondInfo
194. MK-NW-F-064 bondRateSensitivity
195. MK-NW-F-061 bondSummary
196. MK-NW-F-055 isBond
197. MK-NW-F-072 rowOf
198. MK-NW-F-060 approxYTM
199. MK-NW-F-069 priceAtYield
200. MK-NW-F-131 pricedLikeBond
201. MK-NW-F-125 isPastMaturity
202. MK-NW-F-126 yearlyInterestNow
203. MK-NW-F-070 accruedInterestCaveat
204. MK-NW-F-058 yearsToMaturity
205. MK-NW-F-119 estimatedAccrued</t>
        </is>
      </c>
      <c r="R721"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721" s="3" t="inlineStr">
        <is>
          <t>—</t>
        </is>
      </c>
      <c r="T721" s="3" t="inlineStr">
        <is>
          <t>—</t>
        </is>
      </c>
      <c r="U721" s="3" t="inlineStr">
        <is>
          <t>ACTIVE</t>
        </is>
      </c>
      <c r="V721" s="3" t="inlineStr">
        <is>
          <t>2026-10-05</t>
        </is>
      </c>
      <c r="W721" s="3" t="n"/>
      <c r="X721" s="3" t="n"/>
      <c r="Y721" s="3" t="inlineStr">
        <is>
          <t>NOTHING OPEN</t>
        </is>
      </c>
    </row>
    <row r="722" ht="60" customHeight="1">
      <c r="A722" s="3" t="inlineStr">
        <is>
          <t>MK-XS-F-176</t>
        </is>
      </c>
      <c r="B722" s="3" t="inlineStr">
        <is>
          <t>useMonthlyStats</t>
        </is>
      </c>
      <c r="C722" s="3" t="inlineStr">
        <is>
          <t>src/store/useStore.ts</t>
        </is>
      </c>
      <c r="D722" s="3" t="n">
        <v>1334</v>
      </c>
      <c r="E722" s="3" t="inlineStr">
        <is>
          <t>2 · DISPLAYED</t>
        </is>
      </c>
      <c r="F722" s="3" t="inlineStr">
        <is>
          <t>── Selectors ──────────────────────────────────────────────────────────</t>
        </is>
      </c>
      <c r="G722"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722"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722" s="3" t="inlineStr">
        <is>
          <t>PARTLY READ — some of the code is still showing through; needs a hand pass</t>
        </is>
      </c>
      <c r="J722" s="3" t="inlineStr">
        <is>
          <t>1. Nothing is handed to it
2. reads the app's stored data</t>
        </is>
      </c>
      <c r="K722" s="3" t="inlineStr">
        <is>
          <t>NOT DECLARED — the code does not say what it gives back</t>
        </is>
      </c>
      <c r="L722" s="3" t="inlineStr">
        <is>
          <t>NOT FOUND — a screen calls it, but the words printed beside its answer could not be traced automatically. Needs reading.</t>
        </is>
      </c>
      <c r="M722" s="3" t="inlineStr">
        <is>
          <t>· Uses today's date from the device clock, so the answer changes by itself overnight.</t>
        </is>
      </c>
      <c r="N722" s="3" t="inlineStr">
        <is>
          <t>Yes</t>
        </is>
      </c>
      <c r="O722" s="3" t="inlineStr">
        <is>
          <t>MK-CF-O-002 expenses</t>
        </is>
      </c>
      <c r="P722" s="3" t="n">
        <v>15</v>
      </c>
      <c r="Q722"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722"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722" s="3" t="inlineStr">
        <is>
          <t>—</t>
        </is>
      </c>
      <c r="T722" s="3" t="inlineStr">
        <is>
          <t>—</t>
        </is>
      </c>
      <c r="U722" s="3" t="inlineStr">
        <is>
          <t>ACTIVE</t>
        </is>
      </c>
      <c r="V722" s="3" t="inlineStr">
        <is>
          <t>2026-09-12</t>
        </is>
      </c>
      <c r="W722" s="3" t="n"/>
      <c r="X722" s="3" t="n"/>
      <c r="Y722" s="3" t="inlineStr">
        <is>
          <t>NOTHING OPEN</t>
        </is>
      </c>
    </row>
    <row r="723" ht="60" customHeight="1">
      <c r="A723" s="3" t="inlineStr">
        <is>
          <t>MK-XS-F-177</t>
        </is>
      </c>
      <c r="B723" s="3" t="inlineStr">
        <is>
          <t>useCategorySpend</t>
        </is>
      </c>
      <c r="C723" s="3" t="inlineStr">
        <is>
          <t>src/store/useStore.ts</t>
        </is>
      </c>
      <c r="D723" s="3" t="n">
        <v>1391</v>
      </c>
      <c r="E723" s="3" t="inlineStr">
        <is>
          <t>2 · DISPLAYED</t>
        </is>
      </c>
      <c r="F723" s="3" t="inlineStr">
        <is>
          <t>NOT DETERMINED — the code carries no note saying what this is for, and it has no row in the old inventory. Needs reading.</t>
        </is>
      </c>
      <c r="G723" s="11" t="inlineStr">
        <is>
          <t>now = new date()
d = the date date
to date string() = now.to date string()   when budget frequency = 'daily'
d ≥ new date(now.get time() − 7 × 86400000)   when budget frequency = 'weekly'
the answer = get full year() = now.get full year() and get month() = now.get month()
map = {}</t>
        </is>
      </c>
      <c r="H723"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723" s="3" t="inlineStr">
        <is>
          <t>PARTLY READ — some of the code is still showing through; needs a hand pass</t>
        </is>
      </c>
      <c r="J723" s="3" t="inlineStr">
        <is>
          <t>1. Nothing is handed to it
2. reads the app's stored data</t>
        </is>
      </c>
      <c r="K723" s="3" t="inlineStr">
        <is>
          <t>NOT DECLARED — the code does not say what it gives back</t>
        </is>
      </c>
      <c r="L723" s="3" t="inlineStr">
        <is>
          <t>NOT FOUND — a screen calls it, but the words printed beside its answer could not be traced automatically. Needs reading.</t>
        </is>
      </c>
      <c r="M723" s="3" t="inlineStr">
        <is>
          <t>1. If category] is missing it counts as zero, so nothing recorded and a real zero look the same.
2. Uses today's date from the device clock, so the answer changes by itself overnight.</t>
        </is>
      </c>
      <c r="N723" s="3" t="inlineStr">
        <is>
          <t>Yes</t>
        </is>
      </c>
      <c r="O723" s="3" t="inlineStr">
        <is>
          <t>1. MK-CF-O-002 expenses
2. MK-CF-F-132 map</t>
        </is>
      </c>
      <c r="P723" s="3" t="n">
        <v>15</v>
      </c>
      <c r="Q723"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723"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723" s="3" t="inlineStr">
        <is>
          <t>—</t>
        </is>
      </c>
      <c r="T723" s="3" t="inlineStr">
        <is>
          <t>—</t>
        </is>
      </c>
      <c r="U723" s="3" t="inlineStr">
        <is>
          <t>ACTIVE</t>
        </is>
      </c>
      <c r="V723" s="3" t="inlineStr">
        <is>
          <t>2026-09-12</t>
        </is>
      </c>
      <c r="W723" s="3" t="n"/>
      <c r="X723" s="3" t="n"/>
      <c r="Y723" s="3" t="inlineStr">
        <is>
          <t>NOTHING OPEN</t>
        </is>
      </c>
    </row>
    <row r="724" ht="60" customHeight="1">
      <c r="A724" s="3" t="inlineStr">
        <is>
          <t>MK-XS-F-178</t>
        </is>
      </c>
      <c r="B724" s="3" t="inlineStr">
        <is>
          <t>useLevel</t>
        </is>
      </c>
      <c r="C724" s="3" t="inlineStr">
        <is>
          <t>src/store/useStore.ts</t>
        </is>
      </c>
      <c r="D724" s="3" t="n">
        <v>1424</v>
      </c>
      <c r="E724" s="3" t="inlineStr">
        <is>
          <t>2 · DISPLAYED</t>
        </is>
      </c>
      <c r="F724" s="3" t="inlineStr">
        <is>
          <t>NOT DETERMINED — the code carries no note saying what this is for, and it has no row in the old inventory. Needs reading.</t>
        </is>
      </c>
      <c r="G724" s="11" t="inlineStr">
        <is>
          <t>xp = use store((s) =&gt; xp)
current = levels[0], next = levels[1]
pct = min(((xp − current.min) ÷ (next.min − current.min)) × 100, 100)   if next.min &gt; current.min
100   otherwise
the answer = { ...current, next, xp, pct }</t>
        </is>
      </c>
      <c r="H724" s="3" t="inlineStr">
        <is>
          <t>Xp is use store((s) =&gt; xp). Current is levels[0], next = levels[1]. Pct: the smaller of ((xp minus current.min) divided by (next.min minus current.min)) times 100 and 100 — when next.min &gt; current.min; 100 — otherwise. The answer is { ...current, next, xp, pct }.</t>
        </is>
      </c>
      <c r="I724" s="3" t="inlineStr">
        <is>
          <t>PARTLY READ — some of the code is still showing through; needs a hand pass</t>
        </is>
      </c>
      <c r="J724" s="3" t="inlineStr">
        <is>
          <t>1. Nothing is handed to it
2. reads the app's stored data</t>
        </is>
      </c>
      <c r="K724" s="3" t="inlineStr">
        <is>
          <t>NOT DECLARED — the code does not say what it gives back</t>
        </is>
      </c>
      <c r="L724" s="3" t="inlineStr">
        <is>
          <t>NOT FOUND — a screen calls it, but the words printed beside its answer could not be traced automatically. Needs reading.</t>
        </is>
      </c>
      <c r="M724" s="3" t="inlineStr">
        <is>
          <t>None found in this function — anything it assumes comes from the functions it depends on.</t>
        </is>
      </c>
      <c r="N724" s="3" t="inlineStr">
        <is>
          <t>Yes</t>
        </is>
      </c>
      <c r="O724" s="3" t="inlineStr">
        <is>
          <t>—</t>
        </is>
      </c>
      <c r="P724" s="3" t="n">
        <v>0</v>
      </c>
      <c r="Q724" s="3" t="inlineStr">
        <is>
          <t>None — no dependent function stands behind it</t>
        </is>
      </c>
      <c r="R724" s="3" t="inlineStr">
        <is>
          <t>No dependent function — it reads its inputs and answers</t>
        </is>
      </c>
      <c r="S724" s="3" t="inlineStr">
        <is>
          <t>—</t>
        </is>
      </c>
      <c r="T724" s="3" t="inlineStr">
        <is>
          <t>—</t>
        </is>
      </c>
      <c r="U724" s="3" t="inlineStr">
        <is>
          <t>ACTIVE</t>
        </is>
      </c>
      <c r="V724" s="3" t="inlineStr">
        <is>
          <t>2026-09-12</t>
        </is>
      </c>
      <c r="W724" s="3" t="n"/>
      <c r="X724" s="3" t="n"/>
      <c r="Y724" s="3" t="inlineStr">
        <is>
          <t>NOTHING OPEN</t>
        </is>
      </c>
    </row>
    <row r="725" ht="60" customHeight="1">
      <c r="A725" s="3" t="inlineStr">
        <is>
          <t>MK-XS-F-179</t>
        </is>
      </c>
      <c r="B725" s="3" t="inlineStr">
        <is>
          <t>ageToday</t>
        </is>
      </c>
      <c r="C725" s="3" t="inlineStr">
        <is>
          <t>src/domain/profile/calc.ts</t>
        </is>
      </c>
      <c r="D725" s="3" t="n">
        <v>79</v>
      </c>
      <c r="E725" s="3" t="inlineStr">
        <is>
          <t>2 · DISPLAYED</t>
        </is>
      </c>
      <c r="F725"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725" s="11" t="inlineStr">
        <is>
          <t>y = number(birth year); if (!y or !number.is finite(y)) return nothing
m = birth month read as a number
current age(y, m, as of)   when m ≥ 1 and m ≤ 12
the answer = as of.get full year() − y</t>
        </is>
      </c>
      <c r="H725" s="3" t="inlineStr">
        <is>
          <t>Y is number(birth year); — when (!y or !number.is finite(y)) return no answer. M is birth month read as a number. When m is at least 1 and m is at most 12, it answers current age(y, m, as of). The answer is as of.get full year() minus y.</t>
        </is>
      </c>
      <c r="I725" s="3" t="inlineStr">
        <is>
          <t>PARTLY READ — some of the code is still showing through; needs a hand pass</t>
        </is>
      </c>
      <c r="J725" s="3" t="inlineStr">
        <is>
          <t>1. birthYear: number | null | undefined
2. birthMonth: number | null | undefined
3. asOf: Date = new Date()</t>
        </is>
      </c>
      <c r="K725" s="3" t="inlineStr">
        <is>
          <t>number | null</t>
        </is>
      </c>
      <c r="L725" s="3" t="inlineStr">
        <is>
          <t>NOT FOUND — a screen calls it, but the words printed beside its answer could not be traced automatically. Needs reading.</t>
        </is>
      </c>
      <c r="M725"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725" s="3" t="inlineStr">
        <is>
          <t>Yes</t>
        </is>
      </c>
      <c r="O725" s="3" t="inlineStr">
        <is>
          <t>MK-XS-F-017 currentAge</t>
        </is>
      </c>
      <c r="P725" s="3" t="n">
        <v>1</v>
      </c>
      <c r="Q725" s="3" t="inlineStr">
        <is>
          <t>MK-XS-F-017 currentAge</t>
        </is>
      </c>
      <c r="R725" s="3" t="inlineStr">
        <is>
          <t>MK-XS-F-017 currentAge → MK-XS-F-179 ageToday</t>
        </is>
      </c>
      <c r="S725" s="3" t="inlineStr">
        <is>
          <t>—</t>
        </is>
      </c>
      <c r="T725" s="3" t="inlineStr">
        <is>
          <t>—</t>
        </is>
      </c>
      <c r="U725" s="3" t="inlineStr">
        <is>
          <t>ACTIVE</t>
        </is>
      </c>
      <c r="V725" s="3" t="inlineStr">
        <is>
          <t>2026-09-12</t>
        </is>
      </c>
      <c r="W725" s="3" t="n"/>
      <c r="X725" s="3" t="n"/>
      <c r="Y725" s="3" t="inlineStr">
        <is>
          <t>NOTHING OPEN</t>
        </is>
      </c>
    </row>
    <row r="726" ht="60" customHeight="1">
      <c r="A726" s="3" t="inlineStr">
        <is>
          <t>MK-XS-F-180</t>
        </is>
      </c>
      <c r="B726" s="3" t="inlineStr">
        <is>
          <t>declareFigures</t>
        </is>
      </c>
      <c r="C726" s="3" t="inlineStr">
        <is>
          <t>MoneyKeel/functions/_figure-spec.ts</t>
        </is>
      </c>
      <c r="D726" s="3" t="n">
        <v>182</v>
      </c>
      <c r="E726" s="3" t="inlineStr">
        <is>
          <t>3 · DEPENDENT</t>
        </is>
      </c>
      <c r="F726" s="3" t="inlineStr">
        <is>
          <t>Declare the figures a door hands out.</t>
        </is>
      </c>
      <c r="G726" s="11" t="inlineStr">
        <is>
          <t>NOT READ YET — the body is not a shape this can render faithfully, so nothing is claimed rather than something being guessed. It needs reading by hand.</t>
        </is>
      </c>
      <c r="H726" s="3" t="inlineStr">
        <is>
          <t>NOT READ YET — the body is not a shape this can render faithfully, so nothing is claimed rather than something being guessed. It needs reading by hand.</t>
        </is>
      </c>
      <c r="I726" s="3" t="inlineStr">
        <is>
          <t>NOT READ — nothing is claimed rather than something guessed</t>
        </is>
      </c>
      <c r="J726" s="3" t="inlineStr">
        <is>
          <t>f: T</t>
        </is>
      </c>
      <c r="K726" s="3" t="inlineStr">
        <is>
          <t>T</t>
        </is>
      </c>
      <c r="L726" s="3" t="inlineStr">
        <is>
          <t>—</t>
        </is>
      </c>
      <c r="M726" s="3" t="inlineStr">
        <is>
          <t>None found in this function — anything it assumes comes from the functions it depends on.</t>
        </is>
      </c>
      <c r="N726" s="3" t="inlineStr">
        <is>
          <t>Yes</t>
        </is>
      </c>
      <c r="O726" s="3" t="inlineStr">
        <is>
          <t>—</t>
        </is>
      </c>
      <c r="P726" s="3" t="n">
        <v>0</v>
      </c>
      <c r="Q726" s="3" t="inlineStr">
        <is>
          <t>None — no dependent function stands behind it</t>
        </is>
      </c>
      <c r="R726" s="3" t="inlineStr">
        <is>
          <t>No dependent function — it reads its inputs and answers</t>
        </is>
      </c>
      <c r="S726" s="3" t="inlineStr">
        <is>
          <t>—</t>
        </is>
      </c>
      <c r="T726" s="3" t="inlineStr">
        <is>
          <t>—</t>
        </is>
      </c>
      <c r="U726" s="3" t="inlineStr">
        <is>
          <t>ACTIVE</t>
        </is>
      </c>
      <c r="V726" s="3" t="inlineStr">
        <is>
          <t>2026-09-14</t>
        </is>
      </c>
      <c r="W726" s="3" t="n"/>
      <c r="X726" s="3" t="n"/>
      <c r="Y726" s="3" t="inlineStr">
        <is>
          <t>NOTHING OPEN</t>
        </is>
      </c>
    </row>
    <row r="727" ht="60" customHeight="1">
      <c r="A727" s="3" t="inlineStr">
        <is>
          <t>MK-XS-F-181</t>
        </is>
      </c>
      <c r="B727" s="3" t="inlineStr">
        <is>
          <t>merge</t>
        </is>
      </c>
      <c r="C727" s="3" t="inlineStr">
        <is>
          <t>MoneyKeel/functions/figures.ts</t>
        </is>
      </c>
      <c r="D727" s="3" t="n">
        <v>69</v>
      </c>
      <c r="E727" s="3" t="inlineStr">
        <is>
          <t>3 · DEPENDENT (feeds an action only)</t>
        </is>
      </c>
      <c r="F727" s="3" t="inlineStr">
        <is>
          <t>NOT DETERMINED — the code carries no note saying what this is for, and it has no row in the old inventory. Needs reading.</t>
        </is>
      </c>
      <c r="G727" s="11" t="inlineStr">
        <is>
          <t>out = {}
from = {}
the answer = out</t>
        </is>
      </c>
      <c r="H727" s="3" t="inlineStr">
        <is>
          <t>Out is {}. From is {}. The answer is out.</t>
        </is>
      </c>
      <c r="I727" s="3" t="inlineStr">
        <is>
          <t>READ FROM THE CODE — rendered from the expressions the function runs</t>
        </is>
      </c>
      <c r="J727" s="3" t="inlineStr">
        <is>
          <t>Nothing is handed to it</t>
        </is>
      </c>
      <c r="K727" s="3" t="inlineStr">
        <is>
          <t>Record&lt;string, FigureSpec&gt;</t>
        </is>
      </c>
      <c r="L727" s="3" t="inlineStr">
        <is>
          <t>—</t>
        </is>
      </c>
      <c r="M727" s="3" t="inlineStr">
        <is>
          <t>None found in this function — anything it assumes comes from the functions it depends on.</t>
        </is>
      </c>
      <c r="N727" s="3" t="inlineStr">
        <is>
          <t>No</t>
        </is>
      </c>
      <c r="O727" s="3" t="inlineStr">
        <is>
          <t>MK-CF-F-132 map</t>
        </is>
      </c>
      <c r="P727" s="3" t="n">
        <v>1</v>
      </c>
      <c r="Q727" s="3" t="inlineStr">
        <is>
          <t>MK-CF-F-132 map</t>
        </is>
      </c>
      <c r="R727" s="3" t="inlineStr">
        <is>
          <t>MK-CF-F-132 map → MK-XS-F-181 merge</t>
        </is>
      </c>
      <c r="S727" s="3" t="inlineStr">
        <is>
          <t>—</t>
        </is>
      </c>
      <c r="T727" s="3" t="inlineStr">
        <is>
          <t>—</t>
        </is>
      </c>
      <c r="U727" s="3" t="inlineStr">
        <is>
          <t>ACTIVE</t>
        </is>
      </c>
      <c r="V727" s="3" t="inlineStr">
        <is>
          <t>2026-09-14</t>
        </is>
      </c>
      <c r="W727" s="3" t="n"/>
      <c r="X727" s="3" t="n"/>
      <c r="Y727" s="3" t="inlineStr">
        <is>
          <t>NOTHING OPEN</t>
        </is>
      </c>
    </row>
    <row r="728" ht="45" customHeight="1">
      <c r="A728" s="3" t="inlineStr">
        <is>
          <t>MK-XS-F-182</t>
        </is>
      </c>
      <c r="B728" s="3" t="inlineStr">
        <is>
          <t>figureSpec</t>
        </is>
      </c>
      <c r="C728" s="3" t="inlineStr">
        <is>
          <t>MoneyKeel/functions/figures.ts</t>
        </is>
      </c>
      <c r="D728" s="3" t="n">
        <v>103</v>
      </c>
      <c r="E728" s="3" t="inlineStr">
        <is>
          <t>2 · DISPLAYED</t>
        </is>
      </c>
      <c r="F728" s="3" t="inlineStr">
        <is>
          <t>The declaration behind an identifier, or a refusal that names the identifier — never a silent blank.</t>
        </is>
      </c>
      <c r="G728" s="11" t="inlineStr">
        <is>
          <t>spec = FIGURE_REGISTER[id]
the answer = spec</t>
        </is>
      </c>
      <c r="H728" s="3" t="inlineStr">
        <is>
          <t>Spec is FIGURE_REGISTER[id]. The answer is spec.</t>
        </is>
      </c>
      <c r="I728" s="3" t="inlineStr">
        <is>
          <t>READ FROM THE CODE — rendered from the expressions the function runs</t>
        </is>
      </c>
      <c r="J728" s="3" t="inlineStr">
        <is>
          <t>id: string</t>
        </is>
      </c>
      <c r="K728" s="3" t="inlineStr">
        <is>
          <t>FigureSpec</t>
        </is>
      </c>
      <c r="L728" s="3" t="inlineStr">
        <is>
          <t>NOT FOUND — a screen calls it, but the words printed beside its answer could not be traced automatically. Needs reading.</t>
        </is>
      </c>
      <c r="M728" s="3" t="inlineStr">
        <is>
          <t>None found in this function — anything it assumes comes from the functions it depends on.</t>
        </is>
      </c>
      <c r="N728" s="3" t="inlineStr">
        <is>
          <t>Yes</t>
        </is>
      </c>
      <c r="O728" s="3" t="inlineStr">
        <is>
          <t>—</t>
        </is>
      </c>
      <c r="P728" s="3" t="n">
        <v>0</v>
      </c>
      <c r="Q728" s="3" t="inlineStr">
        <is>
          <t>None — no dependent function stands behind it</t>
        </is>
      </c>
      <c r="R728" s="3" t="inlineStr">
        <is>
          <t>No dependent function — it reads its inputs and answers</t>
        </is>
      </c>
      <c r="S728" s="3" t="inlineStr">
        <is>
          <t>—</t>
        </is>
      </c>
      <c r="T728" s="3" t="inlineStr">
        <is>
          <t>—</t>
        </is>
      </c>
      <c r="U728" s="3" t="inlineStr">
        <is>
          <t>ACTIVE</t>
        </is>
      </c>
      <c r="V728" s="3" t="inlineStr">
        <is>
          <t>2026-09-14</t>
        </is>
      </c>
      <c r="W728" s="3" t="n"/>
      <c r="X728" s="3" t="n"/>
      <c r="Y728" s="3" t="inlineStr">
        <is>
          <t>NOTHING OPEN</t>
        </is>
      </c>
    </row>
    <row r="729" ht="60" customHeight="1">
      <c r="A729" s="3" t="inlineStr">
        <is>
          <t>MK-XS-F-183</t>
        </is>
      </c>
      <c r="B729" s="3" t="inlineStr">
        <is>
          <t>writeFigure</t>
        </is>
      </c>
      <c r="C729" s="3" t="inlineStr">
        <is>
          <t>MoneyKeel/functions/_figure-spec.ts</t>
        </is>
      </c>
      <c r="D729" s="3" t="n">
        <v>71</v>
      </c>
      <c r="E729" s="3" t="inlineStr">
        <is>
          <t>2 · DISPLAYED</t>
        </is>
      </c>
      <c r="F729" s="3" t="inlineStr">
        <is>
          <t>WRITE A FIGURE THE WAY THE SCREEN WRITES IT — one writer, two callers (2026-09-28).</t>
        </is>
      </c>
      <c r="G729" s="11" t="inlineStr">
        <is>
          <t>spec.refusal   when value = nothing (or !number.is finite(value) when missing or zero)
signed = body.replace( ÷ ^- ÷ , '−')   if spec.unit = 'money' (or spec.unit = 'money − compact' (or spec.unit = 'money − cents' when missing or zero) when missing or zero)
body   otherwise
signed + (opts.spoken ? ` a ${spec.per}` : ` ÷ ${spec.per}`)   when opts.with period and spec.per
the answer = signed</t>
        </is>
      </c>
      <c r="H729" s="3" t="inlineStr">
        <is>
          <t>When value is missing (or !number.is finite(value) — when missing or zero), it answers spec.refusal. Signed is body.replace( divided by ^- divided by , '−') — when spec.unit = 'money' (or spec.unit = 'money minus compact' (or spec.unit = 'money minus cents' when missing or zero) when missing or zero); body — otherwise. When opts.with period and spec.per, it answers signed plus (opts.spoken ? ` a ${spec.per}` : ` divided by ${spec.per}`). The answer is signed.</t>
        </is>
      </c>
      <c r="I729" s="3" t="inlineStr">
        <is>
          <t>PARTLY READ — some of the code is still showing through; needs a hand pass</t>
        </is>
      </c>
      <c r="J729" s="3" t="inlineStr">
        <is>
          <t>1. spec: FigureSpec
2. value: number | null
3. opts?: { spoken?: boolean; withPeriod?: boolean }</t>
        </is>
      </c>
      <c r="K729" s="3" t="inlineStr">
        <is>
          <t>string</t>
        </is>
      </c>
      <c r="L729" s="3" t="inlineStr">
        <is>
          <t>NOT FOUND — a screen calls it, but the words printed beside its answer could not be traced automatically. Needs reading.</t>
        </is>
      </c>
      <c r="M729" s="3" t="inlineStr">
        <is>
          <t>1. Rounds the answer to 1 decimal place.
2. Shows 2 decimal places.
3. Shows 1 decimal place.</t>
        </is>
      </c>
      <c r="N729" s="3" t="inlineStr">
        <is>
          <t>Yes</t>
        </is>
      </c>
      <c r="O729" s="3" t="inlineStr">
        <is>
          <t>1. MK-ST-F-049 formatMoney
2. MK-ST-F-050 formatMoneyCents
3. MK-ST-F-051 moneyCompact
4. MK-ST-F-039 on
5. MK-NW-F-067 plural
6. MK-ST-F-060 verdict</t>
        </is>
      </c>
      <c r="P729" s="3" t="n">
        <v>9</v>
      </c>
      <c r="Q729" s="3" t="inlineStr">
        <is>
          <t>1. MK-ST-F-049 formatMoney
2. MK-ST-F-050 formatMoneyCents
3. MK-ST-F-051 moneyCompact
4. MK-ST-F-039 on
5. MK-NW-F-067 plural
6. MK-ST-F-060 verdict
7. MK-ST-F-048 currencySymbol
8. MK-XS-F-122 n
9. MK-ST-F-047 activeCurrency</t>
        </is>
      </c>
      <c r="R729"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MK-ST-F-039 on → MK-XS-F-183 writeFigure
9. … and 2 more paths</t>
        </is>
      </c>
      <c r="S729" s="3" t="inlineStr">
        <is>
          <t>—</t>
        </is>
      </c>
      <c r="T729" s="3" t="inlineStr">
        <is>
          <t>—</t>
        </is>
      </c>
      <c r="U729" s="3" t="inlineStr">
        <is>
          <t>ACTIVE</t>
        </is>
      </c>
      <c r="V729" s="3" t="inlineStr">
        <is>
          <t>2026-10-11</t>
        </is>
      </c>
      <c r="W729" s="3" t="n"/>
      <c r="X729" s="3" t="n"/>
      <c r="Y729" s="3" t="inlineStr">
        <is>
          <t>NOTHING OPEN</t>
        </is>
      </c>
    </row>
    <row r="730" ht="60" customHeight="1">
      <c r="A730" s="3" t="inlineStr">
        <is>
          <t>MK-XS-F-184</t>
        </is>
      </c>
      <c r="B730" s="3" t="inlineStr">
        <is>
          <t>theirCost</t>
        </is>
      </c>
      <c r="C730" s="3" t="inlineStr">
        <is>
          <t>src/services/sync/ingest.ts</t>
        </is>
      </c>
      <c r="D730" s="3" t="n">
        <v>87</v>
      </c>
      <c r="E730" s="3" t="inlineStr">
        <is>
          <t>3 · DEPENDENT (feeds an action only)</t>
        </is>
      </c>
      <c r="F730" s="3" t="inlineStr">
        <is>
          <t>The cost of one share as the person set it — their purchases' cost averaged over their shares — or nothing when they set none.</t>
        </is>
      </c>
      <c r="G730" s="11" t="inlineStr">
        <is>
          <t>nothing   when prior.cost source ! = 'user'
lots = (prior.lots ?? []) as { shares?: number; cost per share?: number }[]
shares = Σ over lots of (shares (or 0 when missing or zero))
the answer = Σ over shares &gt; 0 ? lots of ((shares or 0) × (cost per share or 0))÷ shares : nothing</t>
        </is>
      </c>
      <c r="H730" s="3" t="inlineStr">
        <is>
          <t>When prior.cost source ! = 'user', it answers no answer. Lots is (prior.lots ?? []) as { shares?: number; cost per share?: number }[]. Shares: the shares (or 0 — when missing or zero) added up across lots. The answer: the (shares or 0 added up across shares &gt; 0 ? lots times (cost per share or 0))÷ shares : no answer.</t>
        </is>
      </c>
      <c r="I730" s="3" t="inlineStr">
        <is>
          <t>PARTLY READ — some of the code is still showing through; needs a hand pass</t>
        </is>
      </c>
      <c r="J730" s="3" t="inlineStr">
        <is>
          <t>prior: any</t>
        </is>
      </c>
      <c r="K730" s="3" t="inlineStr">
        <is>
          <t>number | null</t>
        </is>
      </c>
      <c r="L730" s="3" t="inlineStr">
        <is>
          <t>—</t>
        </is>
      </c>
      <c r="M730" s="3" t="inlineStr">
        <is>
          <t>1. If shares is missing it counts as zero, so nothing recorded and a real zero look the same.
2. If cost per share is missing it counts as zero, so nothing recorded and a real zero look the same.</t>
        </is>
      </c>
      <c r="N730" s="3" t="inlineStr">
        <is>
          <t>No</t>
        </is>
      </c>
      <c r="O730" s="3" t="inlineStr">
        <is>
          <t>—</t>
        </is>
      </c>
      <c r="P730" s="3" t="n">
        <v>0</v>
      </c>
      <c r="Q730" s="3" t="inlineStr">
        <is>
          <t>None — no dependent function stands behind it</t>
        </is>
      </c>
      <c r="R730" s="3" t="inlineStr">
        <is>
          <t>No dependent function — it reads its inputs and answers</t>
        </is>
      </c>
      <c r="S730" s="3" t="inlineStr">
        <is>
          <t>—</t>
        </is>
      </c>
      <c r="T730" s="3" t="inlineStr">
        <is>
          <t>—</t>
        </is>
      </c>
      <c r="U730" s="3" t="inlineStr">
        <is>
          <t>ACTIVE</t>
        </is>
      </c>
      <c r="V730" s="3" t="inlineStr">
        <is>
          <t>2026-10-05</t>
        </is>
      </c>
      <c r="W730" s="3" t="n"/>
      <c r="X730" s="3" t="n"/>
      <c r="Y730" s="3" t="inlineStr">
        <is>
          <t>NOTHING OPEN</t>
        </is>
      </c>
    </row>
  </sheetData>
  <autoFilter ref="A1:Y730"/>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117</v>
      </c>
      <c r="C3" s="3" t="n">
        <v>31</v>
      </c>
      <c r="D3" s="3" t="n">
        <v>0</v>
      </c>
      <c r="E3" s="3" t="n">
        <v>66</v>
      </c>
      <c r="F3" s="3" t="n">
        <v>21</v>
      </c>
    </row>
    <row r="4" ht="15" customHeight="1">
      <c r="A4" s="3" t="inlineStr">
        <is>
          <t>2 · DISPLAYED</t>
        </is>
      </c>
      <c r="B4" s="3" t="n">
        <v>263</v>
      </c>
      <c r="C4" s="3" t="n">
        <v>41</v>
      </c>
      <c r="D4" s="3" t="n">
        <v>4</v>
      </c>
      <c r="E4" s="3" t="n">
        <v>63</v>
      </c>
      <c r="F4" s="3" t="n">
        <v>35</v>
      </c>
    </row>
    <row r="5" ht="15" customHeight="1">
      <c r="A5" s="3" t="inlineStr">
        <is>
          <t>2 · DISPLAYED (presentation only)</t>
        </is>
      </c>
      <c r="B5" s="3" t="n">
        <v>3</v>
      </c>
      <c r="C5" s="3" t="n">
        <v>0</v>
      </c>
      <c r="D5" s="3" t="n">
        <v>0</v>
      </c>
      <c r="E5" s="3" t="n">
        <v>0</v>
      </c>
      <c r="F5" s="3" t="n">
        <v>0</v>
      </c>
    </row>
    <row r="6" ht="15" customHeight="1">
      <c r="A6" s="3" t="inlineStr">
        <is>
          <t>3 · DEPENDENT</t>
        </is>
      </c>
      <c r="B6" s="3" t="n">
        <v>256</v>
      </c>
      <c r="C6" s="3" t="n">
        <v>17</v>
      </c>
      <c r="D6" s="3" t="n">
        <v>0</v>
      </c>
      <c r="E6" s="3" t="n">
        <v>25</v>
      </c>
      <c r="F6" s="3" t="n">
        <v>8</v>
      </c>
    </row>
    <row r="7" ht="15" customHeight="1">
      <c r="A7" s="3" t="inlineStr">
        <is>
          <t>3 · DEPENDENT (feeds an action only)</t>
        </is>
      </c>
      <c r="B7" s="3" t="n">
        <v>73</v>
      </c>
      <c r="C7" s="3" t="n">
        <v>15</v>
      </c>
      <c r="D7" s="3" t="n">
        <v>0</v>
      </c>
      <c r="E7" s="3" t="n">
        <v>16</v>
      </c>
      <c r="F7" s="3" t="n">
        <v>9</v>
      </c>
    </row>
    <row r="8" ht="15" customHeight="1">
      <c r="A8" s="3" t="inlineStr">
        <is>
          <t>4 · BRINGS DATA IN</t>
        </is>
      </c>
      <c r="B8" s="3" t="n">
        <v>16</v>
      </c>
      <c r="C8" s="3" t="n">
        <v>5</v>
      </c>
      <c r="D8" s="3" t="n">
        <v>0</v>
      </c>
      <c r="E8" s="3" t="n">
        <v>1</v>
      </c>
      <c r="F8" s="3" t="n">
        <v>1</v>
      </c>
    </row>
    <row r="9" ht="15" customHeight="1">
      <c r="A9" s="4" t="inlineStr">
        <is>
          <t>TOTAL</t>
        </is>
      </c>
      <c r="B9" s="3" t="n">
        <v>728</v>
      </c>
      <c r="C9" s="3" t="n">
        <v>109</v>
      </c>
      <c r="D9" s="3" t="n">
        <v>4</v>
      </c>
      <c r="E9" s="3" t="n">
        <v>171</v>
      </c>
      <c r="F9" s="3" t="n">
        <v>74</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64</v>
      </c>
      <c r="C3" s="3" t="n">
        <v>1</v>
      </c>
      <c r="D3" s="3" t="n">
        <v>1</v>
      </c>
      <c r="E3" s="3" t="n">
        <v>62</v>
      </c>
      <c r="F3" s="3" t="n">
        <v>0</v>
      </c>
    </row>
    <row r="4" ht="15" customHeight="1">
      <c r="A4" s="3" t="inlineStr">
        <is>
          <t>Home</t>
        </is>
      </c>
      <c r="B4" s="3" t="n">
        <v>4</v>
      </c>
      <c r="C4" s="3" t="n">
        <v>0</v>
      </c>
      <c r="D4" s="3" t="n">
        <v>1</v>
      </c>
      <c r="E4" s="3" t="n">
        <v>1</v>
      </c>
      <c r="F4" s="3" t="n">
        <v>2</v>
      </c>
    </row>
    <row r="5" ht="15" customHeight="1">
      <c r="A5" s="3" t="inlineStr">
        <is>
          <t>Menu</t>
        </is>
      </c>
      <c r="B5" s="3" t="n">
        <v>28</v>
      </c>
      <c r="C5" s="3" t="n">
        <v>0</v>
      </c>
      <c r="D5" s="3" t="n">
        <v>8</v>
      </c>
      <c r="E5" s="3" t="n">
        <v>13</v>
      </c>
      <c r="F5" s="3" t="n">
        <v>7</v>
      </c>
    </row>
    <row r="6" ht="15" customHeight="1">
      <c r="A6" s="3" t="inlineStr">
        <is>
          <t>Networth</t>
        </is>
      </c>
      <c r="B6" s="3" t="n">
        <v>63</v>
      </c>
      <c r="C6" s="3" t="n">
        <v>0</v>
      </c>
      <c r="D6" s="3" t="n">
        <v>0</v>
      </c>
      <c r="E6" s="3" t="n">
        <v>60</v>
      </c>
      <c r="F6" s="3" t="n">
        <v>3</v>
      </c>
    </row>
    <row r="7" ht="15" customHeight="1">
      <c r="A7" s="3" t="inlineStr">
        <is>
          <t>Performance</t>
        </is>
      </c>
      <c r="B7" s="3" t="n">
        <v>19</v>
      </c>
      <c r="C7" s="3" t="n">
        <v>0</v>
      </c>
      <c r="D7" s="3" t="n">
        <v>5</v>
      </c>
      <c r="E7" s="3" t="n">
        <v>14</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222</v>
      </c>
      <c r="C10" s="3" t="n">
        <v>1</v>
      </c>
      <c r="D10" s="3" t="n">
        <v>23</v>
      </c>
      <c r="E10" s="3" t="n">
        <v>165</v>
      </c>
      <c r="F10" s="3" t="n">
        <v>33</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2026-10-19T17:08:59Z</dcterms:created>
  <dcterms:modified xsi:type="dcterms:W3CDTF">2026-10-19T17:09:51Z</dcterms:modified>
</cp:coreProperties>
</file>