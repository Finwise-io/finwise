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'home'!$A$1:$AO$16</definedName>
    <definedName name="_xlnm._FilterDatabase" localSheetId="5" hidden="1">'networth'!$A$1:$AO$54</definedName>
    <definedName name="_xlnm._FilterDatabase" localSheetId="6" hidden="1">'performance'!$A$1:$AO$16</definedName>
    <definedName name="_xlnm._FilterDatabase" localSheetId="7" hidden="1">'plan'!$A$1:$AO$45</definedName>
    <definedName name="_xlnm._FilterDatabase" localSheetId="8" hidden="1">'cashflow'!$A$1:$AO$63</definedName>
    <definedName name="_xlnm._FilterDatabase" localSheetId="9" hidden="1">'menu'!$A$1:$AO$45</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181 of 181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683, read from the code on this build. PARTIAL for figures: 35 of 181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181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683 functions carry both forms on this build: 23 no arithmetic · 20 not read · 326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/look-back</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60" customHeight="1">
      <c r="A14" s="3" t="inlineStr"/>
      <c r="B14" s="3" t="inlineStr">
        <is>
          <t>Home</t>
        </is>
      </c>
      <c r="C14" s="3" t="inlineStr">
        <is>
          <t>/onboarding</t>
        </is>
      </c>
      <c r="D14" s="3" t="inlineStr">
        <is>
          <t>—</t>
        </is>
      </c>
      <c r="E14" s="3" t="inlineStr">
        <is>
          <t>—</t>
        </is>
      </c>
      <c r="F14" s="3" t="inlineStr">
        <is>
          <t>—</t>
        </is>
      </c>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DETERMINED</t>
        </is>
      </c>
      <c r="Y14" s="3" t="inlineStr">
        <is>
          <t>READ 2026-08-22 — no calculated figure on this screen</t>
        </is>
      </c>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/paycheck-months</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60" customHeight="1">
      <c r="A16" s="3" t="inlineStr"/>
      <c r="B16" s="3" t="inlineStr">
        <is>
          <t>Home</t>
        </is>
      </c>
      <c r="C16" s="3" t="inlineStr">
        <is>
          <t>/performance</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the same screen as /invest, reached by a second route</t>
        </is>
      </c>
      <c r="Z16" s="3" t="n"/>
      <c r="AA16" s="3" t="n"/>
      <c r="AB16" s="3" t="n"/>
      <c r="AC16" s="3" t="n"/>
      <c r="AD16" s="3" t="n"/>
      <c r="AE16" s="3" t="n"/>
      <c r="AF16" s="3" t="n"/>
      <c r="AG16" s="3" t="n"/>
      <c r="AH16" s="3" t="n"/>
      <c r="AI16" s="3" t="n"/>
      <c r="AJ16" s="3" t="n"/>
      <c r="AK16" s="3" t="n"/>
      <c r="AL16" s="3" t="n"/>
      <c r="AM16" s="3" t="n"/>
      <c r="AN16" s="3" t="n"/>
      <c r="AO16" s="3" t="n"/>
    </row>
  </sheetData>
  <autoFilter ref="A1:AO1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MK-CF-F-132 (map) → NOT DECLARED — the code does not say what it gives back
3. MK-ST-F-013 (personalFlowTotals) → PersonalFlowTotals
4.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MK-CF-F-132 (map) → NOT DECLARED — the code does not say what it gives back
3. MK-ST-F-013 (personalFlowTotals) → PersonalFlowTotals
4.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MK-CF-F-132 (map) → NOT DECLARED — the code does not say what it gives back
3. MK-ST-F-013 (personalFlowTotals) → PersonalFlowTotals
4.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MK-PF-F-004 (marketValue) → number
4. MK-PF-F-028 (realizedFromLedger) → NOT DECLARED — the code does not say what it gives back
5.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MK-PF-F-004 (marketValue) → number
4. MK-PF-F-028 (realizedFromLedger) → NOT DECLARED — the code does not say what it gives back
5.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MK-PF-F-004 (marketValue) → number
4. MK-PF-F-028 (realizedFromLedger) → NOT DECLARED — the code does not say what it gives back
5.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MK-PF-F-004 (marketValue) → number
4. MK-PF-F-028 (realizedFromLedger) → NOT DECLARED — the code does not say what it gives back
5.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MK-PF-F-004 (marketValue) → number
4. MK-PF-F-028 (realizedFromLedger) → NOT DECLARED — the code does not say what it gives back
5.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MK-PF-F-004 (marketValue) → number
4. MK-PF-F-028 (realizedFromLedger) → NOT DECLARED — the code does not say what it gives back
5.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MK-PF-F-004 (marketValue) → number
4. MK-PF-F-028 (realizedFromLedger) → NOT DECLARED — the code does not say what it gives back
5.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MK-PF-F-004 (marketValue) → number
4. MK-PF-F-028 (realizedFromLedger) → NOT DECLARED — the code does not say what it gives back
5.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MK-CF-F-132 (map) → NOT DECLARED — the code does not say what it gives back
3. MK-ST-F-013 (personalFlowTotals) → PersonalFlowTotals
4.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MK-CF-F-132 (map) → NOT DECLARED — the code does not say what it gives back
3. MK-ST-F-013 (personalFlowTotals) → PersonalFlowTotals
4.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MK-CF-F-132 (map) → NOT DECLARED — the code does not say what it gives back
3. MK-ST-F-013 (personalFlowTotals) → PersonalFlowTotals
4.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MK-ST-F-013
7. MK-XS-I-013 bond maturity date — read by MK-NW-F-011, MK-ST-F-010
8. MK-XS-I-024 logged expenses — read by MK-NW-O-002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N months at your planned spend</t>
        </is>
      </c>
      <c r="E52" s="3" t="inlineStr">
        <is>
          <t>n_months_at_your_planned_spend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one figure per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your planned spend, with the debt payments in it</t>
        </is>
      </c>
      <c r="E54" s="3" t="inlineStr">
        <is>
          <t>your_planned_spend_with_the_debt_payment</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one figure per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sheetData>
  <autoFilter ref="A1:A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1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/look-back</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60" customHeight="1">
      <c r="A6" s="3" t="inlineStr">
        <is>
          <t>MK-PF-M-001</t>
        </is>
      </c>
      <c r="B6" s="3" t="inlineStr">
        <is>
          <t>Performance</t>
        </is>
      </c>
      <c r="C6" s="3" t="inlineStr">
        <is>
          <t>/invest</t>
        </is>
      </c>
      <c r="D6" s="3" t="inlineStr">
        <is>
          <t>Ending value</t>
        </is>
      </c>
      <c r="E6" s="3" t="inlineStr">
        <is>
          <t>ending_value</t>
        </is>
      </c>
      <c r="F6" s="3" t="inlineStr">
        <is>
          <t>thePerformance</t>
        </is>
      </c>
      <c r="G6" s="3" t="inlineStr">
        <is>
          <t>MK-ST-F-031</t>
        </is>
      </c>
      <c r="H6" s="3" t="inlineStr">
        <is>
          <t>ending value = Σ over the accounts in scope of (snapshot value on the end date)</t>
        </is>
      </c>
      <c r="I6" s="3" t="inlineStr">
        <is>
          <t>the sum of every investment account’s value today</t>
        </is>
      </c>
      <c r="J6" s="3" t="inlineStr">
        <is>
          <t>MK-NW-I-001 your accounts
MK-NW-I-005 the price feed</t>
        </is>
      </c>
      <c r="K6" s="3" t="inlineStr">
        <is>
          <t>dollars, whole</t>
        </is>
      </c>
      <c r="L6" s="3" t="inlineStr">
        <is>
          <t>Nothing invested yet.</t>
        </is>
      </c>
      <c r="M6" s="3" t="inlineStr">
        <is>
          <t>one figure per household</t>
        </is>
      </c>
      <c r="N6" s="3" t="inlineStr">
        <is>
          <t>as of today</t>
        </is>
      </c>
      <c r="O6" s="3" t="inlineStr">
        <is>
          <t>1. MK-ST-F-027 (accountId) → string
2. MK-CF-F-155 (cash) → number
3. MK-ST-F-056 (has) → NOT DECLARED — the code does not say what it gives back
4. MK-ST-F-033 (onOrBefore) → T | null</t>
        </is>
      </c>
      <c r="P6" s="3" t="inlineStr">
        <is>
          <t>Declared by MK-NW-O-008 thePerformance</t>
        </is>
      </c>
      <c r="Q6" s="3" t="inlineStr">
        <is>
          <t>NONE RECORDED — the declaration names none.</t>
        </is>
      </c>
      <c r="R6" s="3" t="inlineStr">
        <is>
          <t>NONE RECORDED — the declaration names none.</t>
        </is>
      </c>
      <c r="S6" s="3" t="inlineStr"/>
      <c r="T6" s="3" t="inlineStr">
        <is>
          <t>NONE RECORDED — the declaration names none.</t>
        </is>
      </c>
      <c r="U6" s="3" t="inlineStr"/>
      <c r="V6" s="3" t="inlineStr"/>
      <c r="W6" s="3" t="inlineStr"/>
      <c r="X6" s="3" t="inlineStr"/>
      <c r="Y6" s="3" t="inlineStr"/>
      <c r="Z6" s="3" t="inlineStr">
        <is>
          <t>DECLARED IN THE CODE (rule 11) — printed from the door, not typed. RULED 2026-09-27</t>
        </is>
      </c>
      <c r="AA6" s="3" t="inlineStr"/>
      <c r="AB6" s="3" t="inlineStr"/>
      <c r="AC6" s="3" t="inlineStr"/>
      <c r="AD6" s="3" t="inlineStr"/>
      <c r="AE6" s="3" t="inlineStr"/>
      <c r="AF6" s="3" t="inlineStr">
        <is>
          <t>ACTIVE</t>
        </is>
      </c>
      <c r="AG6" s="3" t="inlineStr">
        <is>
          <t>2026-10-01</t>
        </is>
      </c>
      <c r="AH6" s="3" t="inlineStr"/>
      <c r="AI6" s="3" t="inlineStr"/>
      <c r="AJ6"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TESTED, NOT VERIFIED — you ruled on this row 2026-09-27; the figure, its formula, inputs and refusal live in MK-NW-O-008 thePerformance</t>
        </is>
      </c>
      <c r="AN6" s="3" t="inlineStr">
        <is>
          <t>An account worth $30,000 on 31 Dec 2025 (100 VTI at $260 plus $4,000 cash) and $46,600 on 28 Sep 2026, with $6,000 paid in on 1 Apr and $825 of dividends received.
GIVES: $46,600
(the test re-runs this through MK-NW-O-008 thePerformance on every build)</t>
        </is>
      </c>
      <c r="AO6" s="7" t="inlineStr">
        <is>
          <t>RULED, NOT CODED (Q-PF-1 — one question, one function)</t>
        </is>
      </c>
    </row>
    <row r="7" ht="60" customHeight="1">
      <c r="A7" s="3" t="inlineStr">
        <is>
          <t>MK-PF-M-002</t>
        </is>
      </c>
      <c r="B7" s="3" t="inlineStr">
        <is>
          <t>Performance</t>
        </is>
      </c>
      <c r="C7" s="3" t="inlineStr">
        <is>
          <t>/invest</t>
        </is>
      </c>
      <c r="D7" s="3" t="inlineStr">
        <is>
          <t>Wealth generated</t>
        </is>
      </c>
      <c r="E7" s="3" t="inlineStr">
        <is>
          <t>wealth_generated</t>
        </is>
      </c>
      <c r="F7" s="3" t="inlineStr">
        <is>
          <t>thePerformance</t>
        </is>
      </c>
      <c r="G7" s="3" t="inlineStr">
        <is>
          <t>MK-NW-O-008</t>
        </is>
      </c>
      <c r="H7" s="3" t="inlineStr">
        <is>
          <t>wealth generated = ending value − beginning value − net money in  (money in = deposits and transfers in − withdrawals and transfers out over the window)</t>
        </is>
      </c>
      <c r="I7" s="3" t="inlineStr">
        <is>
          <t>ending − beginning − what you put in + what you took out</t>
        </is>
      </c>
      <c r="J7" s="3" t="inlineStr">
        <is>
          <t>MK-NW-I-001 your accounts
MK-NW-I-004 the activity records
MK-NW-I-003 the recorded history</t>
        </is>
      </c>
      <c r="K7" s="3" t="inlineStr">
        <is>
          <t>dollars, whole</t>
        </is>
      </c>
      <c r="L7" s="3" t="inlineStr">
        <is>
          <t>The record cannot reach the start of this window, so there is nothing honest to subtract from.</t>
        </is>
      </c>
      <c r="M7" s="3" t="inlineStr">
        <is>
          <t>one figure per household</t>
        </is>
      </c>
      <c r="N7" s="3" t="inlineStr">
        <is>
          <t>as of today</t>
        </is>
      </c>
      <c r="O7"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7" s="3" t="inlineStr">
        <is>
          <t>Declared by MK-NW-O-008 thePerformance</t>
        </is>
      </c>
      <c r="Q7" s="3" t="inlineStr">
        <is>
          <t>ONE MEANING OF RETURN (B-97, 2026-09-25): dividends and interest are part of this, so the return beside it counts them too.</t>
        </is>
      </c>
      <c r="R7" s="3" t="inlineStr">
        <is>
          <t>ONE MEANING OF RETURN (B-97, 2026-09-25): dividends and interest are part of this, so the return beside it counts them too.</t>
        </is>
      </c>
      <c r="S7" s="3" t="inlineStr"/>
      <c r="T7" s="3" t="inlineStr">
        <is>
          <t>ONE MEANING OF RETURN (B-97, 2026-09-25): dividends and interest are part of this, so the return beside it counts them too.</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$10,600
(the test re-runs this through MK-NW-O-008 thePerformance on every build)</t>
        </is>
      </c>
      <c r="AO7" s="7" t="inlineStr">
        <is>
          <t>RULED, NOT CODED (Q-PF-1 — one question, one function)</t>
        </is>
      </c>
    </row>
    <row r="8" ht="60" customHeight="1">
      <c r="A8" s="3" t="inlineStr">
        <is>
          <t>MK-PF-M-003</t>
        </is>
      </c>
      <c r="B8" s="3" t="inlineStr">
        <is>
          <t>Performance</t>
        </is>
      </c>
      <c r="C8" s="3" t="inlineStr">
        <is>
          <t>/invest</t>
        </is>
      </c>
      <c r="D8" s="3" t="inlineStr">
        <is>
          <t>HOW $X BECAME $Y · ALL ACCOUNTS</t>
        </is>
      </c>
      <c r="E8" s="3" t="inlineStr">
        <is>
          <t>how_x_became_y__all_accounts</t>
        </is>
      </c>
      <c r="F8" s="3" t="inlineStr">
        <is>
          <t>thePerformance</t>
        </is>
      </c>
      <c r="G8" s="3" t="inlineStr">
        <is>
          <t>MK-NW-O-008</t>
        </is>
      </c>
      <c r="H8" s="3" t="inlineStr">
        <is>
          <t>beginning + contributions − withdrawals + wealth generated = ending, by construction</t>
        </is>
      </c>
      <c r="I8" s="3" t="inlineStr">
        <is>
          <t>beginning + contributions − withdrawals + wealth generated = ending, by construction</t>
        </is>
      </c>
      <c r="J8" s="3" t="inlineStr">
        <is>
          <t>MK-NW-I-003 the recorded history
MK-NW-I-004 the activity records</t>
        </is>
      </c>
      <c r="K8" s="3" t="inlineStr">
        <is>
          <t>a sentence</t>
        </is>
      </c>
      <c r="L8" s="3" t="inlineStr">
        <is>
          <t>No beginning to walk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Whatever the records cannot explain lands in the change-in-value line rather than being silently dropped.</t>
        </is>
      </c>
      <c r="R8" s="3" t="inlineStr">
        <is>
          <t>Whatever the records cannot explain lands in the change-in-value line rather than being silently dropped.</t>
        </is>
      </c>
      <c r="S8" s="3" t="inlineStr"/>
      <c r="T8" s="3" t="inlineStr">
        <is>
          <t>Whatever the records cannot explain lands in the change-in-value line rather than being silently dropped.</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8" s="7" t="inlineStr">
        <is>
          <t>RULED, NOT CODED (Q-PF-1 — one question, one function)</t>
        </is>
      </c>
    </row>
    <row r="9" ht="60" customHeight="1">
      <c r="A9" s="3" t="inlineStr">
        <is>
          <t>MK-PF-M-004</t>
        </is>
      </c>
      <c r="B9" s="3" t="inlineStr">
        <is>
          <t>Performance</t>
        </is>
      </c>
      <c r="C9" s="3" t="inlineStr">
        <is>
          <t>/invest</t>
        </is>
      </c>
      <c r="D9" s="3" t="inlineStr">
        <is>
          <t>Ending market value (per account)</t>
        </is>
      </c>
      <c r="E9" s="3" t="inlineStr">
        <is>
          <t>ending_market_value_per_account</t>
        </is>
      </c>
      <c r="F9" s="3" t="inlineStr">
        <is>
          <t>thePerformance</t>
        </is>
      </c>
      <c r="G9" s="3" t="inlineStr">
        <is>
          <t>MK-ST-F-031</t>
        </is>
      </c>
      <c r="H9" s="3" t="inlineStr">
        <is>
          <t>ending market value (this account) = snapshot value of the account on the end date</t>
        </is>
      </c>
      <c r="I9" s="3" t="inlineStr">
        <is>
          <t>the sum of that account’s holdings, at today’s prices, plus its cash</t>
        </is>
      </c>
      <c r="J9" s="3" t="inlineStr">
        <is>
          <t>MK-NW-I-001 your accounts
MK-NW-I-005 the price feed</t>
        </is>
      </c>
      <c r="K9" s="3" t="inlineStr">
        <is>
          <t>dollars, whole</t>
        </is>
      </c>
      <c r="L9" s="3" t="inlineStr">
        <is>
          <t>Nothing in it.</t>
        </is>
      </c>
      <c r="M9" s="3" t="inlineStr">
        <is>
          <t>one account</t>
        </is>
      </c>
      <c r="N9" s="3" t="inlineStr">
        <is>
          <t>as of today</t>
        </is>
      </c>
      <c r="O9" s="3" t="inlineStr">
        <is>
          <t>1. MK-ST-F-027 (accountId) → string
2. MK-CF-F-155 (cash) → number
3. MK-ST-F-056 (has) → NOT DECLARED — the code does not say what it gives back
4. MK-ST-F-033 (onOrBefore) → T | null</t>
        </is>
      </c>
      <c r="P9" s="3" t="inlineStr">
        <is>
          <t>Declared by MK-NW-O-008 thePerformance</t>
        </is>
      </c>
      <c r="Q9" s="3" t="inlineStr">
        <is>
          <t>NONE RECORDED — the declaration names none.</t>
        </is>
      </c>
      <c r="R9" s="3" t="inlineStr">
        <is>
          <t>NONE RECORDED — the declaration names none.</t>
        </is>
      </c>
      <c r="S9" s="3" t="inlineStr"/>
      <c r="T9" s="3" t="inlineStr">
        <is>
          <t>NONE RECORDED — the declaration names none.</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9" s="7" t="inlineStr">
        <is>
          <t>RULED, NOT CODED (Q-PF-1 — one question, one function)</t>
        </is>
      </c>
    </row>
    <row r="10" ht="60" customHeight="1">
      <c r="A10" s="3" t="inlineStr">
        <is>
          <t>MK-PF-M-005</t>
        </is>
      </c>
      <c r="B10" s="3" t="inlineStr">
        <is>
          <t>Performance</t>
        </is>
      </c>
      <c r="C10" s="3" t="inlineStr">
        <is>
          <t>/invest</t>
        </is>
      </c>
      <c r="D10" s="3" t="inlineStr">
        <is>
          <t>each account and its ending value</t>
        </is>
      </c>
      <c r="E10" s="3" t="inlineStr">
        <is>
          <t>each_account_and_its_ending_value</t>
        </is>
      </c>
      <c r="F10" s="3" t="inlineStr">
        <is>
          <t>thePerformance</t>
        </is>
      </c>
      <c r="G10" s="3" t="inlineStr">
        <is>
          <t>MK-NW-O-008</t>
        </is>
      </c>
      <c r="H10" s="3" t="inlineStr">
        <is>
          <t>each investment account’s value, named by the account</t>
        </is>
      </c>
      <c r="I10" s="3" t="inlineStr">
        <is>
          <t>each investment account’s value, named by the account</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account</t>
        </is>
      </c>
      <c r="N10" s="3" t="inlineStr">
        <is>
          <t>as of today</t>
        </is>
      </c>
      <c r="O1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0" s="3" t="inlineStr">
        <is>
          <t>Declared by MK-NW-O-008 thePerformance</t>
        </is>
      </c>
      <c r="Q10" s="3" t="inlineStr">
        <is>
          <t>Named by ACCOUNT, not by institution — two accounts at one broker must be tellable apart (founder screenshot, 2026-08-17).</t>
        </is>
      </c>
      <c r="R10" s="3" t="inlineStr">
        <is>
          <t>Named by ACCOUNT, not by institution — two accounts at one broker must be tellable apart (founder screenshot, 2026-08-17).</t>
        </is>
      </c>
      <c r="S10" s="3" t="inlineStr"/>
      <c r="T10" s="3" t="inlineStr">
        <is>
          <t>Named by ACCOUNT, not by institution — two accounts at one broker must be tellable apart (founder screenshot, 2026-08-17).</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0" s="7" t="inlineStr">
        <is>
          <t>RULED, NOT CODED (Q-PF-1 — one question, one function)</t>
        </is>
      </c>
    </row>
    <row r="11" ht="60" customHeight="1">
      <c r="A11" s="3" t="inlineStr">
        <is>
          <t>MK-PF-M-006</t>
        </is>
      </c>
      <c r="B11" s="3" t="inlineStr">
        <is>
          <t>Performance</t>
        </is>
      </c>
      <c r="C11" s="3" t="inlineStr">
        <is>
          <t>/invest</t>
        </is>
      </c>
      <c r="D11" s="3" t="inlineStr">
        <is>
          <t>WHAT EACH CATEGORY EARNED — RETURN</t>
        </is>
      </c>
      <c r="E11" s="3" t="inlineStr">
        <is>
          <t>what_each_category_earned__return</t>
        </is>
      </c>
      <c r="F11" s="3" t="inlineStr">
        <is>
          <t>thePerformance</t>
        </is>
      </c>
      <c r="G11" s="3" t="inlineStr">
        <is>
          <t>MK-NW-O-008</t>
        </is>
      </c>
      <c r="H11" s="3" t="inlineStr">
        <is>
          <t>each class's own return, weighted by what each holding in it is worth</t>
        </is>
      </c>
      <c r="I11" s="3" t="inlineStr">
        <is>
          <t>each class's own return, weighted by what each holding in it is worth</t>
        </is>
      </c>
      <c r="J11" s="3" t="inlineStr">
        <is>
          <t>MK-NW-I-001 your accounts
MK-XS-I-006 the price fetched at</t>
        </is>
      </c>
      <c r="K11" s="3" t="inlineStr">
        <is>
          <t>a percentage, two decimals</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1" s="3" t="inlineStr"/>
      <c r="T11"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1" s="3" t="inlineStr"/>
      <c r="V11" s="3" t="inlineStr"/>
      <c r="W11" s="3" t="inlineStr"/>
      <c r="X11" s="3" t="inlineStr"/>
      <c r="Y11" s="3" t="inlineStr"/>
      <c r="Z11" s="3" t="inlineStr">
        <is>
          <t>DECLARED IN THE CODE (rule 11) — printed from the door, not typed. RULED 2026-09-03</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2026-09-03; the figure, its formula, inputs and refusal live in MK-NW-O-008 thePerformance</t>
        </is>
      </c>
      <c r="AN11"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1" s="7" t="inlineStr">
        <is>
          <t>RULED, NOT CODED (Q-PF-1 — one question, one function)</t>
        </is>
      </c>
    </row>
    <row r="12" ht="60" customHeight="1">
      <c r="A12" s="3" t="inlineStr">
        <is>
          <t>MK-PF-M-007</t>
        </is>
      </c>
      <c r="B12" s="3" t="inlineStr">
        <is>
          <t>Performance</t>
        </is>
      </c>
      <c r="C12" s="3" t="inlineStr">
        <is>
          <t>/invest</t>
        </is>
      </c>
      <c r="D12" s="3" t="inlineStr">
        <is>
          <t>All categories</t>
        </is>
      </c>
      <c r="E12" s="3" t="inlineStr">
        <is>
          <t>all_categories</t>
        </is>
      </c>
      <c r="F12" s="3" t="inlineStr">
        <is>
          <t>thePerformance</t>
        </is>
      </c>
      <c r="G12" s="3" t="inlineStr">
        <is>
          <t>MK-NW-O-008</t>
        </is>
      </c>
      <c r="H12" s="3" t="inlineStr">
        <is>
          <t>every dividend and interest record inside the window, added up by the class of the holding that paid it</t>
        </is>
      </c>
      <c r="I12" s="3" t="inlineStr">
        <is>
          <t>every dividend and interest record inside the window, added up by the class of the holding that paid it</t>
        </is>
      </c>
      <c r="J12" s="3" t="inlineStr">
        <is>
          <t>MK-XS-I-020 the records of money movements</t>
        </is>
      </c>
      <c r="K12" s="3" t="inlineStr">
        <is>
          <t>dollars, whole</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2" s="3" t="inlineStr"/>
      <c r="T12"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2" s="7" t="inlineStr">
        <is>
          <t>RULED, NOT CODED (Q-PF-1 — one question, one function)</t>
        </is>
      </c>
    </row>
    <row r="13" ht="60" customHeight="1">
      <c r="A13" s="3" t="inlineStr">
        <is>
          <t>MK-PF-M-008</t>
        </is>
      </c>
      <c r="B13" s="3" t="inlineStr">
        <is>
          <t>Performance</t>
        </is>
      </c>
      <c r="C13" s="3" t="inlineStr">
        <is>
          <t>/home</t>
        </is>
      </c>
      <c r="D13" s="3" t="inlineStr">
        <is>
          <t>market +X%</t>
        </is>
      </c>
      <c r="E13" s="3" t="inlineStr">
        <is>
          <t>market_x</t>
        </is>
      </c>
      <c r="F13" s="3" t="inlineStr">
        <is>
          <t>thePerformance</t>
        </is>
      </c>
      <c r="G13" s="3" t="inlineStr">
        <is>
          <t>MK-NW-O-008</t>
        </is>
      </c>
      <c r="H13" s="3" t="inlineStr">
        <is>
          <t>each holding's own benchmark return over the same dates, weighted by what that holding is worth</t>
        </is>
      </c>
      <c r="I13" s="3" t="inlineStr">
        <is>
          <t>each holding's own benchmark return over the same dates, weighted by what that holding is worth</t>
        </is>
      </c>
      <c r="J13" s="3" t="inlineStr">
        <is>
          <t>MK-NW-I-001 your accounts
MK-XS-I-006 the price fetched at</t>
        </is>
      </c>
      <c r="K13" s="3" t="inlineStr">
        <is>
          <t>a percentage,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3" s="3" t="inlineStr"/>
      <c r="T13"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3"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3"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3"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MK-NW-O-008 thePerformance until you do.</t>
        </is>
      </c>
      <c r="AN13" s="3" t="inlineStr">
        <is>
          <t>$40,000 of shares against a benchmark up 10% over the window, and $10,000 of bonds against one up 4% over the same days.
GIVES: 8.80%
(the test re-runs this through MK-NW-O-008 thePerformance on every build)</t>
        </is>
      </c>
      <c r="AO13" s="9" t="inlineStr">
        <is>
          <t>WAITING ON YOU — question Q33 · WAITING ON YOU — row to approve: say yes in YOUR ANSWER, or say what changes · RULED, NOT CODED (Q-PF-1 — one question, one function)</t>
        </is>
      </c>
    </row>
    <row r="14" ht="60" customHeight="1">
      <c r="A14" s="3" t="inlineStr">
        <is>
          <t>MK-PF-M-010</t>
        </is>
      </c>
      <c r="B14" s="3" t="inlineStr">
        <is>
          <t>Performance</t>
        </is>
      </c>
      <c r="C14" s="3" t="inlineStr">
        <is>
          <t>/look-back</t>
        </is>
      </c>
      <c r="D14" s="3" t="inlineStr">
        <is>
          <t>Left in &lt;fund&gt; it became $X (up/down $Y, Z%)</t>
        </is>
      </c>
      <c r="E14" s="3" t="inlineStr">
        <is>
          <t>left_in_fund_it_became_x_updown_y_z</t>
        </is>
      </c>
      <c r="F14" s="3" t="inlineStr">
        <is>
          <t>theLookBack</t>
        </is>
      </c>
      <c r="G14" s="3" t="inlineStr">
        <is>
          <t>MK-NW-O-007</t>
        </is>
      </c>
      <c r="H14" s="3" t="inlineStr">
        <is>
          <t>the amount × (the fund’s price today ÷ its price at the start of the window)</t>
        </is>
      </c>
      <c r="I14" s="3" t="inlineStr">
        <is>
          <t>the amount × (the fund’s price today ÷ its price at the start of the window)</t>
        </is>
      </c>
      <c r="J14" s="3" t="inlineStr">
        <is>
          <t>MK-NW-I-005 the price feed</t>
        </is>
      </c>
      <c r="K14" s="3" t="inlineStr">
        <is>
          <t>a sentence</t>
        </is>
      </c>
      <c r="L14" s="3" t="inlineStr">
        <is>
          <t>No price history over the whole window — the screen shows nothing rather than a shortened one.</t>
        </is>
      </c>
      <c r="M14" s="3" t="inlineStr">
        <is>
          <t>one figure per household</t>
        </is>
      </c>
      <c r="N14" s="3" t="inlineStr">
        <is>
          <t>as of today</t>
        </is>
      </c>
      <c r="O14" s="3" t="inlineStr">
        <is>
          <t>MK-PF-F-023 (lookBack) → LookBackResult | null</t>
        </is>
      </c>
      <c r="P14" s="3" t="inlineStr">
        <is>
          <t>Declared by MK-NW-O-007 theLookBack</t>
        </is>
      </c>
      <c r="Q14" s="3" t="inlineStr">
        <is>
          <t>Price changes only — dividends are not in it, and the screen says so.</t>
        </is>
      </c>
      <c r="R14" s="3" t="inlineStr">
        <is>
          <t>Price changes only — dividends are not in it, and the screen says so.</t>
        </is>
      </c>
      <c r="S14" s="3" t="inlineStr"/>
      <c r="T14" s="3" t="inlineStr">
        <is>
          <t>Price changes only — dividends are not in it, and the screen says so.</t>
        </is>
      </c>
      <c r="U14" s="3" t="inlineStr"/>
      <c r="V14" s="3" t="inlineStr"/>
      <c r="W14" s="3" t="inlineStr"/>
      <c r="X14" s="3" t="inlineStr"/>
      <c r="Y14" s="3" t="inlineStr"/>
      <c r="Z14" s="3" t="inlineStr">
        <is>
          <t>DECLARED IN THE CODE (rule 11) — printed from the door, not typed. RULED 2026-09-28</t>
        </is>
      </c>
      <c r="AA14" s="3" t="inlineStr"/>
      <c r="AB14" s="3" t="inlineStr"/>
      <c r="AC14" s="3" t="inlineStr"/>
      <c r="AD14" s="3" t="inlineStr"/>
      <c r="AE14" s="3" t="inlineStr"/>
      <c r="AF14" s="3" t="inlineStr">
        <is>
          <t>ACTIVE</t>
        </is>
      </c>
      <c r="AG14" s="3" t="inlineStr">
        <is>
          <t>2026-10-01</t>
        </is>
      </c>
      <c r="AH14" s="3" t="inlineStr"/>
      <c r="AI14" s="3" t="inlineStr"/>
      <c r="AJ14" s="3" t="inlineStr">
        <is>
          <t>MK-XS-I-005 holding price — read by MK-NW-O-007, MK-PF-F-022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2026-09-28; the figure, its formula, inputs and refusal live in MK-NW-O-007 theLookBack</t>
        </is>
      </c>
      <c r="AN14" s="3" t="inlineStr">
        <is>
          <t>$10,000 left in BND for 12 months, against moving it to VTI. BND closed $72.00 a year ago and $73.80 now; VTI closed $250.00 and $290.00.
GIVES: Left in BND it became $10,250 (up $250, 2.5%)
(the test re-runs this through MK-NW-O-007 theLookBack on every build)</t>
        </is>
      </c>
      <c r="AO14" s="3" t="inlineStr">
        <is>
          <t>NOTHING OPEN</t>
        </is>
      </c>
    </row>
    <row r="15" ht="60" customHeight="1">
      <c r="A15" s="3" t="inlineStr">
        <is>
          <t>MK-PF-M-011</t>
        </is>
      </c>
      <c r="B15" s="3" t="inlineStr">
        <is>
          <t>Performance</t>
        </is>
      </c>
      <c r="C15" s="3" t="inlineStr">
        <is>
          <t>/look-back</t>
        </is>
      </c>
      <c r="D15" s="3" t="inlineStr">
        <is>
          <t>Moved to &lt;fund&gt; it would be $X</t>
        </is>
      </c>
      <c r="E15" s="3" t="inlineStr">
        <is>
          <t>moved_to_fund_it_would_be_x</t>
        </is>
      </c>
      <c r="F15" s="3" t="inlineStr">
        <is>
          <t>theLookBack</t>
        </is>
      </c>
      <c r="G15" s="3" t="inlineStr">
        <is>
          <t>MK-NW-O-007</t>
        </is>
      </c>
      <c r="H15" s="3" t="inlineStr">
        <is>
          <t>the amount × (the other fund’s price today ÷ its price at the start of the window)</t>
        </is>
      </c>
      <c r="I15" s="3" t="inlineStr">
        <is>
          <t>the amount × (the other fund’s price today ÷ its price at the start of the window)</t>
        </is>
      </c>
      <c r="J15" s="3" t="inlineStr">
        <is>
          <t>MK-NW-I-005 the price feed</t>
        </is>
      </c>
      <c r="K15" s="3" t="inlineStr">
        <is>
          <t>dollars, whole</t>
        </is>
      </c>
      <c r="L15" s="3" t="inlineStr">
        <is>
          <t>No price history for the other fund over the whole window.</t>
        </is>
      </c>
      <c r="M15" s="3" t="inlineStr">
        <is>
          <t>one figure per household</t>
        </is>
      </c>
      <c r="N15" s="3" t="inlineStr">
        <is>
          <t>as of today</t>
        </is>
      </c>
      <c r="O15" s="3" t="inlineStr">
        <is>
          <t>MK-PF-F-023 (lookBack) → LookBackResult | null</t>
        </is>
      </c>
      <c r="P15" s="3" t="inlineStr">
        <is>
          <t>Declared by MK-NW-O-007 theLookBack</t>
        </is>
      </c>
      <c r="Q15" s="3" t="inlineStr">
        <is>
          <t>A road not taken, priced from real history — never a projection forward.</t>
        </is>
      </c>
      <c r="R15" s="3" t="inlineStr">
        <is>
          <t>A road not taken, priced from real history — never a projection forward.</t>
        </is>
      </c>
      <c r="S15" s="3" t="inlineStr"/>
      <c r="T15" s="3" t="inlineStr">
        <is>
          <t>A road not taken, priced from real history — never a projection forward.</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$11,600
(the test re-runs this through MK-NW-O-007 theLookBack on every build)</t>
        </is>
      </c>
      <c r="AO15" s="3" t="inlineStr">
        <is>
          <t>NOTHING OPEN</t>
        </is>
      </c>
    </row>
    <row r="16" ht="60" customHeight="1">
      <c r="A16" s="3" t="inlineStr">
        <is>
          <t>MK-PF-M-012</t>
        </is>
      </c>
      <c r="B16" s="3" t="inlineStr">
        <is>
          <t>Performance</t>
        </is>
      </c>
      <c r="C16" s="3" t="inlineStr">
        <is>
          <t>/look-back</t>
        </is>
      </c>
      <c r="D16" s="3" t="inlineStr">
        <is>
          <t>Difference: $X more/less if you had moved</t>
        </is>
      </c>
      <c r="E16" s="3" t="inlineStr">
        <is>
          <t>difference_x_moreless_if_you_had_moved</t>
        </is>
      </c>
      <c r="F16" s="3" t="inlineStr">
        <is>
          <t>theLookBack</t>
        </is>
      </c>
      <c r="G16" s="3" t="inlineStr">
        <is>
          <t>MK-NW-O-007</t>
        </is>
      </c>
      <c r="H16" s="3" t="inlineStr">
        <is>
          <t>what it would have become, less what it did become</t>
        </is>
      </c>
      <c r="I16" s="3" t="inlineStr">
        <is>
          <t>what it would have become, less what it did become</t>
        </is>
      </c>
      <c r="J16" s="3" t="inlineStr">
        <is>
          <t>MK-NW-I-005 the price feed</t>
        </is>
      </c>
      <c r="K16" s="3" t="inlineStr">
        <is>
          <t>dollars, whole</t>
        </is>
      </c>
      <c r="L16" s="3" t="inlineStr">
        <is>
          <t>Either fund missing its history means no difference is stated.</t>
        </is>
      </c>
      <c r="M16" s="3" t="inlineStr">
        <is>
          <t>one figure per household</t>
        </is>
      </c>
      <c r="N16" s="3" t="inlineStr">
        <is>
          <t>as of today</t>
        </is>
      </c>
      <c r="O16" s="3" t="inlineStr">
        <is>
          <t>MK-PF-F-023 (lookBack) → LookBackResult | null</t>
        </is>
      </c>
      <c r="P16" s="3" t="inlineStr">
        <is>
          <t>Declared by MK-NW-O-007 theLookBack</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$1,350
(the test re-runs this through MK-NW-O-007 theLookBack on every build)</t>
        </is>
      </c>
      <c r="AO16" s="3" t="inlineStr">
        <is>
          <t>NOTHING OPEN</t>
        </is>
      </c>
    </row>
  </sheetData>
  <autoFilter ref="A1:AO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/look-back</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/paycheck-months</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60" customHeight="1">
      <c r="A44" s="3" t="inlineStr"/>
      <c r="B44" s="3" t="inlineStr">
        <is>
          <t>Plan</t>
        </is>
      </c>
      <c r="C44" s="3" t="inlineStr">
        <is>
          <t>/performance</t>
        </is>
      </c>
      <c r="D44" s="3" t="inlineStr">
        <is>
          <t>—</t>
        </is>
      </c>
      <c r="E44" s="3" t="inlineStr">
        <is>
          <t>—</t>
        </is>
      </c>
      <c r="F44" s="3" t="inlineStr">
        <is>
          <t>—</t>
        </is>
      </c>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DETERMINED</t>
        </is>
      </c>
      <c r="Y44" s="3" t="inlineStr">
        <is>
          <t>READ 2026-08-22 — the same screen as /invest, reached by a second route</t>
        </is>
      </c>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/sharpen</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no calculated figure on this screen</t>
        </is>
      </c>
      <c r="Z45" s="3" t="n"/>
      <c r="AA45" s="3" t="n"/>
      <c r="AB45" s="3" t="n"/>
      <c r="AC45" s="3" t="n"/>
      <c r="AD45" s="3" t="n"/>
      <c r="AE45" s="3" t="n"/>
      <c r="AF45" s="3" t="n"/>
      <c r="AG45" s="3" t="n"/>
      <c r="AH45" s="3" t="n"/>
      <c r="AI45" s="3" t="n"/>
      <c r="AJ45" s="3" t="n"/>
      <c r="AK45" s="3" t="n"/>
      <c r="AL45" s="3" t="n"/>
      <c r="AM45" s="3" t="n"/>
      <c r="AN45" s="3" t="n"/>
      <c r="AO45" s="3" t="n"/>
    </row>
  </sheetData>
  <autoFilter ref="A1:AO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/look-back</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Cashflow</t>
        </is>
      </c>
      <c r="C27" s="3" t="inlineStr">
        <is>
          <t>/onboarding</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45" customHeight="1">
      <c r="A28" s="3" t="inlineStr"/>
      <c r="B28" s="3" t="inlineStr">
        <is>
          <t>Cashflow</t>
        </is>
      </c>
      <c r="C28" s="3" t="inlineStr">
        <is>
          <t>/paycheck-months</t>
        </is>
      </c>
      <c r="D28" s="3" t="inlineStr"/>
      <c r="E28" s="3" t="inlineStr"/>
      <c r="F28" s="3" t="inlineStr"/>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STARTED — screen not yet read</t>
        </is>
      </c>
      <c r="Y28" s="3" t="n"/>
      <c r="Z28" s="3" t="n"/>
      <c r="AA28" s="3" t="n"/>
      <c r="AB28" s="3" t="n"/>
      <c r="AC28" s="3" t="n"/>
      <c r="AD28" s="3" t="n"/>
      <c r="AE28" s="3" t="n"/>
      <c r="AF28" s="3" t="n"/>
      <c r="AG28" s="3" t="n"/>
      <c r="AH28" s="3" t="n"/>
      <c r="AI28" s="3" t="n"/>
      <c r="AJ28" s="3" t="n"/>
      <c r="AK28" s="3" t="n"/>
      <c r="AL28" s="3" t="n"/>
      <c r="AM28" s="3" t="n"/>
      <c r="AN28" s="3" t="n"/>
      <c r="AO28" s="3" t="n"/>
    </row>
    <row r="29" ht="60" customHeight="1">
      <c r="A29" s="3" t="inlineStr"/>
      <c r="B29" s="3" t="inlineStr">
        <is>
          <t>Cashflow</t>
        </is>
      </c>
      <c r="C29" s="3" t="inlineStr">
        <is>
          <t>/performance</t>
        </is>
      </c>
      <c r="D29" s="3" t="inlineStr">
        <is>
          <t>—</t>
        </is>
      </c>
      <c r="E29" s="3" t="inlineStr">
        <is>
          <t>—</t>
        </is>
      </c>
      <c r="F29" s="3" t="inlineStr">
        <is>
          <t>—</t>
        </is>
      </c>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DETERMINED</t>
        </is>
      </c>
      <c r="Y29" s="3" t="inlineStr">
        <is>
          <t>READ 2026-08-22 — the same screen as /invest, reached by a second route</t>
        </is>
      </c>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MK-CF-M-001</t>
        </is>
      </c>
      <c r="B30" s="3" t="inlineStr">
        <is>
          <t>Cashflow</t>
        </is>
      </c>
      <c r="C30" s="3" t="inlineStr">
        <is>
          <t>/cashflow</t>
        </is>
      </c>
      <c r="D30" s="3" t="inlineStr">
        <is>
          <t>Expenses</t>
        </is>
      </c>
      <c r="E30" s="3" t="inlineStr">
        <is>
          <t>expenses</t>
        </is>
      </c>
      <c r="F30" s="3" t="inlineStr">
        <is>
          <t>theMonth</t>
        </is>
      </c>
      <c r="G30" s="3" t="inlineStr">
        <is>
          <t>MK-CF-O-010</t>
        </is>
      </c>
      <c r="H30" s="3" t="inlineStr">
        <is>
          <t>your budget — the per-category plan added up</t>
        </is>
      </c>
      <c r="I30" s="3" t="inlineStr">
        <is>
          <t>your budget — the per-category plan added up</t>
        </is>
      </c>
      <c r="J30" s="3" t="inlineStr">
        <is>
          <t>MK-CF-I-001 your logged expenses</t>
        </is>
      </c>
      <c r="K30" s="3" t="inlineStr">
        <is>
          <t>dollars, whole a month</t>
        </is>
      </c>
      <c r="L30" s="3" t="inlineStr">
        <is>
          <t>$0, and under it the one line "Nothing entered yet. Add your income ›" (mock approved 2026-09-12). A real zero that was entered shows a plain $0 with no line.</t>
        </is>
      </c>
      <c r="M30" s="3" t="inlineStr">
        <is>
          <t>one figure per household</t>
        </is>
      </c>
      <c r="N30" s="3" t="inlineStr">
        <is>
          <t>a month</t>
        </is>
      </c>
      <c r="O30" s="3" t="inlineStr">
        <is>
          <t>1. MK-CF-F-203 (MONTH) → NOT DECLARED — the code does not say what it gives back
2. MK-CF-F-155 (cash) → number
3. MK-CF-O-002 (expenses) → Expenses
4. MK-CF-O-003 (thisMonth) → ThisMonth</t>
        </is>
      </c>
      <c r="P30" s="3" t="inlineStr">
        <is>
          <t>Declared by MK-CF-O-010 theMonth</t>
        </is>
      </c>
      <c r="Q30" s="3" t="inlineStr">
        <is>
          <t>One line on This month, and the Expenses tab is its detail — not a second answer to the same question (his correction, 2026-09-28).</t>
        </is>
      </c>
      <c r="R30" s="3" t="inlineStr">
        <is>
          <t>One line on This month, and the Expenses tab is its detail — not a second answer to the same question (his correction, 2026-09-28).</t>
        </is>
      </c>
      <c r="S30" s="3" t="inlineStr"/>
      <c r="T30" s="3" t="inlineStr">
        <is>
          <t>One line on This month, and the Expenses tab is its detail — not a second answer to the same question (his correction, 2026-09-28).</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2026-10-01</t>
        </is>
      </c>
      <c r="AH30" s="3" t="inlineStr"/>
      <c r="AI30" s="3" t="inlineStr"/>
      <c r="AJ3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MK-CF-O-010 theMonth</t>
        </is>
      </c>
      <c r="AN30"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0" s="7" t="inlineStr">
        <is>
          <t>RULED, NOT CODED (Q-CF-2 — one question, one function)</t>
        </is>
      </c>
    </row>
    <row r="31" ht="60" customHeight="1">
      <c r="A31" s="3" t="inlineStr">
        <is>
          <t>MK-CF-M-002</t>
        </is>
      </c>
      <c r="B31" s="3" t="inlineStr">
        <is>
          <t>Cashflow</t>
        </is>
      </c>
      <c r="C31" s="3" t="inlineStr">
        <is>
          <t>/cashflow · /home</t>
        </is>
      </c>
      <c r="D31" s="3">
        <f> Planned surplus</f>
        <v/>
      </c>
      <c r="E31" s="3" t="inlineStr">
        <is>
          <t>planned_surplus</t>
        </is>
      </c>
      <c r="F31" s="3" t="inlineStr">
        <is>
          <t>theMonth</t>
        </is>
      </c>
      <c r="G31" s="3" t="inlineStr">
        <is>
          <t>MK-CF-O-010</t>
        </is>
      </c>
      <c r="H31" s="3" t="inlineStr">
        <is>
          <t>the inflow, less every debt payment due, less the budget, less each big-ticket item</t>
        </is>
      </c>
      <c r="I31" s="3" t="inlineStr">
        <is>
          <t>the inflow, less every debt payment due, less the budget, less each big-ticket item</t>
        </is>
      </c>
      <c r="J31" s="3" t="inlineStr">
        <is>
          <t>MK-XS-I-023 salary and other income
MK-NW-I-002 your debts
MK-CF-I-001 your logged expenses</t>
        </is>
      </c>
      <c r="K31" s="3" t="inlineStr">
        <is>
          <t>dollars, whole a month</t>
        </is>
      </c>
      <c r="L31" s="3" t="inlineStr">
        <is>
          <t>$0, and under it the one line "Nothing entered yet. Add your bills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EVERY ROW SHOWN IS A ROW DEDUCTED (his rule under the approved design): nothing appears on This month without being in the sum.</t>
        </is>
      </c>
      <c r="R31" s="3" t="inlineStr">
        <is>
          <t>EVERY ROW SHOWN IS A ROW DEDUCTED (his rule under the approved design): nothing appears on This month without being in the sum.</t>
        </is>
      </c>
      <c r="S31" s="3" t="inlineStr"/>
      <c r="T31"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bills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1" s="7" t="inlineStr">
        <is>
          <t>RULED, NOT CODED (Q-CF-2 — one question, one function)</t>
        </is>
      </c>
    </row>
    <row r="32" ht="60" customHeight="1">
      <c r="A32" s="3" t="inlineStr">
        <is>
          <t>MK-CF-M-003</t>
        </is>
      </c>
      <c r="B32" s="3" t="inlineStr">
        <is>
          <t>Cashflow</t>
        </is>
      </c>
      <c r="C32" s="3" t="inlineStr">
        <is>
          <t>/cashflow · /month-detail</t>
        </is>
      </c>
      <c r="D32" s="3">
        <f> Actual surplus so far</f>
        <v/>
      </c>
      <c r="E32" s="3" t="inlineStr">
        <is>
          <t>actual_surplus_so_far</t>
        </is>
      </c>
      <c r="F32" s="3" t="inlineStr">
        <is>
          <t>theMonth</t>
        </is>
      </c>
      <c r="G32" s="3" t="inlineStr">
        <is>
          <t>MK-CF-O-010</t>
        </is>
      </c>
      <c r="H32" s="3" t="inlineStr">
        <is>
          <t>the inflow received, less each debt actually paid, less everything logged by hand and imported</t>
        </is>
      </c>
      <c r="I32" s="3" t="inlineStr">
        <is>
          <t>the inflow received, less each debt actually paid, less everything logged by hand and imported</t>
        </is>
      </c>
      <c r="J32" s="3" t="inlineStr">
        <is>
          <t>MK-NW-I-004 the activity records
MK-CF-I-001 your logged expenses</t>
        </is>
      </c>
      <c r="K32" s="3" t="inlineStr">
        <is>
          <t>dollars, whole a month</t>
        </is>
      </c>
      <c r="L32" s="3" t="inlineStr">
        <is>
          <t>Nothing logged and no card linked — it says so and offers the door.</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2" s="3" t="inlineStr"/>
      <c r="T32"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2" s="7" t="inlineStr">
        <is>
          <t>RULED, NOT CODED (Q-CF-2 — one question, one function)</t>
        </is>
      </c>
    </row>
    <row r="33" ht="60" customHeight="1">
      <c r="A33" s="3" t="inlineStr">
        <is>
          <t>MK-CF-M-004</t>
        </is>
      </c>
      <c r="B33" s="3" t="inlineStr">
        <is>
          <t>Cashflow</t>
        </is>
      </c>
      <c r="C33" s="3" t="inlineStr">
        <is>
          <t>/cashflow</t>
        </is>
      </c>
      <c r="D33" s="3" t="inlineStr">
        <is>
          <t>each row of the month — what it is and what it costs</t>
        </is>
      </c>
      <c r="E33" s="3" t="inlineStr">
        <is>
          <t>each_row_of_the_month__what_it_is_and_wh</t>
        </is>
      </c>
      <c r="F33" s="3" t="inlineStr">
        <is>
          <t>theMonth</t>
        </is>
      </c>
      <c r="G33" s="3" t="inlineStr">
        <is>
          <t>MK-CF-F-194</t>
        </is>
      </c>
      <c r="H33" s="3" t="inlineStr">
        <is>
          <t>outflow = expenses this month + debt actually paid this month  (a month with a saved snapshot: its expenses + debt paid; a month without one: the expenses logged so far)</t>
        </is>
      </c>
      <c r="I33" s="3" t="inlineStr">
        <is>
          <t>This month's outflow: everything logged as an expense plus every debt payment actually made — from one function (MK-CF-F-194 monthOutflow), never added on the screen. The label says what is inside: "Outflow (expenses + debt)".</t>
        </is>
      </c>
      <c r="J33" s="3" t="inlineStr">
        <is>
          <t>MK-XS-I-023 salary and other income
MK-NW-I-002 your debts
MK-CF-I-001 your logged expenses</t>
        </is>
      </c>
      <c r="K33" s="3" t="inlineStr">
        <is>
          <t>dollars, whole</t>
        </is>
      </c>
      <c r="L33" s="3" t="inlineStr">
        <is>
          <t>$0, and under it the one line "Nothing entered yet. Log your expenses ›" (mock approved 2026-09-12). A real zero that was entered shows a plain $0 with no line.</t>
        </is>
      </c>
      <c r="M33" s="3" t="inlineStr">
        <is>
          <t>one row</t>
        </is>
      </c>
      <c r="N33" s="3" t="inlineStr">
        <is>
          <t>as of today</t>
        </is>
      </c>
      <c r="O33" s="3" t="inlineStr">
        <is>
          <t>None — it reads its inputs and answers</t>
        </is>
      </c>
      <c r="P33" s="3" t="inlineStr">
        <is>
          <t>Declared by MK-CF-O-010 theMonth</t>
        </is>
      </c>
      <c r="Q33" s="3" t="inlineStr">
        <is>
          <t>Drawn from the approved design (cash-flow_v01): the flow is SPELLED OUT, not summarised into three numbers.</t>
        </is>
      </c>
      <c r="R33" s="3" t="inlineStr">
        <is>
          <t>Drawn from the approved design (cash-flow_v01): the flow is SPELLED OUT, not summarised into three numbers.</t>
        </is>
      </c>
      <c r="S33" s="3" t="inlineStr"/>
      <c r="T33"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3" s="3" t="inlineStr"/>
      <c r="V33"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3" s="9" t="inlineStr">
        <is>
          <t>count them</t>
        </is>
      </c>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('Log your expenses ›'). File written; the screen follows the approved empty-state mock (one pattern, one screen), then every screen.</t>
        </is>
      </c>
      <c r="AF33" s="3" t="inlineStr">
        <is>
          <t>ACTIVE</t>
        </is>
      </c>
      <c r="AG33" s="3" t="inlineStr">
        <is>
          <t>2026-10-01</t>
        </is>
      </c>
      <c r="AH33" s="3" t="inlineStr"/>
      <c r="AI33" s="3" t="inlineStr"/>
      <c r="AJ33" s="3" t="inlineStr">
        <is>
          <t>NONE — no function in this chain reads a stored input the sweep knows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3" s="9" t="inlineStr">
        <is>
          <t>WAITING ON YOU — question Q50 · RULED, NOT CODED (Q-CF-2 — one question, one function)</t>
        </is>
      </c>
    </row>
    <row r="34" ht="60" customHeight="1">
      <c r="A34" s="3" t="inlineStr">
        <is>
          <t>MK-CF-M-012</t>
        </is>
      </c>
      <c r="B34" s="3" t="inlineStr">
        <is>
          <t>Cashflow</t>
        </is>
      </c>
      <c r="C34" s="3" t="inlineStr">
        <is>
          <t>/cashflow</t>
        </is>
      </c>
      <c r="D34" s="3" t="inlineStr">
        <is>
          <t>RECEIVED · &lt;month&gt; — each payment</t>
        </is>
      </c>
      <c r="E34" s="3" t="inlineStr">
        <is>
          <t>received__month__each_payment</t>
        </is>
      </c>
      <c r="F34" s="3" t="inlineStr">
        <is>
          <t>whatsComing</t>
        </is>
      </c>
      <c r="G34" s="3" t="inlineStr">
        <is>
          <t>MK-CF-O-008</t>
        </is>
      </c>
      <c r="H34" s="3" t="inlineStr">
        <is>
          <t>the income records dated inside the month</t>
        </is>
      </c>
      <c r="I34" s="3" t="inlineStr">
        <is>
          <t>the income records dated inside the month</t>
        </is>
      </c>
      <c r="J34" s="3" t="inlineStr">
        <is>
          <t>MK-NW-I-004 the activity records</t>
        </is>
      </c>
      <c r="K34" s="3" t="inlineStr">
        <is>
          <t>dollars, whole</t>
        </is>
      </c>
      <c r="L34" s="3" t="inlineStr">
        <is>
          <t>Nothing received yet this month.</t>
        </is>
      </c>
      <c r="M34" s="3" t="inlineStr">
        <is>
          <t>one payment</t>
        </is>
      </c>
      <c r="N34" s="3" t="inlineStr">
        <is>
          <t>as of today</t>
        </is>
      </c>
      <c r="O34" s="3" t="inlineStr">
        <is>
          <t>MK-CF-F-019 (upcomingBills) → NOT DECLARED — the code does not say what it gives back</t>
        </is>
      </c>
      <c r="P34" s="3" t="inlineStr">
        <is>
          <t>Declared by MK-CF-O-008 whatsComing</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NONE YET — no worked example is declared for this figure, so nothing re-runs it (step 6)</t>
        </is>
      </c>
      <c r="AO34" s="7" t="inlineStr">
        <is>
          <t>RULED, NOT CODED (Q-CF-3 — one question, one function)</t>
        </is>
      </c>
    </row>
    <row r="35" ht="60" customHeight="1">
      <c r="A35" s="3" t="inlineStr">
        <is>
          <t>MK-CF-M-016</t>
        </is>
      </c>
      <c r="B35" s="3" t="inlineStr">
        <is>
          <t>Cashflow</t>
        </is>
      </c>
      <c r="C35" s="3" t="inlineStr">
        <is>
          <t>/cashflow · /bill-calendar</t>
        </is>
      </c>
      <c r="D35" s="3" t="inlineStr">
        <is>
          <t>BIG-TICKET RADAR — &lt;bill&gt; · due &lt;month&gt;</t>
        </is>
      </c>
      <c r="E35" s="3" t="inlineStr">
        <is>
          <t>bigticket_radar__bill__due_month</t>
        </is>
      </c>
      <c r="F35" s="3" t="inlineStr">
        <is>
          <t>whatsComing</t>
        </is>
      </c>
      <c r="G35" s="3" t="inlineStr">
        <is>
          <t>MK-CF-O-008</t>
        </is>
      </c>
      <c r="H35" s="3" t="inlineStr">
        <is>
          <t>the dated bills above the everyday size, in date order</t>
        </is>
      </c>
      <c r="I35" s="3" t="inlineStr">
        <is>
          <t>the dated bills above the everyday size, in date order</t>
        </is>
      </c>
      <c r="J35" s="3" t="inlineStr">
        <is>
          <t>MK-CF-I-002 your bills</t>
        </is>
      </c>
      <c r="K35" s="3" t="inlineStr">
        <is>
          <t>dollars, whole</t>
        </is>
      </c>
      <c r="L35" s="3" t="inlineStr">
        <is>
          <t>Nothing unusual ahead — the section keeps its heading and says so.</t>
        </is>
      </c>
      <c r="M35" s="3" t="inlineStr">
        <is>
          <t>one bill</t>
        </is>
      </c>
      <c r="N35" s="3" t="inlineStr">
        <is>
          <t>as of today</t>
        </is>
      </c>
      <c r="O35" s="3" t="inlineStr">
        <is>
          <t>MK-CF-F-019 (upcomingBills) → NOT DECLARED — the code does not say what it gives back</t>
        </is>
      </c>
      <c r="P35" s="3" t="inlineStr">
        <is>
          <t>Declared by MK-CF-O-008 whatsComing</t>
        </is>
      </c>
      <c r="Q35" s="3" t="inlineStr">
        <is>
          <t>A regular monthly debt is never a radar item: a warning you see every month stops being a warning.</t>
        </is>
      </c>
      <c r="R35" s="3" t="inlineStr">
        <is>
          <t>A regular monthly debt is never a radar item: a warning you see every month stops being a warning.</t>
        </is>
      </c>
      <c r="S35" s="3" t="inlineStr"/>
      <c r="T35" s="3" t="inlineStr">
        <is>
          <t>A regular monthly debt is never a radar item: a warning you see every month stops being a warning.</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On 28 Sep 2026, with $8,000 in the account: car insurance of $1,400 due 15 Oct and property tax of $4,800 due 1 Nov. Nothing else is dated.
GIVES: $1,400
(the test re-runs this through MK-CF-O-008 whatsComing on every build)</t>
        </is>
      </c>
      <c r="AO35" s="7" t="inlineStr">
        <is>
          <t>RULED, NOT CODED (Q-CF-3 — one question, one function)</t>
        </is>
      </c>
    </row>
    <row r="36" ht="60" customHeight="1">
      <c r="A36" s="3" t="inlineStr">
        <is>
          <t>MK-CF-M-017</t>
        </is>
      </c>
      <c r="B36" s="3" t="inlineStr">
        <is>
          <t>Cashflow</t>
        </is>
      </c>
      <c r="C36" s="3" t="inlineStr">
        <is>
          <t>/worth-a-look</t>
        </is>
      </c>
      <c r="D36" s="3" t="inlineStr">
        <is>
          <t>well above your usual &lt;category&gt;</t>
        </is>
      </c>
      <c r="E36" s="3" t="inlineStr">
        <is>
          <t>well_above_your_usual_category</t>
        </is>
      </c>
      <c r="F36" s="3" t="inlineStr">
        <is>
          <t>whatsComing</t>
        </is>
      </c>
      <c r="G36" s="3" t="inlineStr">
        <is>
          <t>MK-CF-O-008</t>
        </is>
      </c>
      <c r="H36" s="3" t="inlineStr">
        <is>
          <t>this expense against the typical one in its category, over the months logged</t>
        </is>
      </c>
      <c r="I36" s="3" t="inlineStr">
        <is>
          <t>this expense against the typical one in its category, over the months logged</t>
        </is>
      </c>
      <c r="J36" s="3" t="inlineStr">
        <is>
          <t>MK-CF-I-001 your logged expenses</t>
        </is>
      </c>
      <c r="K36" s="3" t="inlineStr">
        <is>
          <t>a sentence</t>
        </is>
      </c>
      <c r="L36" s="3" t="inlineStr">
        <is>
          <t>Too little history to call anything unusual.</t>
        </is>
      </c>
      <c r="M36" s="3" t="inlineStr">
        <is>
          <t>one expense</t>
        </is>
      </c>
      <c r="N36" s="3" t="inlineStr">
        <is>
          <t>as of today</t>
        </is>
      </c>
      <c r="O36" s="3" t="inlineStr">
        <is>
          <t>MK-CF-F-019 (upcomingBills) → NOT DECLARED — the code does not say what it gives back</t>
        </is>
      </c>
      <c r="P36" s="3" t="inlineStr">
        <is>
          <t>Declared by MK-CF-O-008 whatsComing</t>
        </is>
      </c>
      <c r="Q36" s="3" t="inlineStr">
        <is>
          <t>There must BE a usual to compare against: with too little logged, nothing is flagged. A first month’s expenses are not unusual, they are all there is.</t>
        </is>
      </c>
      <c r="R36" s="3" t="inlineStr">
        <is>
          <t>There must BE a usual to compare against: with too little logged, nothing is flagged. A first month’s expenses are not unusual, they are all there is.</t>
        </is>
      </c>
      <c r="S36" s="3" t="inlineStr"/>
      <c r="T36" s="3" t="inlineStr">
        <is>
          <t>There must BE a usual to compare against: with too little logged, nothing is flagged. A first month’s expenses are not unusual, they are all there is.</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NONE YET — no worked example is declared for this figure, so nothing re-runs it (step 6)</t>
        </is>
      </c>
      <c r="AO36" s="7" t="inlineStr">
        <is>
          <t>RULED, NOT CODED (Q-CF-3 — one question, one function)</t>
        </is>
      </c>
    </row>
    <row r="37" ht="60" customHeight="1">
      <c r="A37" s="3" t="inlineStr">
        <is>
          <t>MK-CF-M-026</t>
        </is>
      </c>
      <c r="B37" s="3" t="inlineStr">
        <is>
          <t>Cashflow</t>
        </is>
      </c>
      <c r="C37" s="3" t="inlineStr">
        <is>
          <t>/paycheck-months</t>
        </is>
      </c>
      <c r="D37" s="3" t="inlineStr">
        <is>
          <t>the months a paycheck lands</t>
        </is>
      </c>
      <c r="E37" s="3" t="inlineStr">
        <is>
          <t>the_months_a_paycheck_lands</t>
        </is>
      </c>
      <c r="F37" s="3" t="inlineStr">
        <is>
          <t>whatsComing</t>
        </is>
      </c>
      <c r="G37" s="3" t="inlineStr">
        <is>
          <t>MK-CF-O-008</t>
        </is>
      </c>
      <c r="H37" s="3" t="inlineStr">
        <is>
          <t>the pay dates that fall in each month, counted</t>
        </is>
      </c>
      <c r="I37" s="3" t="inlineStr">
        <is>
          <t>the pay dates that fall in each month, counted</t>
        </is>
      </c>
      <c r="J37" s="3" t="inlineStr">
        <is>
          <t>MK-XS-I-023 salary and other income</t>
        </is>
      </c>
      <c r="K37" s="3" t="inlineStr">
        <is>
          <t>a sentence</t>
        </is>
      </c>
      <c r="L37" s="3" t="inlineStr">
        <is>
          <t>Paid monthly — every month carries one, so there is nothing to point out.</t>
        </is>
      </c>
      <c r="M37" s="3" t="inlineStr">
        <is>
          <t>one month</t>
        </is>
      </c>
      <c r="N37" s="3" t="inlineStr">
        <is>
          <t>as of today</t>
        </is>
      </c>
      <c r="O37" s="3" t="inlineStr">
        <is>
          <t>MK-CF-F-019 (upcomingBills) → NOT DECLARED — the code does not say what it gives back</t>
        </is>
      </c>
      <c r="P37" s="3" t="inlineStr">
        <is>
          <t>Declared by MK-CF-O-008 whatsComing</t>
        </is>
      </c>
      <c r="Q37" s="3" t="inlineStr">
        <is>
          <t>NONE RECORDED — the declaration names none.</t>
        </is>
      </c>
      <c r="R37" s="3" t="inlineStr">
        <is>
          <t>NONE RECORDED — the declaration names none.</t>
        </is>
      </c>
      <c r="S37" s="3" t="inlineStr"/>
      <c r="T37" s="3" t="inlineStr">
        <is>
          <t>NONE RECORDED — the declaration names none.</t>
        </is>
      </c>
      <c r="U37" s="3" t="inlineStr"/>
      <c r="V37" s="9" t="inlineStr">
        <is>
          <t>Q30 — The draw from savings is shown as one figure a month. Should it hold steady in today's dollars, or rise with inflation each year?</t>
        </is>
      </c>
      <c r="W37" s="9" t="inlineStr">
        <is>
          <t>rise with inflation each year</t>
        </is>
      </c>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9" t="inlineStr">
        <is>
          <t>WAITING ON YOU — question Q30 · RULED, NOT CODED (Q-CF-3 — one question, one function)</t>
        </is>
      </c>
    </row>
    <row r="38" ht="60" customHeight="1">
      <c r="A38" s="3" t="inlineStr">
        <is>
          <t>MK-CF-M-028</t>
        </is>
      </c>
      <c r="B38" s="3" t="inlineStr">
        <is>
          <t>Cashflow</t>
        </is>
      </c>
      <c r="C38" s="3" t="inlineStr">
        <is>
          <t>/bill-calendar</t>
        </is>
      </c>
      <c r="D38" s="3" t="inlineStr">
        <is>
          <t>each bill and the day it falls</t>
        </is>
      </c>
      <c r="E38" s="3" t="inlineStr">
        <is>
          <t>each_bill_and_the_day_it_falls</t>
        </is>
      </c>
      <c r="F38" s="3" t="inlineStr">
        <is>
          <t>whatsComing</t>
        </is>
      </c>
      <c r="G38" s="3" t="inlineStr">
        <is>
          <t>MK-CF-O-008</t>
        </is>
      </c>
      <c r="H38" s="3" t="inlineStr">
        <is>
          <t>each dated bill in the window, in date order, with the running balance after it</t>
        </is>
      </c>
      <c r="I38" s="3" t="inlineStr">
        <is>
          <t>each dated bill in the window, in date order, with the running balance after it</t>
        </is>
      </c>
      <c r="J38" s="3" t="inlineStr">
        <is>
          <t>MK-CF-I-002 your bills
MK-NW-I-001 your accounts</t>
        </is>
      </c>
      <c r="K38" s="3" t="inlineStr">
        <is>
          <t>dollars, whole</t>
        </is>
      </c>
      <c r="L38" s="3" t="inlineStr">
        <is>
          <t>$0, and under it the one line "Nothing entered yet. Add your bills ›" (mock approved 2026-09-12). A real zero that was entered shows a plain $0 with no line.</t>
        </is>
      </c>
      <c r="M38" s="3" t="inlineStr">
        <is>
          <t>one bill</t>
        </is>
      </c>
      <c r="N38" s="3" t="inlineStr">
        <is>
          <t>as of today</t>
        </is>
      </c>
      <c r="O38" s="3" t="inlineStr">
        <is>
          <t>MK-CF-F-019 (upcomingBills) → NOT DECLARED — the code does not say what it gives back</t>
        </is>
      </c>
      <c r="P38" s="3" t="inlineStr">
        <is>
          <t>Declared by MK-CF-O-008 whatsComing</t>
        </is>
      </c>
      <c r="Q38" s="3" t="inlineStr">
        <is>
          <t>A bill with NO date is not on the calendar — a date nobody gave would be read as one they did. It is still counted in the month’s total.</t>
        </is>
      </c>
      <c r="R38" s="3" t="inlineStr">
        <is>
          <t>A bill with NO date is not on the calendar — a date nobody gave would be read as one they did. It is still counted in the month’s total.</t>
        </is>
      </c>
      <c r="S38" s="3" t="inlineStr"/>
      <c r="T38" s="3" t="inlineStr">
        <is>
          <t>A bill with NO date is not on the calendar — a date nobody gave would be read as one they did. It is still counted in the month’s total.</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your bills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On 28 Sep 2026, with $8,000 in the account: car insurance of $1,400 due 15 Oct and property tax of $4,800 due 1 Nov. Nothing else is dated.
GIVES: $4,800
(the test re-runs this through MK-CF-O-008 whatsComing on every build)</t>
        </is>
      </c>
      <c r="AO38" s="7" t="inlineStr">
        <is>
          <t>RULED, NOT CODED (Q-CF-3 — one question, one function)</t>
        </is>
      </c>
    </row>
    <row r="39" ht="60" customHeight="1">
      <c r="A39" s="3" t="inlineStr">
        <is>
          <t>MK-CF-M-030</t>
        </is>
      </c>
      <c r="B39" s="3" t="inlineStr">
        <is>
          <t>Cashflow</t>
        </is>
      </c>
      <c r="C39" s="3" t="inlineStr">
        <is>
          <t>/base-pay</t>
        </is>
      </c>
      <c r="D39" s="3" t="inlineStr">
        <is>
          <t>Each person’s pay</t>
        </is>
      </c>
      <c r="E39" s="3" t="inlineStr">
        <is>
          <t>each_persons_pay</t>
        </is>
      </c>
      <c r="F39" s="3" t="inlineStr">
        <is>
          <t>basePay</t>
        </is>
      </c>
      <c r="G39" s="3" t="inlineStr">
        <is>
          <t>MK-CF-O-001</t>
        </is>
      </c>
      <c r="H39" s="3" t="inlineStr">
        <is>
          <t>gross a year = the sum of every earner’s wage, each annualised from the rhythm they are paid in</t>
        </is>
      </c>
      <c r="I39" s="3" t="inlineStr">
        <is>
          <t>gross a year = the sum of every earner’s wage, each annualised from the rhythm they are paid in</t>
        </is>
      </c>
      <c r="J39" s="3" t="inlineStr">
        <is>
          <t>MK-CF-I-001 wage
MK-CF-I-002 how often it is paid
MK-XS-I-021 spouse wage</t>
        </is>
      </c>
      <c r="K39" s="3" t="inlineStr">
        <is>
          <t>dollars, whole a year</t>
        </is>
      </c>
      <c r="L39" s="3" t="inlineStr">
        <is>
          <t>Shows $0 until a wage is entered; the screen offers the door to enter one.</t>
        </is>
      </c>
      <c r="M39" s="3" t="inlineStr">
        <is>
          <t>one figure per household</t>
        </is>
      </c>
      <c r="N39" s="3" t="inlineStr">
        <is>
          <t>a year</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A wage entered for a rhythm is annualised by that rhythm, never by a flat twelve.</t>
        </is>
      </c>
      <c r="R39" s="3" t="inlineStr">
        <is>
          <t>A wage entered for a rhythm is annualised by that rhythm, never by a flat twelve.</t>
        </is>
      </c>
      <c r="S39" s="3" t="inlineStr"/>
      <c r="T39" s="3" t="inlineStr">
        <is>
          <t>A wage entered for a rhythm is annualised by that rhythm, never by a flat twelve.</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2026-10-01</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9" s="7" t="inlineStr">
        <is>
          <t>RULED, NOT CODED (Q-CF-1 — one question, one function)</t>
        </is>
      </c>
    </row>
    <row r="40" ht="60" customHeight="1">
      <c r="A40" s="3" t="inlineStr">
        <is>
          <t>MK-CF-M-031</t>
        </is>
      </c>
      <c r="B40" s="3" t="inlineStr">
        <is>
          <t>Cashflow</t>
        </is>
      </c>
      <c r="C40" s="3" t="inlineStr">
        <is>
          <t>/base-pay · /cashflow</t>
        </is>
      </c>
      <c r="D40" s="3" t="inlineStr">
        <is>
          <t>Take-home</t>
        </is>
      </c>
      <c r="E40" s="3" t="inlineStr">
        <is>
          <t>takehome</t>
        </is>
      </c>
      <c r="F40" s="3" t="inlineStr">
        <is>
          <t>basePay</t>
        </is>
      </c>
      <c r="G40" s="3" t="inlineStr">
        <is>
          <t>MK-CF-O-001</t>
        </is>
      </c>
      <c r="H40" s="3" t="inlineStr">
        <is>
          <t>for one earner: what they entered, or their gross less federal tax less their own 401(k). For the household: the sum of the earners’ figures, never a second calculation.</t>
        </is>
      </c>
      <c r="I40" s="3" t="inlineStr">
        <is>
          <t>for one earner: what they entered, or their gross less federal tax less their own 401(k). For the household: the sum of the earners’ figures, never a second calculation.</t>
        </is>
      </c>
      <c r="J40" s="3" t="inlineStr">
        <is>
          <t>MK-CF-I-001 wage
MK-CF-I-003 take-home as entered
MK-CF-I-004 401(k) contribution
MK-CF-I-005 tax rate as entered</t>
        </is>
      </c>
      <c r="K40" s="3" t="inlineStr">
        <is>
          <t>dollars, whole a month</t>
        </is>
      </c>
      <c r="L40" s="3" t="inlineStr">
        <is>
          <t>Shows $0 until a wage is entered.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Federal income tax only when it is calculated — no Social Security, Medicare or state tax (MK-CF-D-001).</t>
        </is>
      </c>
      <c r="R40" s="3" t="inlineStr">
        <is>
          <t>Federal income tax only when it is calculated — no Social Security, Medicare or state tax (MK-CF-D-001).</t>
        </is>
      </c>
      <c r="S40" s="3" t="inlineStr"/>
      <c r="T40" s="3" t="inlineStr">
        <is>
          <t>Federal income tax only when it is calculated — no Social Security, Medicare or state tax (MK-CF-D-001).</t>
        </is>
      </c>
      <c r="U40" s="3" t="inlineStr">
        <is>
          <t>ONE figure over two sets: one earner, and the household — so a total and its parts cannot disagree (rule 2). It wears ≈ whenever the figure was calculated rather than entered.</t>
        </is>
      </c>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0" s="7" t="inlineStr">
        <is>
          <t>RULED, NOT CODED (Q-CF-1 — one question, one function)</t>
        </is>
      </c>
    </row>
    <row r="41" ht="60" customHeight="1">
      <c r="A41" s="3" t="inlineStr">
        <is>
          <t>MK-CF-M-032</t>
        </is>
      </c>
      <c r="B41" s="3" t="inlineStr">
        <is>
          <t>Cashflow</t>
        </is>
      </c>
      <c r="C41" s="3" t="inlineStr">
        <is>
          <t>/base-pay</t>
        </is>
      </c>
      <c r="D41" s="3" t="inlineStr">
        <is>
          <t>Federal tax bracket</t>
        </is>
      </c>
      <c r="E41" s="3" t="inlineStr">
        <is>
          <t>federal_tax_bracket</t>
        </is>
      </c>
      <c r="F41" s="3" t="inlineStr">
        <is>
          <t>basePay</t>
        </is>
      </c>
      <c r="G41" s="3" t="inlineStr">
        <is>
          <t>MK-CF-O-001</t>
        </is>
      </c>
      <c r="H41" s="3" t="inlineStr">
        <is>
          <t>the published bracket the household’s gross falls in, for their filing status</t>
        </is>
      </c>
      <c r="I41" s="3" t="inlineStr">
        <is>
          <t>the published bracket the household’s gross falls in, for their filing status</t>
        </is>
      </c>
      <c r="J41" s="3" t="inlineStr">
        <is>
          <t>MK-CF-M-030 gross a year
MK-XS-I-024 filing status</t>
        </is>
      </c>
      <c r="K41" s="3" t="inlineStr">
        <is>
          <t>a percentage, whole</t>
        </is>
      </c>
      <c r="L41" s="3" t="inlineStr">
        <is>
          <t>The row is not shown until a wage is entered.</t>
        </is>
      </c>
      <c r="M41" s="3" t="inlineStr">
        <is>
          <t>one figure per household</t>
        </is>
      </c>
      <c r="N41" s="3" t="inlineStr">
        <is>
          <t>as of today</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Filing status is assumed to be jointly when two people earn and nobody has said (MK-CF-D-004).</t>
        </is>
      </c>
      <c r="R41" s="3" t="inlineStr">
        <is>
          <t>Filing status is assumed to be jointly when two people earn and nobody has said (MK-CF-D-004).</t>
        </is>
      </c>
      <c r="S41" s="3" t="inlineStr"/>
      <c r="T41" s="3" t="inlineStr">
        <is>
          <t>Filing status is assumed to be jointly when two people earn and nobody has said (MK-CF-D-004).</t>
        </is>
      </c>
      <c r="U41" s="3" t="inlineStr"/>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1" s="7" t="inlineStr">
        <is>
          <t>RULED, NOT CODED (Q-CF-1 — one question, one function)</t>
        </is>
      </c>
    </row>
    <row r="42" ht="60" customHeight="1">
      <c r="A42" s="3" t="inlineStr">
        <is>
          <t>MK-CF-M-033</t>
        </is>
      </c>
      <c r="B42" s="3" t="inlineStr">
        <is>
          <t>Cashflow</t>
        </is>
      </c>
      <c r="C42" s="3" t="inlineStr">
        <is>
          <t>/base-pay</t>
        </is>
      </c>
      <c r="D42" s="3" t="inlineStr">
        <is>
          <t>Calculated federal tax</t>
        </is>
      </c>
      <c r="E42" s="3" t="inlineStr">
        <is>
          <t>calculated_federal_tax</t>
        </is>
      </c>
      <c r="F42" s="3" t="inlineStr">
        <is>
          <t>basePay</t>
        </is>
      </c>
      <c r="G42" s="3" t="inlineStr">
        <is>
          <t>MK-CF-O-001</t>
        </is>
      </c>
      <c r="H42" s="3" t="inlineStr">
        <is>
          <t>tax a month = federal tax on (gross less the standard deduction, at the published bands) ÷ 12</t>
        </is>
      </c>
      <c r="I42" s="3" t="inlineStr">
        <is>
          <t>tax a month = federal tax on (gross less the standard deduction, at the published bands) ÷ 12</t>
        </is>
      </c>
      <c r="J42" s="3" t="inlineStr">
        <is>
          <t>MK-CF-M-030 gross a year
MK-XS-I-024 filing status
MK-XS-I-025 how many are over 65</t>
        </is>
      </c>
      <c r="K42" s="3" t="inlineStr">
        <is>
          <t>dollars, whole a month</t>
        </is>
      </c>
      <c r="L42" s="3" t="inlineStr">
        <is>
          <t>The row appears only when the figure is ours; an entered take-home already has tax inside it.</t>
        </is>
      </c>
      <c r="M42" s="3" t="inlineStr">
        <is>
          <t>one figure per household</t>
        </is>
      </c>
      <c r="N42" s="3" t="inlineStr">
        <is>
          <t>a month</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Assumes the standard deduction, never itemised (MK-CF-D-002).</t>
        </is>
      </c>
      <c r="R42" s="3" t="inlineStr">
        <is>
          <t>Assumes the standard deduction, never itemised (MK-CF-D-002).</t>
        </is>
      </c>
      <c r="S42" s="3" t="inlineStr"/>
      <c r="T42" s="3" t="inlineStr">
        <is>
          <t>Assumes the standard deduction, never itemised (MK-CF-D-002).</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2" s="7" t="inlineStr">
        <is>
          <t>RULED, NOT CODED (Q-CF-1 — one question, one function)</t>
        </is>
      </c>
    </row>
    <row r="43" ht="60" customHeight="1">
      <c r="A43" s="3" t="inlineStr">
        <is>
          <t>MK-CF-M-034</t>
        </is>
      </c>
      <c r="B43" s="3" t="inlineStr">
        <is>
          <t>Cashflow</t>
        </is>
      </c>
      <c r="C43" s="3" t="inlineStr">
        <is>
          <t>/base-pay</t>
        </is>
      </c>
      <c r="D43" s="3" t="inlineStr">
        <is>
          <t>Your 401(k)s</t>
        </is>
      </c>
      <c r="E43" s="3" t="inlineStr">
        <is>
          <t>your_401ks</t>
        </is>
      </c>
      <c r="F43" s="3" t="inlineStr">
        <is>
          <t>basePay</t>
        </is>
      </c>
      <c r="G43" s="3" t="inlineStr">
        <is>
          <t>MK-CF-O-001</t>
        </is>
      </c>
      <c r="H43" s="3" t="inlineStr">
        <is>
          <t>401(k) a month = the sum of every earner’s own contribution, the employer’s match excluded</t>
        </is>
      </c>
      <c r="I43" s="3" t="inlineStr">
        <is>
          <t>401(k) a month = the sum of every earner’s own contribution, the employer’s match excluded</t>
        </is>
      </c>
      <c r="J43" s="3" t="inlineStr">
        <is>
          <t>MK-CF-I-004 401(k) contribution</t>
        </is>
      </c>
      <c r="K43" s="3" t="inlineStr">
        <is>
          <t>dollars, whole a month</t>
        </is>
      </c>
      <c r="L43" s="3" t="inlineStr">
        <is>
          <t>The row is hidden when nobody contributes.</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The employer’s match is not counted here — it is not taken out of take-home (MK-CF-D-003).</t>
        </is>
      </c>
      <c r="R43" s="3" t="inlineStr">
        <is>
          <t>The employer’s match is not counted here — it is not taken out of take-home (MK-CF-D-003).</t>
        </is>
      </c>
      <c r="S43" s="3" t="inlineStr"/>
      <c r="T43" s="3" t="inlineStr">
        <is>
          <t>The employer’s match is not counted here — it is not taken out of take-home (MK-CF-D-003).</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3" s="7" t="inlineStr">
        <is>
          <t>RULED, NOT CODED (Q-CF-1 — one question, one function)</t>
        </is>
      </c>
    </row>
    <row r="44" ht="60" customHeight="1">
      <c r="A44" s="3" t="inlineStr">
        <is>
          <t>MK-CF-M-035</t>
        </is>
      </c>
      <c r="B44" s="3" t="inlineStr">
        <is>
          <t>Cashflow</t>
        </is>
      </c>
      <c r="C44" s="3" t="inlineStr">
        <is>
          <t>/base-pay</t>
        </is>
      </c>
      <c r="D44" s="3" t="inlineStr">
        <is>
          <t>The take-home above is higher than it will really be</t>
        </is>
      </c>
      <c r="E44" s="3" t="inlineStr">
        <is>
          <t>the_takehome_above_is_higher_than_it_wil</t>
        </is>
      </c>
      <c r="F44" s="3" t="inlineStr">
        <is>
          <t>basePay</t>
        </is>
      </c>
      <c r="G44" s="3" t="inlineStr">
        <is>
          <t>MK-CF-O-001</t>
        </is>
      </c>
      <c r="H44" s="3" t="inlineStr">
        <is>
          <t>overstated by = Σ over earners of (Social Security 6.2% of the wage up to the wage base + Medicare 1.45% of the whole wage + 0.9% of the wage above the additional-tax threshold) ÷ 12</t>
        </is>
      </c>
      <c r="I44" s="3" t="inlineStr">
        <is>
          <t>overstated by = Σ over earners of (Social Security 6.2% of the wage up to the wage base + Medicare 1.45% of the whole wage + 0.9% of the wage above the additional-tax threshold) ÷ 12</t>
        </is>
      </c>
      <c r="J44" s="3" t="inlineStr">
        <is>
          <t>MK-CF-I-001 wage
MK-ST-I-030 Social Security wage base
MK-ST-I-031 Medicare additional-tax threshold</t>
        </is>
      </c>
      <c r="K44" s="3" t="inlineStr">
        <is>
          <t>dollars, whole a month</t>
        </is>
      </c>
      <c r="L44" s="3" t="inlineStr">
        <is>
          <t>The warning appears only when the take-home is ours and estimated.</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State tax is not in this figure, because we do not know their state (MK-CF-D-005).</t>
        </is>
      </c>
      <c r="R44" s="3" t="inlineStr">
        <is>
          <t>State tax is not in this figure, because we do not know their state (MK-CF-D-005).</t>
        </is>
      </c>
      <c r="S44" s="3" t="inlineStr"/>
      <c r="T44" s="3" t="inlineStr">
        <is>
          <t>State tax is not in this figure, because we do not know their state (MK-CF-D-005).</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4" s="7" t="inlineStr">
        <is>
          <t>RULED, NOT CODED (Q-CF-1 — one question, one function)</t>
        </is>
      </c>
    </row>
    <row r="45" ht="60" customHeight="1">
      <c r="A45" s="3" t="inlineStr">
        <is>
          <t>MK-CF-M-036</t>
        </is>
      </c>
      <c r="B45" s="3" t="inlineStr">
        <is>
          <t>Cashflow</t>
        </is>
      </c>
      <c r="C45" s="3" t="inlineStr">
        <is>
          <t>/base-pay</t>
        </is>
      </c>
      <c r="D45" s="3" t="inlineStr">
        <is>
          <t>Everything else taken out</t>
        </is>
      </c>
      <c r="E45" s="3" t="inlineStr">
        <is>
          <t>everything_else_taken_out</t>
        </is>
      </c>
      <c r="F45" s="3" t="inlineStr">
        <is>
          <t>basePay</t>
        </is>
      </c>
      <c r="G45" s="3" t="inlineStr">
        <is>
          <t>MK-CF-O-001</t>
        </is>
      </c>
      <c r="H45" s="3" t="inlineStr">
        <is>
          <t>for one earner: everything else = (their gross a year − their 401(k) a year − their take-home /year) ÷ 12. For the household: the sum of the earners’ figures, never a second subtraction.</t>
        </is>
      </c>
      <c r="I45" s="3" t="inlineStr">
        <is>
          <t>for one earner: everything else = (their gross a year − their 401(k) a year − their take-home /year) ÷ 12. For the household: the sum of the earners’ figures, never a second subtraction.</t>
        </is>
      </c>
      <c r="J45" s="3" t="inlineStr">
        <is>
          <t>MK-CF-I-001 wage
MK-CF-I-003 take-home as entered
MK-CF-I-004 401(k) contribution</t>
        </is>
      </c>
      <c r="K45" s="3" t="inlineStr">
        <is>
          <t>dollars, whole a month</t>
        </is>
      </c>
      <c r="L45" s="3" t="inlineStr">
        <is>
          <t>The row is hidden for anyone whose take-home was calculated rather than entered; the household row is hidden unless every earner entered one.</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Shown only when the person entered their own take-home, so the difference is theirs and not ours.
The household figure is the sum of the earners’, so a total and its parts cannot disagree (rule 2).</t>
        </is>
      </c>
      <c r="R45" s="3" t="inlineStr">
        <is>
          <t>Shown only when the person entered their own take-home, so the difference is theirs and not ours.
The household figure is the sum of the earners’, so a total and its parts cannot disagree (rule 2).</t>
        </is>
      </c>
      <c r="S45" s="3" t="inlineStr"/>
      <c r="T45" s="3" t="inlineStr">
        <is>
          <t>Shown only when the person entered their own take-home, so the difference is theirs and not ours.
The household figure is the sum of the earners’, so a total and its parts cannot disagree (rule 2).</t>
        </is>
      </c>
      <c r="U45" s="3" t="inlineStr">
        <is>
          <t>ONE figure over two sets: one earner, and the household. Moved off the screen into this door on 2026-09-14 — the base-pay card used to do the subtraction itself (rule 5).</t>
        </is>
      </c>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5" s="7" t="inlineStr">
        <is>
          <t>RULED, NOT CODED (Q-CF-1 — one question, one function)</t>
        </is>
      </c>
    </row>
    <row r="46" ht="60" customHeight="1">
      <c r="A46" s="3" t="inlineStr">
        <is>
          <t>MK-CF-M-037</t>
        </is>
      </c>
      <c r="B46" s="3" t="inlineStr">
        <is>
          <t>Cashflow</t>
        </is>
      </c>
      <c r="C46" s="3" t="inlineStr">
        <is>
          <t>/income-summary</t>
        </is>
      </c>
      <c r="D46" s="3" t="inlineStr">
        <is>
          <t>Take-home each month</t>
        </is>
      </c>
      <c r="E46" s="3" t="inlineStr">
        <is>
          <t>takehome_each_month</t>
        </is>
      </c>
      <c r="F46" s="3" t="inlineStr">
        <is>
          <t>incomeSummary</t>
        </is>
      </c>
      <c r="G46" s="3" t="inlineStr">
        <is>
          <t>MK-CF-O-004</t>
        </is>
      </c>
      <c r="H46" s="3" t="inlineStr">
        <is>
          <t>take-home a usual month = Σ of every source’s take-home in a usual month; a source that lands in one month of the year is not spread across twelve</t>
        </is>
      </c>
      <c r="I46" s="3" t="inlineStr">
        <is>
          <t>take-home a usual month = Σ of every source’s take-home in a usual month; a source that lands in one month of the year is not spread across twelve</t>
        </is>
      </c>
      <c r="J46" s="3" t="inlineStr">
        <is>
          <t>MK-CF-M-031 household take-home
MK-CF-I-006 other income
MK-CF-I-007 rental income
MK-CF-I-008 retirement income</t>
        </is>
      </c>
      <c r="K46" s="3" t="inlineStr">
        <is>
          <t>dollars, whole a month</t>
        </is>
      </c>
      <c r="L46" s="3" t="inlineStr">
        <is>
          <t>Shows $0 on a fresh account, with the door to enter income — never a dash.</t>
        </is>
      </c>
      <c r="M46" s="3" t="inlineStr">
        <is>
          <t>one figure per household</t>
        </is>
      </c>
      <c r="N46" s="3" t="inlineStr">
        <is>
          <t>a month</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A once-a-year source keeps its own month and is shown separately, never averaged in.</t>
        </is>
      </c>
      <c r="R46" s="3" t="inlineStr">
        <is>
          <t>A once-a-year source keeps its own month and is shown separately, never averaged in.</t>
        </is>
      </c>
      <c r="S46" s="3" t="inlineStr"/>
      <c r="T46" s="3" t="inlineStr">
        <is>
          <t>A once-a-year source keeps its own month and is shown separately, never averaged in.</t>
        </is>
      </c>
      <c r="U46"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$9,398/month
(the test re-runs this through MK-CF-O-004 incomeSummary on every build)</t>
        </is>
      </c>
      <c r="AO46" s="7" t="inlineStr">
        <is>
          <t>RULED, NOT CODED (Q-CF-1 — one question, one function)</t>
        </is>
      </c>
    </row>
    <row r="47" ht="60" customHeight="1">
      <c r="A47" s="3" t="inlineStr">
        <is>
          <t>MK-CF-M-038</t>
        </is>
      </c>
      <c r="B47" s="3" t="inlineStr">
        <is>
          <t>Cashflow</t>
        </is>
      </c>
      <c r="C47" s="3" t="inlineStr">
        <is>
          <t>/income-summary</t>
        </is>
      </c>
      <c r="D47" s="3" t="inlineStr">
        <is>
          <t>each source of take-home</t>
        </is>
      </c>
      <c r="E47" s="3" t="inlineStr">
        <is>
          <t>each_source_of_takehome</t>
        </is>
      </c>
      <c r="F47" s="3" t="inlineStr">
        <is>
          <t>incomeSummary</t>
        </is>
      </c>
      <c r="G47" s="3" t="inlineStr">
        <is>
          <t>MK-CF-O-004</t>
        </is>
      </c>
      <c r="H47" s="3" t="inlineStr">
        <is>
          <t>one line per source: the earner’s take-home, or the source’s monthly amount</t>
        </is>
      </c>
      <c r="I47" s="3" t="inlineStr">
        <is>
          <t>one line per source: the earner’s take-home, or the source’s monthly amount</t>
        </is>
      </c>
      <c r="J47" s="3" t="inlineStr">
        <is>
          <t>MK-CF-M-031 household take-home
MK-CF-I-006 other income
MK-CF-I-007 rental income</t>
        </is>
      </c>
      <c r="K47" s="3" t="inlineStr">
        <is>
          <t>dollars, whole a month</t>
        </is>
      </c>
      <c r="L47" s="3" t="inlineStr">
        <is>
          <t>The list is replaced by the door to enter income when nothing is entered.</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$5,898/month
(the test re-runs this through MK-CF-O-004 incomeSummary on every build)</t>
        </is>
      </c>
      <c r="AO47" s="7" t="inlineStr">
        <is>
          <t>RULED, NOT CODED (Q-CF-1 — one question, one function)</t>
        </is>
      </c>
    </row>
    <row r="48" ht="60" customHeight="1">
      <c r="A48" s="3" t="inlineStr">
        <is>
          <t>MK-CF-M-039</t>
        </is>
      </c>
      <c r="B48" s="3" t="inlineStr">
        <is>
          <t>Cashflow</t>
        </is>
      </c>
      <c r="C48" s="3" t="inlineStr">
        <is>
          <t>/income-summary</t>
        </is>
      </c>
      <c r="D48" s="3" t="inlineStr">
        <is>
          <t>its own month, never spread</t>
        </is>
      </c>
      <c r="E48" s="3" t="inlineStr">
        <is>
          <t>its_own_month_never_spread</t>
        </is>
      </c>
      <c r="F48" s="3" t="inlineStr">
        <is>
          <t>incomeSummary</t>
        </is>
      </c>
      <c r="G48" s="3" t="inlineStr">
        <is>
          <t>MK-CF-O-004</t>
        </is>
      </c>
      <c r="H48" s="3" t="inlineStr">
        <is>
          <t>the standout month = the source whose whole year lands in a single month, with that amount and that month</t>
        </is>
      </c>
      <c r="I48" s="3" t="inlineStr">
        <is>
          <t>the standout month = the source whose whole year lands in a single month, with that amount and that month</t>
        </is>
      </c>
      <c r="J48" s="3" t="inlineStr">
        <is>
          <t>MK-CF-I-009 bonus
MK-CF-I-010 equity vesting</t>
        </is>
      </c>
      <c r="K48" s="3" t="inlineStr">
        <is>
          <t>dollars, whole</t>
        </is>
      </c>
      <c r="L48" s="3" t="inlineStr">
        <is>
          <t>The line is hidden when no source behaves this way.</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A lump that lands once is never averaged across the year (founder, 2026-08-28).</t>
        </is>
      </c>
      <c r="R48" s="3" t="inlineStr">
        <is>
          <t>A lump that lands once is never averaged across the year (founder, 2026-08-28).</t>
        </is>
      </c>
      <c r="S48" s="3" t="inlineStr"/>
      <c r="T48" s="3" t="inlineStr">
        <is>
          <t>A lump that lands once is never averaged across the year (founder, 2026-08-28).</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NONE YET — no worked example is declared for this figure, so nothing re-runs it (step 6)</t>
        </is>
      </c>
      <c r="AO48" s="7" t="inlineStr">
        <is>
          <t>RULED, NOT CODED (Q-CF-1 — one question, one function)</t>
        </is>
      </c>
    </row>
    <row r="49" ht="60" customHeight="1">
      <c r="A49" s="3" t="inlineStr">
        <is>
          <t>MK-CF-M-040</t>
        </is>
      </c>
      <c r="B49" s="3" t="inlineStr">
        <is>
          <t>Cashflow</t>
        </is>
      </c>
      <c r="C49" s="3" t="inlineStr">
        <is>
          <t>/income-summary</t>
        </is>
      </c>
      <c r="D49" s="3" t="inlineStr">
        <is>
          <t>is not here — it is reinvested where it is earned</t>
        </is>
      </c>
      <c r="E49" s="3" t="inlineStr">
        <is>
          <t>is_not_here__it_is_reinvested_where_it_i</t>
        </is>
      </c>
      <c r="F49" s="3" t="inlineStr">
        <is>
          <t>incomeSummary</t>
        </is>
      </c>
      <c r="G49" s="3" t="inlineStr">
        <is>
          <t>MK-CF-O-004</t>
        </is>
      </c>
      <c r="H49" s="3" t="inlineStr">
        <is>
          <t>taxed but not landed = interest and dividends earned inside accounts, which stay where they are earned</t>
        </is>
      </c>
      <c r="I49" s="3" t="inlineStr">
        <is>
          <t>taxed but not landed = interest and dividends earned inside accounts, which stay where they are earned</t>
        </is>
      </c>
      <c r="J49" s="3" t="inlineStr">
        <is>
          <t>MK-CF-I-011 interest and dividends</t>
        </is>
      </c>
      <c r="K49" s="3" t="inlineStr">
        <is>
          <t>dollars, whole a month</t>
        </is>
      </c>
      <c r="L49" s="3" t="inlineStr">
        <is>
          <t>The sentence is hidden when there is none.</t>
        </is>
      </c>
      <c r="M49" s="3" t="inlineStr">
        <is>
          <t>one figure per household</t>
        </is>
      </c>
      <c r="N49" s="3" t="inlineStr">
        <is>
          <t>a month</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MK-CF-M-041</t>
        </is>
      </c>
      <c r="B50" s="3" t="inlineStr">
        <is>
          <t>Cashflow</t>
        </is>
      </c>
      <c r="C50" s="3" t="inlineStr">
        <is>
          <t>/income-summary</t>
        </is>
      </c>
      <c r="D50" s="3" t="inlineStr">
        <is>
          <t>What it is taxed on</t>
        </is>
      </c>
      <c r="E50" s="3" t="inlineStr">
        <is>
          <t>what_it_is_taxed_on</t>
        </is>
      </c>
      <c r="F50" s="3" t="inlineStr">
        <is>
          <t>incomeSummary</t>
        </is>
      </c>
      <c r="G50" s="3" t="inlineStr">
        <is>
          <t>MK-CF-O-004</t>
        </is>
      </c>
      <c r="H50" s="3" t="inlineStr">
        <is>
          <t>gross a year = Σ of every taxable source over the year, wages included at gross</t>
        </is>
      </c>
      <c r="I50" s="3" t="inlineStr">
        <is>
          <t>gross a year = Σ of every taxable source over the year, wages included at gross</t>
        </is>
      </c>
      <c r="J50" s="3" t="inlineStr">
        <is>
          <t>MK-CF-M-030 gross a year
MK-CF-I-006 other income
MK-CF-I-007 rental income
MK-CF-I-011 interest and dividends</t>
        </is>
      </c>
      <c r="K50" s="3" t="inlineStr">
        <is>
          <t>dollars, whole a year</t>
        </is>
      </c>
      <c r="L50" s="3" t="inlineStr">
        <is>
          <t>Shows $0 on a fresh account, with the door to enter income.</t>
        </is>
      </c>
      <c r="M50" s="3" t="inlineStr">
        <is>
          <t>one figure per household</t>
        </is>
      </c>
      <c r="N50" s="3" t="inlineStr">
        <is>
          <t>a year</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Two earners filing jointly: $4,200 every two weeks ($109,200/year) and $5,000/month ($60,000), paying $1,200 and $400/month into their 401(k)s, with the tax rate typed at 22%.
GIVES: $169,200/year
(the test re-runs this through MK-CF-O-004 incomeSummary on every build)</t>
        </is>
      </c>
      <c r="AO50" s="7" t="inlineStr">
        <is>
          <t>RULED, NOT CODED (Q-CF-1 — one question, one function)</t>
        </is>
      </c>
    </row>
    <row r="51" ht="60" customHeight="1">
      <c r="A51" s="3" t="inlineStr">
        <is>
          <t>MK-CF-M-042</t>
        </is>
      </c>
      <c r="B51" s="3" t="inlineStr">
        <is>
          <t>Cashflow</t>
        </is>
      </c>
      <c r="C51" s="3" t="inlineStr">
        <is>
          <t>/income-summary</t>
        </is>
      </c>
      <c r="D51" s="3" t="inlineStr">
        <is>
          <t>each taxed source</t>
        </is>
      </c>
      <c r="E51" s="3" t="inlineStr">
        <is>
          <t>each_taxed_source</t>
        </is>
      </c>
      <c r="F51" s="3" t="inlineStr">
        <is>
          <t>incomeSummary</t>
        </is>
      </c>
      <c r="G51" s="3" t="inlineStr">
        <is>
          <t>MK-CF-O-004</t>
        </is>
      </c>
      <c r="H51" s="3" t="inlineStr">
        <is>
          <t>one line per taxable source, at its yearly amount</t>
        </is>
      </c>
      <c r="I51" s="3" t="inlineStr">
        <is>
          <t>one line per taxable source, at its yearly amount</t>
        </is>
      </c>
      <c r="J51" s="3" t="inlineStr">
        <is>
          <t>MK-CF-M-041 gross a year</t>
        </is>
      </c>
      <c r="K51" s="3" t="inlineStr">
        <is>
          <t>dollars, whole a year</t>
        </is>
      </c>
      <c r="L51" s="3" t="inlineStr">
        <is>
          <t>The list is replaced by the door to enter income when nothing is entered.</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$109,200/year
(the test re-runs this through MK-CF-O-004 incomeSummary on every build)</t>
        </is>
      </c>
      <c r="AO51" s="7" t="inlineStr">
        <is>
          <t>RULED, NOT CODED (Q-CF-1 — one question, one function)</t>
        </is>
      </c>
    </row>
    <row r="52" ht="60" customHeight="1">
      <c r="A52" s="3" t="inlineStr">
        <is>
          <t>MK-CF-M-043</t>
        </is>
      </c>
      <c r="B52" s="3" t="inlineStr">
        <is>
          <t>Cashflow</t>
        </is>
      </c>
      <c r="C52" s="3" t="inlineStr">
        <is>
          <t>/income-summary</t>
        </is>
      </c>
      <c r="D52" s="3" t="inlineStr">
        <is>
          <t>Federal tax bracket</t>
        </is>
      </c>
      <c r="E52" s="3" t="inlineStr">
        <is>
          <t>federal_tax_bracket</t>
        </is>
      </c>
      <c r="F52" s="3" t="inlineStr">
        <is>
          <t>incomeSummary</t>
        </is>
      </c>
      <c r="G52" s="3" t="inlineStr">
        <is>
          <t>MK-CF-O-004</t>
        </is>
      </c>
      <c r="H52" s="3" t="inlineStr">
        <is>
          <t>the published bracket that the whole year’s gross falls in, for their filing status</t>
        </is>
      </c>
      <c r="I52" s="3" t="inlineStr">
        <is>
          <t>the published bracket that the whole year’s gross falls in, for their filing status</t>
        </is>
      </c>
      <c r="J52" s="3" t="inlineStr">
        <is>
          <t>MK-CF-M-041 gross a year
MK-XS-I-024 filing status</t>
        </is>
      </c>
      <c r="K52" s="3" t="inlineStr">
        <is>
          <t>a percentage, whole</t>
        </is>
      </c>
      <c r="L52" s="3" t="inlineStr">
        <is>
          <t>The row is not shown until income is entered.</t>
        </is>
      </c>
      <c r="M52" s="3" t="inlineStr">
        <is>
          <t>one figure per household</t>
        </is>
      </c>
      <c r="N52" s="3" t="inlineStr">
        <is>
          <t>as of today</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is>
          <t>The same concept as MK-CF-M-032 on the base-pay screen, over a wider base: that one counts wages, this one counts every source. Conflict C-5 on the orchestrator map asks whether they stay two figures.</t>
        </is>
      </c>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22%
(the test re-runs this through MK-CF-O-004 incomeSummary on every build)</t>
        </is>
      </c>
      <c r="AO52" s="7" t="inlineStr">
        <is>
          <t>RULED, NOT CODED (Q-CF-1 — one question, one function)</t>
        </is>
      </c>
    </row>
    <row r="53" ht="60" customHeight="1">
      <c r="A53" s="3" t="inlineStr">
        <is>
          <t>MK-CF-M-044</t>
        </is>
      </c>
      <c r="B53" s="3" t="inlineStr">
        <is>
          <t>Cashflow</t>
        </is>
      </c>
      <c r="C53" s="3" t="inlineStr">
        <is>
          <t>/income-summary</t>
        </is>
      </c>
      <c r="D53" s="3" t="inlineStr">
        <is>
          <t>Calculated federal tax</t>
        </is>
      </c>
      <c r="E53" s="3" t="inlineStr">
        <is>
          <t>calculated_federal_tax</t>
        </is>
      </c>
      <c r="F53" s="3" t="inlineStr">
        <is>
          <t>incomeSummary</t>
        </is>
      </c>
      <c r="G53" s="3" t="inlineStr">
        <is>
          <t>MK-CF-O-004</t>
        </is>
      </c>
      <c r="H53" s="3" t="inlineStr">
        <is>
          <t>tax a year = the rate in force × the year’s gross; when it is ours, federal tax on gross less the standard deduction at the published bands</t>
        </is>
      </c>
      <c r="I53" s="3" t="inlineStr">
        <is>
          <t>tax a year = the rate in force × the year’s gross; when it is ours, federal tax on gross less the standard deduction at the published bands</t>
        </is>
      </c>
      <c r="J53" s="3" t="inlineStr">
        <is>
          <t>MK-CF-M-041 gross a year
MK-CF-I-005 tax rate as entered
MK-XS-I-024 filing status</t>
        </is>
      </c>
      <c r="K53" s="3" t="inlineStr">
        <is>
          <t>dollars, whole a year</t>
        </is>
      </c>
      <c r="L53" s="3" t="inlineStr">
        <is>
          <t>The row is not shown until income is entered.</t>
        </is>
      </c>
      <c r="M53" s="3" t="inlineStr">
        <is>
          <t>one figure per household</t>
        </is>
      </c>
      <c r="N53" s="3" t="inlineStr">
        <is>
          <t>a year</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When it is ours it assumes the standard deduction and is federal only (MK-CF-D-002).</t>
        </is>
      </c>
      <c r="R53" s="3" t="inlineStr">
        <is>
          <t>When it is ours it assumes the standard deduction and is federal only (MK-CF-D-002).</t>
        </is>
      </c>
      <c r="S53" s="3" t="inlineStr"/>
      <c r="T53" s="3" t="inlineStr">
        <is>
          <t>When it is ours it assumes the standard deduction and is federal only (MK-CF-D-002).</t>
        </is>
      </c>
      <c r="U53" s="3" t="inlineStr"/>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$37,224/year
(the test re-runs this through MK-CF-O-004 incomeSummary on every build)</t>
        </is>
      </c>
      <c r="AO53" s="7" t="inlineStr">
        <is>
          <t>RULED, NOT CODED (Q-CF-1 — one question, one function)</t>
        </is>
      </c>
    </row>
    <row r="54" ht="60" customHeight="1">
      <c r="A54" s="3" t="inlineStr">
        <is>
          <t>MK-CF-M-045</t>
        </is>
      </c>
      <c r="B54" s="3" t="inlineStr">
        <is>
          <t>Cashflow</t>
        </is>
      </c>
      <c r="C54" s="3" t="inlineStr">
        <is>
          <t>/base-pay</t>
        </is>
      </c>
      <c r="D54" s="3" t="inlineStr">
        <is>
          <t>Social Security takes 6.2% of a wage up to</t>
        </is>
      </c>
      <c r="E54" s="3" t="inlineStr">
        <is>
          <t>social_security_takes_62_of_a_wage_up_to</t>
        </is>
      </c>
      <c r="F54" s="3" t="inlineStr">
        <is>
          <t>basePay</t>
        </is>
      </c>
      <c r="G54" s="3" t="inlineStr">
        <is>
          <t>MK-CF-O-001</t>
        </is>
      </c>
      <c r="H54" s="3" t="inlineStr">
        <is>
          <t>the published wage base for the tax year</t>
        </is>
      </c>
      <c r="I54" s="3" t="inlineStr">
        <is>
          <t>the published wage base for the tax year</t>
        </is>
      </c>
      <c r="J54" s="3" t="inlineStr">
        <is>
          <t>MK-ST-I-030 Social Security wage base</t>
        </is>
      </c>
      <c r="K54" s="3" t="inlineStr">
        <is>
          <t>dollars, whole a year</t>
        </is>
      </c>
      <c r="L54" s="3" t="inlineStr">
        <is>
          <t>Never absent — it is a published figure, not a calculation.</t>
        </is>
      </c>
      <c r="M54" s="3" t="inlineStr">
        <is>
          <t>one figure per household</t>
        </is>
      </c>
      <c r="N54" s="3" t="inlineStr">
        <is>
          <t>a year</t>
        </is>
      </c>
      <c r="O5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4" s="3" t="inlineStr">
        <is>
          <t>Declared by MK-CF-O-001 basePay</t>
        </is>
      </c>
      <c r="Q54" s="3" t="inlineStr">
        <is>
          <t>Published figure — the source and the year it applies to are on the master file’s Reference tab (guard D4).</t>
        </is>
      </c>
      <c r="R54" s="3" t="inlineStr">
        <is>
          <t>Published figure — the source and the year it applies to are on the master file’s Reference tab (guard D4).</t>
        </is>
      </c>
      <c r="S54" s="3" t="inlineStr"/>
      <c r="T54" s="3" t="inlineStr">
        <is>
          <t>Published figure — the source and the year it applies to are on the master file’s Reference tab (guard D4).</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MK-CF-O-001 basePay</t>
        </is>
      </c>
      <c r="AN54"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4" s="7" t="inlineStr">
        <is>
          <t>RULED, NOT CODED (Q-CF-1 — one question, one function)</t>
        </is>
      </c>
    </row>
    <row r="55" ht="60" customHeight="1">
      <c r="A55" s="3" t="inlineStr">
        <is>
          <t>MK-CF-M-046</t>
        </is>
      </c>
      <c r="B55" s="3" t="inlineStr">
        <is>
          <t>Cashflow</t>
        </is>
      </c>
      <c r="C55" s="3" t="inlineStr">
        <is>
          <t>/base-pay</t>
        </is>
      </c>
      <c r="D55" s="3" t="inlineStr">
        <is>
          <t>Medicare 1.45% of everything, 0.9% more above</t>
        </is>
      </c>
      <c r="E55" s="3" t="inlineStr">
        <is>
          <t>medicare_145_of_everything_09_more_above</t>
        </is>
      </c>
      <c r="F55" s="3" t="inlineStr">
        <is>
          <t>basePay</t>
        </is>
      </c>
      <c r="G55" s="3" t="inlineStr">
        <is>
          <t>MK-CF-O-001</t>
        </is>
      </c>
      <c r="H55" s="3" t="inlineStr">
        <is>
          <t>the published additional-Medicare-tax threshold for the tax year</t>
        </is>
      </c>
      <c r="I55" s="3" t="inlineStr">
        <is>
          <t>the published additional-Medicare-tax threshold for the tax year</t>
        </is>
      </c>
      <c r="J55" s="3" t="inlineStr">
        <is>
          <t>MK-ST-I-031 Medicare additional-tax threshold</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5" s="7" t="inlineStr">
        <is>
          <t>RULED, NOT CODED (Q-CF-1 — one question, one function)</t>
        </is>
      </c>
    </row>
    <row r="56" ht="60" customHeight="1">
      <c r="A56" s="3" t="inlineStr">
        <is>
          <t>MK-CF-M-047</t>
        </is>
      </c>
      <c r="B56" s="3" t="inlineStr">
        <is>
          <t>Cashflow</t>
        </is>
      </c>
      <c r="C56" s="3" t="inlineStr">
        <is>
          <t>/cashflow · /month-detail</t>
        </is>
      </c>
      <c r="D56" s="3" t="inlineStr">
        <is>
          <t>Expected inflow</t>
        </is>
      </c>
      <c r="E56" s="3" t="inlineStr">
        <is>
          <t>expected_inflow</t>
        </is>
      </c>
      <c r="F56" s="3" t="inlineStr">
        <is>
          <t>thisMonth</t>
        </is>
      </c>
      <c r="G56" s="3" t="inlineStr">
        <is>
          <t>MK-CF-O-003</t>
        </is>
      </c>
      <c r="H56" s="3" t="inlineStr">
        <is>
          <t>expected inflow = Σ of every income source that lands in this month, at its take-home amount; a source that lands once a year counts only in the month it lands</t>
        </is>
      </c>
      <c r="I56" s="3" t="inlineStr">
        <is>
          <t>expected inflow = Σ of every income source that lands in this month, at its take-home amount; a source that lands once a year counts only in the month it lands</t>
        </is>
      </c>
      <c r="J56" s="3" t="inlineStr">
        <is>
          <t>MK-CF-M-037 take-home each month
MK-CF-I-006 other income
MK-CF-I-007 rental income
MK-CF-I-008 retirement income</t>
        </is>
      </c>
      <c r="K56" s="3" t="inlineStr">
        <is>
          <t>dollars, whole a month</t>
        </is>
      </c>
      <c r="L56" s="3" t="inlineStr">
        <is>
          <t>Shows $0 until income is entered, with the door to enter it.</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A month is a real calendar month, never a twelfth of a year (founder, 2026-08-28).</t>
        </is>
      </c>
      <c r="R56" s="3" t="inlineStr">
        <is>
          <t>A month is a real calendar month, never a twelfth of a year (founder, 2026-08-28).</t>
        </is>
      </c>
      <c r="S56" s="3" t="inlineStr"/>
      <c r="T56" s="3" t="inlineStr">
        <is>
          <t>A month is a real calendar month, never a twelfth of a year (founder, 2026-08-28).</t>
        </is>
      </c>
      <c r="U56" s="3" t="inlineStr"/>
      <c r="V56" s="3" t="inlineStr"/>
      <c r="W56" s="3" t="inlineStr">
        <is>
          <t>yes</t>
        </is>
      </c>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MK-CF-M-048</t>
        </is>
      </c>
      <c r="B57" s="3" t="inlineStr">
        <is>
          <t>Cashflow</t>
        </is>
      </c>
      <c r="C57" s="3" t="inlineStr">
        <is>
          <t>/cashflow · /month-detail</t>
        </is>
      </c>
      <c r="D57" s="3" t="inlineStr">
        <is>
          <t>Planned outflow (expenses + debt)</t>
        </is>
      </c>
      <c r="E57" s="3" t="inlineStr">
        <is>
          <t>planned_outflow_expenses__debt</t>
        </is>
      </c>
      <c r="F57" s="3" t="inlineStr">
        <is>
          <t>thisMonth</t>
        </is>
      </c>
      <c r="G57" s="3" t="inlineStr">
        <is>
          <t>MK-CF-O-003</t>
        </is>
      </c>
      <c r="H57" s="3" t="inlineStr">
        <is>
          <t>planned outflow = planned everyday expenses + Σ of the debt payments due this month + Σ of the big bills that fall in this month</t>
        </is>
      </c>
      <c r="I57" s="3" t="inlineStr">
        <is>
          <t>planned outflow = planned everyday expenses + Σ of the debt payments due this month + Σ of the big bills that fall in this month</t>
        </is>
      </c>
      <c r="J57" s="3" t="inlineStr">
        <is>
          <t>MK-CF-I-012 planned expenses
MK-CF-I-013 debt payment
MK-CF-I-014 big bill</t>
        </is>
      </c>
      <c r="K57" s="3" t="inlineStr">
        <is>
          <t>dollars, whole a month</t>
        </is>
      </c>
      <c r="L57" s="3" t="inlineStr">
        <is>
          <t>Shows $0 until expenses or debts are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debt payment is counted as an outflow, not as saving (founder, 2026-06-21).
A bill that falls once a year is shown in its own month, never spread.</t>
        </is>
      </c>
      <c r="R57" s="3" t="inlineStr">
        <is>
          <t>A debt payment is counted as an outflow, not as saving (founder, 2026-06-21).
A bill that falls once a year is shown in its own month, never spread.</t>
        </is>
      </c>
      <c r="S57" s="3" t="inlineStr"/>
      <c r="T57" s="3" t="inlineStr">
        <is>
          <t>A debt payment is counted as an outflow, not as saving (founder, 2026-06-21).
A bill that falls once a year is shown in its own month, never spread.</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-$6,050/month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MK-CF-M-049</t>
        </is>
      </c>
      <c r="B58" s="3" t="inlineStr">
        <is>
          <t>Cashflow</t>
        </is>
      </c>
      <c r="C58" s="3" t="inlineStr">
        <is>
          <t>/cashflow · /month-detail</t>
        </is>
      </c>
      <c r="D58" s="3">
        <f> Planned surplus</f>
        <v/>
      </c>
      <c r="E58" s="3" t="inlineStr">
        <is>
          <t>planned_surplus</t>
        </is>
      </c>
      <c r="F58" s="3" t="inlineStr">
        <is>
          <t>thisMonth</t>
        </is>
      </c>
      <c r="G58" s="3" t="inlineStr">
        <is>
          <t>MK-CF-O-003</t>
        </is>
      </c>
      <c r="H58" s="3" t="inlineStr">
        <is>
          <t>planned surplus = expected inflow − planned outflow</t>
        </is>
      </c>
      <c r="I58" s="3" t="inlineStr">
        <is>
          <t>planned surplus = expected inflow − planned outflow</t>
        </is>
      </c>
      <c r="J58" s="3" t="inlineStr">
        <is>
          <t>MK-CF-M-047 expected inflow
MK-CF-M-048 planned outflow</t>
        </is>
      </c>
      <c r="K58" s="3" t="inlineStr">
        <is>
          <t>dollars, whole a month</t>
        </is>
      </c>
      <c r="L58" s="3" t="inlineStr">
        <is>
          <t>Shows $0 until both sides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$1,150/month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MK-CF-M-050</t>
        </is>
      </c>
      <c r="B59" s="3" t="inlineStr">
        <is>
          <t>Cashflow</t>
        </is>
      </c>
      <c r="C59" s="3" t="inlineStr">
        <is>
          <t>/cashflow · /month-detail</t>
        </is>
      </c>
      <c r="D59" s="3" t="inlineStr">
        <is>
          <t>each planned line</t>
        </is>
      </c>
      <c r="E59" s="3" t="inlineStr">
        <is>
          <t>each_planned_line</t>
        </is>
      </c>
      <c r="F59" s="3" t="inlineStr">
        <is>
          <t>thisMonth</t>
        </is>
      </c>
      <c r="G59" s="3" t="inlineStr">
        <is>
          <t>MK-CF-O-003</t>
        </is>
      </c>
      <c r="H59" s="3" t="inlineStr">
        <is>
          <t>one line per source or commitment that falls in this month, at its amount for this month</t>
        </is>
      </c>
      <c r="I59" s="3" t="inlineStr">
        <is>
          <t>one line per source or commitment that falls in this month, at its amount for this month</t>
        </is>
      </c>
      <c r="J59" s="3" t="inlineStr">
        <is>
          <t>MK-CF-M-047 expected inflow
MK-CF-M-048 planned outflow</t>
        </is>
      </c>
      <c r="K59" s="3" t="inlineStr">
        <is>
          <t>dollars, whole a month</t>
        </is>
      </c>
      <c r="L59" s="3" t="inlineStr">
        <is>
          <t>The list is replaced by the door to enter income or expenses when nothing is entered.</t>
        </is>
      </c>
      <c r="M59" s="3" t="inlineStr">
        <is>
          <t>one figure per line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-$2,400/month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MK-CF-M-051</t>
        </is>
      </c>
      <c r="B60" s="3" t="inlineStr">
        <is>
          <t>Cashflow</t>
        </is>
      </c>
      <c r="C60" s="3" t="inlineStr">
        <is>
          <t>/cashflow · /month-detail · /home</t>
        </is>
      </c>
      <c r="D60" s="3" t="inlineStr">
        <is>
          <t>Inflow</t>
        </is>
      </c>
      <c r="E60" s="3" t="inlineStr">
        <is>
          <t>inflow</t>
        </is>
      </c>
      <c r="F60" s="3" t="inlineStr">
        <is>
          <t>thisMonth</t>
        </is>
      </c>
      <c r="G60" s="3" t="inlineStr">
        <is>
          <t>MK-CF-O-003</t>
        </is>
      </c>
      <c r="H60" s="3" t="inlineStr">
        <is>
          <t>inflow so far = Σ of the income recorded as received in this month up to today</t>
        </is>
      </c>
      <c r="I60" s="3" t="inlineStr">
        <is>
          <t>inflow so far = Σ of the income recorded as received in this month up to today</t>
        </is>
      </c>
      <c r="J60" s="3" t="inlineStr">
        <is>
          <t>MK-CF-I-015 income recorded as received</t>
        </is>
      </c>
      <c r="K60" s="3" t="inlineStr">
        <is>
          <t>dollars, whole a month</t>
        </is>
      </c>
      <c r="L60" s="3" t="inlineStr">
        <is>
          <t>Shows $0 until something is recorded as received.</t>
        </is>
      </c>
      <c r="M60" s="3" t="inlineStr">
        <is>
          <t>one figure per household per month</t>
        </is>
      </c>
      <c r="N60" s="3" t="inlineStr">
        <is>
          <t>a month</t>
        </is>
      </c>
      <c r="O60" s="3" t="inlineStr">
        <is>
          <t>1. MK-CF-F-005 (actualMonthFlow) → MonthBlock
2. MK-CF-F-156 (plannedMonthFlow) → MonthBlock</t>
        </is>
      </c>
      <c r="P60" s="3" t="inlineStr">
        <is>
          <t>Declared by MK-CF-O-003 thisMonth</t>
        </is>
      </c>
      <c r="Q60" s="3" t="inlineStr">
        <is>
          <t>Nothing is assumed to have arrived; a source counts only once it is recorded (founder, 2026-08-28).</t>
        </is>
      </c>
      <c r="R60" s="3" t="inlineStr">
        <is>
          <t>Nothing is assumed to have arrived; a source counts only once it is recorded (founder, 2026-08-28).</t>
        </is>
      </c>
      <c r="S60" s="3" t="inlineStr"/>
      <c r="T60" s="3" t="inlineStr">
        <is>
          <t>Nothing is assumed to have arrived; a source counts only once it is recorded (founder, 2026-08-28).</t>
        </is>
      </c>
      <c r="U60" s="3" t="inlineStr">
        <is>
          <t>The words beside it name what is inside it — "Inflow (income (take-home) + rent)" — his cluster 5 ruling of 2026-09-10.</t>
        </is>
      </c>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$7,200/month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MK-CF-M-052</t>
        </is>
      </c>
      <c r="B61" s="3" t="inlineStr">
        <is>
          <t>Cashflow</t>
        </is>
      </c>
      <c r="C61" s="3" t="inlineStr">
        <is>
          <t>/cashflow · /month-detail · /home</t>
        </is>
      </c>
      <c r="D61" s="3" t="inlineStr">
        <is>
          <t>Outflow (expenses + debt)</t>
        </is>
      </c>
      <c r="E61" s="3" t="inlineStr">
        <is>
          <t>outflow_expenses__debt</t>
        </is>
      </c>
      <c r="F61" s="3" t="inlineStr">
        <is>
          <t>thisMonth</t>
        </is>
      </c>
      <c r="G61" s="3" t="inlineStr">
        <is>
          <t>MK-CF-O-003</t>
        </is>
      </c>
      <c r="H61" s="3" t="inlineStr">
        <is>
          <t>outflow so far = expenses logged so far this month + Σ of the debt payments due this month</t>
        </is>
      </c>
      <c r="I61" s="3" t="inlineStr">
        <is>
          <t>outflow so far = expenses logged so far this month + Σ of the debt payments due this month</t>
        </is>
      </c>
      <c r="J61" s="3" t="inlineStr">
        <is>
          <t>MK-CF-I-016 logged expense
MK-CF-I-013 debt payment</t>
        </is>
      </c>
      <c r="K61" s="3" t="inlineStr">
        <is>
          <t>dollars, whole a month</t>
        </is>
      </c>
      <c r="L61" s="3" t="inlineStr">
        <is>
          <t>Shows $0 until an expense is logged or a debt is entered.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Debt payments are counted in full for the month, logged or not, because they are committed.</t>
        </is>
      </c>
      <c r="R61" s="3" t="inlineStr">
        <is>
          <t>Debt payments are counted in full for the month, logged or not, because they are committed.</t>
        </is>
      </c>
      <c r="S61" s="3" t="inlineStr"/>
      <c r="T61" s="3" t="inlineStr">
        <is>
          <t>Debt payments are counted in full for the month, logged or not, because they are committed.</t>
        </is>
      </c>
      <c r="U61" s="3" t="inlineStr"/>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-$3,248/month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MK-CF-M-053</t>
        </is>
      </c>
      <c r="B62" s="3" t="inlineStr">
        <is>
          <t>Cashflow</t>
        </is>
      </c>
      <c r="C62" s="3" t="inlineStr">
        <is>
          <t>/cashflow · /month-detail · /home</t>
        </is>
      </c>
      <c r="D62" s="3">
        <f> Surplus</f>
        <v/>
      </c>
      <c r="E62" s="3" t="inlineStr">
        <is>
          <t>surplus</t>
        </is>
      </c>
      <c r="F62" s="3" t="inlineStr">
        <is>
          <t>thisMonth</t>
        </is>
      </c>
      <c r="G62" s="3" t="inlineStr">
        <is>
          <t>MK-CF-O-003</t>
        </is>
      </c>
      <c r="H62" s="3" t="inlineStr">
        <is>
          <t>surplus so far = inflow so far − outflow so far</t>
        </is>
      </c>
      <c r="I62" s="3" t="inlineStr">
        <is>
          <t>surplus so far = inflow so far − outflow so far</t>
        </is>
      </c>
      <c r="J62" s="3" t="inlineStr">
        <is>
          <t>MK-CF-M-051 inflow so far
MK-CF-M-052 outflow so far</t>
        </is>
      </c>
      <c r="K62" s="3" t="inlineStr">
        <is>
          <t>dollars, whole a month</t>
        </is>
      </c>
      <c r="L62" s="3" t="inlineStr">
        <is>
          <t>Shows $0 until something is recorded.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NONE RECORDED — the declaration names none.</t>
        </is>
      </c>
      <c r="R62" s="3" t="inlineStr">
        <is>
          <t>NONE RECORDED — the declaration names none.</t>
        </is>
      </c>
      <c r="S62" s="3" t="inlineStr"/>
      <c r="T62" s="3" t="inlineStr">
        <is>
          <t>NONE RECORDED — the declaration names none.</t>
        </is>
      </c>
      <c r="U62" s="3" t="inlineStr">
        <is>
          <t>The Cash flow screen used to subtract this itself (rule 5). It is the door’s figure now.</t>
        </is>
      </c>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$3,952/month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MK-CF-M-054</t>
        </is>
      </c>
      <c r="B63" s="3" t="inlineStr">
        <is>
          <t>Cashflow</t>
        </is>
      </c>
      <c r="C63" s="3" t="inlineStr">
        <is>
          <t>/cashflow · /month-detail</t>
        </is>
      </c>
      <c r="D63" s="3" t="inlineStr">
        <is>
          <t>each received line</t>
        </is>
      </c>
      <c r="E63" s="3" t="inlineStr">
        <is>
          <t>each_received_line</t>
        </is>
      </c>
      <c r="F63" s="3" t="inlineStr">
        <is>
          <t>thisMonth</t>
        </is>
      </c>
      <c r="G63" s="3" t="inlineStr">
        <is>
          <t>MK-CF-O-003</t>
        </is>
      </c>
      <c r="H63" s="3" t="inlineStr">
        <is>
          <t>one line per payment recorded as received in this month, at its amount</t>
        </is>
      </c>
      <c r="I63" s="3" t="inlineStr">
        <is>
          <t>one line per payment recorded as received in this month, at its amount</t>
        </is>
      </c>
      <c r="J63" s="3" t="inlineStr">
        <is>
          <t>MK-CF-I-015 income recorded as received</t>
        </is>
      </c>
      <c r="K63" s="3" t="inlineStr">
        <is>
          <t>dollars, whole a month</t>
        </is>
      </c>
      <c r="L63" s="3" t="inlineStr">
        <is>
          <t>The list is replaced by the door to record income when nothing is recorded.</t>
        </is>
      </c>
      <c r="M63" s="3" t="inlineStr">
        <is>
          <t>one figure per payment</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-$250/month
(the test re-runs this through MK-CF-O-003 thisMonth on every build)</t>
        </is>
      </c>
      <c r="AO63" s="9" t="inlineStr">
        <is>
          <t>WAITING ON YOU — row to approve: say yes in YOUR ANSWER, or say what changes · RULED, NOT CODED (Q-CF-2 — one question, one function)</t>
        </is>
      </c>
    </row>
  </sheetData>
  <autoFilter ref="A1:AO6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MK-MN-M-022</t>
        </is>
      </c>
      <c r="B37" s="3" t="inlineStr">
        <is>
          <t>Menu</t>
        </is>
      </c>
      <c r="C37" s="3" t="inlineStr">
        <is>
          <t>/other-investments</t>
        </is>
      </c>
      <c r="D37" s="3" t="inlineStr">
        <is>
          <t>the total value of these investments</t>
        </is>
      </c>
      <c r="E37" s="3" t="inlineStr">
        <is>
          <t>the_total_value_of_these_investments</t>
        </is>
      </c>
      <c r="F37" s="3" t="inlineStr">
        <is>
          <t>theNetWorth</t>
        </is>
      </c>
      <c r="G37" s="3" t="inlineStr">
        <is>
          <t>MK-NW-O-003</t>
        </is>
      </c>
      <c r="H37" s="3" t="inlineStr">
        <is>
          <t>the sum of every account whose class is alternatives</t>
        </is>
      </c>
      <c r="I37" s="3" t="inlineStr">
        <is>
          <t>the sum of every account whose class is alternatives</t>
        </is>
      </c>
      <c r="J37" s="3" t="inlineStr">
        <is>
          <t>MK-NW-I-001 your accounts</t>
        </is>
      </c>
      <c r="K37" s="3" t="inlineStr">
        <is>
          <t>dollars, whole</t>
        </is>
      </c>
      <c r="L37" s="3" t="inlineStr">
        <is>
          <t>$0, and under it the one line "Nothing entered yet. Add an investment ›" (mock approved 2026-09-12). A real zero that was entered shows a plain $0 with no line.</t>
        </is>
      </c>
      <c r="M37" s="3" t="inlineStr">
        <is>
          <t>one figure per household</t>
        </is>
      </c>
      <c r="N37" s="3" t="inlineStr">
        <is>
          <t>as of today</t>
        </is>
      </c>
      <c r="O3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7" s="3" t="inlineStr">
        <is>
          <t>Declared by MK-NW-O-003 theNetWorth</t>
        </is>
      </c>
      <c r="Q37" s="3" t="inlineStr">
        <is>
          <t>It is the Alternatives SLICE of net worth and must equal what the Net worth tab shows for that class — which is why it sits behind this door (founder, 2026-09-27: "ok").</t>
        </is>
      </c>
      <c r="R37" s="3" t="inlineStr">
        <is>
          <t>It is the Alternatives SLICE of net worth and must equal what the Net worth tab shows for that class — which is why it sits behind this door (founder, 2026-09-27: "ok").</t>
        </is>
      </c>
      <c r="S37" s="3" t="inlineStr"/>
      <c r="T37" s="3" t="inlineStr">
        <is>
          <t>It is the Alternatives SLICE of net worth and must equal what the Net worth tab shows for that class — which is why it sits behind this door (founder, 2026-09-27: "ok").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G32 / Q48 — RULED 2026-09-09: $0 stays, with the sentence '$0 — nothing entered yet.' and this row's door ('Add an investment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MK-NW-O-003 theNetWorth</t>
        </is>
      </c>
      <c r="AN37"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37" s="7" t="inlineStr">
        <is>
          <t>RULED, NOT CODED (Q-NW-1 — one question, one function)</t>
        </is>
      </c>
    </row>
    <row r="38" ht="60" customHeight="1">
      <c r="A38" s="3" t="inlineStr">
        <is>
          <t>MK-MN-M-023</t>
        </is>
      </c>
      <c r="B38" s="3" t="inlineStr">
        <is>
          <t>Menu</t>
        </is>
      </c>
      <c r="C38" s="3" t="inlineStr">
        <is>
          <t>/other-investments</t>
        </is>
      </c>
      <c r="D38" s="3" t="inlineStr">
        <is>
          <t>EST. GROWTH</t>
        </is>
      </c>
      <c r="E38" s="3" t="inlineStr">
        <is>
          <t>est_growth</t>
        </is>
      </c>
      <c r="F38" s="3" t="inlineStr">
        <is>
          <t>theAlternativesOutlook</t>
        </is>
      </c>
      <c r="G38" s="3" t="inlineStr">
        <is>
          <t>MK-NW-O-005</t>
        </is>
      </c>
      <c r="H38" s="3" t="inlineStr">
        <is>
          <t>each holding’s value × the historical benchmark for its kind, added up</t>
        </is>
      </c>
      <c r="I38" s="3" t="inlineStr">
        <is>
          <t>each holding’s value × the historical benchmark for its kind, added up</t>
        </is>
      </c>
      <c r="J38" s="3" t="inlineStr">
        <is>
          <t>MK-NW-I-001 your accounts</t>
        </is>
      </c>
      <c r="K38" s="3" t="inlineStr">
        <is>
          <t>dollars, whole a year</t>
        </is>
      </c>
      <c r="L38" s="3" t="inlineStr">
        <is>
          <t>$0, and under it the one line "Nothing entered yet. Add an investment ›" (mock approved 2026-09-12). A real zero that was entered shows a plain $0 with no line.</t>
        </is>
      </c>
      <c r="M38" s="3" t="inlineStr">
        <is>
          <t>one figure per household</t>
        </is>
      </c>
      <c r="N38" s="3" t="inlineStr">
        <is>
          <t>a year</t>
        </is>
      </c>
      <c r="O38" s="3" t="inlineStr">
        <is>
          <t>1. MK-NW-F-002 (alternativesSummary) → AltSummary
2. MK-NW-F-037 (blendedReturn) → number</t>
        </is>
      </c>
      <c r="P38" s="3" t="inlineStr">
        <is>
          <t>Declared by MK-NW-O-005 theAlternativesOutlook</t>
        </is>
      </c>
      <c r="Q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38" s="3" t="inlineStr"/>
      <c r="T38"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G32 / Q48 — RULED 2026-09-09: $0 stays, with the sentence '$0 — nothing entered yet.' and this row's door ('Add an investment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MK-NW-F-002, MK-NW-F-031, MK-NW-F-032, MK-NW-O-005, MK-ST-F-027
2. MK-XS-I-002 account type (taxable, pre-tax, Roth) — read by MK-NW-F-001, MK-NW-F-011, MK-NW-F-037, MK-NW-O-005
3. MK-XS-I-004 holding quantity (shares) — read by MK-ST-F-027
4. MK-XS-I-005 holding price — read by MK-ST-F-027
5. MK-XS-I-007 purchase price and date (per lot) — read by MK-ST-F-027
6. MK-XS-I-013 bond maturity date — read by MK-NW-F-001, MK-NW-F-011, MK-ST-F-010
7. MK-XS-I-028 assumed return — read by MK-NW-O-005
8. MK-XS-I-048 the person’s own asset-class answer — read by MK-NW-F-011, MK-NW-O-005, MK-ST-F-027
9. MK-XS-I-050 the share of an account earmarked for retirement — read by MK-NW-F-032
10.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MK-NW-O-005 theAlternativesOutlook</t>
        </is>
      </c>
      <c r="AN38" s="3" t="inlineStr">
        <is>
          <t>$9,000 of gold and $6,000 of bitcoin — $15,000 of other investments, at their kinds' own benchmark rates.
GIVES: $1,218/year
(the test re-runs this through MK-NW-O-005 theAlternativesOutlook on every build)</t>
        </is>
      </c>
      <c r="AO38" s="3" t="inlineStr">
        <is>
          <t>NOTHING OPEN</t>
        </is>
      </c>
    </row>
    <row r="39" ht="60" customHeight="1">
      <c r="A39" s="3" t="inlineStr">
        <is>
          <t>MK-MN-M-024</t>
        </is>
      </c>
      <c r="B39" s="3" t="inlineStr">
        <is>
          <t>Menu</t>
        </is>
      </c>
      <c r="C39" s="3" t="inlineStr">
        <is>
          <t>/stress-test</t>
        </is>
      </c>
      <c r="D39" s="3" t="inlineStr">
        <is>
          <t>You could cover a $X hit</t>
        </is>
      </c>
      <c r="E39" s="3" t="inlineStr">
        <is>
          <t>you_could_cover_a_x_hit</t>
        </is>
      </c>
      <c r="F39" s="3" t="inlineStr">
        <is>
          <t>emergencyTest (with the essentials figure from essentialsMonthly)</t>
        </is>
      </c>
      <c r="G39" s="3" t="inlineStr">
        <is>
          <t>MK-CF-F-010 (← MK-CF-F-190)</t>
        </is>
      </c>
      <c r="H39" s="3" t="inlineStr">
        <is>
          <t>cash after = cash − the shock; runway after = cash after ÷ essentials a month, where essentials a month = MK-CF-F-190 (logged average, else the typed categories)</t>
        </is>
      </c>
      <c r="I39" s="3" t="inlineStr">
        <is>
          <t>Takes a one-off hit out of the cash on hand and shows what would be left and how many months of essentials it would cover — dividing by the same essentials figure the other cards use, labelled with the months it stands on.</t>
        </is>
      </c>
      <c r="J39" s="3" t="inlineStr">
        <is>
          <t>1. every logged expense → expenses [MK-XS-I-024]
2. the typed fallback → typed monthly expenses / essentials [MK-XS-I-025]
3. cash on hand → the Cash class [MK-XS-I-001]</t>
        </is>
      </c>
      <c r="K39" s="3" t="inlineStr">
        <is>
          <t>dollars, whole</t>
        </is>
      </c>
      <c r="L39" s="3" t="inlineStr">
        <is>
          <t>$0, and under it the one line "Nothing entered yet. Add your accounts ›" (mock approved 2026-09-12). A real zero that was entered shows a plain $0 with no line.</t>
        </is>
      </c>
      <c r="M39" s="3" t="inlineStr">
        <is>
          <t>one figure per household</t>
        </is>
      </c>
      <c r="N39" s="3" t="inlineStr">
        <is>
          <t>as of today</t>
        </is>
      </c>
      <c r="O39" s="3" t="inlineStr">
        <is>
          <t>1. MK-CF-F-155 (cash) → number
2. MK-CF-F-009 (monthlyEssentials) → number
3. MK-CF-F-189 (essentialsFromLoggedSpending) → EssentialsAverage | null
4.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9" t="inlineStr">
        <is>
          <t>Q29 — What size of shock should the test use by default, and should it be a fixed dollar figure or a share of the person's expenses?</t>
        </is>
      </c>
      <c r="W39" s="9"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9" s="9" t="inlineStr">
        <is>
          <t>WAITING ON YOU — question Q29 · RULED, NOT CODED (Q-NW-5 — one question, one function)</t>
        </is>
      </c>
    </row>
    <row r="40" ht="60" customHeight="1">
      <c r="A40" s="3" t="inlineStr">
        <is>
          <t>MK-MN-M-025</t>
        </is>
      </c>
      <c r="B40" s="3" t="inlineStr">
        <is>
          <t>Menu</t>
        </is>
      </c>
      <c r="C40" s="3" t="inlineStr">
        <is>
          <t>/stress-test</t>
        </is>
      </c>
      <c r="D40" s="3" t="inlineStr">
        <is>
          <t>You'd have $X left — about N months of essentials</t>
        </is>
      </c>
      <c r="E40" s="3" t="inlineStr">
        <is>
          <t>youd_have_x_left__about_n_months_of_esse</t>
        </is>
      </c>
      <c r="F40" s="3" t="inlineStr">
        <is>
          <t>emergencyTest (with the essentials figure from essentialsMonthly)</t>
        </is>
      </c>
      <c r="G40" s="3" t="inlineStr">
        <is>
          <t>MK-CF-F-010 (← MK-CF-F-190)</t>
        </is>
      </c>
      <c r="H40" s="3" t="inlineStr">
        <is>
          <t>runway after = max(0, cash − shock) ÷ essentials a month (MK-CF-F-190)</t>
        </is>
      </c>
      <c r="I40" s="3" t="inlineStr">
        <is>
          <t>'You'd have $X left — about N months of essentials ($Y/mo — 7 month average).'</t>
        </is>
      </c>
      <c r="J40" s="3" t="inlineStr">
        <is>
          <t>1. every logged expense → expenses [MK-XS-I-024]
2. the typed fallback → typed monthly expenses / essentials [MK-XS-I-025]
3. cash on hand → the Cash class [MK-XS-I-001]</t>
        </is>
      </c>
      <c r="K40" s="3" t="inlineStr">
        <is>
          <t>a sentence</t>
        </is>
      </c>
      <c r="L40" s="3" t="inlineStr">
        <is>
          <t>$0, and under it the one line "Nothing entered yet. Add your accounts ›" (mock approved 2026-09-12). A real zero that was entered shows a plain $0 with no line.</t>
        </is>
      </c>
      <c r="M40" s="3" t="inlineStr">
        <is>
          <t>one figure per household</t>
        </is>
      </c>
      <c r="N40" s="3" t="inlineStr">
        <is>
          <t>as of today</t>
        </is>
      </c>
      <c r="O40" s="3" t="inlineStr">
        <is>
          <t>1. MK-CF-F-155 (cash) → number
2. MK-CF-F-009 (monthlyEssentials) → number
3. MK-CF-F-189 (essentialsFromLoggedSpending) → EssentialsAverage | null
4. MK-CF-O-002 (expenses) → Expenses</t>
        </is>
      </c>
      <c r="P40" s="3" t="inlineStr">
        <is>
          <t>Declared by MK-NW-O-004 theEmergencyFund</t>
        </is>
      </c>
      <c r="Q40" s="3" t="inlineStr">
        <is>
          <t>NONE RECORDED — the declaration names none.</t>
        </is>
      </c>
      <c r="R40" s="3" t="inlineStr">
        <is>
          <t>NONE RECORDED — the declaration names none.</t>
        </is>
      </c>
      <c r="S40" s="3" t="inlineStr"/>
      <c r="T4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MK-NW-O-004 theEmergencyFund</t>
        </is>
      </c>
      <c r="AN4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40" s="7" t="inlineStr">
        <is>
          <t>RULED, NOT CODED (Q-NW-5 — one question, one function)</t>
        </is>
      </c>
    </row>
    <row r="41" ht="60" customHeight="1">
      <c r="A41" s="3" t="inlineStr">
        <is>
          <t>MK-MN-M-026</t>
        </is>
      </c>
      <c r="B41" s="3" t="inlineStr">
        <is>
          <t>Menu</t>
        </is>
      </c>
      <c r="C41" s="3" t="inlineStr">
        <is>
          <t>/stress-test</t>
        </is>
      </c>
      <c r="D41" s="3" t="inlineStr">
        <is>
          <t>your $X/month of essentials</t>
        </is>
      </c>
      <c r="E41" s="3" t="inlineStr">
        <is>
          <t>your_xmonth_of_essentials</t>
        </is>
      </c>
      <c r="F41" s="3" t="inlineStr">
        <is>
          <t>essentialsMonthly</t>
        </is>
      </c>
      <c r="G41" s="3" t="inlineStr">
        <is>
          <t>MK-CF-F-190</t>
        </is>
      </c>
      <c r="H41" s="3" t="inlineStr">
        <is>
          <t>essentials a month = the logged average over the months logged (MK-CF-F-189), else the typed categories (monthlyEssentials)</t>
        </is>
      </c>
      <c r="I41" s="3" t="inlineStr">
        <is>
          <t>'Covering your $Y/mo of essentials (7 month average) with no paycheck coming in.' The larger-of rule (plannedMonthlySpend) no longer produces this figure.</t>
        </is>
      </c>
      <c r="J41" s="3" t="inlineStr">
        <is>
          <t>1. every logged expense → expenses [MK-XS-I-024]
2. the typed fallback → typed monthly expenses / essentials [MK-XS-I-025]
3. cash on hand → the Cash class [MK-XS-I-001]</t>
        </is>
      </c>
      <c r="K41" s="3" t="inlineStr">
        <is>
          <t>dollars, whole a month</t>
        </is>
      </c>
      <c r="L41" s="3" t="inlineStr">
        <is>
          <t>$0, and under it the one line "Nothing entered yet. Log your expenses ›" (mock approved 2026-09-12). A real zero that was entered shows a plain $0 with no line.</t>
        </is>
      </c>
      <c r="M41" s="3" t="inlineStr">
        <is>
          <t>one figure per household</t>
        </is>
      </c>
      <c r="N41" s="3" t="inlineStr">
        <is>
          <t>a month</t>
        </is>
      </c>
      <c r="O41" s="3" t="inlineStr">
        <is>
          <t>1. MK-CF-F-189 (essentialsFromLoggedSpending) → EssentialsAverage | null
2. MK-CF-O-002 (expenses) → Expenses</t>
        </is>
      </c>
      <c r="P41" s="3" t="inlineStr">
        <is>
          <t>Declared by MK-NW-O-004 theEmergencyFund</t>
        </is>
      </c>
      <c r="Q41" s="3" t="inlineStr">
        <is>
          <t>NONE RECORDED — the declaration names none.</t>
        </is>
      </c>
      <c r="R41" s="3" t="inlineStr">
        <is>
          <t>NONE RECORDED — the declaration names none.</t>
        </is>
      </c>
      <c r="S41" s="3" t="inlineStr"/>
      <c r="T41"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41" s="3" t="inlineStr">
        <is>
          <t>ACTIVE</t>
        </is>
      </c>
      <c r="AG41" s="3" t="inlineStr">
        <is>
          <t>2026-10-01</t>
        </is>
      </c>
      <c r="AH41" s="3" t="inlineStr"/>
      <c r="AI41" s="3" t="inlineStr"/>
      <c r="AJ41"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MK-NW-O-004 theEmergencyFund</t>
        </is>
      </c>
      <c r="AN41"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41" s="7" t="inlineStr">
        <is>
          <t>RULED, NOT CODED (Q-NW-5 — one question, one function)</t>
        </is>
      </c>
    </row>
    <row r="42" ht="60" customHeight="1">
      <c r="A42" s="3" t="inlineStr">
        <is>
          <t>MK-MN-M-027</t>
        </is>
      </c>
      <c r="B42" s="3" t="inlineStr">
        <is>
          <t>Menu</t>
        </is>
      </c>
      <c r="C42" s="3" t="inlineStr">
        <is>
          <t>/tax-organizer</t>
        </is>
      </c>
      <c r="D42" s="3" t="inlineStr">
        <is>
          <t>each taxable line and its amount</t>
        </is>
      </c>
      <c r="E42" s="3" t="inlineStr">
        <is>
          <t>each_taxable_line_and_its_amount</t>
        </is>
      </c>
      <c r="F42" s="3" t="inlineStr">
        <is>
          <t>1. taxOrganizer
2. taxableIncomeSteps</t>
        </is>
      </c>
      <c r="G42" s="3" t="inlineStr">
        <is>
          <t>1. MK-PL-F-031
2. MK-PL-F-082</t>
        </is>
      </c>
      <c r="H42"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2"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2" s="3" t="inlineStr">
        <is>
          <t>1. the organizer's income lines [MK-XS-I-023 and the other income inputs]
2. each earner's 401(k) contribution [MK-XS-I-043]
3. how they file and who is 65+ [MK-XS-I-030]</t>
        </is>
      </c>
      <c r="K42" s="3" t="inlineStr">
        <is>
          <t>dollars, whole</t>
        </is>
      </c>
      <c r="L42" s="3" t="inlineStr">
        <is>
          <t>A line with nothing behind it does not appear at all.</t>
        </is>
      </c>
      <c r="M42" s="3" t="inlineStr">
        <is>
          <t>one line</t>
        </is>
      </c>
      <c r="N42" s="3" t="inlineStr">
        <is>
          <t>as of today</t>
        </is>
      </c>
      <c r="O42"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2" s="3" t="inlineStr">
        <is>
          <t>Declared by MK-CF-O-007 theTaxOrganizer</t>
        </is>
      </c>
      <c r="Q42" s="3" t="inlineStr">
        <is>
          <t>Interest and dividends come from the RECORDS where they exist, not from an estimate — an estimate on a tax page reads as a figure to file.</t>
        </is>
      </c>
      <c r="R42" s="3" t="inlineStr">
        <is>
          <t>Interest and dividends come from the RECORDS where they exist, not from an estimate — an estimate on a tax page reads as a figure to file.</t>
        </is>
      </c>
      <c r="S42" s="3" t="inlineStr"/>
      <c r="T42"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2" s="3" t="inlineStr"/>
      <c r="V42"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2" s="3" t="inlineStr">
        <is>
          <t>Q46: Tax organizer should show — gross income, 401(k) contribution, standard deduction, and taxable income. (answered in chat, 2026-09-08)</t>
        </is>
      </c>
      <c r="X42" s="3" t="inlineStr"/>
      <c r="Y42" s="3" t="inlineStr"/>
      <c r="Z42" s="3" t="inlineStr">
        <is>
          <t>DECLARED IN THE CODE (rule 11) — printed from the door, not typed. RULED 2026-09-27</t>
        </is>
      </c>
      <c r="AA42" s="3" t="inlineStr"/>
      <c r="AB42" s="3" t="inlineStr"/>
      <c r="AC42" s="3" t="inlineStr"/>
      <c r="AD42" s="3" t="inlineStr"/>
      <c r="AE42"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2" s="3" t="inlineStr">
        <is>
          <t>ACTIVE</t>
        </is>
      </c>
      <c r="AG42" s="3" t="inlineStr">
        <is>
          <t>2026-10-01</t>
        </is>
      </c>
      <c r="AH42" s="3" t="inlineStr"/>
      <c r="AI42" s="3" t="inlineStr"/>
      <c r="AJ42"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MK-CF-O-007 theTaxOrganizer</t>
        </is>
      </c>
      <c r="AN42" s="3" t="inlineStr">
        <is>
          <t>Filing jointly for 2026 on $169,200 of wages, with $19,200 paid into 401(k)s between the two of them and the $32,200 standard deduction.
GIVES: $169,200
(the test re-runs this through MK-CF-O-007 theTaxOrganizer on every build)</t>
        </is>
      </c>
      <c r="AO42" s="8" t="inlineStr">
        <is>
          <t>VERIFIED — TESTED, NOT VERIFIED — you ruled on this row 2026-09-27; the</t>
        </is>
      </c>
    </row>
    <row r="43" ht="60" customHeight="1">
      <c r="A43" s="3" t="inlineStr">
        <is>
          <t>MK-MN-M-028</t>
        </is>
      </c>
      <c r="B43" s="3" t="inlineStr">
        <is>
          <t>Menu</t>
        </is>
      </c>
      <c r="C43" s="3" t="inlineStr">
        <is>
          <t>/tax-organizer</t>
        </is>
      </c>
      <c r="D43" s="3" t="inlineStr">
        <is>
          <t>Gross income · 401(k) contribution · Standard deduction · Taxable income · Non-taxable</t>
        </is>
      </c>
      <c r="E43" s="3" t="inlineStr">
        <is>
          <t>gross_income__401k_contribution__standar</t>
        </is>
      </c>
      <c r="F43" s="3" t="inlineStr">
        <is>
          <t>1. taxOrganizer
2. taxableIncomeSteps</t>
        </is>
      </c>
      <c r="G43" s="3" t="inlineStr">
        <is>
          <t>1. MK-PL-F-031
2. MK-PL-F-082</t>
        </is>
      </c>
      <c r="H43"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3"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3" s="3" t="inlineStr">
        <is>
          <t>1. the organizer's income lines [MK-XS-I-023 and the other income inputs]
2. each earner's 401(k) contribution [MK-XS-I-043]
3. how they file and who is 65+ [MK-XS-I-030]</t>
        </is>
      </c>
      <c r="K43" s="3" t="inlineStr">
        <is>
          <t>dollars, whole</t>
        </is>
      </c>
      <c r="L43" s="3" t="inlineStr">
        <is>
          <t>No income entered yet.</t>
        </is>
      </c>
      <c r="M43" s="3" t="inlineStr">
        <is>
          <t>one figure per household</t>
        </is>
      </c>
      <c r="N43" s="3" t="inlineStr">
        <is>
          <t>as of today</t>
        </is>
      </c>
      <c r="O43"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3" s="3" t="inlineStr">
        <is>
          <t>Declared by MK-CF-O-007 theTaxOrganizer</t>
        </is>
      </c>
      <c r="Q43" s="3" t="inlineStr">
        <is>
          <t>ONE tax function across the app (rule 2) — the same one that sets the band on your pay.</t>
        </is>
      </c>
      <c r="R43" s="3" t="inlineStr">
        <is>
          <t>ONE tax function across the app (rule 2) — the same one that sets the band on your pay.</t>
        </is>
      </c>
      <c r="S43" s="3" t="inlineStr"/>
      <c r="T43" s="3" t="inlineStr">
        <is>
          <t>ONE tax function across the app (rule 2) — the same one that sets the band on your pay.
[Founder] Q46, 2026-09-08: the tax organizer shows gross income, the 401(k) contribution, the standard deduction and taxable income.</t>
        </is>
      </c>
      <c r="U43" s="3" t="inlineStr"/>
      <c r="V43" s="9" t="inlineStr">
        <is>
          <t>Q24 — State tax is applied to taxable accounts only. Do you want a state rate captured per person, or to keep the single blended figure we use now?</t>
        </is>
      </c>
      <c r="W43" s="9" t="inlineStr">
        <is>
          <t>Q46: Tax organizer should show — gross income, 401(k) contribution, standard deduction, and taxable income. (answered in chat, 2026-09-08)</t>
        </is>
      </c>
      <c r="X43" s="3" t="inlineStr"/>
      <c r="Y43" s="3" t="inlineStr"/>
      <c r="Z43" s="3" t="inlineStr">
        <is>
          <t>DECLARED IN THE CODE (rule 11) — printed from the door, not typed. RULED 2026-09-27</t>
        </is>
      </c>
      <c r="AA43" s="3" t="inlineStr"/>
      <c r="AB43" s="3" t="inlineStr"/>
      <c r="AC43" s="3" t="inlineStr"/>
      <c r="AD43" s="3" t="inlineStr"/>
      <c r="AE43"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3" s="3" t="inlineStr">
        <is>
          <t>ACTIVE</t>
        </is>
      </c>
      <c r="AG43" s="3" t="inlineStr">
        <is>
          <t>2026-10-01</t>
        </is>
      </c>
      <c r="AH43" s="3" t="inlineStr"/>
      <c r="AI43" s="3" t="inlineStr"/>
      <c r="AJ43"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MK-CF-O-007 theTaxOrganizer</t>
        </is>
      </c>
      <c r="AN43" s="3" t="inlineStr">
        <is>
          <t>Filing jointly for 2026 on $169,200 of wages, with $19,200 paid into 401(k)s between the two of them and the $32,200 standard deduction.
GIVES: $117,800
(the test re-runs this through MK-CF-O-007 theTaxOrganizer on every build)</t>
        </is>
      </c>
      <c r="AO43" s="9" t="inlineStr">
        <is>
          <t>WAITING ON YOU — question Q24 · TESTED, NOT VERIFIED (G22 / Q46, G3)</t>
        </is>
      </c>
    </row>
    <row r="44" ht="60" customHeight="1">
      <c r="A44" s="3" t="inlineStr">
        <is>
          <t>MK-MN-M-029</t>
        </is>
      </c>
      <c r="B44" s="3" t="inlineStr">
        <is>
          <t>Menu</t>
        </is>
      </c>
      <c r="C44" s="3" t="inlineStr">
        <is>
          <t>/contribution-room</t>
        </is>
      </c>
      <c r="D44" s="3" t="inlineStr">
        <is>
          <t>each contribution and its amount</t>
        </is>
      </c>
      <c r="E44" s="3" t="inlineStr">
        <is>
          <t>each_contribution_and_its_amount</t>
        </is>
      </c>
      <c r="F44" s="3" t="inlineStr">
        <is>
          <t>theContributionRoom</t>
        </is>
      </c>
      <c r="G44" s="3" t="inlineStr">
        <is>
          <t xml:space="preserve">
4. MK-CF-F-196
5. MK-CF-F-195</t>
        </is>
      </c>
      <c r="H44" s="3" t="inlineStr">
        <is>
          <t>the monthly amount you entered for that account × 12</t>
        </is>
      </c>
      <c r="I4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4" s="3" t="inlineStr">
        <is>
          <t>MK-XS-I-023 salary and other income</t>
        </is>
      </c>
      <c r="K44" s="3" t="inlineStr">
        <is>
          <t>dollars, whole</t>
        </is>
      </c>
      <c r="L44" s="3" t="inlineStr">
        <is>
          <t>No contribution entered → the RETIREMENT CONTRIBUTIONS card is not shown; never a $0 line.</t>
        </is>
      </c>
      <c r="M44" s="3" t="inlineStr">
        <is>
          <t>one account</t>
        </is>
      </c>
      <c r="N44" s="3" t="inlineStr">
        <is>
          <t>as of today</t>
        </is>
      </c>
      <c r="O44" s="3" t="inlineStr">
        <is>
          <t>MK-CF-F-195 (monthsLeftInYear) → number</t>
        </is>
      </c>
      <c r="P44" s="3" t="inlineStr">
        <is>
          <t>Declared by MK-CF-O-005 theContributionRoom</t>
        </is>
      </c>
      <c r="Q44" s="3" t="inlineStr">
        <is>
          <t>Enrolled in Medicare means NO HSA contribution is allowed at all — not a smaller one (his ruling G10, 2026-09-08).</t>
        </is>
      </c>
      <c r="R44" s="3" t="inlineStr">
        <is>
          <t>Enrolled in Medicare means NO HSA contribution is allowed at all — not a smaller one (his ruling G10, 2026-09-08).</t>
        </is>
      </c>
      <c r="S44" s="3" t="inlineStr"/>
      <c r="T44" s="3" t="inlineStr">
        <is>
          <t>Enrolled in Medicare means NO HSA contribution is allowed at all — not a smaller one (his ruling G10, 2026-09-08).</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is>
          <t>G32 / Q48 — 2026-09-09: the 'division with nothing on the bottom' boilerplate is gone; this cell now states the row's real refusal. Where it says 'built', the screen already does it; the rest follow the empty-state mock.</t>
        </is>
      </c>
      <c r="AF44" s="3" t="inlineStr">
        <is>
          <t>ACTIVE</t>
        </is>
      </c>
      <c r="AG44" s="3" t="inlineStr">
        <is>
          <t>2026-10-01</t>
        </is>
      </c>
      <c r="AH44" s="3" t="inlineStr"/>
      <c r="AI44" s="3" t="inlineStr"/>
      <c r="AJ44" s="3" t="inlineStr">
        <is>
          <t>NONE — no function in this chain reads a stored input the sweep knows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MK-CF-O-005 theContributionRoom</t>
        </is>
      </c>
      <c r="AN44"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4" s="7" t="inlineStr">
        <is>
          <t>RULED, NOT CODED (Q-CF-4 — one question, one function)</t>
        </is>
      </c>
    </row>
    <row r="45" ht="60" customHeight="1">
      <c r="A45" s="3" t="inlineStr">
        <is>
          <t>MK-MN-M-030</t>
        </is>
      </c>
      <c r="B45" s="3" t="inlineStr">
        <is>
          <t>Menu</t>
        </is>
      </c>
      <c r="C45" s="3" t="inlineStr">
        <is>
          <t>/bill-calendar</t>
        </is>
      </c>
      <c r="D45" s="3" t="inlineStr">
        <is>
          <t>$X left &lt;account&gt; on &lt;date&gt;</t>
        </is>
      </c>
      <c r="E45" s="3" t="inlineStr">
        <is>
          <t>x_left_account_on_date</t>
        </is>
      </c>
      <c r="F45" s="3" t="inlineStr">
        <is>
          <t>whatsComing</t>
        </is>
      </c>
      <c r="G45" s="3" t="inlineStr">
        <is>
          <t>MK-CF-O-008</t>
        </is>
      </c>
      <c r="H45" s="3" t="inlineStr">
        <is>
          <t>the balance you start with, less each bill as its date passes</t>
        </is>
      </c>
      <c r="I45" s="3" t="inlineStr">
        <is>
          <t>the balance you start with, less each bill as its date passes</t>
        </is>
      </c>
      <c r="J45" s="3" t="inlineStr">
        <is>
          <t>MK-NW-I-001 your accounts
MK-CF-I-002 your bills</t>
        </is>
      </c>
      <c r="K45" s="3" t="inlineStr">
        <is>
          <t>dollars, whole</t>
        </is>
      </c>
      <c r="L45" s="3" t="inlineStr">
        <is>
          <t>No balance to start from.</t>
        </is>
      </c>
      <c r="M45" s="3" t="inlineStr">
        <is>
          <t>one date</t>
        </is>
      </c>
      <c r="N45" s="3" t="inlineStr">
        <is>
          <t>as of today</t>
        </is>
      </c>
      <c r="O45" s="3" t="inlineStr">
        <is>
          <t>MK-CF-F-019 (upcomingBills) → NOT DECLARED — the code does not say what it gives back</t>
        </is>
      </c>
      <c r="P45" s="3" t="inlineStr">
        <is>
          <t>Declared by MK-CF-O-008 whatsComing</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MK-CF-O-008 whatsComing</t>
        </is>
      </c>
      <c r="AN45" s="3" t="inlineStr">
        <is>
          <t>NONE YET — no worked example is declared for this figure, so nothing re-runs it (step 6)</t>
        </is>
      </c>
      <c r="AO45" s="7" t="inlineStr">
        <is>
          <t>RULED, NOT CODED (Q-CF-3 — one question, one function)</t>
        </is>
      </c>
    </row>
  </sheetData>
  <autoFilter ref="A1:AO4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MK-NW-F-088 BENCH
3. MK-CF-F-205 COMING
4. MK-CF-F-200 LINE
5. MK-NW-F-082 NW
6. MK-NW-F-078 ONE
7. MK-NW-F-101 PLAN
8. MK-NW-F-027 accountClassBreakdown
9. MK-ST-F-027 accountId
10. MK-NW-F-002 alternativesSummary
11. MK-CF-F-125 amortise
12. MK-CF-F-111 applyTransaction
13. MK-NW-F-029 assetAllocation
14. MK-NW-F-040 assetsFromOnboarding
… and 42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2" s="3" t="inlineStr">
        <is>
          <t>SWEPT FROM THE CODE 2026-08-26</t>
        </is>
      </c>
      <c r="H2" s="3" t="inlineStr">
        <is>
          <t>ACTIVE</t>
        </is>
      </c>
      <c r="I2" s="3" t="inlineStr">
        <is>
          <t>2026-09-30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7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4" s="3" t="inlineStr">
        <is>
          <t>SWEPT FROM THE CODE 2026-08-26</t>
        </is>
      </c>
      <c r="H4" s="3" t="inlineStr">
        <is>
          <t>ACTIVE</t>
        </is>
      </c>
      <c r="I4" s="3" t="inlineStr">
        <is>
          <t>2026-09-30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MK-MN-M-022 · MK-NW-M-001 · MK-NW-M-002 · MK-NW-M-003 · MK-NW-M-004 · MK-NW-M-005 · MK-NW-M-006 · MK-NW-M-007 · MK-NW-M-008 · MK-NW-M-009 · MK-NW-M-011 · MK-NW-M-015 · MK-NW-M-016 · MK-NW-M-017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MK-NW-O-008 thePerformance
10. MK-ST-F-072 undo
11. MK-PF-F-024 userFlows</t>
        </is>
      </c>
      <c r="F9" s="3" t="inlineStr">
        <is>
          <t>MK-MN-M-016 · MK-MN-M-022 · MK-NW-M-001 · MK-NW-M-002 · MK-NW-M-003 · MK-NW-M-004 · MK-NW-M-005 · MK-NW-M-006 · MK-NW-M-007 · MK-NW-M-008 · MK-NW-M-009 · MK-NW-M-011 · MK-NW-M-015 · MK-NW-M-016 · MK-NW-M-017 · MK-PF-M-002 · MK-PF-M-003 · MK-PF-M-005 · MK-PF-M-006 · MK-PF-M-007 · MK-PF-M-008 · MK-XS-M-001 · MK-XS-M-003 · MK-XS-M-004</t>
        </is>
      </c>
      <c r="G9" s="3" t="inlineStr">
        <is>
          <t>SWEPT FROM THE CODE 2026-08-26</t>
        </is>
      </c>
      <c r="H9" s="3" t="inlineStr">
        <is>
          <t>ACTIVE</t>
        </is>
      </c>
      <c r="I9" s="3" t="inlineStr">
        <is>
          <t>2026-09-30</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MK-NW-O-006 theHolding
10. MK-NW-O-008 thePerformance
11. MK-PF-F-024 userFlows</t>
        </is>
      </c>
      <c r="F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G10" s="3" t="inlineStr">
        <is>
          <t>SWEPT FROM THE CODE 2026-08-26</t>
        </is>
      </c>
      <c r="H10" s="3" t="inlineStr">
        <is>
          <t>ACTIVE</t>
        </is>
      </c>
      <c r="I10" s="3" t="inlineStr">
        <is>
          <t>2026-09-30</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MK-MN-M-022 · MK-NW-M-001 · MK-NW-M-002 · MK-NW-M-003 · MK-NW-M-004 · MK-NW-M-005 · MK-NW-M-006 · MK-NW-M-007 · MK-NW-M-008 · MK-NW-M-009 · MK-NW-M-011 · MK-NW-M-015 · MK-NW-M-016 · MK-NW-M-017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MK-MN-M-022 · MK-NW-M-001 · MK-NW-M-002 · MK-NW-M-003 · MK-NW-M-004 · MK-NW-M-005 · MK-NW-M-006 · MK-NW-M-007 · MK-NW-M-008 · MK-NW-M-009 · MK-NW-M-011 · MK-NW-M-015 · MK-NW-M-016 · MK-NW-M-017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MK-MN-M-022 · MK-NW-M-001 · MK-NW-M-002 · MK-NW-M-003 · MK-NW-M-004 · MK-NW-M-005 · MK-NW-M-006 · MK-NW-M-007 · MK-NW-M-008 · MK-NW-M-009 · MK-NW-M-011 · MK-NW-M-015 · MK-NW-M-016 · MK-NW-M-017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MK-MN-M-023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MK-MN-M-022 · MK-NW-M-001 · MK-NW-M-002 · MK-NW-M-003 · MK-NW-M-004 · MK-NW-M-005 · MK-NW-M-006 · MK-NW-M-007 · MK-NW-M-008 · MK-NW-M-009 · MK-NW-M-011 · MK-NW-M-015 · MK-NW-M-016 · MK-NW-M-017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15" customHeight="1">
      <c r="A27" s="3" t="inlineStr">
        <is>
          <t>/itemize</t>
        </is>
      </c>
      <c r="B27" s="3" t="inlineStr">
        <is>
          <t>Networth</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MK-PF-M-001, MK-PF-M-002, MK-PF-M-003, MK-PF-M-004, MK-PF-M-005, MK-PF-M-006, MK-PF-M-007, MK-PF-M-008,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MK-PF-M-002, MK-PF-M-003, MK-PF-M-005, MK-PF-M-006, MK-PF-M-007, MK-PF-M-008,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MK-PF-M-001, MK-PF-M-002, MK-PF-M-003, MK-PF-M-004, MK-PF-M-005, MK-PF-M-006, MK-PF-M-007, MK-PF-M-008,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MK-PF-M-001 · MK-PF-M-002 · MK-PF-M-003 · MK-PF-M-004 · MK-PF-M-005 · MK-PF-M-006 · MK-PF-M-007 · MK-PF-M-008 · MK-PF-M-010 · MK-PF-M-011 · MK-PF-M-012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MK-MN-M-023,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MK-PF-M-001, MK-PF-M-002, MK-PF-M-003, MK-PF-M-004, MK-PF-M-005, MK-PF-M-006, MK-PF-M-007, MK-PF-M-008, MK-PF-M-010, MK-PF-M-011, MK-PF-M-012, MK-PL-M-001, MK-PL-M-002, MK-PL-M-008, MK-PL-M-009, MK-PL-M-011, MK-PL-M-029, MK-PL-M-034, MK-XS-M-001, MK-XS-M-002, MK-XS-M-003, MK-XS-M-004, MK-XS-M-005, MK-XS-M-006</t>
        </is>
      </c>
    </row>
    <row r="7" ht="60" customHeight="1">
      <c r="A7" s="3" t="inlineStr">
        <is>
          <t>MK-XS-I-006</t>
        </is>
      </c>
      <c r="B7" s="3" t="inlineStr">
        <is>
          <t>price fetched at</t>
        </is>
      </c>
      <c r="C7" s="3" t="inlineStr">
        <is>
          <t>MK-HM-M-001 · MK-PF-M-006 · MK-PF-M-008 · MK-XS-M-004</t>
        </is>
      </c>
      <c r="D7" s="3" t="inlineStr">
        <is>
          <t>MK-HM-M-001 · MK-MN-M-016 · MK-MN-M-022 · MK-NW-M-001 · MK-NW-M-002 · MK-NW-M-003 · MK-NW-M-004 · MK-NW-M-005 · MK-NW-M-006 · MK-NW-M-007 · MK-NW-M-008 · MK-NW-M-009 · MK-NW-M-011 · MK-NW-M-015 · MK-NW-M-016 · MK-NW-M-017 · MK-XS-M-001 · MK-XS-M-003</t>
        </is>
      </c>
      <c r="E7" s="3" t="inlineStr">
        <is>
          <t>PARTLY AGREES — declared but not reached: MK-PF-M-006, MK-PF-M-008, MK-XS-M-004  |  reached but not declared: MK-MN-M-016, MK-MN-M-022, MK-NW-M-001, MK-NW-M-002, MK-NW-M-003, MK-NW-M-004, MK-NW-M-005, MK-NW-M-006, MK-NW-M-007, MK-NW-M-008, MK-NW-M-009, MK-NW-M-011, MK-NW-M-015, MK-NW-M-016, MK-NW-M-017,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MK-MN-M-022 · MK-NW-M-001 · MK-NW-M-002 · MK-NW-M-003 · MK-NW-M-004 · MK-NW-M-005 · MK-NW-M-006 · MK-NW-M-007 · MK-NW-M-008 · MK-NW-M-009 · MK-NW-M-011 · MK-NW-M-015 · MK-NW-M-016 · MK-NW-M-017 · MK-PF-M-002 · MK-PF-M-003 · MK-PF-M-005 · MK-PF-M-006 · MK-PF-M-007 · MK-PF-M-008 · MK-XS-M-001 · MK-XS-M-003 · MK-XS-M-004</t>
        </is>
      </c>
      <c r="E9" s="3" t="inlineStr">
        <is>
          <t>PARTLY AGREES — declared but not reached: MK-CF-M-011, MK-CF-M-024, MK-PL-M-017, MK-PL-M-018, MK-PL-M-019, MK-PL-M-032  |  reached but not declared: MK-MN-M-016, MK-MN-M-022, MK-NW-M-001, MK-NW-M-002, MK-NW-M-003, MK-NW-M-004, MK-NW-M-005, MK-NW-M-006, MK-NW-M-007, MK-NW-M-008, MK-NW-M-009, MK-NW-M-011, MK-NW-M-015, MK-NW-M-016, MK-NW-M-017, MK-PF-M-002, MK-PF-M-003, MK-PF-M-005, MK-PF-M-006, MK-PF-M-007, MK-PF-M-008, MK-XS-M-001, MK-XS-M-003, MK-XS-M-004</t>
        </is>
      </c>
    </row>
    <row r="10" ht="60" customHeight="1">
      <c r="A10" s="3" t="inlineStr">
        <is>
          <t>MK-XS-I-009</t>
        </is>
      </c>
      <c r="B10" s="3" t="inlineStr">
        <is>
          <t>transaction date</t>
        </is>
      </c>
      <c r="C10" s="3" t="inlineStr">
        <is>
          <t>—</t>
        </is>
      </c>
      <c r="D10" s="3" t="inlineStr">
        <is>
          <t>MK-MN-M-016 · MK-MN-M-022 · MK-NW-M-001 · MK-NW-M-002 · MK-NW-M-003 · MK-NW-M-004 · MK-NW-M-005 · MK-NW-M-006 · MK-NW-M-007 · MK-NW-M-008 · MK-NW-M-009 · MK-NW-M-011 · MK-NW-M-015 · MK-NW-M-016 · MK-NW-M-017 · MK-NW-M-029 · MK-NW-M-030 · MK-NW-M-031 · MK-NW-M-033 · MK-NW-M-034 · MK-NW-M-035 · MK-NW-M-036 · MK-NW-M-037 · MK-PF-M-002 · MK-PF-M-003 · MK-PF-M-005 · MK-PF-M-006 · MK-PF-M-007 · MK-PF-M-008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MK-MN-M-022 · MK-NW-M-001 · MK-NW-M-002 · MK-NW-M-003 · MK-NW-M-004 · MK-NW-M-005 · MK-NW-M-006 · MK-NW-M-007 · MK-NW-M-008 · MK-NW-M-009 · MK-NW-M-011 · MK-NW-M-014 · MK-NW-M-015 · MK-NW-M-016 · MK-NW-M-017 · MK-NW-M-019 · MK-NW-M-020 · MK-NW-M-021 · MK-NW-M-038 · MK-NW-M-039 · MK-NW-M-040 · MK-NW-M-046 · MK-NW-M-047 · MK-NW-M-048 · MK-PF-M-002 · MK-PF-M-003 · MK-PF-M-005 · MK-PF-M-006 · MK-PF-M-007 · MK-PF-M-008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MK-PF-M-002 · MK-PF-M-003 · MK-PF-M-005 · MK-PF-M-006 · MK-PF-M-007 · MK-PF-M-008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MK-MN-M-030, MK-NW-M-001, MK-NW-M-002, MK-NW-M-003, MK-NW-M-004, MK-NW-M-005, MK-NW-M-006, MK-NW-M-007, MK-NW-M-008, MK-NW-M-009, MK-NW-M-011, MK-NW-M-012, MK-NW-M-015, MK-NW-M-017, MK-NW-M-046, MK-NW-M-047, MK-NW-M-048,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19" s="3" t="inlineStr">
        <is>
          <t>PARTLY AGREES — declared but not reached: MK-PL-M-017, MK-PL-M-019  |  reached but not declared: MK-CF-M-022, MK-MN-M-016, MK-MN-M-022, MK-NW-M-001, MK-NW-M-002, MK-NW-M-003, MK-NW-M-004, MK-NW-M-005, MK-NW-M-006, MK-NW-M-007, MK-NW-M-008, MK-NW-M-009, MK-NW-M-011, MK-NW-M-015, MK-NW-M-016, MK-NW-M-017,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MK-MN-M-022 · MK-NW-M-001 · MK-NW-M-002 · MK-NW-M-003 · MK-NW-M-004 · MK-NW-M-005 · MK-NW-M-006 · MK-NW-M-007 · MK-NW-M-008 · MK-NW-M-009 · MK-NW-M-011 · MK-NW-M-015 · MK-NW-M-016 · MK-NW-M-017 · MK-PL-M-008 · MK-PL-M-011 · MK-PL-M-017 · MK-PL-M-019 · MK-PL-M-029 · MK-PL-M-034 · MK-XS-M-001 · MK-XS-M-002 · MK-XS-M-003</t>
        </is>
      </c>
      <c r="E22" s="3" t="inlineStr">
        <is>
          <t>PARTLY AGREES — declared but not reached: MK-CF-M-030  |  reached but not declared: MK-MN-M-016, MK-MN-M-022, MK-NW-M-001, MK-NW-M-002, MK-NW-M-003, MK-NW-M-004, MK-NW-M-005, MK-NW-M-006, MK-NW-M-007, MK-NW-M-008, MK-NW-M-009, MK-NW-M-011, MK-NW-M-015, MK-NW-M-016, MK-NW-M-017,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MK-MN-M-022, MK-MN-M-024, MK-MN-M-025, MK-MN-M-030, MK-NW-M-001, MK-NW-M-002, MK-NW-M-003, MK-NW-M-004, MK-NW-M-005, MK-NW-M-006, MK-NW-M-007, MK-NW-M-008, MK-NW-M-009, MK-NW-M-011, MK-NW-M-012, MK-NW-M-015, MK-NW-M-016, MK-NW-M-017, MK-NW-M-046, MK-NW-M-047, MK-NW-M-048,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MK-MN-M-022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MK-PF-M-002 · MK-PF-M-003 · MK-PF-M-005 · MK-PF-M-006 · MK-PF-M-007 · MK-PF-M-008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MK-MN-M-022,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MK-PF-M-002, MK-PF-M-003, MK-PF-M-005, MK-PF-M-006, MK-PF-M-007, MK-PF-M-008,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MK-MN-M-022 · MK-NW-M-001 · MK-NW-M-002 · MK-NW-M-003 · MK-NW-M-004 · MK-NW-M-005 · MK-NW-M-006 · MK-NW-M-007 · MK-NW-M-008 · MK-NW-M-009 · MK-NW-M-011 · MK-NW-M-015 · MK-NW-M-016 · MK-NW-M-017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MK-MN-M-022 · MK-NW-M-001 · MK-NW-M-002 · MK-NW-M-003 · MK-NW-M-004 · MK-NW-M-005 · MK-NW-M-006 · MK-NW-M-007 · MK-NW-M-008 · MK-NW-M-009 · MK-NW-M-011 · MK-NW-M-015 · MK-NW-M-016 · MK-NW-M-017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MK-MN-M-022, MK-MN-M-024, MK-MN-M-025, MK-MN-M-027, MK-MN-M-030, MK-NW-M-001, MK-NW-M-002, MK-NW-M-003, MK-NW-M-004, MK-NW-M-005, MK-NW-M-006, MK-NW-M-007, MK-NW-M-008, MK-NW-M-009, MK-NW-M-011, MK-NW-M-012, MK-NW-M-015, MK-NW-M-016, MK-NW-M-017, MK-NW-M-046, MK-NW-M-047, MK-NW-M-048,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MK-PF-M-001 · MK-PF-M-002 · MK-PF-M-003 · MK-PF-M-004 · MK-PF-M-005 · MK-PF-M-006 · MK-PF-M-007 · MK-PF-M-008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MK-NW-M-002, MK-NW-M-004, MK-NW-M-005, MK-NW-M-006, MK-NW-M-007, MK-NW-M-008, MK-NW-M-009, MK-NW-M-011, MK-NW-M-012, MK-NW-M-015, MK-NW-M-016, MK-NW-M-017, MK-NW-M-046, MK-NW-M-047, MK-NW-M-048, MK-PF-M-001, MK-PF-M-002, MK-PF-M-003, MK-PF-M-004, MK-PF-M-005, MK-PF-M-006, MK-PF-M-007, MK-PF-M-008,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MK-MN-M-022, MK-MN-M-024, MK-MN-M-025, MK-MN-M-030, MK-NW-M-001, MK-NW-M-002, MK-NW-M-003, MK-NW-M-004, MK-NW-M-005, MK-NW-M-006, MK-NW-M-007, MK-NW-M-008, MK-NW-M-009, MK-NW-M-011, MK-NW-M-012, MK-NW-M-015, MK-NW-M-016, MK-NW-M-017, MK-NW-M-046, MK-NW-M-047, MK-NW-M-048,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MK-MN-M-026 · MK-MN-M-027 · MK-MN-M-028 · MK-MN-M-030 · MK-NW-M-001 · MK-NW-M-002 · MK-NW-M-003 · MK-NW-M-004 · MK-NW-M-005 · MK-NW-M-006 · MK-NW-M-007 · MK-NW-M-008 · MK-NW-M-009 · MK-NW-M-011 · MK-NW-M-012 · MK-NW-M-013 · MK-NW-M-014 · MK-NW-M-015 · MK-NW-M-016 · MK-NW-M-017 · MK-NW-M-046 · MK-NW-M-047 · MK-NW-M-048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MK-MN-M-026, MK-MN-M-027, MK-MN-M-028, MK-MN-M-030, MK-NW-M-001, MK-NW-M-002, MK-NW-M-003, MK-NW-M-004, MK-NW-M-005, MK-NW-M-006, MK-NW-M-007, MK-NW-M-008, MK-NW-M-009, MK-NW-M-011, MK-NW-M-012, MK-NW-M-013, MK-NW-M-014, MK-NW-M-015, MK-NW-M-016, MK-NW-M-017, MK-NW-M-046, MK-NW-M-047, MK-NW-M-048,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MK-MN-M-022 · MK-MN-M-024 · MK-MN-M-025 · MK-MN-M-027 · MK-MN-M-028 · MK-MN-M-030 · MK-NW-M-001 · MK-NW-M-002 · MK-NW-M-003 · MK-NW-M-004 · MK-NW-M-005 · MK-NW-M-006 · MK-NW-M-007 · MK-NW-M-008 · MK-NW-M-009 · MK-NW-M-011 · MK-NW-M-012 · MK-NW-M-015 · MK-NW-M-016 · MK-NW-M-017 · MK-NW-M-046 · MK-NW-M-047 · MK-NW-M-048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MK-MN-M-022, MK-MN-M-024, MK-MN-M-025, MK-MN-M-027, MK-MN-M-028, MK-MN-M-030, MK-NW-M-001, MK-NW-M-002, MK-NW-M-003, MK-NW-M-004, MK-NW-M-005, MK-NW-M-006, MK-NW-M-007, MK-NW-M-008, MK-NW-M-009, MK-NW-M-011, MK-NW-M-012, MK-NW-M-015, MK-NW-M-016, MK-NW-M-017, MK-NW-M-046, MK-NW-M-047, MK-NW-M-048,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MK-MN-M-022 · MK-NW-M-001 · MK-NW-M-002 · MK-NW-M-003 · MK-NW-M-004 · MK-NW-M-005 · MK-NW-M-006 · MK-NW-M-007 · MK-NW-M-008 · MK-NW-M-009 · MK-NW-M-011 · MK-NW-M-015 · MK-NW-M-016 · MK-NW-M-017 · MK-PL-M-008 · MK-PL-M-009 · MK-PL-M-011 · MK-PL-M-029 · MK-PL-M-034 · MK-XS-M-001 · MK-XS-M-002 · MK-XS-M-003</t>
        </is>
      </c>
      <c r="E45" s="3" t="inlineStr">
        <is>
          <t>PARTLY AGREES — reached but not declared: MK-MN-M-016, MK-MN-M-022, MK-NW-M-001, MK-NW-M-002, MK-NW-M-003, MK-NW-M-004, MK-NW-M-005, MK-NW-M-006, MK-NW-M-007, MK-NW-M-008, MK-NW-M-009, MK-NW-M-011, MK-NW-M-015, MK-NW-M-016, MK-NW-M-017,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MK-PF-M-001 · MK-PF-M-002 · MK-PF-M-003 · MK-PF-M-004 · MK-PF-M-005 · MK-PF-M-006 · MK-PF-M-007 · MK-PF-M-008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MK-PF-M-002 · MK-PF-M-003 · MK-PF-M-005 · MK-PF-M-006 · MK-PF-M-007 · MK-PF-M-008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MK-MN-M-023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MK-MN-M-023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MK-PF-M-002 · MK-PF-M-003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MK-MN-M-022 · MK-NW-M-001 · MK-NW-M-002 · MK-NW-M-003 · MK-NW-M-004 · MK-NW-M-005 · MK-NW-M-006 · MK-NW-M-007 · MK-NW-M-008 · MK-NW-M-009 · MK-NW-M-011 · MK-NW-M-015 · MK-NW-M-016 · MK-NW-M-017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MK-NW-M-046 · MK-NW-M-047 · MK-NW-M-048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MK-MN-M-027 · MK-MN-M-028 · MK-MN-M-030 · MK-NW-M-001 · MK-NW-M-002 · MK-NW-M-003 · MK-NW-M-004 · MK-NW-M-005 · MK-NW-M-006 · MK-NW-M-007 · MK-NW-M-008 · MK-NW-M-009 · MK-NW-M-011 · MK-NW-M-012 · MK-NW-M-015 · MK-NW-M-016 · MK-NW-M-017 · MK-NW-M-046 · MK-NW-M-047 · MK-NW-M-048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MK-MN-M-022 · MK-NW-M-001 · MK-NW-M-002 · MK-NW-M-003 · MK-NW-M-004 · MK-NW-M-005 · MK-NW-M-006 · MK-NW-M-007 · MK-NW-M-008 · MK-NW-M-009 · MK-NW-M-011 · MK-NW-M-015 · MK-NW-M-016 · MK-NW-M-017 · MK-NW-M-029 · MK-NW-M-030 · MK-NW-M-031 · MK-NW-M-032 · MK-NW-M-033 · MK-NW-M-034 · MK-NW-M-035 · MK-NW-M-036 · MK-NW-M-037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MK-MN-M-022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MK-PF-M-002 · MK-PF-M-003 · MK-PF-M-005 · MK-PF-M-006 · MK-PF-M-007 · MK-PF-M-008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MK-MN-M-022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MK-PF-M-002 · MK-PF-M-003 · MK-PF-M-005 · MK-PF-M-006 · MK-PF-M-007 · MK-PF-M-008 · MK-XS-M-001 · MK-XS-M-003 · MK-XS-M-004 · MK-XS-M-005 · MK-XS-M-006</t>
        </is>
      </c>
      <c r="E66" s="3" t="inlineStr">
        <is>
          <t>REACHED BUT NOT DECLARED — functions reading this input serve these figures, but no figure lists it among its inputs.</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MK-NW-O-001 theBonds
16. MK-XS-F-122 n
17. MK-CF-F-203 MONTH
18. MK-CF-F-132 map
19. MK-CF-F-193 inflowSourceWord
20. MK-CF-F-022 paymentShape
21. MK-CF-F-092 incomeMonthlyGrid
22. MK-CF-F-011 savingsByMonth
23. MK-NW-F-057 annualCoupon
24. MK-ST-F-048 currencySymbol
25. MK-ST-F-039 on
26. MK-ST-F-027 accountId
27. MK-NW-F-056 bondInfo
28. MK-NW-F-064 bondRateSensitivity
29. MK-NW-F-061 bondSummary
30. MK-NW-F-055 isBond
31. MK-NW-F-072 rowOf
32. MK-CF-O-010 theMonth
33. MK-CF-F-021 defaultPaymentType
34. MK-CF-F-069 benefitActiveMonths
35. MK-CF-F-072 currentRetirementIncomeMonthly
36. MK-CF-F-065 equityVestWeights
37. MK-CF-F-071 extraIncome
38. MK-ST-F-056 has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MK-CF-F-008 spendByMonth
50. MK-ST-F-047 activeCurrency
51. MK-NW-F-060 approxYTM
52. MK-NW-F-069 priceAtYield
53. MK-NW-F-011 assetClassOf
54. MK-NW-F-070 accruedInterestCaveat
55. MK-NW-F-071 isCertificateOfDeposit
56. MK-NW-F-058 yearsToMaturity
57. MK-CF-O-002 expenses
58. MK-CF-O-003 thisMonth
59. MK-CF-F-075 retirementIncomeMonthly
60. MK-CF-F-062 equityRowValue
61. MK-CF-F-070 benefitAnnual
62. MK-CF-F-176 sumMonthsOverEarners
63. MK-CF-F-177 wageGrossByMonth
64. MK-CF-F-090 effectiveRate
65. MK-CF-F-085 filingStatusOf
66. MK-CF-F-089 over65CountOf
67. MK-CF-F-098 progressiveMonthlyTax
68. MK-CF-F-086 stateRateOf
69. MK-CF-F-173 earnerWages
70. MK-CF-F-102 effectiveRateOnGrossFor
71. MK-CF-F-180 enteredLandsAnnual
72. MK-CF-F-082 salaryAnnual
73. MK-CF-F-084 taxableAnnual
74. MK-CF-F-067 rentalList
75. MK-CF-F-063 rowVestYear
76. MK-CF-F-120 pctBaseMonthly
77. MK-CF-F-004 spendBuckets
78. MK-NW-F-008 incomeBearingClassOf
79. MK-CF-F-151 actualSpending
80. MK-CF-F-150 debtPaymentsCountedAsExpenses
81. MK-CF-F-153 radar
82. MK-CF-F-149 recurringDebtPayments
83. MK-CF-F-156 plannedMonthFlow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107</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169</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202</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228</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252</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293</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331</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399</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428</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468</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688</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737</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772</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788</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805</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100</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MK-NW-O-001 theBonds
72. MK-CF-F-193 inflowSourceWord
73. MK-CF-F-092 incomeMonthlyGrid
74. MK-CF-F-011 savingsByMonth
75. MK-NW-F-057 annualCoupon
76. MK-ST-F-048 currencySymbol
77. MK-ST-F-027 accountId
78. MK-NW-F-056 bondInfo
79. MK-NW-F-064 bondRateSensitivity
80. MK-NW-F-061 bondSummary
81. MK-NW-F-055 isBond
82. MK-NW-F-072 rowOf
83. MK-CF-F-077 scholarshipByCalendarMonth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100</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MK-NW-O-001 theBonds
75. MK-CF-F-193 inflowSourceWord
76. MK-CF-F-011 savingsByMonth
77. MK-NW-F-057 annualCoupon
78. MK-ST-F-048 currencySymbol
79. MK-ST-F-027 accountId
80. MK-NW-F-056 bondInfo
81. MK-NW-F-064 bondRateSensitivity
82. MK-NW-F-061 bondSummary
83. MK-NW-F-055 isBond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456</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544</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583</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616</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652</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694</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734</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799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120</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153</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189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212</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252</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301</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349</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394</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MK-NW-O-001 theBonds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109</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100</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MK-NW-O-001 theBonds
18. MK-XS-F-122 n
19. MK-CF-F-203 MONTH
20. MK-CF-F-132 map
21. MK-CF-F-193 inflowSourceWord
22. MK-CF-F-022 paymentShape
23. MK-CF-F-092 incomeMonthlyGrid
24. MK-CF-F-011 savingsByMonth
25. MK-NW-F-057 annualCoupon
26. MK-ST-F-048 currencySymbol
27. MK-ST-F-039 on
28. MK-ST-F-027 accountId
29. MK-NW-F-056 bondInfo
30. MK-NW-F-064 bondRateSensitivity
31. MK-NW-F-061 bondSummary
32. MK-NW-F-055 isBond
33. MK-NW-F-072 rowOf
34. MK-CF-O-010 theMonth
35. MK-CF-F-021 defaultPaymentType
36. MK-CF-F-069 benefitActiveMonths
37. MK-CF-F-072 currentRetirementIncomeMonthly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MK-PL-F-012 waterfall
51. MK-CF-F-008 spendByMonth
52. MK-ST-F-047 activeCurrency
53. MK-NW-F-060 approxYTM
54. MK-NW-F-069 priceAtYield
55. MK-NW-F-011 assetClassOf
56. MK-NW-F-070 accruedInterestCaveat
57. MK-NW-F-071 isCertificateOfDeposit
58. MK-NW-F-058 yearsToMaturity
59. MK-CF-O-002 expenses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103</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108</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100</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MK-NW-O-001 theBonds
30. MK-CF-F-193 inflowSourceWord
31. MK-CF-F-092 incomeMonthlyGrid
32. MK-CF-F-011 savingsByMonth
33. MK-NW-F-057 annualCoupon
34. MK-ST-F-048 currencySymbol
35. MK-ST-F-039 on
36. MK-ST-F-027 accountId
37. MK-NW-F-056 bondInfo
38. MK-NW-F-064 bondRateSensitivity
39. MK-NW-F-061 bondSummary
40. MK-NW-F-055 isBond
41. MK-NW-F-072 rowOf
42. MK-CF-F-069 benefitActiveMonths
43. MK-CF-F-072 currentRetirementIncomeMonthly
44. MK-CF-F-065 equityVestWeights
45. MK-CF-F-071 extraIncome
46. MK-CF-F-206 householdK401ByMonth
47. MK-CF-F-087 monthlyTaxRates
48. MK-CF-F-073 otherIncomeMonth
49. MK-CF-F-181 rateInForce
50. MK-CF-F-068 rentalNetAnnual
51. MK-CF-F-066 rsuAnnual
52. MK-CF-F-060 salaryGrossByMonth
53. MK-CF-F-077 scholarshipByCalendarMonth
54. MK-CF-F-088 taxableByCalendarMonth
55. MK-PL-F-012 waterfall
56. MK-CF-F-008 spendByMonth
57. MK-ST-F-047 activeCurrency
58. MK-NW-F-060 approxYTM
59. MK-NW-F-069 priceAtYield
60. MK-NW-F-011 assetClassOf
61. MK-NW-F-070 accruedInterestCaveat
62. MK-NW-F-071 isCertificateOfDeposit
63. MK-NW-F-058 yearsToMaturity
64. MK-CF-F-075 retirementIncomeMonthly
65. MK-CF-F-062 equityRowValue
66. MK-CF-F-070 benefitAnnual
67. MK-CF-F-176 sumMonthsOverEarners
68. MK-CF-F-177 wageGrossByMonth
69. MK-CF-F-090 effectiveRate
70. MK-CF-F-085 filingStatusOf
71. MK-CF-F-089 over65CountOf
72. MK-CF-F-098 progressiveMonthlyTax
73. MK-CF-F-086 stateRateOf
74. MK-CF-F-173 earnerWages
75. MK-CF-F-102 effectiveRateOnGrossFor
76. MK-CF-F-180 enteredLandsAnnual
77. MK-CF-F-082 salaryAnnual
78. MK-CF-F-084 taxableAnnual
79. MK-CF-F-067 rentalList
80. MK-CF-F-063 rowVestYear
81. MK-CF-F-120 pctBaseMonthly
82. MK-CF-F-004 spendBuckets
83. MK-NW-F-008 incomeBearingClassOf
84. MK-CF-F-130 enteredMonthlyRaw
85. MK-CF-F-166 hasMonthlySalaryTable
86. MK-ST-F-036 reconcile
87. MK-CF-F-167 salaryCalendarYear
88. MK-CF-F-101 taxOwedFor
89. MK-CF-F-100 taxableIncomeFor
90. MK-CF-F-172 hasWage
91. MK-CF-F-074 tipsAnnual
92. MK-CF-F-003 categoryMonthly
93. MK-ST-F-010 nameEvidence
94. MK-CF-F-165 salaryMonths
95. MK-CF-F-099 deductionFor
96. MK-CF-F-081 salaryActiveMonths
97. MK-XS-F-147 call
98. MK-CF-F-187 seniorDeductionFor
99. MK-XS-F-064 currentIdToken
100.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101</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MK-ST-F-027 accountId → MK-NW-O-001 theBonds → MK-NW-F-078 ONE → MK-CF-F-005 actualMonthFlow → MK-CF-O-003 thisMonth → MK-CF-O-014 M
8. MK-NW-F-057 annualCoupon → MK-NW-O-001 theBonds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102</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MK-NW-O-001 theBonds → MK-NW-F-078 ONE → MK-CF-F-005 actualMonthFlow → MK-CF-O-003 thisMonth → MK-CF-O-014 M → MK-CF-O-015 workedLineAmount
6. MK-XS-F-122 n → MK-CF-F-155 cash → MK-CF-F-005 actualMonthFlow → MK-CF-O-003 thisMonth → MK-CF-O-014 M → MK-CF-O-015 workedLineAmount
7. MK-CF-F-203 MONTH → MK-CF-F-157 debtPaymentsByDebt → MK-CF-F-005 actualMonthFlow → MK-CF-O-003 thisMonth → MK-CF-O-014 M → MK-CF-O-015 workedLineAmount
8. MK-CF-F-148 inMonth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2 · DISPLAYED</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"EXP. RETURN" — on the Other investments screen, under "ALTERNATIVES"</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2026-08-27</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"EST. GROWTH /year" — on the Other investments screen, under "ALTERNATIVES"
3. "Type" — on the Account detail screen, under "IF INTEREST RATES MOVE"
4. "Type" — on the Other investments screen</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465</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506</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542</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569</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632</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664</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685</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703</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721</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739</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763</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787</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828</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856</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903</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977</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1051</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1161</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104</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1229</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1286</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1327</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1369</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1397</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1431</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"EST. GROWTH /year" — on the Other investments screen, under "ALTERNATIVES"
2. "Type" — on the Other investments screen
3. "Typical yearly return for this type" — on the Account detail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1507</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1567</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1603</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1634</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1676</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1725</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1767</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1792</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1808</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1825</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1858</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1913</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1996</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2014</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605</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1126</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1956</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189</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243</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MK-NW-O-002 theAccount</t>
        </is>
      </c>
      <c r="P294" s="3" t="n">
        <v>22</v>
      </c>
      <c r="Q294" s="3" t="inlineStr">
        <is>
          <t>1. MK-CF-F-155 cash
2. MK-XS-F-180 declareFigures
3. MK-NW-F-073 itemising
4. MK-PF-F-004 marketValue
5. MK-NW-O-002 theAccount
6. MK-XS-F-122 n
7. MK-NW-F-050 itemizeRemainder
8. MK-NW-F-049 itemizedTotal
9. MK-PF-F-031 contractMultiplier
10. MK-PF-F-001 totalShares
11. MK-NW-F-027 accountClassBreakdown
12. MK-CF-F-132 map
13. MK-ST-F-013 personalFlowTotals
14. MK-ST-F-021 toNumber
15. MK-NW-F-011 assetClassOf
16. MK-NW-F-008 incomeBearingClassOf
17. MK-ST-F-010 nameEvidence
18. MK-XS-F-147 call
19. MK-ST-F-056 has
20. MK-ST-F-027 accountId
21. MK-XS-F-064 currentIdToken
22.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MK-CF-F-155 cash → MK-NW-F-008 incomeBearingClassOf → MK-NW-F-011 assetClassOf → MK-NW-F-027 accountClassBreakdown → MK-NW-O-002 theAccount → MK-NW-F-075 ACC
8. MK-ST-F-010 nameEvidence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109</v>
      </c>
      <c r="E295" s="3" t="inlineStr">
        <is>
          <t>1 · ACTION</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MK-NW-F-037 blendedReturn
5. MK-NW-F-034 benchmarkReturn
6. MK-NW-F-001 isAlternative
7. MK-NW-F-032 earmarkedAmount
8. MK-NW-F-031 primaryCarIdOf
9. MK-NW-F-007 assetKind
10. MK-NW-F-030 earmarkDefault
11. MK-NW-F-011 assetClassOf
12. MK-CF-F-155 cash
13. MK-NW-F-013 realEstateUseOf
14. MK-NW-F-008 incomeBearingClassOf
15. MK-XS-F-122 n
16. MK-ST-F-010 nameEvidence
17. MK-XS-F-147 call
18. MK-ST-F-056 has
19. MK-CF-F-132 map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MK-NW-F-011 assetClassOf → MK-NW-F-007 assetKind → MK-NW-F-034 benchmarkReturn → MK-NW-F-037 blendedReturn → MK-NW-O-005 theAlternativesOutlook → MK-NW-F-076 ALT
6. MK-CF-F-155 cash → MK-NW-F-007 assetKind → MK-NW-F-034 benchmarkReturn → MK-NW-F-037 blendedReturn → MK-NW-O-005 theAlternativesOutlook → MK-NW-F-076 ALT
7. MK-NW-F-011 assetClassOf → MK-NW-F-030 earmarkDefault → MK-NW-F-032 earmarkedAmount → MK-NW-F-037 blendedReturn → MK-NW-O-005 theAlternativesOutlook → MK-NW-F-076 ALT
8. MK-NW-F-013 realEstateUseOf → MK-NW-F-030 earmarkDefault → MK-NW-F-032 earmarkedAmount → MK-NW-F-037 blendedReturn → MK-NW-O-005 theAlternativesOutlook → MK-NW-F-076 ALT
9. … and 1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338</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378</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MK-NW-O-001 theBonds</t>
        </is>
      </c>
      <c r="P297" s="3" t="n">
        <v>30</v>
      </c>
      <c r="Q297" s="3" t="inlineStr">
        <is>
          <t>1. MK-NW-F-077 ALL
2. MK-NW-F-059 currentYield
3. MK-XS-F-180 declareFigures
4. MK-ST-F-049 formatMoney
5. MK-NW-O-001 theBonds
6. MK-NW-F-057 annualCoupon
7. MK-ST-F-048 currencySymbol
8. MK-XS-F-122 n
9. MK-ST-F-039 on
10. MK-ST-F-027 accountId
11. MK-NW-F-056 bondInfo
12. MK-NW-F-064 bondRateSensitivity
13. MK-NW-F-061 bondSummary
14. MK-NW-F-055 isBond
15. MK-CF-F-132 map
16. MK-NW-F-072 rowOf
17. MK-ST-F-047 activeCurrency
18. MK-CF-F-155 cash
19. MK-NW-F-060 approxYTM
20. MK-NW-F-069 priceAtYield
21. MK-NW-F-011 assetClassOf
22. MK-NW-F-070 accruedInterestCaveat
23. MK-NW-F-071 isCertificateOfDeposit
24. MK-NW-F-058 yearsToMaturity
25. MK-NW-F-008 incomeBearingClassOf
26. MK-ST-F-010 nameEvidence
27. MK-XS-F-147 call
28. MK-ST-F-056 has
29. MK-XS-F-064 currentIdToken
30.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282</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109</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MK-NW-O-001 theBonds
98. MK-CF-F-193 inflowSourceWord
99. MK-NW-F-057 annualCoupon
100. MK-NW-F-056 bondInfo
101. MK-NW-F-064 bondRateSensitivity
102. MK-NW-F-061 bondSummary
103. MK-NW-F-055 isBond
104. MK-NW-F-072 rowOf
105. MK-NW-F-060 approxYTM
106. MK-NW-F-069 priceAtYield
107. MK-NW-F-070 accruedInterestCaveat
108. MK-NW-F-071 isCertificateOfDeposit
109.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214</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9</v>
      </c>
      <c r="Q299" s="3" t="inlineStr">
        <is>
          <t>1. MK-XS-F-180 declareFigures
2. MK-NW-O-006 theHolding
3. MK-PF-F-006 capGains
4. MK-PF-F-002 costBasis
5. MK-PF-F-004 marketValue
6. MK-PF-F-028 realizedFromLedger
7. MK-PF-F-001 totalShares
8. MK-XS-F-122 n
9. MK-PF-F-031 contractMultiplier</t>
        </is>
      </c>
      <c r="R299" s="3" t="inlineStr">
        <is>
          <t>1. MK-XS-F-180 declareFigures → MK-NW-F-080 HOLD
2. MK-XS-F-122 n → MK-PF-F-006 capGains → MK-NW-O-006 theHolding → MK-NW-F-080 HOLD
3. MK-PF-F-031 contractMultiplier → MK-PF-F-002 costBasis → MK-NW-O-006 theHolding → MK-NW-F-080 HOLD
4. MK-PF-F-031 contractMultiplier → MK-PF-F-004 marketValue → MK-NW-O-006 theHolding → MK-NW-F-080 HOLD
5. MK-PF-F-001 totalShares → MK-PF-F-004 marketValue → MK-NW-O-006 theHolding → MK-NW-F-080 HOLD
6. MK-PF-F-028 realizedFromLedger → MK-NW-O-006 theHolding → MK-NW-F-080 HOLD
7.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MK-ST-F-049 formatMoney
3. MK-NW-O-007 theLookBack</t>
        </is>
      </c>
      <c r="P300" s="3" t="n">
        <v>10</v>
      </c>
      <c r="Q300" s="3" t="inlineStr">
        <is>
          <t>1. MK-XS-F-180 declareFigures
2. MK-ST-F-049 formatMoney
3. MK-NW-O-007 theLookBack
4. MK-ST-F-048 currencySymbol
5. MK-XS-F-122 n
6. MK-ST-F-039 on
7. MK-PF-F-023 lookBack
8. MK-ST-F-047 activeCurrency
9. MK-PF-F-022 factorOverMonths
10. MK-ST-F-065 isoLocalDate</t>
        </is>
      </c>
      <c r="R300"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346</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MK-NW-O-001 theBonds
25. MK-NW-F-027 accountClassBreakdown
26. MK-NW-F-011 assetClassOf
27. MK-CF-F-026 actualDebtPayment
28. MK-CF-F-025 minimumDebtService
29. MK-NW-F-014 isRealAsset
30. MK-NW-F-066 sumWhere
31. MK-NW-F-015 totalAssets
32. MK-CF-F-022 paymentShape
33. MK-XS-F-009 readHistory
34. MK-ST-F-027 accountId
35. MK-CF-F-111 applyTransaction
36. MK-NW-F-040 assetsFromOnboarding
37. MK-PF-F-013 benchmarkTicker
38. MK-ST-F-028 buildDayFromAccounts
39. MK-PF-F-034 closeOnOrBefore
40. MK-CF-F-186 convertTakeHomeMode
41. MK-CF-F-038 debtsFromOnboarding
42. MK-XS-F-083 fetchPriceSeries
43. MK-PL-F-013 goalsFromOnboarding
44. MK-ST-F-056 has
45. MK-CF-F-116 inverseOf
46. MK-ST-F-065 isoLocalDate
47. MK-CF-F-112 makeTransaction
48. MK-XS-F-122 n
49. MK-ST-F-043 newEntityId
50. MK-XS-F-006 pruneDaily
51. MK-ST-F-073 rebuildDays
52. MK-NW-F-054 reclassifyAccounts
53. MK-XS-F-174 recomputeBalances
54. MK-CF-F-115 restoreUndo
55. MK-CF-F-109 reviewTransactions
56. MK-ST-F-044 setMoneyFormat
57. MK-CF-F-114 undoSnapshot
58. MK-CF-F-191 ym
59. MK-NW-F-057 annualCoupon
60. MK-ST-F-048 currencySymbol
61. MK-NW-F-056 bondInfo
62. MK-NW-F-064 bondRateSensitivity
63. MK-NW-F-061 bondSummary
64. MK-NW-F-055 isBond
65. MK-NW-F-072 rowOf
66. MK-CF-F-155 cash
67. MK-NW-F-008 incomeBearingClassOf
68. MK-CF-F-024 totalDebtMonthly
69. MK-CF-F-021 defaultPaymentType
70. MK-XS-F-008 normalizeSnapshot
71. MK-CF-F-138 addLot
72. MK-CF-F-136 bumpCash
73. MK-CF-F-137 findPos
74. MK-CF-F-139 removeShares
75. MK-PF-F-001 totalShares
76. MK-ST-F-052 toNum
77. MK-ST-F-053 money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632</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497</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659</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705</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725</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752</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MK-XS-F-180 declareFigures
6. MK-ST-F-049 formatMoney
7. MK-PF-F-020 portfolioBenchReturn</t>
        </is>
      </c>
      <c r="P307" s="3" t="n">
        <v>58</v>
      </c>
      <c r="Q307"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109</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148</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253</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613</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268</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386</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410</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432</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451</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109</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MK-NW-O-001 theBonds
39. MK-CF-F-193 inflowSourceWord
40. MK-CF-F-092 incomeMonthlyGrid
41. MK-CF-F-011 savingsByMonth
42. MK-NW-F-057 annualCoupon
43. MK-ST-F-048 currencySymbol
44. MK-ST-F-039 on
45. MK-ST-F-027 accountId
46. MK-NW-F-056 bondInfo
47. MK-NW-F-064 bondRateSensitivity
48. MK-NW-F-061 bondSummary
49. MK-NW-F-055 isBond
50. MK-NW-F-072 rowOf
51. MK-CF-F-069 benefitActiveMonths
52. MK-CF-F-072 currentRetirementIncomeMonthly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MK-CF-F-062 equityRowValue
75. MK-CF-F-070 benefitAnnual
76. MK-CF-F-176 sumMonthsOverEarners
77. MK-CF-F-177 wageGrossByMonth
78. MK-CF-F-090 effectiveRate
79. MK-CF-F-085 filingStatusOf
80. MK-CF-F-089 over65CountOf
81. MK-CF-F-098 progressiveMonthlyTax
82. MK-CF-F-086 stateRateOf
83. MK-CF-F-173 earnerWages
84. MK-CF-F-102 effectiveRateOnGrossFor
85. MK-CF-F-180 enteredLandsAnnual
86. MK-CF-F-082 salaryAnnual
87. MK-CF-F-084 taxableAnnual
88. MK-CF-F-067 rentalList
89. MK-CF-F-063 rowVestYear
90. MK-CF-F-120 pctBaseMonthly
91. MK-CF-F-004 spendBuckets
92. MK-NW-F-008 incomeBearingClassOf
93. MK-CF-F-130 enteredMonthlyRaw
94. MK-CF-F-166 hasMonthlySalaryTable
95. MK-ST-F-036 reconcile
96. MK-CF-F-167 salaryCalendarYear
97. MK-CF-F-101 taxOwedFor
98. MK-CF-F-100 taxableIncomeFor
99. MK-CF-F-172 hasWage
100. MK-CF-F-074 tipsAnnual
101. MK-CF-F-003 categoryMonthly
102. MK-ST-F-010 nameEvidence
103. MK-CF-F-165 salaryMonths
104. MK-CF-F-099 deductionFor
105. MK-CF-F-081 salaryActiveMonths
106. MK-XS-F-147 call
107. MK-CF-F-187 seniorDeductionFor
108. MK-XS-F-064 currentIdToken
109.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477</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498</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MK-NW-O-001 theBonds
22. MK-NW-F-027 accountClassBreakdown
23. MK-NW-F-011 assetClassOf
24. MK-CF-F-026 actualDebtPayment
25. MK-CF-F-025 minimumDebtService
26. MK-NW-F-014 isRealAsset
27. MK-NW-F-066 sumWhere
28. MK-NW-F-015 totalAssets
29. MK-CF-F-022 paymentShape
30. MK-XS-F-009 readHistory
31. MK-ST-F-027 accountId
32. MK-CF-F-111 applyTransaction
33. MK-NW-F-040 assetsFromOnboarding
34. MK-PF-F-013 benchmarkTicker
35. MK-ST-F-028 buildDayFromAccounts
36. MK-PF-F-034 closeOnOrBefore
37. MK-CF-F-186 convertTakeHomeMode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MK-ST-F-053 money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540</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t>
        </is>
      </c>
      <c r="P319" s="3" t="n">
        <v>213</v>
      </c>
      <c r="Q319" s="3" t="inlineStr">
        <is>
          <t>1. MK-NW-F-097 LEDGER
2. MK-NW-F-098 LEDGER_BAND
3. MK-NW-F-082 NW
4. MK-NW-F-100 TREND
5. MK-CF-F-155 cash
6. MK-XS-F-180 declareFigures
7. MK-ST-F-049 formatMoney
8. MK-XS-F-010 investableChangePct
9. MK-CF-F-204 line
10. MK-PL-F-055 projectNestEgg
11. MK-NW-F-096 CLASS_KEY_OF
12. MK-NW-F-095 CLASS_LABEL_OF
13. MK-NW-F-094 ledgerGroups
14. MK-CF-F-200 LINE
15. MK-NW-O-003 theNetWorth
16. MK-NW-F-099 SNAP
17. MK-XS-F-122 n
18. MK-ST-F-048 currencySymbol
19. MK-ST-F-039 on
20. MK-CF-F-203 MONTH
21. MK-CF-F-132 map
22. MK-PL-F-050 simulate
23. MK-CF-O-006 theCreditLine
24. MK-NW-F-078 ONE
25. MK-NW-F-029 assetAllocation
26. MK-NW-F-039 buildAssetsState
27. MK-CF-F-036 buildDebtState
28. MK-NW-F-065 buildNetWorth
29. MK-NW-F-016 cashTotal
30. MK-NW-F-022 investableAssets
31. MK-NW-F-021 investmentsTotal
32. MK-CF-F-023 requiredPayment
33. MK-XS-F-005 trendPoints
34. MK-XS-F-175 uid
35. MK-ST-F-047 activeCurrency
36. MK-CF-O-010 theMonth
37. MK-CF-O-002 expenses
38. MK-PL-F-074 median
39. MK-PL-F-072 mulberry32
40. MK-PL-F-073 normal
41. MK-PL-F-075 pctOfSorted
42. MK-ST-F-025 rmdStartAgeFromAge
43. MK-CF-F-031 creditUtilization
44. MK-NW-F-077 ALL
45. MK-NW-F-059 currentYield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MK-CF-O-003 thisMonth
81. MK-CF-F-151 actualSpending
82. MK-CF-F-150 debtPaymentsCountedAsExpenses
83. MK-CF-F-153 radar
84. MK-CF-F-149 recurringDebtPayments
85. MK-ST-F-024 rmdStartAge
86. MK-NW-F-057 annualCoupon
87. MK-NW-F-056 bondInfo
88. MK-NW-F-064 bondRateSensitivity
89. MK-NW-F-061 bondSummary
90. MK-NW-F-055 isBond
91. MK-NW-F-072 rowOf
92. MK-NW-F-008 incomeBearingClassOf
93. MK-CF-F-024 totalDebtMonthly
94. MK-CF-F-021 defaultPaymentType
95. MK-XS-F-008 normalizeSnapshot
96. MK-CF-F-138 addLot
97. MK-CF-F-136 bumpCash
98. MK-CF-F-137 findPos
99. MK-CF-F-139 removeShares
100. MK-PF-F-001 totalShares
101. MK-ST-F-052 toNum
102. MK-ST-F-053 money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209</v>
      </c>
      <c r="E320" s="3" t="inlineStr">
        <is>
          <t>2 · DISPLAYED</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Never lets ending fall below 0.</t>
        </is>
      </c>
      <c r="N320" s="3" t="inlineStr">
        <is>
          <t>Yes</t>
        </is>
      </c>
      <c r="O320" s="3" t="inlineStr">
        <is>
          <t>1. MK-NW-F-078 ONE
2. MK-CF-F-132 map
3. MK-PF-F-026 moneyWeightedReturn</t>
        </is>
      </c>
      <c r="P320" s="3" t="n">
        <v>35</v>
      </c>
      <c r="Q320" s="3" t="inlineStr">
        <is>
          <t>1. MK-NW-F-078 ONE
2. MK-CF-F-132 map
3. MK-PF-F-026 moneyWeightedReturn
4. MK-NW-F-077 ALL
5. MK-NW-F-059 currentYield
6. MK-XS-F-180 declareFigures
7. MK-ST-F-049 formatMoney
8. MK-NW-O-001 theBonds
9. MK-PF-F-025 historyIsComplete
10. MK-PF-F-030 npv
11. MK-PF-F-024 userFlows
12. MK-NW-F-057 annualCoupon
13. MK-ST-F-048 currencySymbol
14. MK-XS-F-122 n
15. MK-ST-F-039 on
16. MK-ST-F-027 accountId
17. MK-NW-F-056 bondInfo
18. MK-NW-F-064 bondRateSensitivity
19. MK-NW-F-061 bondSummary
20. MK-NW-F-055 isBond
21. MK-NW-F-072 rowOf
22. MK-ST-F-056 has
23. MK-ST-F-047 activeCurrency
24. MK-CF-F-155 cash
25. MK-NW-F-060 approxYTM
26. MK-NW-F-069 priceAtYield
27. MK-NW-F-011 assetClassOf
28. MK-NW-F-070 accruedInterestCaveat
29. MK-NW-F-071 isCertificateOfDeposit
30. MK-NW-F-058 yearsToMaturity
31. MK-NW-F-008 incomeBearingClassOf
32. MK-ST-F-010 nameEvidence
33. MK-XS-F-147 call
34. MK-XS-F-064 currentIdToken
35.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243</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123</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Rounds the answer to a whole number.</t>
        </is>
      </c>
      <c r="N322" s="3" t="inlineStr">
        <is>
          <t>Yes</t>
        </is>
      </c>
      <c r="O322" s="3" t="inlineStr">
        <is>
          <t>1. MK-NW-F-027 accountClassBreakdown
2. MK-CF-F-132 map
3. MK-ST-F-013 personalFlowTotals
4. MK-ST-F-021 toNumber</t>
        </is>
      </c>
      <c r="P322" s="3" t="n">
        <v>14</v>
      </c>
      <c r="Q322" s="3" t="inlineStr">
        <is>
          <t>1. MK-NW-F-027 accountClassBreakdown
2. MK-CF-F-132 map
3. MK-ST-F-013 personalFlowTotals
4. MK-ST-F-021 toNumber
5. MK-NW-F-011 assetClassOf
6. MK-CF-F-155 cash
7. MK-NW-F-008 incomeBearingClassOf
8. MK-XS-F-122 n
9. MK-ST-F-010 nameEvidence
10. MK-XS-F-147 call
11. MK-ST-F-056 has
12. MK-ST-F-027 accountId
13. MK-XS-F-064 currentIdToken
14.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146</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MK-NW-O-001 theBonds
20. MK-NW-F-027 accountClassBreakdown
21. MK-NW-F-011 assetClassOf
22. MK-CF-F-026 actualDebtPayment
23. MK-CF-F-025 minimumDebtService
24. MK-NW-F-014 isRealAsset
25. MK-NW-F-066 sumWhere
26. MK-NW-F-015 totalAssets
27. MK-CF-F-022 paymentShape
28. MK-XS-F-009 readHistory
29. MK-ST-F-027 accountId
30. MK-CF-F-111 applyTransaction
31. MK-NW-F-040 assetsFromOnboarding
32. MK-PF-F-013 benchmarkTicker
33. MK-ST-F-028 buildDayFromAccounts
34. MK-PF-F-034 closeOnOrBefore
35. MK-CF-F-186 convertTakeHomeMode
36. MK-CF-F-038 debtsFromOnboarding
37. MK-XS-F-083 fetchPriceSeries
38. MK-PL-F-013 goalsFromOnboarding
39. MK-ST-F-056 has
40. MK-CF-F-116 inverseOf
41. MK-ST-F-065 isoLocalDate
42. MK-CF-F-112 makeTransaction
43. MK-XS-F-122 n
44. MK-ST-F-043 newEntityId
45. MK-XS-F-006 pruneDaily
46. MK-ST-F-073 rebuildDays
47. MK-NW-F-054 reclassifyAccounts
48. MK-XS-F-174 recomputeBalances
49. MK-CF-F-115 restoreUndo
50. MK-CF-F-109 reviewTransactions
51. MK-ST-F-044 setMoneyFormat
52. MK-CF-F-114 undoSnapshot
53. MK-CF-F-191 ym
54. MK-NW-F-057 annualCoupon
55. MK-ST-F-048 currencySymbol
56. MK-NW-F-056 bondInfo
57. MK-NW-F-064 bondRateSensitivity
58. MK-NW-F-061 bondSummary
59. MK-NW-F-055 isBond
60. MK-NW-F-072 rowOf
61. MK-CF-F-155 cash
62. MK-NW-F-008 incomeBearingClassOf
63. MK-CF-F-024 totalDebtMonthly
64. MK-CF-F-021 defaultPaymentType
65. MK-XS-F-008 normalizeSnapshot
66. MK-CF-F-138 addLot
67. MK-CF-F-136 bumpCash
68. MK-CF-F-137 findPos
69. MK-CF-F-139 removeShares
70. MK-PF-F-001 totalShares
71. MK-ST-F-052 toNum
72. MK-ST-F-053 money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MK-MN-M-022 · MK-NW-M-001 · MK-NW-M-002 · MK-NW-M-003 · MK-NW-M-004 · MK-NW-M-005 · MK-NW-M-006 · MK-NW-M-007 · MK-NW-M-008 · MK-NW-M-009 · MK-NW-M-011 · MK-NW-M-015 · MK-NW-M-016 · MK-NW-M-017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138</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108</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MK-NW-O-001 theBonds
95. MK-CF-F-193 inflowSourceWord
96. MK-NW-F-057 annualCoupon
97. MK-ST-F-048 currencySymbol
98. MK-NW-F-056 bondInfo
99. MK-NW-F-064 bondRateSensitivity
100. MK-NW-F-061 bondSummary
101. MK-NW-F-055 isBond
102. MK-NW-F-072 rowOf
103. MK-ST-F-047 activeCurrency
104. MK-NW-F-060 approxYTM
105. MK-NW-F-069 priceAtYield
106. MK-NW-F-070 accruedInterestCaveat
107. MK-NW-F-071 isCertificateOfDeposit
108.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71</v>
      </c>
      <c r="E325" s="3" t="inlineStr">
        <is>
          <t>2 · DISPLAYED</t>
        </is>
      </c>
      <c r="F325" s="3" t="inlineStr">
        <is>
          <t>── ORCHESTRATOR ───────────────────────────────────────────────────────────────────── The one function a screen calls for this question.</t>
        </is>
      </c>
      <c r="G325" s="11" t="inlineStr">
        <is>
          <t>s = alternatives summary(input.accounts ?? [])</t>
        </is>
      </c>
      <c r="H325" s="3" t="inlineStr">
        <is>
          <t>S is alternatives summary(input.accounts ?? []).</t>
        </is>
      </c>
      <c r="I325" s="3" t="inlineStr">
        <is>
          <t>PARTLY READ — some of the code is still showing through; needs a hand pass</t>
        </is>
      </c>
      <c r="J325" s="3" t="inlineStr">
        <is>
          <t>input: { accounts: AssetAccount[] }</t>
        </is>
      </c>
      <c r="K325" s="3" t="inlineStr">
        <is>
          <t>AlternativesOutlook</t>
        </is>
      </c>
      <c r="L325" s="3" t="inlineStr">
        <is>
          <t>"EST. GROWTH /year" — on the Other investments screen, under "ALTERNATIVES"</t>
        </is>
      </c>
      <c r="M325" s="3" t="inlineStr">
        <is>
          <t>None found in this function — anything it assumes comes from the functions it depends on.</t>
        </is>
      </c>
      <c r="N325" s="3" t="inlineStr">
        <is>
          <t>Yes</t>
        </is>
      </c>
      <c r="O325" s="3" t="inlineStr">
        <is>
          <t>1. MK-NW-F-002 alternativesSummary
2. MK-NW-F-037 blendedReturn</t>
        </is>
      </c>
      <c r="P325" s="3" t="n">
        <v>20</v>
      </c>
      <c r="Q325" s="3" t="inlineStr">
        <is>
          <t>1. MK-NW-F-002 alternativesSummary
2. MK-NW-F-037 blendedReturn
3. MK-NW-F-034 benchmarkReturn
4. MK-NW-F-001 isAlternative
5. MK-NW-F-032 earmarkedAmount
6. MK-NW-F-031 primaryCarIdOf
7. MK-NW-F-007 assetKind
8. MK-NW-F-030 earmarkDefault
9. MK-NW-F-011 assetClassOf
10. MK-CF-F-155 cash
11. MK-NW-F-013 realEstateUseOf
12. MK-NW-F-008 incomeBearingClassOf
13. MK-XS-F-122 n
14. MK-ST-F-010 nameEvidence
15. MK-XS-F-147 call
16. MK-ST-F-056 has
17. MK-CF-F-132 map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MK-NW-F-008 incomeBearingClassOf → MK-NW-F-011 assetClassOf → MK-NW-F-007 assetKind → MK-NW-F-034 benchmarkReturn → MK-NW-F-037 blendedReturn → MK-NW-O-005 theAlternativesOutlook
5. MK-XS-F-122 n → MK-CF-F-155 cash → MK-NW-F-007 assetKind → MK-NW-F-034 benchmarkReturn → MK-NW-F-037 blendedReturn → MK-NW-O-005 theAlternativesOutlook
6. MK-NW-F-008 incomeBearingClassOf → MK-NW-F-011 assetClassOf → MK-NW-F-030 earmarkDefault → MK-NW-F-032 earmarkedAmount → MK-NW-F-037 blendedReturn → MK-NW-O-005 theAlternativesOutlook
7. MK-NW-F-013 realEstateUseOf → MK-NW-F-030 earmarkDefault → MK-NW-F-032 earmarkedAmount → MK-NW-F-037 blendedReturn → MK-NW-O-005 theAlternativesOutlook
8. MK-CF-F-155 cash → MK-NW-F-008 incomeBearingClassOf → MK-NW-F-011 assetClassOf → MK-NW-F-031 primaryCarIdOf → MK-NW-F-037 blendedReturn → MK-NW-O-005 theAlternativesOutlook
9. … and 1 more paths</t>
        </is>
      </c>
      <c r="S325" s="3" t="inlineStr">
        <is>
          <t>MK-MN-M-023</t>
        </is>
      </c>
      <c r="T325" s="3" t="inlineStr">
        <is>
          <t>—</t>
        </is>
      </c>
      <c r="U325" s="3" t="inlineStr">
        <is>
          <t>ACTIVE</t>
        </is>
      </c>
      <c r="V325" s="3" t="inlineStr">
        <is>
          <t>2026-09-28</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127</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Uses today's date from the device clock, so the answer changes by itself overnight.</t>
        </is>
      </c>
      <c r="N326" s="3" t="inlineStr">
        <is>
          <t>Yes</t>
        </is>
      </c>
      <c r="O326" s="3" t="inlineStr">
        <is>
          <t>1. MK-PF-F-006 capGains
2. MK-PF-F-002 costBasis
3. MK-PF-F-004 marketValue
4. MK-PF-F-028 realizedFromLedger
5. MK-PF-F-001 totalShares</t>
        </is>
      </c>
      <c r="P326" s="3" t="n">
        <v>7</v>
      </c>
      <c r="Q326" s="3" t="inlineStr">
        <is>
          <t>1. MK-PF-F-006 capGains
2. MK-PF-F-002 costBasis
3. MK-PF-F-004 marketValue
4. MK-PF-F-028 realizedFromLedger
5. MK-PF-F-001 totalShares
6. MK-XS-F-122 n
7. MK-PF-F-031 contractMultiplier</t>
        </is>
      </c>
      <c r="R326" s="3" t="inlineStr">
        <is>
          <t>1. MK-XS-F-122 n → MK-PF-F-006 capGains → MK-NW-O-006 theHolding
2. MK-PF-F-031 contractMultiplier → MK-PF-F-002 costBasis → MK-NW-O-006 theHolding
3. MK-PF-F-031 contractMultiplier → MK-PF-F-004 marketValue → MK-NW-O-006 theHolding
4. MK-PF-F-001 totalShares → MK-PF-F-004 marketValue → MK-NW-O-006 theHolding
5. MK-PF-F-028 realizedFromLedger → MK-NW-O-006 theHolding
6. MK-PF-F-001 totalShares → MK-NW-O-006 theHolding</t>
        </is>
      </c>
      <c r="S326" s="3" t="inlineStr">
        <is>
          <t>MK-NW-M-029 · MK-NW-M-030 · MK-NW-M-031 · MK-NW-M-033 · MK-NW-M-034 · MK-NW-M-035 · MK-NW-M-036 · MK-NW-M-037</t>
        </is>
      </c>
      <c r="T326" s="3" t="inlineStr">
        <is>
          <t>—</t>
        </is>
      </c>
      <c r="U326" s="3" t="inlineStr">
        <is>
          <t>ACTIVE</t>
        </is>
      </c>
      <c r="V326" s="3" t="inlineStr">
        <is>
          <t>2026-09-28</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353</v>
      </c>
      <c r="E328" s="3" t="inlineStr">
        <is>
          <t>2 · DISPLAYED</t>
        </is>
      </c>
      <c r="F328" s="3" t="inlineStr">
        <is>
          <t>── ORCHESTRATOR ───────────────────────────────────────────────────────────────────── The one function a screen calls for this question.</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106</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107</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156</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208</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247</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287</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103</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120</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"No transactions yet." — on the Performance screen
3. "Total" — on the Import holdings screen
4. "Value" — on the Import holdings screen, under "REVIEW YOUR HOLDINGS"
5.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2 · DISPLAYED</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1. "Return" — on the Account detail screen, under "THE HOLDINGS
2. $"</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2026-08-27</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MK-XS-F-001</t>
        </is>
      </c>
      <c r="B524" s="3" t="inlineStr">
        <is>
          <t>planCompleteness</t>
        </is>
      </c>
      <c r="C524" s="3" t="inlineStr">
        <is>
          <t>src/domain/completeness/index.ts</t>
        </is>
      </c>
      <c r="D524" s="3" t="n">
        <v>40</v>
      </c>
      <c r="E524" s="3" t="inlineStr">
        <is>
          <t>2 · DISPLAYED</t>
        </is>
      </c>
      <c r="F524" s="3" t="inlineStr">
        <is>
          <t>NOT DETERMINED — the code carries no note saying what this is for, and it has no row in the old inventory. Needs reading.</t>
        </is>
      </c>
      <c r="G524" s="11" t="inlineStr">
        <is>
          <t>done count = checks where donecount of 
total = count of checks
the answer:
checks = checks
done count = done count
total = total
pct = round((done count ÷ total) × 100)</t>
        </is>
      </c>
      <c r="H524" s="3" t="inlineStr">
        <is>
          <t>Done count is checks where donecount of. Total: how many checks there are. The answer is checks = checks; done count = done count; total = total; pct = (done count divided by total, to a whole number times 100).</t>
        </is>
      </c>
      <c r="I524" s="3" t="inlineStr">
        <is>
          <t>READ FROM THE CODE — rendered from the expressions the function runs</t>
        </is>
      </c>
      <c r="J524" s="3" t="inlineStr">
        <is>
          <t>i: CompletenessInput</t>
        </is>
      </c>
      <c r="K524" s="3" t="inlineStr">
        <is>
          <t>NOT DECLARED — the code does not say what it gives back</t>
        </is>
      </c>
      <c r="L524" s="3" t="inlineStr">
        <is>
          <t>NOT FOUND — a screen calls it, but the words printed beside its answer could not be traced automatically. Needs reading.</t>
        </is>
      </c>
      <c r="M524" s="3" t="inlineStr">
        <is>
          <t>· Rounds the answer to a whole number.</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MK-XS-F-002</t>
        </is>
      </c>
      <c r="B525" s="3" t="inlineStr">
        <is>
          <t>dataGaps</t>
        </is>
      </c>
      <c r="C525" s="3" t="inlineStr">
        <is>
          <t>src/domain/gaps/index.ts</t>
        </is>
      </c>
      <c r="D525" s="3" t="n">
        <v>149</v>
      </c>
      <c r="E525" s="3" t="inlineStr">
        <is>
          <t>2 · DISPLAYED</t>
        </is>
      </c>
      <c r="F525" s="3" t="inlineStr">
        <is>
          <t>Every incomplete promise across the given accounts.</t>
        </is>
      </c>
      <c r="G52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5" s="3" t="inlineStr">
        <is>
          <t>PARTLY READ — some of the code is still showing through; needs a hand pass</t>
        </is>
      </c>
      <c r="J525" s="3" t="inlineStr">
        <is>
          <t>Nothing is handed to it</t>
        </is>
      </c>
      <c r="K525" s="3" t="inlineStr">
        <is>
          <t>NOT DECLARED — the code does not say what it gives back</t>
        </is>
      </c>
      <c r="L525" s="3" t="inlineStr">
        <is>
          <t>NOT FOUND — a screen calls it, but the words printed beside its answer could not be traced automatically. Needs reading.</t>
        </is>
      </c>
      <c r="M525" s="3" t="inlineStr">
        <is>
          <t>1. If shares is missing it uses 0.
2. Treats a year as 365 days.
3. Uses today's date from the device clock, so the answer changes by itself overnight.</t>
        </is>
      </c>
      <c r="N525" s="3" t="inlineStr">
        <is>
          <t>Yes</t>
        </is>
      </c>
      <c r="O525" s="3" t="inlineStr">
        <is>
          <t>1. MK-XS-F-170 daysSince
2. MK-NW-F-046 historyCoverage
3. MK-CF-F-204 line
4. MK-XS-F-120 nameOf
5. MK-XS-F-119 namesFor
6. MK-XS-F-118 prettyDate</t>
        </is>
      </c>
      <c r="P525" s="3" t="n">
        <v>113</v>
      </c>
      <c r="Q52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MK-NW-O-001 theBonds
43. MK-CF-F-193 inflowSourceWord
44. MK-CF-F-092 incomeMonthlyGrid
45. MK-CF-F-011 savingsByMonth
46. MK-NW-F-057 annualCoupon
47. MK-ST-F-048 currencySymbol
48. MK-ST-F-039 on
49. MK-ST-F-027 accountId
50. MK-NW-F-056 bondInfo
51. MK-NW-F-064 bondRateSensitivity
52. MK-NW-F-061 bondSummary
53. MK-NW-F-055 isBond
54. MK-NW-F-072 rowOf
55. MK-CF-F-069 benefitActiveMonths
56. MK-CF-F-072 currentRetirementIncomeMonthly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MK-CF-F-062 equityRowValue
79. MK-CF-F-070 benefitAnnual
80. MK-CF-F-176 sumMonthsOverEarners
81. MK-CF-F-177 wageGrossByMonth
82. MK-CF-F-090 effectiveRate
83. MK-CF-F-085 filingStatusOf
84. MK-CF-F-089 over65CountOf
85. MK-CF-F-098 progressiveMonthlyTax
86. MK-CF-F-086 stateRateOf
87. MK-CF-F-173 earnerWages
88. MK-CF-F-102 effectiveRateOnGrossFor
89. MK-CF-F-180 enteredLandsAnnual
90. MK-CF-F-082 salaryAnnual
91. MK-CF-F-084 taxableAnnual
92. MK-CF-F-067 rentalList
93. MK-CF-F-063 rowVestYear
94. MK-CF-F-120 pctBaseMonthly
95. MK-CF-F-004 spendBuckets
96. MK-NW-F-008 incomeBearingClassOf
97. MK-CF-F-130 enteredMonthlyRaw
98. MK-CF-F-166 hasMonthlySalaryTable
99. MK-ST-F-036 reconcile
100. MK-CF-F-167 salaryCalendarYear
101. MK-CF-F-101 taxOwedFor
102. MK-CF-F-100 taxableIncomeFor
103. MK-CF-F-172 hasWage
104. MK-CF-F-074 tipsAnnual
105. MK-CF-F-003 categoryMonthly
106. MK-ST-F-010 nameEvidence
107. MK-CF-F-165 salaryMonths
108. MK-CF-F-099 deductionFor
109. MK-CF-F-081 salaryActiveMonths
110. MK-XS-F-147 call
111. MK-CF-F-187 seniorDeductionFor
112. MK-XS-F-064 currentIdToken
113. MK-XS-F-112 relayUrl</t>
        </is>
      </c>
      <c r="R52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5" s="3" t="inlineStr">
        <is>
          <t>—</t>
        </is>
      </c>
      <c r="T525" s="3" t="inlineStr">
        <is>
          <t>WHAT_IS_MISSING</t>
        </is>
      </c>
      <c r="U525" s="3" t="inlineStr">
        <is>
          <t>ACTIVE</t>
        </is>
      </c>
      <c r="V525" s="3" t="inlineStr">
        <is>
          <t>2026-08-27</t>
        </is>
      </c>
      <c r="W525" s="3" t="n"/>
      <c r="X525" s="3" t="n"/>
      <c r="Y525" s="3" t="inlineStr">
        <is>
          <t>NOTHING OPEN</t>
        </is>
      </c>
    </row>
    <row r="526" ht="60" customHeight="1">
      <c r="A526" s="3" t="inlineStr">
        <is>
          <t>MK-XS-F-003</t>
        </is>
      </c>
      <c r="B526" s="3" t="inlineStr">
        <is>
          <t>gapsHeadline</t>
        </is>
      </c>
      <c r="C526" s="3" t="inlineStr">
        <is>
          <t>src/domain/gaps/index.ts</t>
        </is>
      </c>
      <c r="D526" s="3" t="n">
        <v>262</v>
      </c>
      <c r="E526" s="3" t="inlineStr">
        <is>
          <t>2 · DISPLAYED (presentation only)</t>
        </is>
      </c>
      <c r="F526" s="3" t="inlineStr">
        <is>
          <t>The banner sentence — plural-correct, and absent (null) when nothing is missing.</t>
        </is>
      </c>
      <c r="G526" s="11" t="inlineStr">
        <is>
          <t>nothing   when count of gaps is missing
'1 number needs more information'   if gaps.length = 1
`${gaps.length} numbers need more information`   otherwise</t>
        </is>
      </c>
      <c r="H526" s="3" t="inlineStr">
        <is>
          <t>When how many gaps is missing there are, it answers no answer. '1 number needs more information' — when gaps.length = 1; `${gaps.length} numbers need more information` — otherwise.</t>
        </is>
      </c>
      <c r="I526" s="3" t="inlineStr">
        <is>
          <t>PARTLY READ — some of the code is still showing through; needs a hand pass</t>
        </is>
      </c>
      <c r="J526" s="3" t="inlineStr">
        <is>
          <t>gaps: DataGap[]</t>
        </is>
      </c>
      <c r="K526" s="3" t="inlineStr">
        <is>
          <t>string | null</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MK-XS-F-004</t>
        </is>
      </c>
      <c r="B527" s="3" t="inlineStr">
        <is>
          <t>buildDatedGrid</t>
        </is>
      </c>
      <c r="C527" s="3" t="inlineStr">
        <is>
          <t>src/domain/grid/index.ts</t>
        </is>
      </c>
      <c r="D527" s="3" t="n">
        <v>113</v>
      </c>
      <c r="E527" s="3" t="inlineStr">
        <is>
          <t>2 · DISPLAYED</t>
        </is>
      </c>
      <c r="F527" s="3" t="inlineStr">
        <is>
          <t>Build the dated 12-month grid.</t>
        </is>
      </c>
      <c r="G52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7" s="3" t="inlineStr">
        <is>
          <t>PARTLY READ — the body has a loop the extractor cannot render; the steps shown are the ones before it. Needs a hand pass (G23).</t>
        </is>
      </c>
      <c r="J527" s="3" t="inlineStr">
        <is>
          <t>1. op: OnboardingProfile | null
2. opts: GridOptions = {}</t>
        </is>
      </c>
      <c r="K527" s="3" t="inlineStr">
        <is>
          <t>DatedGrid</t>
        </is>
      </c>
      <c r="L527" s="3" t="inlineStr">
        <is>
          <t>NOT FOUND — a screen calls it, but the words printed beside its answer could not be traced automatically. Needs reading.</t>
        </is>
      </c>
      <c r="M52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7" s="3" t="inlineStr">
        <is>
          <t>Yes</t>
        </is>
      </c>
      <c r="O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7" s="3" t="n">
        <v>105</v>
      </c>
      <c r="Q52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7" s="3" t="inlineStr">
        <is>
          <t>—</t>
        </is>
      </c>
      <c r="T527" s="3" t="inlineStr">
        <is>
          <t>—</t>
        </is>
      </c>
      <c r="U527" s="3" t="inlineStr">
        <is>
          <t>ACTIVE</t>
        </is>
      </c>
      <c r="V527" s="3" t="inlineStr">
        <is>
          <t>2026-09-08</t>
        </is>
      </c>
      <c r="W527" s="3" t="n"/>
      <c r="X527" s="3" t="n"/>
      <c r="Y527" s="3" t="inlineStr">
        <is>
          <t>NOTHING OPEN</t>
        </is>
      </c>
    </row>
    <row r="528" ht="60" customHeight="1">
      <c r="A528" s="3" t="inlineStr">
        <is>
          <t>MK-XS-F-005</t>
        </is>
      </c>
      <c r="B528" s="3" t="inlineStr">
        <is>
          <t>trendPoints</t>
        </is>
      </c>
      <c r="C528" s="3" t="inlineStr">
        <is>
          <t>src/domain/history.ts</t>
        </is>
      </c>
      <c r="D528" s="3" t="n">
        <v>64</v>
      </c>
      <c r="E528" s="3" t="inlineStr">
        <is>
          <t>2 · DISPLAYED</t>
        </is>
      </c>
      <c r="F528" s="3" t="inlineStr">
        <is>
          <t>Chart series = monthly snapshots + daily points, chronological ('YYYY-MM' sorts before its days).</t>
        </is>
      </c>
      <c r="G528" s="11" t="inlineStr">
        <is>
          <t>pts = for each of read history(monthly): key = month
nw = net worth
the answer = pts.sort((a, b) =&gt; key.locale compare(key))</t>
        </is>
      </c>
      <c r="H528" s="3" t="inlineStr">
        <is>
          <t>Pts is for each of read history(monthly): key = month; nw = net worth. The answer is pts.sort((a, b) =&gt; key.locale compare(key)).</t>
        </is>
      </c>
      <c r="I528" s="3" t="inlineStr">
        <is>
          <t>PARTLY READ — some of the code is still showing through; needs a hand pass</t>
        </is>
      </c>
      <c r="J528" s="3" t="inlineStr">
        <is>
          <t>Nothing is handed to it</t>
        </is>
      </c>
      <c r="K528" s="3" t="inlineStr">
        <is>
          <t>NOT DECLARED — the code does not say what it gives back</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1. MK-CF-F-132 map
2. MK-XS-F-009 readHistory</t>
        </is>
      </c>
      <c r="P528" s="3" t="n">
        <v>6</v>
      </c>
      <c r="Q528" s="3" t="inlineStr">
        <is>
          <t>1. MK-CF-F-132 map
2. MK-XS-F-009 readHistory
3. MK-XS-F-008 normalizeSnapshot
4. MK-CF-F-191 ym
5. MK-XS-F-121 isYm
6. MK-XS-F-122 n</t>
        </is>
      </c>
      <c r="R52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8" s="3" t="inlineStr">
        <is>
          <t>—</t>
        </is>
      </c>
      <c r="T528" s="3" t="inlineStr">
        <is>
          <t>TREND_SERIES</t>
        </is>
      </c>
      <c r="U528" s="3" t="inlineStr">
        <is>
          <t>ACTIVE</t>
        </is>
      </c>
      <c r="V528" s="3" t="inlineStr">
        <is>
          <t>2026-08-27</t>
        </is>
      </c>
      <c r="W528" s="3" t="n"/>
      <c r="X528" s="3" t="n"/>
      <c r="Y528" s="3" t="inlineStr">
        <is>
          <t>NOTHING OPEN</t>
        </is>
      </c>
    </row>
    <row r="529" ht="60" customHeight="1">
      <c r="A529" s="3" t="inlineStr">
        <is>
          <t>MK-XS-F-006</t>
        </is>
      </c>
      <c r="B529" s="3" t="inlineStr">
        <is>
          <t>pruneDaily</t>
        </is>
      </c>
      <c r="C529" s="3" t="inlineStr">
        <is>
          <t>src/domain/history.ts</t>
        </is>
      </c>
      <c r="D529" s="3" t="n">
        <v>106</v>
      </c>
      <c r="E529" s="3" t="inlineStr">
        <is>
          <t>3 · DEPENDENT</t>
        </is>
      </c>
      <c r="F529" s="3" t="inlineStr">
        <is>
          <t>Prune helper for the store writer: newest DAILY_KEEP days survive.</t>
        </is>
      </c>
      <c r="G529" s="11" t="inlineStr">
        <is>
          <t>keys = the names in daily, in order
daily   when keys.length ≤ DAILY_KEEP
keep = a list with no repeats of keys.slice(-DAILY_KEEP)
the answer = object.from entries(object.entries(daily).filter(([k]) =&gt; keep.has(k)))</t>
        </is>
      </c>
      <c r="H529" s="3" t="inlineStr">
        <is>
          <t>Keys: the names in daily, in order. When keys.length is at most DAILY_KEEP, it answers daily. Keep is a list with no repeats of keys.slice(-DAILY_KEEP). The answer is object.from entries(object.entries(daily).filter(([k]) =&gt; keep.has(k))).</t>
        </is>
      </c>
      <c r="I529" s="3" t="inlineStr">
        <is>
          <t>PARTLY READ — some of the code is still showing through; needs a hand pass</t>
        </is>
      </c>
      <c r="J529" s="3" t="inlineStr">
        <is>
          <t>daily: Record&lt;string, number&gt;</t>
        </is>
      </c>
      <c r="K529" s="3" t="inlineStr">
        <is>
          <t>Record&lt;string, number&gt;</t>
        </is>
      </c>
      <c r="L529" s="3" t="inlineStr">
        <is>
          <t>—</t>
        </is>
      </c>
      <c r="M529" s="3" t="inlineStr">
        <is>
          <t>None found in this function — anything it assumes comes from the functions it depends on.</t>
        </is>
      </c>
      <c r="N529" s="3" t="inlineStr">
        <is>
          <t>Yes</t>
        </is>
      </c>
      <c r="O529" s="3" t="inlineStr">
        <is>
          <t>MK-ST-F-056 has</t>
        </is>
      </c>
      <c r="P529" s="3" t="n">
        <v>1</v>
      </c>
      <c r="Q529" s="3" t="inlineStr">
        <is>
          <t>MK-ST-F-056 has</t>
        </is>
      </c>
      <c r="R529" s="3" t="inlineStr">
        <is>
          <t>MK-ST-F-056 has → MK-XS-F-006 pruneDaily</t>
        </is>
      </c>
      <c r="S529" s="3" t="inlineStr">
        <is>
          <t>—</t>
        </is>
      </c>
      <c r="T529" s="3" t="inlineStr">
        <is>
          <t>—</t>
        </is>
      </c>
      <c r="U529" s="3" t="inlineStr">
        <is>
          <t>ACTIVE</t>
        </is>
      </c>
      <c r="V529" s="3" t="inlineStr">
        <is>
          <t>2026-09-12</t>
        </is>
      </c>
      <c r="W529" s="3" t="n"/>
      <c r="X529" s="3" t="n"/>
      <c r="Y529" s="3" t="inlineStr">
        <is>
          <t>NOTHING OPEN</t>
        </is>
      </c>
    </row>
    <row r="530" ht="60" customHeight="1">
      <c r="A530" s="3" t="inlineStr">
        <is>
          <t>MK-XS-F-007</t>
        </is>
      </c>
      <c r="B530" s="3" t="inlineStr">
        <is>
          <t>makeMonthlySnapshot</t>
        </is>
      </c>
      <c r="C530" s="3" t="inlineStr">
        <is>
          <t>src/domain/history.ts</t>
        </is>
      </c>
      <c r="D530" s="3" t="n">
        <v>194</v>
      </c>
      <c r="E530" s="3" t="inlineStr">
        <is>
          <t>2 · DISPLAYED</t>
        </is>
      </c>
      <c r="F530" s="3" t="inlineStr">
        <is>
          <t>The ONE writer — stamps the version and keeps the arithmetic identity by construction.</t>
        </is>
      </c>
      <c r="G530" s="11" t="inlineStr">
        <is>
          <t>net worth = gross assets − gross debt
v = the snapshot version</t>
        </is>
      </c>
      <c r="H530" s="3" t="inlineStr">
        <is>
          <t>Builds a month-end snapshot: net worth is assets minus debts, computed here and never stored as a third figure that could disagree with its own halves.</t>
        </is>
      </c>
      <c r="I530" s="3" t="inlineStr">
        <is>
          <t>READ BY HAND 2026-08-26 — checked line by line against the code</t>
        </is>
      </c>
      <c r="J530" s="3" t="inlineStr">
        <is>
          <t>i: Omit&lt;MonthlySnapshot, 'v' | 'net_worth'&gt; &amp; { net_worth?: number }</t>
        </is>
      </c>
      <c r="K530" s="3" t="inlineStr">
        <is>
          <t>MonthlySnapshot</t>
        </is>
      </c>
      <c r="L530" s="3" t="inlineStr">
        <is>
          <t>NOT FOUND — a screen calls it, but the words printed beside its answer could not be traced automatically. Needs reading.</t>
        </is>
      </c>
      <c r="M530" s="3" t="inlineStr">
        <is>
          <t>None found in this function — anything it assumes comes from the functions it depends on.</t>
        </is>
      </c>
      <c r="N530" s="3" t="inlineStr">
        <is>
          <t>Yes</t>
        </is>
      </c>
      <c r="O530" s="3" t="inlineStr">
        <is>
          <t>MK-XS-F-122 n</t>
        </is>
      </c>
      <c r="P530" s="3" t="n">
        <v>1</v>
      </c>
      <c r="Q530" s="3" t="inlineStr">
        <is>
          <t>MK-XS-F-122 n</t>
        </is>
      </c>
      <c r="R530" s="3" t="inlineStr">
        <is>
          <t>MK-XS-F-122 n → MK-XS-F-007 makeMonthlySnapshot</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MK-XS-F-008</t>
        </is>
      </c>
      <c r="B531" s="3" t="inlineStr">
        <is>
          <t>normalizeSnapshot</t>
        </is>
      </c>
      <c r="C531" s="3" t="inlineStr">
        <is>
          <t>src/domain/history.ts</t>
        </is>
      </c>
      <c r="D531" s="3" t="n">
        <v>234</v>
      </c>
      <c r="E531" s="3" t="inlineStr">
        <is>
          <t>3 · DEPENDENT</t>
        </is>
      </c>
      <c r="F531" s="3" t="inlineStr">
        <is>
          <t>Normalize ONE stored entry: v1 passes validated; a legacy blob (no `v`) maps best-effort; anything without a real month + net worth is dropped (null), never charted.</t>
        </is>
      </c>
      <c r="G53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1" s="3" t="inlineStr">
        <is>
          <t>PARTLY READ — some of the code is still showing through; needs a hand pass</t>
        </is>
      </c>
      <c r="J531" s="3" t="inlineStr">
        <is>
          <t>1. ym: string
2. raw: unknown</t>
        </is>
      </c>
      <c r="K531" s="3" t="inlineStr">
        <is>
          <t>MonthlySnapshot | null</t>
        </is>
      </c>
      <c r="L531" s="3" t="inlineStr">
        <is>
          <t>—</t>
        </is>
      </c>
      <c r="M531" s="3" t="inlineStr">
        <is>
          <t>None found in this function — anything it assumes comes from the functions it depends on.</t>
        </is>
      </c>
      <c r="N531" s="3" t="inlineStr">
        <is>
          <t>Yes</t>
        </is>
      </c>
      <c r="O531" s="3" t="inlineStr">
        <is>
          <t>1. MK-XS-F-121 isYm
2. MK-XS-F-122 n
3. MK-CF-F-191 ym</t>
        </is>
      </c>
      <c r="P531" s="3" t="n">
        <v>3</v>
      </c>
      <c r="Q531" s="3" t="inlineStr">
        <is>
          <t>1. MK-XS-F-121 isYm
2. MK-XS-F-122 n
3. MK-CF-F-191 ym</t>
        </is>
      </c>
      <c r="R531" s="3" t="inlineStr">
        <is>
          <t>1. MK-XS-F-121 isYm → MK-XS-F-008 normalizeSnapshot
2. MK-XS-F-122 n → MK-XS-F-008 normalizeSnapshot
3. MK-CF-F-191 ym → MK-XS-F-008 normalizeSnapshot</t>
        </is>
      </c>
      <c r="S531" s="3" t="inlineStr">
        <is>
          <t>—</t>
        </is>
      </c>
      <c r="T531" s="3" t="inlineStr">
        <is>
          <t>SNAPSHOT_READ_ONE</t>
        </is>
      </c>
      <c r="U531" s="3" t="inlineStr">
        <is>
          <t>ACTIVE</t>
        </is>
      </c>
      <c r="V531" s="3" t="inlineStr">
        <is>
          <t>2026-09-09</t>
        </is>
      </c>
      <c r="W531" s="3" t="n"/>
      <c r="X531" s="3" t="n"/>
      <c r="Y531" s="3" t="inlineStr">
        <is>
          <t>NOTHING OPEN</t>
        </is>
      </c>
    </row>
    <row r="532" ht="60" customHeight="1">
      <c r="A532" s="3" t="inlineStr">
        <is>
          <t>MK-XS-F-009</t>
        </is>
      </c>
      <c r="B532" s="3" t="inlineStr">
        <is>
          <t>readHistory</t>
        </is>
      </c>
      <c r="C532" s="3" t="inlineStr">
        <is>
          <t>src/domain/history.ts</t>
        </is>
      </c>
      <c r="D532" s="3" t="n">
        <v>285</v>
      </c>
      <c r="E532" s="3" t="inlineStr">
        <is>
          <t>2 · DISPLAYED</t>
        </is>
      </c>
      <c r="F532" s="3" t="inlineStr">
        <is>
          <t>The ONE reader every history surface uses: normalized, garbage-free, sorted by month.</t>
        </is>
      </c>
      <c r="G532" s="11" t="inlineStr">
        <is>
          <t>for each stored month: normalize snapshot(month, value); drop the unreadable ones; sort by month, oldest first</t>
        </is>
      </c>
      <c r="H532" s="3" t="inlineStr">
        <is>
          <t>Reads the stored monthly snapshots, drops any that cannot be read, and sorts them oldest first. No arithmetic beyond the ordering.</t>
        </is>
      </c>
      <c r="I532" s="3" t="inlineStr">
        <is>
          <t>READ BY HAND 2026-08-26 — checked line by line against the code</t>
        </is>
      </c>
      <c r="J532" s="3" t="inlineStr">
        <is>
          <t>raw: Record&lt;string, unknown&gt; | null | undefined</t>
        </is>
      </c>
      <c r="K532" s="3" t="inlineStr">
        <is>
          <t>MonthlySnapshot[]</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1. MK-CF-F-132 map
2. MK-XS-F-008 normalizeSnapshot
3. MK-CF-F-191 ym</t>
        </is>
      </c>
      <c r="P532" s="3" t="n">
        <v>5</v>
      </c>
      <c r="Q532" s="3" t="inlineStr">
        <is>
          <t>1. MK-CF-F-132 map
2. MK-XS-F-008 normalizeSnapshot
3. MK-CF-F-191 ym
4. MK-XS-F-121 isYm
5. MK-XS-F-122 n</t>
        </is>
      </c>
      <c r="R53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2" s="3" t="inlineStr">
        <is>
          <t>—</t>
        </is>
      </c>
      <c r="T532" s="3" t="inlineStr">
        <is>
          <t>SNAPSHOT_READ_ALL</t>
        </is>
      </c>
      <c r="U532" s="3" t="inlineStr">
        <is>
          <t>ACTIVE</t>
        </is>
      </c>
      <c r="V532" s="3" t="inlineStr">
        <is>
          <t>2026-09-12</t>
        </is>
      </c>
      <c r="W532" s="3" t="n"/>
      <c r="X532" s="3" t="n"/>
      <c r="Y532" s="3" t="inlineStr">
        <is>
          <t>NOTHING OPEN</t>
        </is>
      </c>
    </row>
    <row r="533" ht="60" customHeight="1">
      <c r="A533" s="3" t="inlineStr">
        <is>
          <t>MK-XS-F-010</t>
        </is>
      </c>
      <c r="B533" s="3" t="inlineStr">
        <is>
          <t>investableChangePct</t>
        </is>
      </c>
      <c r="C533" s="3" t="inlineStr">
        <is>
          <t>src/domain/history.ts</t>
        </is>
      </c>
      <c r="D533" s="3" t="n">
        <v>319</v>
      </c>
      <c r="E533" s="3" t="inlineStr">
        <is>
          <t>3 · DEPENDENT</t>
        </is>
      </c>
      <c r="F533" s="3" t="inlineStr">
        <is>
          <t>FOUNDER RULE 2026-08-04: the NW change PERCENT is measured on cash + investments only — property values move only when someone retypes them, so a total-net-worth percent is noise.</t>
        </is>
      </c>
      <c r="G53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3" s="3" t="inlineStr">
        <is>
          <t>READ FROM THE CODE — rendered from the expressions the function runs</t>
        </is>
      </c>
      <c r="J533" s="3" t="inlineStr">
        <is>
          <t>Nothing is handed to it</t>
        </is>
      </c>
      <c r="K533" s="3" t="inlineStr">
        <is>
          <t>NOT DECLARED — the code does not say what it gives back</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NW_CHANGE_PCT</t>
        </is>
      </c>
      <c r="U533" s="3" t="inlineStr">
        <is>
          <t>ACTIVE</t>
        </is>
      </c>
      <c r="V533" s="3" t="inlineStr">
        <is>
          <t>2026-09-27</t>
        </is>
      </c>
      <c r="W533" s="3" t="n"/>
      <c r="X533" s="3" t="n"/>
      <c r="Y533" s="3" t="inlineStr">
        <is>
          <t>NOTHING OPEN</t>
        </is>
      </c>
    </row>
    <row r="534" ht="60" customHeight="1">
      <c r="A534" s="3" t="inlineStr">
        <is>
          <t>MK-XS-F-011</t>
        </is>
      </c>
      <c r="B534" s="3" t="inlineStr">
        <is>
          <t>buildChangeWalk</t>
        </is>
      </c>
      <c r="C534" s="3" t="inlineStr">
        <is>
          <t>src/domain/history.ts</t>
        </is>
      </c>
      <c r="D534" s="3" t="n">
        <v>381</v>
      </c>
      <c r="E534" s="3" t="inlineStr">
        <is>
          <t>2 · DISPLAYED</t>
        </is>
      </c>
      <c r="F534" s="3" t="inlineStr">
        <is>
          <t>My net worth changed since last time — what actually caused it?</t>
        </is>
      </c>
      <c r="G53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1. "Wealth generated" — on the Account detail screen, under "THE HOLDINGS
2. $"</t>
        </is>
      </c>
      <c r="M534" s="3" t="inlineStr">
        <is>
          <t>1. If contributions is missing it uses 0.
2. If withdrawals is missing it uses 0.
3. If dividends is missing it uses 0.
4. If interest is missing it uses 0.
5. If debt principal is missing it uses 0.</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NW_CHANGE_WALK</t>
        </is>
      </c>
      <c r="U534" s="3" t="inlineStr">
        <is>
          <t>ACTIVE</t>
        </is>
      </c>
      <c r="V534" s="3" t="inlineStr">
        <is>
          <t>2026-09-09</t>
        </is>
      </c>
      <c r="W534" s="3" t="n"/>
      <c r="X534" s="3" t="n"/>
      <c r="Y534" s="3" t="inlineStr">
        <is>
          <t>NOTHING OPEN</t>
        </is>
      </c>
    </row>
    <row r="535" ht="60" customHeight="1">
      <c r="A535" s="3" t="inlineStr">
        <is>
          <t>MK-XS-F-012</t>
        </is>
      </c>
      <c r="B535" s="3" t="inlineStr">
        <is>
          <t>decodeCsvBase64</t>
        </is>
      </c>
      <c r="C535" s="3" t="inlineStr">
        <is>
          <t>src/domain/import/holdingsImport.ts</t>
        </is>
      </c>
      <c r="D535" s="3" t="n">
        <v>149</v>
      </c>
      <c r="E535" s="3" t="inlineStr">
        <is>
          <t>2 · DISPLAYED</t>
        </is>
      </c>
      <c r="F535" s="3" t="inlineStr">
        <is>
          <t>What is the text of the file that was picked?</t>
        </is>
      </c>
      <c r="G53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5" s="3" t="inlineStr">
        <is>
          <t>PARTLY READ — the body has a loop the extractor cannot render; the steps shown are the ones before it. Needs a hand pass (G23).</t>
        </is>
      </c>
      <c r="J535" s="3" t="inlineStr">
        <is>
          <t>b64: string</t>
        </is>
      </c>
      <c r="K535" s="3" t="inlineStr">
        <is>
          <t>string</t>
        </is>
      </c>
      <c r="L535" s="3" t="inlineStr">
        <is>
          <t>NOT FOUND — a screen calls it, but the words printed beside its answer could not be traced automatically. Needs reading.</t>
        </is>
      </c>
      <c r="M535" s="3" t="inlineStr">
        <is>
          <t>1. Uses a built-in start of 0.
2. Uses a built-in nul of 0.
3. Caps length at 400.</t>
        </is>
      </c>
      <c r="N535" s="3" t="inlineStr">
        <is>
          <t>Yes</t>
        </is>
      </c>
      <c r="O535" s="3" t="inlineStr">
        <is>
          <t>1. MK-XS-F-123 base64ToBytes
2. MK-XS-F-125 decodeUtf16
3. MK-XS-F-124 decodeUtf8</t>
        </is>
      </c>
      <c r="P535" s="3" t="n">
        <v>3</v>
      </c>
      <c r="Q535" s="3" t="inlineStr">
        <is>
          <t>1. MK-XS-F-123 base64ToBytes
2. MK-XS-F-125 decodeUtf16
3. MK-XS-F-124 decodeUtf8</t>
        </is>
      </c>
      <c r="R535" s="3" t="inlineStr">
        <is>
          <t>1. MK-XS-F-123 base64ToBytes → MK-XS-F-012 decodeCsvBase64
2. MK-XS-F-125 decodeUtf16 → MK-XS-F-012 decodeCsvBase64
3. MK-XS-F-124 decodeUtf8 → MK-XS-F-012 decodeCsvBase64</t>
        </is>
      </c>
      <c r="S535" s="3" t="inlineStr">
        <is>
          <t>—</t>
        </is>
      </c>
      <c r="T535" s="3" t="inlineStr">
        <is>
          <t>FILE_DECODE</t>
        </is>
      </c>
      <c r="U535" s="3" t="inlineStr">
        <is>
          <t>ACTIVE</t>
        </is>
      </c>
      <c r="V535" s="3" t="inlineStr">
        <is>
          <t>2026-09-08</t>
        </is>
      </c>
      <c r="W535" s="3" t="n"/>
      <c r="X535" s="3" t="n"/>
      <c r="Y535" s="3" t="inlineStr">
        <is>
          <t>NOTHING OPEN</t>
        </is>
      </c>
    </row>
    <row r="536" ht="60" customHeight="1">
      <c r="A536" s="3" t="inlineStr">
        <is>
          <t>MK-XS-F-013</t>
        </is>
      </c>
      <c r="B536" s="3" t="inlineStr">
        <is>
          <t>parseCsv</t>
        </is>
      </c>
      <c r="C536" s="3" t="inlineStr">
        <is>
          <t>src/domain/import/holdingsImport.ts</t>
        </is>
      </c>
      <c r="D536" s="3" t="n">
        <v>186</v>
      </c>
      <c r="E536" s="3" t="inlineStr">
        <is>
          <t>3 · DEPENDENT</t>
        </is>
      </c>
      <c r="F536" s="3" t="inlineStr">
        <is>
          <t>Minimal RFC-4180-ish CSV parser: handles quoted fields, embedded commas, "" escapes, CR/LF, BOM.</t>
        </is>
      </c>
      <c r="G536" s="11" t="inlineStr">
        <is>
          <t>rows = []
row = []
field = ''
in quotes = false
s = (text.char code at(0) = 0xFEFF ? text.slice(1) : text).replace( ÷ \r\n ÷ g, "\n").replace( ÷ \r ÷ g, "\n")
c = s[i]
the answer = rows where some((cell) =&gt; cell.trim() ! = '')</t>
        </is>
      </c>
      <c r="H536" s="3" t="inlineStr">
        <is>
          <t>Rows is []. Row is []. Field is ''. In quotes is false. S is (text.char code at(0) = 0xFEFF ? text.slice(1) : text).replace( divided by \r\n divided by g, "\n").replace( divided by \r divided by g, "\n"). C is s[i]. The answer is rows where some((cell) =&gt; cell.trim() ! = '').</t>
        </is>
      </c>
      <c r="I536" s="3" t="inlineStr">
        <is>
          <t>PARTLY READ — some of the code is still showing through; needs a hand pass</t>
        </is>
      </c>
      <c r="J536" s="3" t="inlineStr">
        <is>
          <t>text: string</t>
        </is>
      </c>
      <c r="K536" s="3" t="inlineStr">
        <is>
          <t>string[][]</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FILE_PARSE</t>
        </is>
      </c>
      <c r="U536" s="3" t="inlineStr">
        <is>
          <t>ACTIVE</t>
        </is>
      </c>
      <c r="V536" s="3" t="inlineStr">
        <is>
          <t>2026-08-27</t>
        </is>
      </c>
      <c r="W536" s="3" t="n"/>
      <c r="X536" s="3" t="n"/>
      <c r="Y536" s="3" t="inlineStr">
        <is>
          <t>NOTHING OPEN</t>
        </is>
      </c>
    </row>
    <row r="537" ht="60" customHeight="1">
      <c r="A537" s="3" t="inlineStr">
        <is>
          <t>MK-XS-F-014</t>
        </is>
      </c>
      <c r="B537" s="3" t="inlineStr">
        <is>
          <t>classifyHolding</t>
        </is>
      </c>
      <c r="C537" s="3" t="inlineStr">
        <is>
          <t>Calculation Module code/engines/classify.ts</t>
        </is>
      </c>
      <c r="D537" s="3" t="n">
        <v>151</v>
      </c>
      <c r="E537" s="3" t="inlineStr">
        <is>
          <t>3 · DEPENDENT (feeds an action only)</t>
        </is>
      </c>
      <c r="F537" s="3" t="inlineStr">
        <is>
          <t>For a line in a FILE you upload: which class is it?</t>
        </is>
      </c>
      <c r="G53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7" s="3" t="inlineStr">
        <is>
          <t>PARTLY READ — some of the code is still showing through; needs a hand pass</t>
        </is>
      </c>
      <c r="J537" s="3" t="inlineStr">
        <is>
          <t>input: ClassifyInput</t>
        </is>
      </c>
      <c r="K537" s="3" t="inlineStr">
        <is>
          <t>Classified</t>
        </is>
      </c>
      <c r="L537" s="3" t="inlineStr">
        <is>
          <t>—</t>
        </is>
      </c>
      <c r="M537" s="3" t="inlineStr">
        <is>
          <t>None found in this function — anything it assumes comes from the functions it depends on.</t>
        </is>
      </c>
      <c r="N537" s="3" t="inlineStr">
        <is>
          <t>No</t>
        </is>
      </c>
      <c r="O537" s="3" t="inlineStr">
        <is>
          <t>1. MK-XS-F-147 call
2. MK-ST-F-056 has
3. MK-ST-F-001 looksFixedIncome</t>
        </is>
      </c>
      <c r="P537" s="3" t="n">
        <v>6</v>
      </c>
      <c r="Q537" s="3" t="inlineStr">
        <is>
          <t>1. MK-XS-F-147 call
2. MK-ST-F-056 has
3. MK-ST-F-001 looksFixedIncome
4. MK-ST-F-027 accountId
5. MK-XS-F-064 currentIdToken
6. MK-XS-F-112 relayUrl</t>
        </is>
      </c>
      <c r="R53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7" s="3" t="inlineStr">
        <is>
          <t>—</t>
        </is>
      </c>
      <c r="T537" s="3" t="inlineStr">
        <is>
          <t>CLASS_FROM_FILE</t>
        </is>
      </c>
      <c r="U537" s="3" t="inlineStr">
        <is>
          <t>ACTIVE</t>
        </is>
      </c>
      <c r="V537" s="3" t="inlineStr">
        <is>
          <t>2026-08-27</t>
        </is>
      </c>
      <c r="W537" s="3" t="n"/>
      <c r="X537" s="3" t="n"/>
      <c r="Y537" s="3" t="inlineStr">
        <is>
          <t>NOTHING OPEN</t>
        </is>
      </c>
    </row>
    <row r="538" ht="60" customHeight="1">
      <c r="A538" s="3" t="inlineStr">
        <is>
          <t>MK-XS-F-015</t>
        </is>
      </c>
      <c r="B538" s="3" t="inlineStr">
        <is>
          <t>importHoldings</t>
        </is>
      </c>
      <c r="C538" s="3" t="inlineStr">
        <is>
          <t>src/domain/import/holdingsImport.ts</t>
        </is>
      </c>
      <c r="D538" s="3" t="n">
        <v>426</v>
      </c>
      <c r="E538" s="3" t="inlineStr">
        <is>
          <t>2 · DISPLAYED</t>
        </is>
      </c>
      <c r="F538" s="3" t="inlineStr">
        <is>
          <t>What holdings are in this file?</t>
        </is>
      </c>
      <c r="G53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8" s="3" t="inlineStr">
        <is>
          <t>PARTLY READ — some of the code is still showing through; needs a hand pass</t>
        </is>
      </c>
      <c r="J538" s="3" t="inlineStr">
        <is>
          <t>text: string</t>
        </is>
      </c>
      <c r="K538" s="3" t="inlineStr">
        <is>
          <t>ImportResult</t>
        </is>
      </c>
      <c r="L538" s="3" t="inlineStr">
        <is>
          <t>NOT FOUND — a screen calls it, but the words printed beside its answer could not be traced automatically. Needs reading.</t>
        </is>
      </c>
      <c r="M538" s="3" t="inlineStr">
        <is>
          <t>· Uses a built-in skipped of 0.</t>
        </is>
      </c>
      <c r="N538" s="3" t="inlineStr">
        <is>
          <t>Yes</t>
        </is>
      </c>
      <c r="O538" s="3" t="inlineStr">
        <is>
          <t>1. MK-XS-F-172 assetClassForSymbol
2. MK-XS-F-128 cleanTicker
3. MK-XS-F-126 findCol
4. MK-XS-F-129 findHeaderRow
5. MK-CF-F-132 map
6. MK-XS-F-171 numOrNaN
7. MK-XS-F-013 parseCsv
8. MK-XS-F-127 toIsoDate</t>
        </is>
      </c>
      <c r="P538" s="3" t="n">
        <v>16</v>
      </c>
      <c r="Q53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8" s="3" t="inlineStr">
        <is>
          <t>—</t>
        </is>
      </c>
      <c r="T538" s="3" t="inlineStr">
        <is>
          <t>FILE_IMPORT</t>
        </is>
      </c>
      <c r="U538" s="3" t="inlineStr">
        <is>
          <t>ACTIVE</t>
        </is>
      </c>
      <c r="V538" s="3" t="inlineStr">
        <is>
          <t>2026-08-27</t>
        </is>
      </c>
      <c r="W538" s="3" t="n"/>
      <c r="X538" s="3" t="n"/>
      <c r="Y538" s="3" t="inlineStr">
        <is>
          <t>NOTHING OPEN</t>
        </is>
      </c>
    </row>
    <row r="539" ht="45" customHeight="1">
      <c r="A539" s="3" t="inlineStr">
        <is>
          <t>MK-XS-F-016</t>
        </is>
      </c>
      <c r="B539" s="3" t="inlineStr">
        <is>
          <t>matchImportAccount</t>
        </is>
      </c>
      <c r="C539" s="3" t="inlineStr">
        <is>
          <t>src/domain/import/holdingsImport.ts</t>
        </is>
      </c>
      <c r="D539" s="3" t="n">
        <v>538</v>
      </c>
      <c r="E539" s="3" t="inlineStr">
        <is>
          <t>2 · DISPLAYED</t>
        </is>
      </c>
      <c r="F539" s="3" t="inlineStr">
        <is>
          <t>The existing account a fresh import from `institution` should offer to update (or null).</t>
        </is>
      </c>
      <c r="G539" s="11" t="inlineStr">
        <is>
          <t>target = norm inst(institution)
nothing   when target is missing
nothing   when count of candidates is missing</t>
        </is>
      </c>
      <c r="H539" s="3" t="inlineStr">
        <is>
          <t>Target is norm inst(institution). When target is missing, it answers no answer. When how many candidates is missing there are, it answers no answer.</t>
        </is>
      </c>
      <c r="I539" s="3" t="inlineStr">
        <is>
          <t>READ FROM THE CODE — rendered from the expressions the function runs</t>
        </is>
      </c>
      <c r="J539" s="3" t="inlineStr">
        <is>
          <t>1. accounts: AssetAccount[]
2. institution: string</t>
        </is>
      </c>
      <c r="K539" s="3" t="inlineStr">
        <is>
          <t>AssetAccount | null</t>
        </is>
      </c>
      <c r="L539" s="3" t="inlineStr">
        <is>
          <t>"Account name" — on the Import holdings screen, under "REVIEW YOUR HOLDINGS"</t>
        </is>
      </c>
      <c r="M539" s="3" t="inlineStr">
        <is>
          <t>· If balance is missing it counts as zero, so nothing recorded and a real zero look the same.</t>
        </is>
      </c>
      <c r="N539" s="3" t="inlineStr">
        <is>
          <t>Yes</t>
        </is>
      </c>
      <c r="O539" s="3" t="inlineStr">
        <is>
          <t>MK-XS-F-130 normInst</t>
        </is>
      </c>
      <c r="P539" s="3" t="n">
        <v>1</v>
      </c>
      <c r="Q539" s="3" t="inlineStr">
        <is>
          <t>MK-XS-F-130 normInst</t>
        </is>
      </c>
      <c r="R539" s="3" t="inlineStr">
        <is>
          <t>MK-XS-F-130 normInst → MK-XS-F-016 matchImportAccount</t>
        </is>
      </c>
      <c r="S539" s="3" t="inlineStr">
        <is>
          <t>—</t>
        </is>
      </c>
      <c r="T539" s="3" t="inlineStr">
        <is>
          <t>IMPORT_ACCOUNT_MATCH</t>
        </is>
      </c>
      <c r="U539" s="3" t="inlineStr">
        <is>
          <t>ACTIVE</t>
        </is>
      </c>
      <c r="V539" s="3" t="inlineStr">
        <is>
          <t>2026-08-27</t>
        </is>
      </c>
      <c r="W539" s="3" t="n"/>
      <c r="X539" s="3" t="n"/>
      <c r="Y539" s="3" t="inlineStr">
        <is>
          <t>NOTHING OPEN</t>
        </is>
      </c>
    </row>
    <row r="540" ht="60" customHeight="1">
      <c r="A540" s="3" t="inlineStr">
        <is>
          <t>MK-XS-F-017</t>
        </is>
      </c>
      <c r="B540" s="3" t="inlineStr">
        <is>
          <t>currentAge</t>
        </is>
      </c>
      <c r="C540" s="3" t="inlineStr">
        <is>
          <t>src/domain/profile/calc.ts</t>
        </is>
      </c>
      <c r="D540" s="3" t="n">
        <v>35</v>
      </c>
      <c r="E540" s="3" t="inlineStr">
        <is>
          <t>3 · DEPENDENT</t>
        </is>
      </c>
      <c r="F540" s="3" t="inlineStr">
        <is>
          <t>Age in whole years from birth month/year, as of `asOf` (defaults to now).</t>
        </is>
      </c>
      <c r="G540" s="11" t="inlineStr">
        <is>
          <t>nothing   when birth year is missing (or birth month is missing when missing or zero)
age = as of.get full year() − birth year
month idx = birth month − 1
the answer:
age   if age ≥ 0
nothing   otherwise</t>
        </is>
      </c>
      <c r="H540" s="3" t="inlineStr">
        <is>
          <t>When birth year is missing (or birth month is missing — when missing or zero), it answers no answer. Age is as of.get full year() minus birth year. Month idx is birth month minus 1. The answer is age — when age is at least 0; no answer — otherwise.</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t>
        </is>
      </c>
      <c r="M540" s="3" t="inlineStr">
        <is>
          <t>· Uses today's date from the device clock, so the answer changes by itself overnight.</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6" t="inlineStr">
        <is>
          <t>TESTED, NOT VERIFIED (G9)</t>
        </is>
      </c>
    </row>
    <row r="541" ht="60" customHeight="1">
      <c r="A541" s="3" t="inlineStr">
        <is>
          <t>MK-XS-F-018</t>
        </is>
      </c>
      <c r="B541" s="3" t="inlineStr">
        <is>
          <t>yearsToRetirement</t>
        </is>
      </c>
      <c r="C541" s="3" t="inlineStr">
        <is>
          <t>src/domain/profile/calc.ts</t>
        </is>
      </c>
      <c r="D541" s="3" t="n">
        <v>107</v>
      </c>
      <c r="E541" s="3" t="inlineStr">
        <is>
          <t>3 · DEPENDENT</t>
        </is>
      </c>
      <c r="F541" s="3" t="inlineStr">
        <is>
          <t>Years until the target retirement age (never negative).</t>
        </is>
      </c>
      <c r="G541" s="11" t="inlineStr">
        <is>
          <t>nothing   when age = nothing (or target retirement age is missing when missing or zero)
max(0, target retirement age − age)</t>
        </is>
      </c>
      <c r="H541" s="3" t="inlineStr">
        <is>
          <t>When age is missing (or target retirement age is missing — when missing or zero), it answers no answer. target retirement age minus age, never below zero.</t>
        </is>
      </c>
      <c r="I541" s="3" t="inlineStr">
        <is>
          <t>READ FROM THE CODE — rendered from the expressions the function runs</t>
        </is>
      </c>
      <c r="J541" s="3" t="inlineStr">
        <is>
          <t>1. age: number | null
2. targetRetirementAge: number | null</t>
        </is>
      </c>
      <c r="K541" s="3" t="inlineStr">
        <is>
          <t>number | null</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MK-XS-F-019</t>
        </is>
      </c>
      <c r="B542" s="3" t="inlineStr">
        <is>
          <t>retirementHorizonYears</t>
        </is>
      </c>
      <c r="C542" s="3" t="inlineStr">
        <is>
          <t>src/domain/profile/calc.ts</t>
        </is>
      </c>
      <c r="D542" s="3" t="n">
        <v>137</v>
      </c>
      <c r="E542" s="3" t="inlineStr">
        <is>
          <t>3 · DEPENDENT</t>
        </is>
      </c>
      <c r="F542" s="3" t="inlineStr">
        <is>
          <t>Years the money must last: retirement → plan-to age (default horizon if unset).</t>
        </is>
      </c>
      <c r="G542" s="11" t="inlineStr">
        <is>
          <t>nothing   when target retirement age is missing
horizon = (plan to age ?? DEFAULT_PLAN_TO_AGE) − target retirement age
the answer:
horizon   if horizon &gt; 0
nothing   otherwise</t>
        </is>
      </c>
      <c r="H542" s="3" t="inlineStr">
        <is>
          <t>When target retirement age is missing, it answers no answer. Horizon is (plan to age ?? DEFAULT_PLAN_TO_AGE) minus target retirement age. The answer is horizon — when horizon &gt; 0; no answer — otherwise.</t>
        </is>
      </c>
      <c r="I542" s="3" t="inlineStr">
        <is>
          <t>PARTLY READ — some of the code is still showing through; needs a hand pass</t>
        </is>
      </c>
      <c r="J542" s="3" t="inlineStr">
        <is>
          <t>1. targetRetirementAge: number | null
2. planToAge: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MK-XS-F-020</t>
        </is>
      </c>
      <c r="B543" s="3" t="inlineStr">
        <is>
          <t>toReadModel</t>
        </is>
      </c>
      <c r="C543" s="3" t="inlineStr">
        <is>
          <t>src/domain/profile/calc.ts</t>
        </is>
      </c>
      <c r="D543" s="3" t="n">
        <v>167</v>
      </c>
      <c r="E543" s="3" t="inlineStr">
        <is>
          <t>3 · DEPENDENT</t>
        </is>
      </c>
      <c r="F543" s="3" t="inlineStr">
        <is>
          <t>Build the public read-model (profile + derived planning values).</t>
        </is>
      </c>
      <c r="G543" s="11" t="inlineStr">
        <is>
          <t>age = current age(birth year, birth month, as of)</t>
        </is>
      </c>
      <c r="H543" s="3" t="inlineStr">
        <is>
          <t>Age is current age(birth year, birth month, as of).</t>
        </is>
      </c>
      <c r="I543" s="3" t="inlineStr">
        <is>
          <t>READ FROM THE CODE — rendered from the expressions the function runs</t>
        </is>
      </c>
      <c r="J543" s="3" t="inlineStr">
        <is>
          <t>1. p: Profile
2. asOf: Date = new Date()</t>
        </is>
      </c>
      <c r="K543" s="3" t="inlineStr">
        <is>
          <t>ProfileReadModel</t>
        </is>
      </c>
      <c r="L543" s="3" t="inlineStr">
        <is>
          <t>—</t>
        </is>
      </c>
      <c r="M543" s="3" t="inlineStr">
        <is>
          <t>· Uses today's date from the device clock, so the answer changes by itself overnight.</t>
        </is>
      </c>
      <c r="N543" s="3" t="inlineStr">
        <is>
          <t>Yes</t>
        </is>
      </c>
      <c r="O543" s="3" t="inlineStr">
        <is>
          <t>1. MK-XS-F-017 currentAge
2. MK-XS-F-019 retirementHorizonYears
3. MK-XS-F-018 yearsToRetirement</t>
        </is>
      </c>
      <c r="P543" s="3" t="n">
        <v>3</v>
      </c>
      <c r="Q543" s="3" t="inlineStr">
        <is>
          <t>1. MK-XS-F-017 currentAge
2. MK-XS-F-019 retirementHorizonYears
3. MK-XS-F-018 yearsToRetirement</t>
        </is>
      </c>
      <c r="R543" s="3" t="inlineStr">
        <is>
          <t>1. MK-XS-F-017 currentAge → MK-XS-F-020 toReadModel
2. MK-XS-F-019 retirementHorizonYears → MK-XS-F-020 toReadModel
3. MK-XS-F-018 yearsToRetirement → MK-XS-F-020 toReadModel</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MK-XS-F-021</t>
        </is>
      </c>
      <c r="B544" s="3" t="inlineStr">
        <is>
          <t>loadProfile</t>
        </is>
      </c>
      <c r="C544" s="3" t="inlineStr">
        <is>
          <t>src/domain/profile/index.ts</t>
        </is>
      </c>
      <c r="D544" s="3" t="n">
        <v>35</v>
      </c>
      <c r="E544" s="3" t="inlineStr">
        <is>
          <t>3 · DEPENDENT (feeds an action only)</t>
        </is>
      </c>
      <c r="F544" s="3" t="inlineStr">
        <is>
          <t>NOT DETERMINED — the code carries no note saying what this is for, and it has no row in the old inventory. Needs reading.</t>
        </is>
      </c>
      <c r="G544" s="11" t="inlineStr">
        <is>
          <t>get user doc&lt;profile&gt;(COLLECTION, uid)</t>
        </is>
      </c>
      <c r="H544" s="3" t="inlineStr">
        <is>
          <t>get user doc&lt;profile&gt;(COLLECTION, uid).</t>
        </is>
      </c>
      <c r="I544" s="3" t="inlineStr">
        <is>
          <t>READ FROM THE CODE — rendered from the expressions the function runs</t>
        </is>
      </c>
      <c r="J544" s="3" t="inlineStr">
        <is>
          <t>uid: UserId</t>
        </is>
      </c>
      <c r="K544" s="3" t="inlineStr">
        <is>
          <t>Promise&lt;Profile | null&gt;</t>
        </is>
      </c>
      <c r="L544" s="3" t="inlineStr">
        <is>
          <t>—</t>
        </is>
      </c>
      <c r="M544" s="3" t="inlineStr">
        <is>
          <t>None found in this function — anything it assumes comes from the functions it depends on.</t>
        </is>
      </c>
      <c r="N544" s="3" t="inlineStr">
        <is>
          <t>No</t>
        </is>
      </c>
      <c r="O544" s="3" t="inlineStr">
        <is>
          <t>MK-XS-F-175 uid</t>
        </is>
      </c>
      <c r="P544" s="3" t="n">
        <v>80</v>
      </c>
      <c r="Q544"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MK-XS-F-022</t>
        </is>
      </c>
      <c r="B545" s="3" t="inlineStr">
        <is>
          <t>saveProfile</t>
        </is>
      </c>
      <c r="C545" s="3" t="inlineStr">
        <is>
          <t>src/domain/profile/index.ts</t>
        </is>
      </c>
      <c r="D545" s="3" t="n">
        <v>54</v>
      </c>
      <c r="E545" s="3" t="inlineStr">
        <is>
          <t>1 · ACTION</t>
        </is>
      </c>
      <c r="F545" s="3" t="inlineStr">
        <is>
          <t>NOT DETERMINED — the code carries no note saying what this is for, and it has no row in the old inventory. Needs reading.</t>
        </is>
      </c>
      <c r="G545" s="11" t="inlineStr">
        <is>
          <t>It records or announces something and returns no figure — no arithmetic of its own.</t>
        </is>
      </c>
      <c r="H545" s="3" t="inlineStr">
        <is>
          <t>It records or announces something and returns no figure — no arithmetic of its own.</t>
        </is>
      </c>
      <c r="I545" s="3" t="inlineStr">
        <is>
          <t>NO ARITHMETIC — there is no formula to state</t>
        </is>
      </c>
      <c r="J545" s="3" t="inlineStr">
        <is>
          <t>profile: Profile</t>
        </is>
      </c>
      <c r="K545" s="3" t="inlineStr">
        <is>
          <t>Promise&lt;void&gt;</t>
        </is>
      </c>
      <c r="L545" s="3" t="inlineStr">
        <is>
          <t>—</t>
        </is>
      </c>
      <c r="M545" s="3" t="inlineStr">
        <is>
          <t>None found in this function — anything it assumes comes from the functions it depends on.</t>
        </is>
      </c>
      <c r="N545" s="3" t="inlineStr">
        <is>
          <t>Yes</t>
        </is>
      </c>
      <c r="O545" s="3" t="inlineStr">
        <is>
          <t>1. MK-ST-F-040 emit
2. MK-ST-F-042 setUserDoc</t>
        </is>
      </c>
      <c r="P545" s="3" t="n">
        <v>82</v>
      </c>
      <c r="Q545"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MK-XS-F-023</t>
        </is>
      </c>
      <c r="B546" s="3" t="inlineStr">
        <is>
          <t>getProfileReadModel</t>
        </is>
      </c>
      <c r="C546" s="3" t="inlineStr">
        <is>
          <t>src/domain/profile/index.ts</t>
        </is>
      </c>
      <c r="D546" s="3" t="n">
        <v>78</v>
      </c>
      <c r="E546" s="3" t="inlineStr">
        <is>
          <t>3 · DEPENDENT (feeds an action only)</t>
        </is>
      </c>
      <c r="F546" s="3" t="inlineStr">
        <is>
          <t>Profile + derived planning values (current age, years to retirement, horizon).</t>
        </is>
      </c>
      <c r="G546" s="11" t="inlineStr">
        <is>
          <t>p = await load profile(uid)
the answer:
to read model(p)   if p
nothing   otherwise</t>
        </is>
      </c>
      <c r="H546" s="3" t="inlineStr">
        <is>
          <t>P is await load profile(uid). The answer is to read model(p) — when p; no answer — otherwise.</t>
        </is>
      </c>
      <c r="I546" s="3" t="inlineStr">
        <is>
          <t>READ FROM THE CODE — rendered from the expressions the function runs</t>
        </is>
      </c>
      <c r="J546" s="3" t="inlineStr">
        <is>
          <t>uid: UserId</t>
        </is>
      </c>
      <c r="K546" s="3" t="inlineStr">
        <is>
          <t>Promise&lt;ProfileReadModel | null&gt;</t>
        </is>
      </c>
      <c r="L546" s="3" t="inlineStr">
        <is>
          <t>—</t>
        </is>
      </c>
      <c r="M546" s="3" t="inlineStr">
        <is>
          <t>None found in this function — anything it assumes comes from the functions it depends on.</t>
        </is>
      </c>
      <c r="N546" s="3" t="inlineStr">
        <is>
          <t>No</t>
        </is>
      </c>
      <c r="O546" s="3" t="inlineStr">
        <is>
          <t>1. MK-XS-F-021 loadProfile
2. MK-XS-F-020 toReadModel
3. MK-XS-F-175 uid</t>
        </is>
      </c>
      <c r="P546" s="3" t="n">
        <v>85</v>
      </c>
      <c r="Q54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MK-XS-F-024</t>
        </is>
      </c>
      <c r="B547" s="3" t="inlineStr">
        <is>
          <t>resolveLens</t>
        </is>
      </c>
      <c r="C547" s="3" t="inlineStr">
        <is>
          <t>src/domain/profile/lens.ts</t>
        </is>
      </c>
      <c r="D547" s="3" t="n">
        <v>48</v>
      </c>
      <c r="E547" s="3" t="inlineStr">
        <is>
          <t>2 · DISPLAYED</t>
        </is>
      </c>
      <c r="F547" s="3" t="inlineStr">
        <is>
          <t>The person's explicit choice (first-run stage question / Settings → Your setup) wins.</t>
        </is>
      </c>
      <c r="G547" s="11" t="inlineStr">
        <is>
          <t>override   when override = 'working' (or override = 'retired' when missing or zero)
status = op.status
'retired'   when status = 'retired'
'retired'   when status = 'partial' and current retirement income monthly(op ?? {}) &gt; 0
the answer = 'working'</t>
        </is>
      </c>
      <c r="H54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7" s="3" t="inlineStr">
        <is>
          <t>PARTLY READ — some of the code is still showing through; needs a hand pass</t>
        </is>
      </c>
      <c r="J547" s="3" t="inlineStr">
        <is>
          <t>1. op: Record&lt;string, any&gt; | null | undefined
2. override?: Lens | null</t>
        </is>
      </c>
      <c r="K547" s="3" t="inlineStr">
        <is>
          <t>Lens</t>
        </is>
      </c>
      <c r="L547" s="3" t="inlineStr">
        <is>
          <t>1. "Draw from savings" — on the Cash flow screen, under "YOUR FUTURE PAYCHECK"
2. "WILL MY MONEY LAST?" — on the Home screen, under "WILL MY MONEY LAST?"
3. "YOUR FIVE TABS — same order as the bar below" — on a card used on more than one screen (TopBar)</t>
        </is>
      </c>
      <c r="M547" s="3" t="inlineStr">
        <is>
          <t>None found in this function — anything it assumes comes from the functions it depends on.</t>
        </is>
      </c>
      <c r="N547" s="3" t="inlineStr">
        <is>
          <t>Yes</t>
        </is>
      </c>
      <c r="O547" s="3" t="inlineStr">
        <is>
          <t>MK-CF-F-072 currentRetirementIncomeMonthly</t>
        </is>
      </c>
      <c r="P547" s="3" t="n">
        <v>4</v>
      </c>
      <c r="Q547" s="3" t="inlineStr">
        <is>
          <t>1. MK-CF-F-072 currentRetirementIncomeMonthly
2. MK-CF-F-075 retirementIncomeMonthly
3. MK-ST-F-052 toNum
4. MK-XS-F-122 n</t>
        </is>
      </c>
      <c r="R547" s="3" t="inlineStr">
        <is>
          <t>MK-XS-F-122 n → MK-ST-F-052 toNum → MK-CF-F-075 retirementIncomeMonthly → MK-CF-F-072 currentRetirementIncomeMonthly → MK-XS-F-024 resolveLens</t>
        </is>
      </c>
      <c r="S547" s="3" t="inlineStr">
        <is>
          <t>—</t>
        </is>
      </c>
      <c r="T547" s="3" t="inlineStr">
        <is>
          <t>WHICH_VIEW</t>
        </is>
      </c>
      <c r="U547" s="3" t="inlineStr">
        <is>
          <t>ACTIVE</t>
        </is>
      </c>
      <c r="V547" s="3" t="inlineStr">
        <is>
          <t>2026-08-27</t>
        </is>
      </c>
      <c r="W547" s="3" t="n"/>
      <c r="X547" s="3" t="n"/>
      <c r="Y547" s="3" t="inlineStr">
        <is>
          <t>NOTHING OPEN</t>
        </is>
      </c>
    </row>
    <row r="548" ht="45" customHeight="1">
      <c r="A548" s="3" t="inlineStr">
        <is>
          <t>MK-XS-F-025</t>
        </is>
      </c>
      <c r="B548" s="3" t="inlineStr">
        <is>
          <t>tabOrder</t>
        </is>
      </c>
      <c r="C548" s="3" t="inlineStr">
        <is>
          <t>src/domain/profile/lens.ts</t>
        </is>
      </c>
      <c r="D548" s="3" t="n">
        <v>79</v>
      </c>
      <c r="E548" s="3" t="inlineStr">
        <is>
          <t>2 · DISPLAYED</t>
        </is>
      </c>
      <c r="F548" s="3" t="inlineStr">
        <is>
          <t>Bottom-bar order per lens (design pin: "Tab order is set once from stage; identical across sessions").</t>
        </is>
      </c>
      <c r="G548" s="11" t="inlineStr">
        <is>
          <t>retired → home, cashflow, analytics, plan, invest
otherwise → home, analytics, invest, cashflow, plan</t>
        </is>
      </c>
      <c r="H548" s="3" t="inlineStr">
        <is>
          <t>The order of the tabs for the person's lens — cash flow comes second for someone retired. No arithmetic.</t>
        </is>
      </c>
      <c r="I548" s="3" t="inlineStr">
        <is>
          <t>READ BY HAND 2026-08-26 — checked line by line against the code</t>
        </is>
      </c>
      <c r="J548" s="3" t="inlineStr">
        <is>
          <t>lens: Lens</t>
        </is>
      </c>
      <c r="K548" s="3" t="inlineStr">
        <is>
          <t>FccTab[]</t>
        </is>
      </c>
      <c r="L548" s="3" t="inlineStr">
        <is>
          <t>"YOUR FIVE TABS — same order as the bar below" — on a card used on more than one screen (TopBar)</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MK-XS-F-026</t>
        </is>
      </c>
      <c r="B549" s="3" t="inlineStr">
        <is>
          <t>profileFromOnboarding</t>
        </is>
      </c>
      <c r="C549" s="3" t="inlineStr">
        <is>
          <t>src/domain/profile/onboarding.ts</t>
        </is>
      </c>
      <c r="D549" s="3" t="n">
        <v>55</v>
      </c>
      <c r="E549" s="3" t="inlineStr">
        <is>
          <t>2 · DISPLAYED</t>
        </is>
      </c>
      <c r="F549" s="3" t="inlineStr">
        <is>
          <t>`op` is the consolidated onboardingProfile: { status, name, ...answers }.</t>
        </is>
      </c>
      <c r="G549" s="11" t="inlineStr">
        <is>
          <t>a = op (or none when missing)</t>
        </is>
      </c>
      <c r="H549" s="3" t="inlineStr">
        <is>
          <t>A is op (or none — when missing).</t>
        </is>
      </c>
      <c r="I549" s="3" t="inlineStr">
        <is>
          <t>READ FROM THE CODE — rendered from the expressions the function runs</t>
        </is>
      </c>
      <c r="J549" s="3" t="inlineStr">
        <is>
          <t>1. uid: UserId
2. op: Record&lt;string, any&gt; | null</t>
        </is>
      </c>
      <c r="K549" s="3" t="inlineStr">
        <is>
          <t>Profile</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1. MK-XS-F-131 toInt
2. MK-XS-F-175 uid</t>
        </is>
      </c>
      <c r="P549" s="3" t="n">
        <v>81</v>
      </c>
      <c r="Q549"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4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MK-XS-F-027</t>
        </is>
      </c>
      <c r="B550" s="3" t="inlineStr">
        <is>
          <t>takeHomeMonthly</t>
        </is>
      </c>
      <c r="C550" s="3" t="inlineStr">
        <is>
          <t>src/domain/savings/index.ts</t>
        </is>
      </c>
      <c r="D550" s="3" t="n">
        <v>42</v>
      </c>
      <c r="E550" s="3" t="inlineStr">
        <is>
          <t>2 · DISPLAYED</t>
        </is>
      </c>
      <c r="F550" s="3" t="inlineStr">
        <is>
          <t>True take-home per month: after tax AND after the 401(k) deduction (the cash that hits your account).</t>
        </is>
      </c>
      <c r="G550" s="11" t="inlineStr">
        <is>
          <t>grid = income monthly grid(op, 'available')
the answer = Σ over grid of (amount)÷ 12</t>
        </is>
      </c>
      <c r="H550" s="3" t="inlineStr">
        <is>
          <t>Grid is income monthly grid(op, 'available'). The answer: the amount added up across grid÷ 12.</t>
        </is>
      </c>
      <c r="I550" s="3" t="inlineStr">
        <is>
          <t>READ FROM THE CODE — rendered from the expressions the function runs</t>
        </is>
      </c>
      <c r="J550" s="3" t="inlineStr">
        <is>
          <t>op: OnboardingProfile | null</t>
        </is>
      </c>
      <c r="K550" s="3" t="inlineStr">
        <is>
          <t>number</t>
        </is>
      </c>
      <c r="L550" s="3" t="inlineStr">
        <is>
          <t>"Income (take-home)" — on the budget screen</t>
        </is>
      </c>
      <c r="M550" s="3" t="inlineStr">
        <is>
          <t>None found in this function — anything it assumes comes from the functions it depends on.</t>
        </is>
      </c>
      <c r="N550" s="3" t="inlineStr">
        <is>
          <t>Yes</t>
        </is>
      </c>
      <c r="O550" s="3" t="inlineStr">
        <is>
          <t>1. MK-CF-F-092 incomeMonthlyGrid
2. MK-CF-F-011 savingsByMonth</t>
        </is>
      </c>
      <c r="P550" s="3" t="n">
        <v>100</v>
      </c>
      <c r="Q550"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50"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0" s="3" t="inlineStr">
        <is>
          <t>—</t>
        </is>
      </c>
      <c r="T550" s="3" t="inlineStr">
        <is>
          <t>—</t>
        </is>
      </c>
      <c r="U550" s="3" t="inlineStr">
        <is>
          <t>ACTIVE</t>
        </is>
      </c>
      <c r="V550" s="3" t="inlineStr">
        <is>
          <t>2026-09-09</t>
        </is>
      </c>
      <c r="W550" s="3" t="n"/>
      <c r="X550" s="3" t="n"/>
      <c r="Y550" s="3" t="inlineStr">
        <is>
          <t>NOTHING OPEN</t>
        </is>
      </c>
    </row>
    <row r="551" ht="60" customHeight="1">
      <c r="A551" s="3" t="inlineStr">
        <is>
          <t>MK-XS-F-028</t>
        </is>
      </c>
      <c r="B551" s="3" t="inlineStr">
        <is>
          <t>surplusByMonth</t>
        </is>
      </c>
      <c r="C551" s="3" t="inlineStr">
        <is>
          <t>src/domain/savings/index.ts</t>
        </is>
      </c>
      <c r="D551" s="3" t="n">
        <v>71</v>
      </c>
      <c r="E551" s="3" t="inlineStr">
        <is>
          <t>2 · DISPLAYED</t>
        </is>
      </c>
      <c r="F551" s="3" t="inlineStr">
        <is>
          <t>Planned SURPLUS, month by month, AFTER debt (the canonical word, per the 2026-06-23 decision).</t>
        </is>
      </c>
      <c r="G551" s="11" t="inlineStr">
        <is>
          <t>debt = actual debt payment(debts)
the answer:
for each of savings by month(op): label = label
amount = amount − debt</t>
        </is>
      </c>
      <c r="H551" s="3" t="inlineStr">
        <is>
          <t>Debt is actual debt payment(debts). The answer is for each of savings by month(op): label = label; amount = amount minus debt.</t>
        </is>
      </c>
      <c r="I551" s="3" t="inlineStr">
        <is>
          <t>READ FROM THE CODE — rendered from the expressions the function runs</t>
        </is>
      </c>
      <c r="J551" s="3" t="inlineStr">
        <is>
          <t>1. op: OnboardingProfile | null
2. debts: Debt[] = []</t>
        </is>
      </c>
      <c r="K551" s="3" t="inlineStr">
        <is>
          <t>NOT DECLARED — the code does not say what it gives back</t>
        </is>
      </c>
      <c r="L551" s="3" t="inlineStr">
        <is>
          <t>"Plan" — on the Goals screen</t>
        </is>
      </c>
      <c r="M551" s="3" t="inlineStr">
        <is>
          <t>None found in this function — anything it assumes comes from the functions it depends on.</t>
        </is>
      </c>
      <c r="N551" s="3" t="inlineStr">
        <is>
          <t>Yes</t>
        </is>
      </c>
      <c r="O551" s="3" t="inlineStr">
        <is>
          <t>1. MK-CF-F-026 actualDebtPayment
2. MK-CF-F-132 map
3. MK-ST-F-036 reconcile
4. MK-CF-F-011 savingsByMonth</t>
        </is>
      </c>
      <c r="P551" s="3" t="n">
        <v>124</v>
      </c>
      <c r="Q55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1"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MK-XS-F-029</t>
        </is>
      </c>
      <c r="B552" s="3" t="inlineStr">
        <is>
          <t>monthlySavings</t>
        </is>
      </c>
      <c r="C552" s="3" t="inlineStr">
        <is>
          <t>src/domain/savings/index.ts</t>
        </is>
      </c>
      <c r="D552" s="3" t="n">
        <v>95</v>
      </c>
      <c r="E552" s="3" t="inlineStr">
        <is>
          <t>2 · DISPLAYED</t>
        </is>
      </c>
      <c r="F552" s="3" t="inlineStr">
        <is>
          <t>Monthly savings (the FLOW) — Build-47 walk row 7: DERIVED as the 12-month average of surplusByMonth, so the flat figure and the by-month figures can never drift apart (they used to be two parallel formulas that merely CLAIMED to reconcile).</t>
        </is>
      </c>
      <c r="G552" s="11" t="inlineStr">
        <is>
          <t>months = surplus by month(op, debts)
the answer = Σ over months of (amount)÷ 12</t>
        </is>
      </c>
      <c r="H552" s="3" t="inlineStr">
        <is>
          <t>Months is surplus by month(op, debts). The answer: the amount added up across months÷ 12.</t>
        </is>
      </c>
      <c r="I552" s="3" t="inlineStr">
        <is>
          <t>READ FROM THE CODE — rendered from the expressions the function runs</t>
        </is>
      </c>
      <c r="J552" s="3" t="inlineStr">
        <is>
          <t>1. op: OnboardingProfile | null
2. debts: Debt[] = []</t>
        </is>
      </c>
      <c r="K552" s="3" t="inlineStr">
        <is>
          <t>number</t>
        </is>
      </c>
      <c r="L552" s="3" t="inlineStr">
        <is>
          <t>"Free to put to work each month" — on the Goals together screen, under "CAN YOU DO IT ALL?"</t>
        </is>
      </c>
      <c r="M552" s="3" t="inlineStr">
        <is>
          <t>None found in this function — anything it assumes comes from the functions it depends on.</t>
        </is>
      </c>
      <c r="N552" s="3" t="inlineStr">
        <is>
          <t>Yes</t>
        </is>
      </c>
      <c r="O552" s="3" t="inlineStr">
        <is>
          <t>MK-XS-F-028 surplusByMonth</t>
        </is>
      </c>
      <c r="P552" s="3" t="n">
        <v>125</v>
      </c>
      <c r="Q55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2"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MK-XS-F-030</t>
        </is>
      </c>
      <c r="B553" s="3" t="inlineStr">
        <is>
          <t>effectiveAnnualContribution</t>
        </is>
      </c>
      <c r="C553" s="3" t="inlineStr">
        <is>
          <t>src/domain/snapshot.ts</t>
        </is>
      </c>
      <c r="D553" s="3" t="n">
        <v>65</v>
      </c>
      <c r="E553" s="3" t="inlineStr">
        <is>
          <t>3 · DEPENDENT</t>
        </is>
      </c>
      <c r="F553" s="3" t="inlineStr">
        <is>
          <t>NEGATIVE CASH FLOW DRAINS WEALTH — committed contributions don't create money.</t>
        </is>
      </c>
      <c r="G55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3" s="3" t="inlineStr">
        <is>
          <t>PARTLY READ — some of the code is still showing through; needs a hand pass</t>
        </is>
      </c>
      <c r="J553" s="3" t="inlineStr">
        <is>
          <t>op: Record&lt;string, any&gt; | null</t>
        </is>
      </c>
      <c r="K553" s="3" t="inlineStr">
        <is>
          <t>number</t>
        </is>
      </c>
      <c r="L553" s="3" t="inlineStr">
        <is>
          <t>—</t>
        </is>
      </c>
      <c r="M553" s="3" t="inlineStr">
        <is>
          <t>· Turns a monthly figure into a year by multiplying by twelve.</t>
        </is>
      </c>
      <c r="N553" s="3" t="inlineStr">
        <is>
          <t>Yes</t>
        </is>
      </c>
      <c r="O553" s="3" t="inlineStr">
        <is>
          <t>1. MK-NW-F-041 monthlyContributionsFromOnboarding
2. MK-CF-F-011 savingsByMonth
3. MK-ST-F-052 toNum</t>
        </is>
      </c>
      <c r="P553" s="3" t="n">
        <v>105</v>
      </c>
      <c r="Q55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MK-NW-O-001 theBonds
85. MK-CF-F-193 inflowSourceWord
86. MK-NW-F-057 annualCoupon
87. MK-ST-F-048 currencySymbol
88. MK-ST-F-027 accountId
89. MK-NW-F-056 bondInfo
90. MK-NW-F-064 bondRateSensitivity
91. MK-NW-F-061 bondSummary
92. MK-NW-F-055 isBond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5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MK-XS-F-031</t>
        </is>
      </c>
      <c r="B554" s="3" t="inlineStr">
        <is>
          <t>buildSnapshot</t>
        </is>
      </c>
      <c r="C554" s="3" t="inlineStr">
        <is>
          <t>src/domain/snapshot.ts</t>
        </is>
      </c>
      <c r="D554" s="3" t="n">
        <v>124</v>
      </c>
      <c r="E554" s="3" t="inlineStr">
        <is>
          <t>2 · DISPLAYED</t>
        </is>
      </c>
      <c r="F554" s="3" t="inlineStr">
        <is>
          <t>Build a snapshot from EXPLICIT net-worth rows.</t>
        </is>
      </c>
      <c r="G55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4" s="3" t="inlineStr">
        <is>
          <t>READ FROM THE CODE — rendered from the expressions the function runs</t>
        </is>
      </c>
      <c r="J554" s="3" t="inlineStr">
        <is>
          <t>Nothing is handed to it</t>
        </is>
      </c>
      <c r="K554" s="3" t="inlineStr">
        <is>
          <t>NOT DECLARED — the code does not say what it gives back</t>
        </is>
      </c>
      <c r="L554" s="3" t="inlineStr">
        <is>
          <t>NOT FOUND — a screen calls it, but the words printed beside its answer could not be traced automatically. Needs reading.</t>
        </is>
      </c>
      <c r="M554" s="3" t="inlineStr">
        <is>
          <t>1. If current age is missing it uses 35.
2. If target retirement age is missing it uses 65.
3. If plan to age is missing it uses 90.</t>
        </is>
      </c>
      <c r="N554" s="3" t="inlineStr">
        <is>
          <t>Yes</t>
        </is>
      </c>
      <c r="O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4" s="3" t="n">
        <v>225</v>
      </c>
      <c r="Q55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MK-XS-F-032</t>
        </is>
      </c>
      <c r="B555" s="3" t="inlineStr">
        <is>
          <t>snapshotFromOnboarding</t>
        </is>
      </c>
      <c r="C555" s="3" t="inlineStr">
        <is>
          <t>src/domain/snapshot.ts</t>
        </is>
      </c>
      <c r="D555" s="3" t="n">
        <v>198</v>
      </c>
      <c r="E555" s="3" t="inlineStr">
        <is>
          <t>3 · DEPENDENT (feeds an action only)</t>
        </is>
      </c>
      <c r="F555" s="3" t="inlineStr">
        <is>
          <t>Snapshot from onboarding answers alone — for headless/test callers (and any surface that runs before Net Worth is set up).</t>
        </is>
      </c>
      <c r="G555" s="11" t="inlineStr">
        <is>
          <t>build snapshot(uid, op, econ, assets from onboarding(uid, op).accounts, debts from onboarding(uid, op).debts)</t>
        </is>
      </c>
      <c r="H555" s="3" t="inlineStr">
        <is>
          <t>build snapshot(uid, op, econ, assets from onboarding(uid, op).accounts, debts from onboarding(uid, op).debts).</t>
        </is>
      </c>
      <c r="I555" s="3" t="inlineStr">
        <is>
          <t>PARTLY READ — some of the code is still showing through; needs a hand pass</t>
        </is>
      </c>
      <c r="J555" s="3" t="inlineStr">
        <is>
          <t>1. uid: UserId
2. op: Record&lt;string, any&gt; | null
3. econ: EconomicData</t>
        </is>
      </c>
      <c r="K555" s="3" t="inlineStr">
        <is>
          <t>FinancialSnapshot</t>
        </is>
      </c>
      <c r="L555" s="3" t="inlineStr">
        <is>
          <t>—</t>
        </is>
      </c>
      <c r="M555" s="3" t="inlineStr">
        <is>
          <t>None found in this function — anything it assumes comes from the functions it depends on.</t>
        </is>
      </c>
      <c r="N555" s="3" t="inlineStr">
        <is>
          <t>No</t>
        </is>
      </c>
      <c r="O555" s="3" t="inlineStr">
        <is>
          <t>1. MK-NW-F-040 assetsFromOnboarding
2. MK-XS-F-031 buildSnapshot
3. MK-CF-F-038 debtsFromOnboarding
4. MK-XS-F-175 uid</t>
        </is>
      </c>
      <c r="P555" s="3" t="n">
        <v>226</v>
      </c>
      <c r="Q55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MK-XS-F-033</t>
        </is>
      </c>
      <c r="B556" s="3" t="inlineStr">
        <is>
          <t>resolveNetWorthRows</t>
        </is>
      </c>
      <c r="C556" s="3" t="inlineStr">
        <is>
          <t>src/domain/snapshot.ts</t>
        </is>
      </c>
      <c r="D556" s="3" t="n">
        <v>226</v>
      </c>
      <c r="E556" s="3" t="inlineStr">
        <is>
          <t>2 · DISPLAYED</t>
        </is>
      </c>
      <c r="F556" s="3" t="inlineStr">
        <is>
          <t>The single rule for which net-worth rows a live UI surface should use, so Home + TopBar + the Net Worth screen never disagree (B-49).</t>
        </is>
      </c>
      <c r="G556" s="11" t="inlineStr">
        <is>
          <t>use live = nw seeded (or live accounts.length &gt; 0 (or live liabilities.length &gt; 0 when missing or zero) when missing or zero)</t>
        </is>
      </c>
      <c r="H556" s="3" t="inlineStr">
        <is>
          <t>Use live is nw seeded (or live accounts.length &gt; 0 (or live liabilities.length &gt; 0 — when missing or zero) — when missing or zero).</t>
        </is>
      </c>
      <c r="I556" s="3" t="inlineStr">
        <is>
          <t>READ FROM THE CODE — rendered from the expressions the function runs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1. MK-NW-F-040 assetsFromOnboarding
2. MK-CF-F-038 debtsFromOnboarding
3. MK-XS-F-175 uid</t>
        </is>
      </c>
      <c r="P556" s="3" t="n">
        <v>80</v>
      </c>
      <c r="Q55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6" s="3" t="inlineStr">
        <is>
          <t>—</t>
        </is>
      </c>
      <c r="T556" s="3" t="inlineStr">
        <is>
          <t>NET_WORTH_ROWS</t>
        </is>
      </c>
      <c r="U556" s="3" t="inlineStr">
        <is>
          <t>ACTIVE</t>
        </is>
      </c>
      <c r="V556" s="3" t="inlineStr">
        <is>
          <t>2026-08-27</t>
        </is>
      </c>
      <c r="W556" s="3" t="n"/>
      <c r="X556" s="3" t="n"/>
      <c r="Y556" s="3" t="inlineStr">
        <is>
          <t>NOTHING OPEN</t>
        </is>
      </c>
    </row>
    <row r="557" ht="45" customHeight="1">
      <c r="A557" s="3" t="inlineStr">
        <is>
          <t>MK-XS-F-034</t>
        </is>
      </c>
      <c r="B557" s="3" t="inlineStr">
        <is>
          <t>isLockAvailable</t>
        </is>
      </c>
      <c r="C557" s="3" t="inlineStr">
        <is>
          <t>src/services/appLock.ts</t>
        </is>
      </c>
      <c r="D557" s="3" t="n">
        <v>54</v>
      </c>
      <c r="E557" s="3" t="inlineStr">
        <is>
          <t>2 · DISPLAYED</t>
        </is>
      </c>
      <c r="F557" s="3" t="inlineStr">
        <is>
          <t>True only when the device has biometric hardware AND the user has enrolled a biometric/passcode.</t>
        </is>
      </c>
      <c r="G557" s="11" t="inlineStr">
        <is>
          <t>m = load()
false   when has hardware async is missing
the answer = !!has hw and !!enrolled</t>
        </is>
      </c>
      <c r="H557" s="3" t="inlineStr">
        <is>
          <t>M is load(). When has hardware async is missing, it answers false. The answer is !!has hw and !!enrolled.</t>
        </is>
      </c>
      <c r="I557" s="3" t="inlineStr">
        <is>
          <t>READ FROM THE CODE — rendered from the expressions the function runs</t>
        </is>
      </c>
      <c r="J557" s="3" t="inlineStr">
        <is>
          <t>Nothing is handed to it</t>
        </is>
      </c>
      <c r="K557" s="3" t="inlineStr">
        <is>
          <t>Promise&lt;boolean&gt;</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MK-XS-F-132 load</t>
        </is>
      </c>
      <c r="P557" s="3" t="n">
        <v>1</v>
      </c>
      <c r="Q557" s="3" t="inlineStr">
        <is>
          <t>MK-XS-F-132 load</t>
        </is>
      </c>
      <c r="R557" s="3" t="inlineStr">
        <is>
          <t>MK-XS-F-132 load → MK-XS-F-034 isLockAvailable</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MK-XS-F-035</t>
        </is>
      </c>
      <c r="B558" s="3" t="inlineStr">
        <is>
          <t>authenticate</t>
        </is>
      </c>
      <c r="C558" s="3" t="inlineStr">
        <is>
          <t>src/services/appLock.ts</t>
        </is>
      </c>
      <c r="D558" s="3" t="n">
        <v>87</v>
      </c>
      <c r="E558" s="3" t="inlineStr">
        <is>
          <t>2 · DISPLAYED</t>
        </is>
      </c>
      <c r="F558" s="3" t="inlineStr">
        <is>
          <t>Prompt for Face ID / Touch ID / device passcode.</t>
        </is>
      </c>
      <c r="G558" s="11" t="inlineStr">
        <is>
          <t>m = load()
false   when authenticate async is missing
res = await authenticate async({ prompt message: reason, disable device fallback: false })
the answer = !!res.success</t>
        </is>
      </c>
      <c r="H558" s="3" t="inlineStr">
        <is>
          <t>M is load(). When authenticate async is missing, it answers false. Res is await authenticate async({ prompt message: reason, disable device fallback: false }). The answer is !!res.success.</t>
        </is>
      </c>
      <c r="I558" s="3" t="inlineStr">
        <is>
          <t>READ FROM THE CODE — rendered from the expressions the function runs</t>
        </is>
      </c>
      <c r="J558" s="3" t="inlineStr">
        <is>
          <t>reason = 'Unlock MoneyKeel'</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MK-XS-F-035 authenticate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MK-XS-F-036</t>
        </is>
      </c>
      <c r="B559" s="3" t="inlineStr">
        <is>
          <t>initCrashReporting</t>
        </is>
      </c>
      <c r="C559" s="3" t="inlineStr">
        <is>
          <t>src/services/crashReporter.ts</t>
        </is>
      </c>
      <c r="D559" s="3" t="n">
        <v>57</v>
      </c>
      <c r="E559" s="3" t="inlineStr">
        <is>
          <t>1 · ACTION</t>
        </is>
      </c>
      <c r="F559" s="3" t="inlineStr">
        <is>
          <t>Initialise crash reporting once, at app start.</t>
        </is>
      </c>
      <c r="G559" s="11" t="inlineStr">
        <is>
          <t>dsn = (constants.expo config.extra as any).SENTRY_DSN (or process.env.SENTRY_DSN (or '' when missing or zero) when missing or zero)
s = load sentry()</t>
        </is>
      </c>
      <c r="H559" s="3" t="inlineStr">
        <is>
          <t>Dsn is (constants.expo config.extra as any).SENTRY_DSN (or process.env.SENTRY_DSN (or '' — when missing or zero) — when missing or zero). S is load sentry().</t>
        </is>
      </c>
      <c r="I559" s="3" t="inlineStr">
        <is>
          <t>PARTLY READ — some of the code is still showing through; needs a hand pass</t>
        </is>
      </c>
      <c r="J559" s="3" t="inlineStr">
        <is>
          <t>Nothing is handed to it</t>
        </is>
      </c>
      <c r="K559" s="3" t="inlineStr">
        <is>
          <t>void</t>
        </is>
      </c>
      <c r="L559" s="3" t="inlineStr">
        <is>
          <t>—</t>
        </is>
      </c>
      <c r="M559" s="3" t="inlineStr">
        <is>
          <t>None found in this function — anything it assumes comes from the functions it depends on.</t>
        </is>
      </c>
      <c r="N559" s="3" t="inlineStr">
        <is>
          <t>Yes</t>
        </is>
      </c>
      <c r="O559" s="3" t="inlineStr">
        <is>
          <t>1. MK-XS-F-037 captureException
2. MK-XS-F-134 installGlobalHandler
3. MK-XS-F-133 loadSentry</t>
        </is>
      </c>
      <c r="P559" s="3" t="n">
        <v>3</v>
      </c>
      <c r="Q559" s="3" t="inlineStr">
        <is>
          <t>1. MK-XS-F-037 captureException
2. MK-XS-F-134 installGlobalHandler
3. MK-XS-F-133 loadSentry</t>
        </is>
      </c>
      <c r="R559" s="3" t="inlineStr">
        <is>
          <t>1. MK-XS-F-037 captureException → MK-XS-F-036 initCrashReporting
2. MK-XS-F-037 captureException → MK-XS-F-134 installGlobalHandler → MK-XS-F-036 initCrashReporting
3. MK-XS-F-133 loadSentry → MK-XS-F-036 initCrashReporting</t>
        </is>
      </c>
      <c r="S559" s="3" t="inlineStr">
        <is>
          <t>—</t>
        </is>
      </c>
      <c r="T559" s="3" t="inlineStr">
        <is>
          <t>—</t>
        </is>
      </c>
      <c r="U559" s="3" t="inlineStr">
        <is>
          <t>ACTIVE</t>
        </is>
      </c>
      <c r="V559" s="3" t="inlineStr">
        <is>
          <t>2026-08-27</t>
        </is>
      </c>
      <c r="W559" s="3" t="n"/>
      <c r="X559" s="3" t="n"/>
      <c r="Y559" s="3" t="inlineStr">
        <is>
          <t>NOTHING OPEN</t>
        </is>
      </c>
    </row>
    <row r="560" ht="30" customHeight="1">
      <c r="A560" s="3" t="inlineStr">
        <is>
          <t>MK-XS-F-037</t>
        </is>
      </c>
      <c r="B560" s="3" t="inlineStr">
        <is>
          <t>captureException</t>
        </is>
      </c>
      <c r="C560" s="3" t="inlineStr">
        <is>
          <t>src/services/crashReporter.ts</t>
        </is>
      </c>
      <c r="D560" s="3" t="n">
        <v>126</v>
      </c>
      <c r="E560" s="3" t="inlineStr">
        <is>
          <t>1 · ACTION</t>
        </is>
      </c>
      <c r="F560" s="3" t="inlineStr">
        <is>
          <t>Report a caught error.</t>
        </is>
      </c>
      <c r="G560" s="11" t="inlineStr">
        <is>
          <t>It records or announces something and returns no figure — no arithmetic of its own.</t>
        </is>
      </c>
      <c r="H560" s="3" t="inlineStr">
        <is>
          <t>It records or announces something and returns no figure — no arithmetic of its own.</t>
        </is>
      </c>
      <c r="I560" s="3" t="inlineStr">
        <is>
          <t>NO ARITHMETIC — there is no formula to state</t>
        </is>
      </c>
      <c r="J560" s="3" t="inlineStr">
        <is>
          <t>1. error: unknown
2. extra?: Extra</t>
        </is>
      </c>
      <c r="K560" s="3" t="inlineStr">
        <is>
          <t>void</t>
        </is>
      </c>
      <c r="L560" s="3" t="inlineStr">
        <is>
          <t>—</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MK-XS-F-038</t>
        </is>
      </c>
      <c r="B561" s="3" t="inlineStr">
        <is>
          <t>setUserScope</t>
        </is>
      </c>
      <c r="C561" s="3" t="inlineStr">
        <is>
          <t>src/services/crashReporter.ts</t>
        </is>
      </c>
      <c r="D561" s="3" t="n">
        <v>154</v>
      </c>
      <c r="E561" s="3" t="inlineStr">
        <is>
          <t>1 · ACTION</t>
        </is>
      </c>
      <c r="F561" s="3" t="inlineStr">
        <is>
          <t>Tag the current user on reports (call after login; pass null on logout).</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uid: string | null</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45" customHeight="1">
      <c r="A562" s="3" t="inlineStr">
        <is>
          <t>MK-XS-F-039</t>
        </is>
      </c>
      <c r="B562" s="3" t="inlineStr">
        <is>
          <t>crashReportingEnabled</t>
        </is>
      </c>
      <c r="C562" s="3" t="inlineStr">
        <is>
          <t>src/services/crashReporter.ts</t>
        </is>
      </c>
      <c r="D562" s="3" t="n">
        <v>180</v>
      </c>
      <c r="E562" s="3" t="inlineStr">
        <is>
          <t>3 · DEPENDENT (feeds an action only)</t>
        </is>
      </c>
      <c r="F562" s="3" t="inlineStr">
        <is>
          <t>Whether reports are actually shipping to Sentry (DSN + SDK present).</t>
        </is>
      </c>
      <c r="G562" s="11" t="inlineStr">
        <is>
          <t>enabled</t>
        </is>
      </c>
      <c r="H562" s="3" t="inlineStr">
        <is>
          <t>enabled.</t>
        </is>
      </c>
      <c r="I562" s="3" t="inlineStr">
        <is>
          <t>READ FROM THE CODE — rendered from the expressions the function runs</t>
        </is>
      </c>
      <c r="J562" s="3" t="inlineStr">
        <is>
          <t>Nothing is handed to it</t>
        </is>
      </c>
      <c r="K562" s="3" t="inlineStr">
        <is>
          <t>boolean</t>
        </is>
      </c>
      <c r="L562" s="3" t="inlineStr">
        <is>
          <t>—</t>
        </is>
      </c>
      <c r="M562" s="3" t="inlineStr">
        <is>
          <t>None found in this function — anything it assumes comes from the functions it depends on.</t>
        </is>
      </c>
      <c r="N562" s="3" t="inlineStr">
        <is>
          <t>No</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MK-XS-F-040</t>
        </is>
      </c>
      <c r="B563" s="3" t="inlineStr">
        <is>
          <t>sendTestReport</t>
        </is>
      </c>
      <c r="C563" s="3" t="inlineStr">
        <is>
          <t>src/services/crashReporter.ts</t>
        </is>
      </c>
      <c r="D563" s="3" t="n">
        <v>202</v>
      </c>
      <c r="E563" s="3" t="inlineStr">
        <is>
          <t>2 · DISPLAYED</t>
        </is>
      </c>
      <c r="F563" s="3" t="inlineStr">
        <is>
          <t>B-L2 verification: send a harmless test event so you can confirm wiring in the Sentry dashboard (works on the production/TestFlight build).</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"Hide balances" — on the Settings screen, under "Security"</t>
        </is>
      </c>
      <c r="M563" s="3" t="inlineStr">
        <is>
          <t>None found in this function — anything it assumes comes from the functions it depends on.</t>
        </is>
      </c>
      <c r="N563" s="3" t="inlineStr">
        <is>
          <t>Yes</t>
        </is>
      </c>
      <c r="O563" s="3" t="inlineStr">
        <is>
          <t>MK-XS-F-037 captureException</t>
        </is>
      </c>
      <c r="P563" s="3" t="n">
        <v>1</v>
      </c>
      <c r="Q563" s="3" t="inlineStr">
        <is>
          <t>MK-XS-F-037 captureException</t>
        </is>
      </c>
      <c r="R563" s="3" t="inlineStr">
        <is>
          <t>MK-XS-F-037 captureException → MK-XS-F-040 sendTestReport</t>
        </is>
      </c>
      <c r="S563" s="3" t="inlineStr">
        <is>
          <t>—</t>
        </is>
      </c>
      <c r="T563" s="3" t="inlineStr">
        <is>
          <t>—</t>
        </is>
      </c>
      <c r="U563" s="3" t="inlineStr">
        <is>
          <t>ACTIVE</t>
        </is>
      </c>
      <c r="V563" s="3" t="inlineStr">
        <is>
          <t>2026-08-27</t>
        </is>
      </c>
      <c r="W563" s="3" t="n"/>
      <c r="X563" s="3" t="n"/>
      <c r="Y563" s="3" t="inlineStr">
        <is>
          <t>NOTHING OPEN</t>
        </is>
      </c>
    </row>
    <row r="564" ht="45" customHeight="1">
      <c r="A564" s="3" t="inlineStr">
        <is>
          <t>MK-XS-F-041</t>
        </is>
      </c>
      <c r="B564" s="3" t="inlineStr">
        <is>
          <t>cacheDataKey</t>
        </is>
      </c>
      <c r="C564" s="3" t="inlineStr">
        <is>
          <t>src/services/dataCrypto.ts</t>
        </is>
      </c>
      <c r="D564" s="3" t="n">
        <v>122</v>
      </c>
      <c r="E564" s="3" t="inlineStr">
        <is>
          <t>1 · ACTION</t>
        </is>
      </c>
      <c r="F564" s="3" t="inlineStr">
        <is>
          <t>── DEK lifecycle (the cached, unwrapped key the sync layer uses) ───── Cache the unwrapped DEK (memory + keychain).</t>
        </is>
      </c>
      <c r="G564" s="11" t="inlineStr">
        <is>
          <t>keeps the data-encryption key in memory and in the device's secure store</t>
        </is>
      </c>
      <c r="H564" s="3" t="inlineStr">
        <is>
          <t>Stores the data-encryption key in memory and in the secure keychain. Not a calculation.</t>
        </is>
      </c>
      <c r="I564" s="3" t="inlineStr">
        <is>
          <t>READ BY HAND 2026-08-26 — checked line by line against the code</t>
        </is>
      </c>
      <c r="J564" s="3" t="inlineStr">
        <is>
          <t>dek: string</t>
        </is>
      </c>
      <c r="K564" s="3" t="inlineStr">
        <is>
          <t>Promise&lt;void&gt;</t>
        </is>
      </c>
      <c r="L564" s="3" t="inlineStr">
        <is>
          <t>—</t>
        </is>
      </c>
      <c r="M564" s="3" t="inlineStr">
        <is>
          <t>None found in this function — anything it assumes comes from the functions it depends on.</t>
        </is>
      </c>
      <c r="N564" s="3" t="inlineStr">
        <is>
          <t>Yes</t>
        </is>
      </c>
      <c r="O564" s="3" t="inlineStr">
        <is>
          <t>MK-XS-F-136 secureSet</t>
        </is>
      </c>
      <c r="P564" s="3" t="n">
        <v>1</v>
      </c>
      <c r="Q564" s="3" t="inlineStr">
        <is>
          <t>MK-XS-F-136 secureSet</t>
        </is>
      </c>
      <c r="R564" s="3" t="inlineStr">
        <is>
          <t>MK-XS-F-136 secureSet → MK-XS-F-041 cacheDataKey</t>
        </is>
      </c>
      <c r="S564" s="3" t="inlineStr">
        <is>
          <t>—</t>
        </is>
      </c>
      <c r="T564" s="3" t="inlineStr">
        <is>
          <t>—</t>
        </is>
      </c>
      <c r="U564" s="3" t="inlineStr">
        <is>
          <t>ACTIVE</t>
        </is>
      </c>
      <c r="V564" s="3" t="inlineStr">
        <is>
          <t>2026-09-12</t>
        </is>
      </c>
      <c r="W564" s="3" t="n"/>
      <c r="X564" s="3" t="n"/>
      <c r="Y564" s="3" t="inlineStr">
        <is>
          <t>NOTHING OPEN</t>
        </is>
      </c>
    </row>
    <row r="565" ht="45" customHeight="1">
      <c r="A565" s="3" t="inlineStr">
        <is>
          <t>MK-XS-F-042</t>
        </is>
      </c>
      <c r="B565" s="3" t="inlineStr">
        <is>
          <t>getDataKey</t>
        </is>
      </c>
      <c r="C565" s="3" t="inlineStr">
        <is>
          <t>src/services/dataCrypto.ts</t>
        </is>
      </c>
      <c r="D565" s="3" t="n">
        <v>150</v>
      </c>
      <c r="E565" s="3" t="inlineStr">
        <is>
          <t>3 · DEPENDENT</t>
        </is>
      </c>
      <c r="F565" s="3" t="inlineStr">
        <is>
          <t>The cached DEK (memory → keychain), or null if it hasn't been unwrapped on this install yet.</t>
        </is>
      </c>
      <c r="G565" s="11" t="inlineStr">
        <is>
          <t>cached key   when cached key
cached key</t>
        </is>
      </c>
      <c r="H565" s="3" t="inlineStr">
        <is>
          <t>When cached key, it answers cached key. cached key.</t>
        </is>
      </c>
      <c r="I565" s="3" t="inlineStr">
        <is>
          <t>READ FROM THE CODE — rendered from the expressions the function runs</t>
        </is>
      </c>
      <c r="J565" s="3" t="inlineStr">
        <is>
          <t>Nothing is handed to it</t>
        </is>
      </c>
      <c r="K565" s="3" t="inlineStr">
        <is>
          <t>Promise&lt;string | null&gt;</t>
        </is>
      </c>
      <c r="L565" s="3" t="inlineStr">
        <is>
          <t>—</t>
        </is>
      </c>
      <c r="M565" s="3" t="inlineStr">
        <is>
          <t>None found in this function — anything it assumes comes from the functions it depends on.</t>
        </is>
      </c>
      <c r="N565" s="3" t="inlineStr">
        <is>
          <t>Yes</t>
        </is>
      </c>
      <c r="O565" s="3" t="inlineStr">
        <is>
          <t>MK-XS-F-135 secureGet</t>
        </is>
      </c>
      <c r="P565" s="3" t="n">
        <v>1</v>
      </c>
      <c r="Q565" s="3" t="inlineStr">
        <is>
          <t>MK-XS-F-135 secureGet</t>
        </is>
      </c>
      <c r="R565" s="3" t="inlineStr">
        <is>
          <t>MK-XS-F-135 secureGet → MK-XS-F-042 getDataKey</t>
        </is>
      </c>
      <c r="S565" s="3" t="inlineStr">
        <is>
          <t>—</t>
        </is>
      </c>
      <c r="T565" s="3" t="inlineStr">
        <is>
          <t>—</t>
        </is>
      </c>
      <c r="U565" s="3" t="inlineStr">
        <is>
          <t>ACTIVE</t>
        </is>
      </c>
      <c r="V565" s="3" t="inlineStr">
        <is>
          <t>2026-08-27</t>
        </is>
      </c>
      <c r="W565" s="3" t="n"/>
      <c r="X565" s="3" t="n"/>
      <c r="Y565" s="3" t="inlineStr">
        <is>
          <t>NOTHING OPEN</t>
        </is>
      </c>
    </row>
    <row r="566" ht="45" customHeight="1">
      <c r="A566" s="3" t="inlineStr">
        <is>
          <t>MK-XS-F-043</t>
        </is>
      </c>
      <c r="B566" s="3" t="inlineStr">
        <is>
          <t>clearDataKey</t>
        </is>
      </c>
      <c r="C566" s="3" t="inlineStr">
        <is>
          <t>src/services/dataCrypto.ts</t>
        </is>
      </c>
      <c r="D566" s="3" t="n">
        <v>174</v>
      </c>
      <c r="E566" s="3" t="inlineStr">
        <is>
          <t>1 · ACTION</t>
        </is>
      </c>
      <c r="F566" s="3" t="inlineStr">
        <is>
          <t>Forget the DEK (on logout / account deletion).</t>
        </is>
      </c>
      <c r="G566" s="11" t="inlineStr">
        <is>
          <t>forgets the data-encryption key in memory and in the secure store</t>
        </is>
      </c>
      <c r="H566" s="3" t="inlineStr">
        <is>
          <t>Removes the data-encryption key from memory and the secure keychain — done at sign-out. Not a calculation.</t>
        </is>
      </c>
      <c r="I566" s="3" t="inlineStr">
        <is>
          <t>READ BY HAND 2026-08-26 — checked line by line against the code</t>
        </is>
      </c>
      <c r="J566" s="3" t="inlineStr">
        <is>
          <t>Nothing is handed to it</t>
        </is>
      </c>
      <c r="K566" s="3" t="inlineStr">
        <is>
          <t>Promise&lt;void&gt;</t>
        </is>
      </c>
      <c r="L566" s="3" t="inlineStr">
        <is>
          <t>—</t>
        </is>
      </c>
      <c r="M566" s="3" t="inlineStr">
        <is>
          <t>None found in this function — anything it assumes comes from the functions it depends on.</t>
        </is>
      </c>
      <c r="N566" s="3" t="inlineStr">
        <is>
          <t>Yes</t>
        </is>
      </c>
      <c r="O566" s="3" t="inlineStr">
        <is>
          <t>MK-XS-F-137 secureDelete</t>
        </is>
      </c>
      <c r="P566" s="3" t="n">
        <v>1</v>
      </c>
      <c r="Q566" s="3" t="inlineStr">
        <is>
          <t>MK-XS-F-137 secureDelete</t>
        </is>
      </c>
      <c r="R566" s="3" t="inlineStr">
        <is>
          <t>MK-XS-F-137 secureDelete → MK-XS-F-043 clearDataKey</t>
        </is>
      </c>
      <c r="S566" s="3" t="inlineStr">
        <is>
          <t>—</t>
        </is>
      </c>
      <c r="T566" s="3" t="inlineStr">
        <is>
          <t>—</t>
        </is>
      </c>
      <c r="U566" s="3" t="inlineStr">
        <is>
          <t>ACTIVE</t>
        </is>
      </c>
      <c r="V566" s="3" t="inlineStr">
        <is>
          <t>2026-09-12</t>
        </is>
      </c>
      <c r="W566" s="3" t="n"/>
      <c r="X566" s="3" t="n"/>
      <c r="Y566" s="3" t="inlineStr">
        <is>
          <t>NOTHING OPEN</t>
        </is>
      </c>
    </row>
    <row r="567" ht="45" customHeight="1">
      <c r="A567" s="3" t="inlineStr">
        <is>
          <t>MK-XS-F-044</t>
        </is>
      </c>
      <c r="B567" s="3" t="inlineStr">
        <is>
          <t>generateDataKey</t>
        </is>
      </c>
      <c r="C567" s="3" t="inlineStr">
        <is>
          <t>src/services/dataCrypto.ts</t>
        </is>
      </c>
      <c r="D567" s="3" t="n">
        <v>199</v>
      </c>
      <c r="E567" s="3" t="inlineStr">
        <is>
          <t>3 · DEPENDENT</t>
        </is>
      </c>
      <c r="F567" s="3" t="inlineStr">
        <is>
          <t>── Key generation ─────────────────────────────────────────────────── A fresh random 256-bit data key (hex).</t>
        </is>
      </c>
      <c r="G567" s="11" t="inlineStr">
        <is>
          <t>crypto js.lib.word array.random(32).to string(crypto js.enc.hex)</t>
        </is>
      </c>
      <c r="H567" s="3" t="inlineStr">
        <is>
          <t>crypto js.lib.word array.random(32).to string(crypto js.enc.hex).</t>
        </is>
      </c>
      <c r="I567" s="3" t="inlineStr">
        <is>
          <t>PARTLY READ — some of the code is still showing through; needs a hand pass</t>
        </is>
      </c>
      <c r="J567" s="3" t="inlineStr">
        <is>
          <t>Nothing is handed to it</t>
        </is>
      </c>
      <c r="K567" s="3" t="inlineStr">
        <is>
          <t>string</t>
        </is>
      </c>
      <c r="L567" s="3" t="inlineStr">
        <is>
          <t>—</t>
        </is>
      </c>
      <c r="M567" s="3" t="inlineStr">
        <is>
          <t>None found in this function — anything it assumes comes from the functions it depends on.</t>
        </is>
      </c>
      <c r="N567" s="3" t="inlineStr">
        <is>
          <t>Yes</t>
        </is>
      </c>
      <c r="O567" s="3" t="inlineStr">
        <is>
          <t>—</t>
        </is>
      </c>
      <c r="P567" s="3" t="n">
        <v>0</v>
      </c>
      <c r="Q567" s="3" t="inlineStr">
        <is>
          <t>None — no dependent function stands behind it</t>
        </is>
      </c>
      <c r="R567" s="3" t="inlineStr">
        <is>
          <t>No dependent function — it reads its inputs and answers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MK-XS-F-045</t>
        </is>
      </c>
      <c r="B568" s="3" t="inlineStr">
        <is>
          <t>generateRecoveryCode</t>
        </is>
      </c>
      <c r="C568" s="3" t="inlineStr">
        <is>
          <t>src/services/dataCrypto.ts</t>
        </is>
      </c>
      <c r="D568" s="3" t="n">
        <v>227</v>
      </c>
      <c r="E568" s="3" t="inlineStr">
        <is>
          <t>3 · DEPENDENT</t>
        </is>
      </c>
      <c r="F568" s="3" t="inlineStr">
        <is>
          <t>A human-friendly recovery code, e.g.</t>
        </is>
      </c>
      <c r="G568" s="11" t="inlineStr">
        <is>
          <t>bytes = crypto js.lib.word array.random(20)
words = bytes.words
out = ''
byte = (words[i &gt;&gt;&gt; 2] &gt;&gt;&gt; (24 − (i % 4) × 8)) &amp; 0xff
the answer = (out.match( ÷ .{1,4} ÷ g) as string[]).join('-')</t>
        </is>
      </c>
      <c r="H568" s="3" t="inlineStr">
        <is>
          <t>Bytes is crypto js.lib.word array.random(20). Words is bytes.words. Out is ''. Byte is (words[i &gt;&gt;&gt; 2] &gt;&gt;&gt; (24 minus (i % 4) times 8)) &amp; 0xff. The answer is (out.match( divided by .{1,4} divided by g) as string[]).join('-').</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MK-XS-F-046</t>
        </is>
      </c>
      <c r="B569" s="3" t="inlineStr">
        <is>
          <t>makeEnvelope</t>
        </is>
      </c>
      <c r="C569" s="3" t="inlineStr">
        <is>
          <t>src/services/dataCrypto.ts</t>
        </is>
      </c>
      <c r="D569" s="3" t="n">
        <v>310</v>
      </c>
      <c r="E569" s="3" t="inlineStr">
        <is>
          <t>3 · DEPENDENT</t>
        </is>
      </c>
      <c r="F569" s="3" t="inlineStr">
        <is>
          <t>Build the stored envelope: the DEK locked by both the password and the recovery code.</t>
        </is>
      </c>
      <c r="G569" s="11" t="inlineStr">
        <is>
          <t>p = wrap with secret(dek, uid, password)
r = wrap with secret(dek, uid, recovery code)</t>
        </is>
      </c>
      <c r="H569" s="3" t="inlineStr">
        <is>
          <t>p = wrap with secret(dek, uid, password); r = wrap with secret(dek, uid, recovery code).</t>
        </is>
      </c>
      <c r="I569" s="3" t="inlineStr">
        <is>
          <t>READ FROM THE CODE — rendered from the expressions the function runs</t>
        </is>
      </c>
      <c r="J569" s="3" t="inlineStr">
        <is>
          <t>1. dek: string
2. uid: string
3. password: string
4. recoveryCode: string</t>
        </is>
      </c>
      <c r="K569" s="3" t="inlineStr">
        <is>
          <t>KeyEnvelope</t>
        </is>
      </c>
      <c r="L569" s="3" t="inlineStr">
        <is>
          <t>—</t>
        </is>
      </c>
      <c r="M569" s="3" t="inlineStr">
        <is>
          <t>None found in this function — anything it assumes comes from the functions it depends on.</t>
        </is>
      </c>
      <c r="N569" s="3" t="inlineStr">
        <is>
          <t>Yes</t>
        </is>
      </c>
      <c r="O569" s="3" t="inlineStr">
        <is>
          <t>1. MK-XS-F-175 uid
2. MK-XS-F-139 wrapWithSecret</t>
        </is>
      </c>
      <c r="P569" s="3" t="n">
        <v>83</v>
      </c>
      <c r="Q569"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6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MK-XS-F-047</t>
        </is>
      </c>
      <c r="B570" s="3" t="inlineStr">
        <is>
          <t>unwrapWithPassword</t>
        </is>
      </c>
      <c r="C570" s="3" t="inlineStr">
        <is>
          <t>src/services/dataCrypto.ts</t>
        </is>
      </c>
      <c r="D570" s="3" t="n">
        <v>333</v>
      </c>
      <c r="E570" s="3" t="inlineStr">
        <is>
          <t>3 · DEPENDENT</t>
        </is>
      </c>
      <c r="F570" s="3" t="inlineStr">
        <is>
          <t>Unlock the DEK with the password (null if the password is wrong / was reset).</t>
        </is>
      </c>
      <c r="G570" s="11" t="inlineStr">
        <is>
          <t>decrypt with key(env.p, derive key from secret(password, uid))   if env.p
nothing   otherwise</t>
        </is>
      </c>
      <c r="H570" s="3" t="inlineStr">
        <is>
          <t>decrypt with key(env.p, derive key from secret(password, uid)) — when env.p; no answer — otherwise.</t>
        </is>
      </c>
      <c r="I570" s="3" t="inlineStr">
        <is>
          <t>READ FROM THE CODE — rendered from the expressions the function runs</t>
        </is>
      </c>
      <c r="J570" s="3" t="inlineStr">
        <is>
          <t>1. env: KeyEnvelope
2. uid: string
3. password: string</t>
        </is>
      </c>
      <c r="K570" s="3" t="inlineStr">
        <is>
          <t>string | null</t>
        </is>
      </c>
      <c r="L570" s="3" t="inlineStr">
        <is>
          <t>—</t>
        </is>
      </c>
      <c r="M570" s="3" t="inlineStr">
        <is>
          <t>None found in this function — anything it assumes comes from the functions it depends on.</t>
        </is>
      </c>
      <c r="N570" s="3" t="inlineStr">
        <is>
          <t>Yes</t>
        </is>
      </c>
      <c r="O570" s="3" t="inlineStr">
        <is>
          <t>1. MK-XS-F-053 decryptWithKey
2. MK-XS-F-138 deriveKeyFromSecret
3. MK-XS-F-175 uid</t>
        </is>
      </c>
      <c r="P570" s="3" t="n">
        <v>83</v>
      </c>
      <c r="Q57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MK-XS-F-048</t>
        </is>
      </c>
      <c r="B571" s="3" t="inlineStr">
        <is>
          <t>unwrapWithRecovery</t>
        </is>
      </c>
      <c r="C571" s="3" t="inlineStr">
        <is>
          <t>src/services/dataCrypto.ts</t>
        </is>
      </c>
      <c r="D571" s="3" t="n">
        <v>356</v>
      </c>
      <c r="E571" s="3" t="inlineStr">
        <is>
          <t>3 · DEPENDENT</t>
        </is>
      </c>
      <c r="F571" s="3" t="inlineStr">
        <is>
          <t>Unlock the DEK with the recovery code (null if the code is wrong).</t>
        </is>
      </c>
      <c r="G571" s="11" t="inlineStr">
        <is>
          <t>decrypt with key(env.r, derive key from secret(recovery code, uid))   if env.r
nothing   otherwise</t>
        </is>
      </c>
      <c r="H571" s="3" t="inlineStr">
        <is>
          <t>decrypt with key(env.r, derive key from secret(recovery code, uid)) — when env.r; no answer — otherwise.</t>
        </is>
      </c>
      <c r="I571" s="3" t="inlineStr">
        <is>
          <t>READ FROM THE CODE — rendered from the expressions the function runs</t>
        </is>
      </c>
      <c r="J571" s="3" t="inlineStr">
        <is>
          <t>1. env: KeyEnvelope
2. uid: string
3. recoveryCode: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MK-XS-F-049</t>
        </is>
      </c>
      <c r="B572" s="3" t="inlineStr">
        <is>
          <t>rewrapPassword</t>
        </is>
      </c>
      <c r="C572" s="3" t="inlineStr">
        <is>
          <t>src/services/dataCrypto.ts</t>
        </is>
      </c>
      <c r="D572" s="3" t="n">
        <v>379</v>
      </c>
      <c r="E572" s="3" t="inlineStr">
        <is>
          <t>3 · DEPENDENT</t>
        </is>
      </c>
      <c r="F572" s="3" t="inlineStr">
        <is>
          <t>Re-lock an existing envelope's password copy under a new password (after a recovery-code restore).</t>
        </is>
      </c>
      <c r="G572" s="11" t="inlineStr">
        <is>
          <t>...env = ...env
p = wrap with secret(dek, uid, new password)</t>
        </is>
      </c>
      <c r="H572" s="3" t="inlineStr">
        <is>
          <t>...env = ...env; p = wrap with secret(dek, uid, new password).</t>
        </is>
      </c>
      <c r="I572" s="3" t="inlineStr">
        <is>
          <t>PARTLY READ — some of the code is still showing through; needs a hand pass</t>
        </is>
      </c>
      <c r="J572" s="3" t="inlineStr">
        <is>
          <t>1. env: KeyEnvelope
2. dek: string
3. uid: string
4. newPassword: string</t>
        </is>
      </c>
      <c r="K572" s="3" t="inlineStr">
        <is>
          <t>KeyEnvelope</t>
        </is>
      </c>
      <c r="L572" s="3" t="inlineStr">
        <is>
          <t>—</t>
        </is>
      </c>
      <c r="M572" s="3" t="inlineStr">
        <is>
          <t>None found in this function — anything it assumes comes from the functions it depends on.</t>
        </is>
      </c>
      <c r="N572" s="3" t="inlineStr">
        <is>
          <t>Yes</t>
        </is>
      </c>
      <c r="O572" s="3" t="inlineStr">
        <is>
          <t>1. MK-XS-F-175 uid
2. MK-XS-F-139 wrapWithSecret</t>
        </is>
      </c>
      <c r="P572" s="3" t="n">
        <v>83</v>
      </c>
      <c r="Q572"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MK-XS-F-050</t>
        </is>
      </c>
      <c r="B573" s="3" t="inlineStr">
        <is>
          <t>rewrapRecovery</t>
        </is>
      </c>
      <c r="C573" s="3" t="inlineStr">
        <is>
          <t>src/services/dataCrypto.ts</t>
        </is>
      </c>
      <c r="D573" s="3" t="n">
        <v>402</v>
      </c>
      <c r="E573" s="3" t="inlineStr">
        <is>
          <t>3 · DEPENDENT</t>
        </is>
      </c>
      <c r="F573" s="3" t="inlineStr">
        <is>
          <t>Replace an envelope's recovery copy with a new recovery code (rotate the code).</t>
        </is>
      </c>
      <c r="G573" s="11" t="inlineStr">
        <is>
          <t>...env = ...env
r = wrap with secret(dek, uid, recovery code)</t>
        </is>
      </c>
      <c r="H573" s="3" t="inlineStr">
        <is>
          <t>...env = ...env; r = wrap with secret(dek, uid, recovery code).</t>
        </is>
      </c>
      <c r="I573" s="3" t="inlineStr">
        <is>
          <t>READ FROM THE CODE — rendered from the expressions the function runs</t>
        </is>
      </c>
      <c r="J573" s="3" t="inlineStr">
        <is>
          <t>1. env: KeyEnvelope
2. dek: string
3. uid: string
4. recoveryCode: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MK-XS-F-051</t>
        </is>
      </c>
      <c r="B574" s="3" t="inlineStr">
        <is>
          <t>isEncrypted</t>
        </is>
      </c>
      <c r="C574" s="3" t="inlineStr">
        <is>
          <t>src/services/dataCrypto.ts</t>
        </is>
      </c>
      <c r="D574" s="3" t="n">
        <v>429</v>
      </c>
      <c r="E574" s="3" t="inlineStr">
        <is>
          <t>3 · DEPENDENT</t>
        </is>
      </c>
      <c r="F574" s="3" t="inlineStr">
        <is>
          <t>── Low-level AES helpers (also used to wrap the DEK) ─────────────────</t>
        </is>
      </c>
      <c r="G574" s="11" t="inlineStr">
        <is>
          <t>typeof v = 'string' and (v as string).starts with(PREFIX)</t>
        </is>
      </c>
      <c r="H574" s="3" t="inlineStr">
        <is>
          <t>typeof v = 'string' and (v as string).starts with(PREFIX).</t>
        </is>
      </c>
      <c r="I574" s="3" t="inlineStr">
        <is>
          <t>PARTLY READ — some of the code is still showing through; needs a hand pass</t>
        </is>
      </c>
      <c r="J574" s="3" t="inlineStr">
        <is>
          <t>v: unknown</t>
        </is>
      </c>
      <c r="K574" s="3" t="inlineStr">
        <is>
          <t>boolean</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MK-XS-F-052</t>
        </is>
      </c>
      <c r="B575" s="3" t="inlineStr">
        <is>
          <t>encryptWithKey</t>
        </is>
      </c>
      <c r="C575" s="3" t="inlineStr">
        <is>
          <t>src/services/dataCrypto.ts</t>
        </is>
      </c>
      <c r="D575" s="3" t="n">
        <v>454</v>
      </c>
      <c r="E575" s="3" t="inlineStr">
        <is>
          <t>3 · DEPENDENT</t>
        </is>
      </c>
      <c r="F575" s="3" t="inlineStr">
        <is>
          <t>NOT DETERMINED — the code carries no note saying what this is for, and it has no row in the old inventory. Needs reading.</t>
        </is>
      </c>
      <c r="G575" s="11" t="inlineStr">
        <is>
          <t>PREFIX + crypto js.AES.encrypt(JSON.stringify(obj), key hex).to string()</t>
        </is>
      </c>
      <c r="H575" s="3" t="inlineStr">
        <is>
          <t>PREFIX plus crypto js.AES.encrypt(JSON.stringify(obj), key hex).to string().</t>
        </is>
      </c>
      <c r="I575" s="3" t="inlineStr">
        <is>
          <t>PARTLY READ — some of the code is still showing through; needs a hand pass</t>
        </is>
      </c>
      <c r="J575" s="3" t="inlineStr">
        <is>
          <t>1. obj: unknown
2. keyHex: string</t>
        </is>
      </c>
      <c r="K575" s="3" t="inlineStr">
        <is>
          <t>string</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MK-XS-F-053</t>
        </is>
      </c>
      <c r="B576" s="3" t="inlineStr">
        <is>
          <t>decryptWithKey</t>
        </is>
      </c>
      <c r="C576" s="3" t="inlineStr">
        <is>
          <t>src/services/dataCrypto.ts</t>
        </is>
      </c>
      <c r="D576" s="3" t="n">
        <v>485</v>
      </c>
      <c r="E576" s="3" t="inlineStr">
        <is>
          <t>3 · DEPENDENT</t>
        </is>
      </c>
      <c r="F576" s="3" t="inlineStr">
        <is>
          <t>Decrypt an 'enc:'-tagged blob.</t>
        </is>
      </c>
      <c r="G576" s="11" t="inlineStr">
        <is>
          <t>nothing   when !is encrypted(blob)
plain = crypto js.AES.decrypt(blob.slice(PREFIX.length), key hex).to string(crypto js.enc.utf8)
the answer:
JSON.parse(plain)   if plain
nothing   otherwise</t>
        </is>
      </c>
      <c r="H576" s="3" t="inlineStr">
        <is>
          <t>When !is encrypted(blob), it answers no answer. Plain is crypto js.AES.decrypt(blob.slice(PREFIX.length), key hex).to string(crypto js.enc.utf8). The answer is JSON.parse(plain) — when plain; no answer — otherwise.</t>
        </is>
      </c>
      <c r="I576" s="3" t="inlineStr">
        <is>
          <t>PARTLY READ — some of the code is still showing through; needs a hand pass</t>
        </is>
      </c>
      <c r="J576" s="3" t="inlineStr">
        <is>
          <t>1. blob: string
2. keyHex: string</t>
        </is>
      </c>
      <c r="K576" s="3" t="inlineStr">
        <is>
          <t>any | null</t>
        </is>
      </c>
      <c r="L576" s="3" t="inlineStr">
        <is>
          <t>—</t>
        </is>
      </c>
      <c r="M576" s="3" t="inlineStr">
        <is>
          <t>None found in this function — anything it assumes comes from the functions it depends on.</t>
        </is>
      </c>
      <c r="N576" s="3" t="inlineStr">
        <is>
          <t>Yes</t>
        </is>
      </c>
      <c r="O576" s="3" t="inlineStr">
        <is>
          <t>MK-XS-F-051 isEncrypted</t>
        </is>
      </c>
      <c r="P576" s="3" t="n">
        <v>1</v>
      </c>
      <c r="Q576" s="3" t="inlineStr">
        <is>
          <t>MK-XS-F-051 isEncrypted</t>
        </is>
      </c>
      <c r="R576" s="3" t="inlineStr">
        <is>
          <t>MK-XS-F-051 isEncrypted → MK-XS-F-053 decryptWithKey</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MK-XS-F-054</t>
        </is>
      </c>
      <c r="B577" s="3" t="inlineStr">
        <is>
          <t>encryptForSync</t>
        </is>
      </c>
      <c r="C577" s="3" t="inlineStr">
        <is>
          <t>src/services/dataCrypto.ts</t>
        </is>
      </c>
      <c r="D577" s="3" t="n">
        <v>519</v>
      </c>
      <c r="E577" s="3" t="inlineStr">
        <is>
          <t>3 · DEPENDENT</t>
        </is>
      </c>
      <c r="F577" s="3" t="inlineStr">
        <is>
          <t>── The sync layer's interface (operates on the cached DEK) ─────────── Encrypt a payload with the cached DEK.</t>
        </is>
      </c>
      <c r="G577" s="11" t="inlineStr">
        <is>
          <t>key = await get data key()
the answer:
encrypt with key(obj, key)   if key
nothing   otherwise</t>
        </is>
      </c>
      <c r="H577" s="3" t="inlineStr">
        <is>
          <t>Key is await get data key(). The answer is encrypt with key(obj, key) — when key; no answer — otherwise.</t>
        </is>
      </c>
      <c r="I577" s="3" t="inlineStr">
        <is>
          <t>READ FROM THE CODE — rendered from the expressions the function runs</t>
        </is>
      </c>
      <c r="J577" s="3" t="inlineStr">
        <is>
          <t>obj: unknown</t>
        </is>
      </c>
      <c r="K577" s="3" t="inlineStr">
        <is>
          <t>Promise&lt;string | null&gt;</t>
        </is>
      </c>
      <c r="L577" s="3" t="inlineStr">
        <is>
          <t>—</t>
        </is>
      </c>
      <c r="M577" s="3" t="inlineStr">
        <is>
          <t>None found in this function — anything it assumes comes from the functions it depends on.</t>
        </is>
      </c>
      <c r="N577" s="3" t="inlineStr">
        <is>
          <t>Yes</t>
        </is>
      </c>
      <c r="O577" s="3" t="inlineStr">
        <is>
          <t>1. MK-XS-F-052 encryptWithKey
2. MK-XS-F-042 getDataKey</t>
        </is>
      </c>
      <c r="P577" s="3" t="n">
        <v>3</v>
      </c>
      <c r="Q577" s="3" t="inlineStr">
        <is>
          <t>1. MK-XS-F-052 encryptWithKey
2. MK-XS-F-042 getDataKey
3. MK-XS-F-135 secureGet</t>
        </is>
      </c>
      <c r="R577" s="3" t="inlineStr">
        <is>
          <t>1. MK-XS-F-052 encryptWithKey → MK-XS-F-054 encryptForSync
2. MK-XS-F-135 secureGet → MK-XS-F-042 getDataKey → MK-XS-F-054 encryptForSync</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MK-XS-F-055</t>
        </is>
      </c>
      <c r="B578" s="3" t="inlineStr">
        <is>
          <t>decryptFromSync</t>
        </is>
      </c>
      <c r="C578" s="3" t="inlineStr">
        <is>
          <t>src/services/dataCrypto.ts</t>
        </is>
      </c>
      <c r="D578" s="3" t="n">
        <v>549</v>
      </c>
      <c r="E578" s="3" t="inlineStr">
        <is>
          <t>3 · DEPENDENT</t>
        </is>
      </c>
      <c r="F578" s="3" t="inlineStr">
        <is>
          <t>Decrypt a synced value: ciphertext → object; legacy plaintext object → returned as-is; null if it's ciphertext we can't decrypt (no key).</t>
        </is>
      </c>
      <c r="G578" s="11" t="inlineStr">
        <is>
          <t>nothing   when value = nothing
value   when !is encrypted(value)
key = await get data key()
the answer:
decrypt with key(value as string, key)   if key
nothing   otherwise</t>
        </is>
      </c>
      <c r="H578" s="3" t="inlineStr">
        <is>
          <t>When value is missing, it answers no answer. When !is encrypted(value), it answers value. Key is await get data key(). The answer is decrypt with key(value as string, key) — when key; no answer — otherwise.</t>
        </is>
      </c>
      <c r="I578" s="3" t="inlineStr">
        <is>
          <t>READ FROM THE CODE — rendered from the expressions the function runs</t>
        </is>
      </c>
      <c r="J578" s="3" t="inlineStr">
        <is>
          <t>value: unknown</t>
        </is>
      </c>
      <c r="K578" s="3" t="inlineStr">
        <is>
          <t>Promise&lt;any | null&gt;</t>
        </is>
      </c>
      <c r="L578" s="3" t="inlineStr">
        <is>
          <t>—</t>
        </is>
      </c>
      <c r="M578" s="3" t="inlineStr">
        <is>
          <t>None found in this function — anything it assumes comes from the functions it depends on.</t>
        </is>
      </c>
      <c r="N578" s="3" t="inlineStr">
        <is>
          <t>Yes</t>
        </is>
      </c>
      <c r="O578" s="3" t="inlineStr">
        <is>
          <t>1. MK-XS-F-053 decryptWithKey
2. MK-XS-F-042 getDataKey
3. MK-XS-F-051 isEncrypted</t>
        </is>
      </c>
      <c r="P578" s="3" t="n">
        <v>4</v>
      </c>
      <c r="Q578" s="3" t="inlineStr">
        <is>
          <t>1. MK-XS-F-053 decryptWithKey
2. MK-XS-F-042 getDataKey
3. MK-XS-F-051 isEncrypted
4. MK-XS-F-135 secureGet</t>
        </is>
      </c>
      <c r="R578" s="3" t="inlineStr">
        <is>
          <t>1. MK-XS-F-051 isEncrypted → MK-XS-F-053 decryptWithKey → MK-XS-F-055 decryptFromSync
2. MK-XS-F-135 secureGet → MK-XS-F-042 getDataKey → MK-XS-F-055 decryptFromSync
3. MK-XS-F-051 isEncrypted → MK-XS-F-055 decryptFromSync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MK-XS-F-056</t>
        </is>
      </c>
      <c r="B579" s="3" t="inlineStr">
        <is>
          <t>fetchEconomicData</t>
        </is>
      </c>
      <c r="C579" s="3" t="inlineStr">
        <is>
          <t>src/services/economicData.ts</t>
        </is>
      </c>
      <c r="D579" s="3" t="n">
        <v>69</v>
      </c>
      <c r="E579" s="3" t="inlineStr">
        <is>
          <t>3 · DEPENDENT (feeds an action only)</t>
        </is>
      </c>
      <c r="F579" s="3" t="inlineStr">
        <is>
          <t>What are inflation and the 10-year Treasury yield?</t>
        </is>
      </c>
      <c r="G579" s="11" t="inlineStr">
        <is>
          <t>inflation rate = the fetched figure, or the fallback when the fetch failed
treasury yield = the fetched figure, or the fallback when the fetch failed
fetched at = now; each fallback flagged</t>
        </is>
      </c>
      <c r="H579" s="3" t="inlineStr">
        <is>
          <t>Fetches the inflation rate and the ten-year Treasury yield; when either fetch fails its fallback is used and FLAGGED as a fallback, never passed off as live.</t>
        </is>
      </c>
      <c r="I579" s="3" t="inlineStr">
        <is>
          <t>READ BY HAND 2026-08-26 — checked line by line against the code</t>
        </is>
      </c>
      <c r="J579" s="3" t="inlineStr">
        <is>
          <t>Nothing is handed to it</t>
        </is>
      </c>
      <c r="K579" s="3" t="inlineStr">
        <is>
          <t>Promise&lt;EconomicData&gt;</t>
        </is>
      </c>
      <c r="L579" s="3" t="inlineStr">
        <is>
          <t>—</t>
        </is>
      </c>
      <c r="M579" s="3" t="inlineStr">
        <is>
          <t>· Uses today's date from the device clock, so the answer changes by itself overnight.</t>
        </is>
      </c>
      <c r="N579" s="3" t="inlineStr">
        <is>
          <t>No</t>
        </is>
      </c>
      <c r="O579" s="3" t="inlineStr">
        <is>
          <t>1. MK-XS-F-140 fetchInflation
2. MK-XS-F-141 fetchTreasuryYield</t>
        </is>
      </c>
      <c r="P579" s="3" t="n">
        <v>2</v>
      </c>
      <c r="Q579" s="3" t="inlineStr">
        <is>
          <t>1. MK-XS-F-140 fetchInflation
2. MK-XS-F-141 fetchTreasuryYield</t>
        </is>
      </c>
      <c r="R579" s="3" t="inlineStr">
        <is>
          <t>1. MK-XS-F-140 fetchInflation → MK-XS-F-056 fetchEconomicData
2. MK-XS-F-141 fetchTreasuryYield → MK-XS-F-056 fetchEconomicData</t>
        </is>
      </c>
      <c r="S579" s="3" t="inlineStr">
        <is>
          <t>—</t>
        </is>
      </c>
      <c r="T579" s="3" t="inlineStr">
        <is>
          <t>ECONOMIC_FIGURES</t>
        </is>
      </c>
      <c r="U579" s="3" t="inlineStr">
        <is>
          <t>ACTIVE</t>
        </is>
      </c>
      <c r="V579" s="3" t="inlineStr">
        <is>
          <t>2026-09-12</t>
        </is>
      </c>
      <c r="W579" s="3" t="n"/>
      <c r="X579" s="3" t="n"/>
      <c r="Y579" s="3" t="inlineStr">
        <is>
          <t>NOTHING OPEN</t>
        </is>
      </c>
    </row>
    <row r="580" ht="60" customHeight="1">
      <c r="A580" s="3" t="inlineStr">
        <is>
          <t>MK-XS-F-057</t>
        </is>
      </c>
      <c r="B580" s="3" t="inlineStr">
        <is>
          <t>analyzeExpenses</t>
        </is>
      </c>
      <c r="C580" s="3" t="inlineStr">
        <is>
          <t>src/services/economicData.ts</t>
        </is>
      </c>
      <c r="D580" s="3" t="n">
        <v>202</v>
      </c>
      <c r="E580" s="3" t="inlineStr">
        <is>
          <t>4 · BRINGS DATA IN</t>
        </is>
      </c>
      <c r="F580" s="3" t="inlineStr">
        <is>
          <t>What is worth saying about this expenses?</t>
        </is>
      </c>
      <c r="G580" s="11" t="inlineStr">
        <is>
          <t>data = await res.json()
the answer = data as expense analysis</t>
        </is>
      </c>
      <c r="H580" s="3" t="inlineStr">
        <is>
          <t>Data is await res.json(). The answer is data as expense analysis.</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t>
        </is>
      </c>
      <c r="M580" s="3" t="inlineStr">
        <is>
          <t>None found in this function — anything it assumes comes from the functions it depends on.</t>
        </is>
      </c>
      <c r="N580" s="3" t="inlineStr">
        <is>
          <t>No</t>
        </is>
      </c>
      <c r="O580" s="3" t="inlineStr">
        <is>
          <t>MK-CF-O-002 expenses</t>
        </is>
      </c>
      <c r="P580" s="3" t="n">
        <v>15</v>
      </c>
      <c r="Q58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0" s="3" t="inlineStr">
        <is>
          <t>—</t>
        </is>
      </c>
      <c r="T580" s="3" t="inlineStr">
        <is>
          <t>EXPENSE_COMMENTARY</t>
        </is>
      </c>
      <c r="U580" s="3" t="inlineStr">
        <is>
          <t>ACTIVE</t>
        </is>
      </c>
      <c r="V580" s="3" t="inlineStr">
        <is>
          <t>2026-08-27</t>
        </is>
      </c>
      <c r="W580" s="3" t="n"/>
      <c r="X580" s="3" t="n"/>
      <c r="Y580" s="3" t="inlineStr">
        <is>
          <t>NOTHING OPEN</t>
        </is>
      </c>
    </row>
    <row r="581" ht="60" customHeight="1">
      <c r="A581" s="3" t="inlineStr">
        <is>
          <t>MK-XS-F-058</t>
        </is>
      </c>
      <c r="B581" s="3" t="inlineStr">
        <is>
          <t>parseReceipt</t>
        </is>
      </c>
      <c r="C581" s="3" t="inlineStr">
        <is>
          <t>src/services/receiptScan.ts</t>
        </is>
      </c>
      <c r="D581" s="3" t="n">
        <v>106</v>
      </c>
      <c r="E581" s="3" t="inlineStr">
        <is>
          <t>3 · DEPENDENT</t>
        </is>
      </c>
      <c r="F581" s="3" t="inlineStr">
        <is>
          <t>Heuristic parse of receipt text → total amount + merchant.</t>
        </is>
      </c>
      <c r="G58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1" s="3" t="inlineStr">
        <is>
          <t>PARTLY READ — some of the code is still showing through; needs a hand pass</t>
        </is>
      </c>
      <c r="J581" s="3" t="inlineStr">
        <is>
          <t>text: string</t>
        </is>
      </c>
      <c r="K581" s="3" t="inlineStr">
        <is>
          <t>NOT DECLARED — the code does not say what it gives back</t>
        </is>
      </c>
      <c r="L581" s="3" t="inlineStr">
        <is>
          <t>—</t>
        </is>
      </c>
      <c r="M581" s="3" t="inlineStr">
        <is>
          <t>None found in this function — anything it assumes comes from the functions it depends on.</t>
        </is>
      </c>
      <c r="N581" s="3" t="inlineStr">
        <is>
          <t>Yes</t>
        </is>
      </c>
      <c r="O581" s="3" t="inlineStr">
        <is>
          <t>1. MK-CF-F-204 line
2. MK-CF-F-132 map
3. MK-XS-F-093 stripNonMoney
4. MK-ST-F-052 toNum</t>
        </is>
      </c>
      <c r="P581" s="3" t="n">
        <v>103</v>
      </c>
      <c r="Q58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58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1" s="3" t="inlineStr">
        <is>
          <t>—</t>
        </is>
      </c>
      <c r="T581" s="3" t="inlineStr">
        <is>
          <t>READ_A_RECEIPT</t>
        </is>
      </c>
      <c r="U581" s="3" t="inlineStr">
        <is>
          <t>ACTIVE</t>
        </is>
      </c>
      <c r="V581" s="3" t="inlineStr">
        <is>
          <t>2026-08-27</t>
        </is>
      </c>
      <c r="W581" s="3" t="n"/>
      <c r="X581" s="3" t="n"/>
      <c r="Y581" s="3" t="inlineStr">
        <is>
          <t>NOTHING OPEN</t>
        </is>
      </c>
    </row>
    <row r="582" ht="60" customHeight="1">
      <c r="A582" s="3" t="inlineStr">
        <is>
          <t>MK-XS-F-059</t>
        </is>
      </c>
      <c r="B582" s="3" t="inlineStr">
        <is>
          <t>readFileString</t>
        </is>
      </c>
      <c r="C582" s="3" t="inlineStr">
        <is>
          <t>src/services/fileRead.ts</t>
        </is>
      </c>
      <c r="D582" s="3" t="n">
        <v>22</v>
      </c>
      <c r="E582" s="3" t="inlineStr">
        <is>
          <t>4 · BRINGS DATA IN</t>
        </is>
      </c>
      <c r="F582" s="3" t="inlineStr">
        <is>
          <t>NOT DETERMINED — the code carries no note saying what this is for, and it has no row in the old inventory. Needs reading.</t>
        </is>
      </c>
      <c r="G582" s="11" t="inlineStr">
        <is>
          <t>read as string async(uri, { encoding: encoding = 'base64' ? encoding type.base64 : encoding type.UTF8 })</t>
        </is>
      </c>
      <c r="H582" s="3" t="inlineStr">
        <is>
          <t>read as string async(uri, { encoding: encoding = 'base64' ? encoding type.base64 : encoding type.UTF8 }).</t>
        </is>
      </c>
      <c r="I582" s="3" t="inlineStr">
        <is>
          <t>READ FROM THE CODE — rendered from the expressions the function runs</t>
        </is>
      </c>
      <c r="J582" s="3" t="inlineStr">
        <is>
          <t>1. uri: string
2. encoding: 'utf8' | 'base64' = 'utf8'</t>
        </is>
      </c>
      <c r="K582" s="3" t="inlineStr">
        <is>
          <t>Promise&lt;string&gt;</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MK-XS-F-060</t>
        </is>
      </c>
      <c r="B583" s="3" t="inlineStr">
        <is>
          <t>registerUser</t>
        </is>
      </c>
      <c r="C583" s="3" t="inlineStr">
        <is>
          <t>src/services/firebase.ts</t>
        </is>
      </c>
      <c r="D583" s="3" t="n">
        <v>88</v>
      </c>
      <c r="E583" s="3" t="inlineStr">
        <is>
          <t>2 · DISPLAYED</t>
        </is>
      </c>
      <c r="F583" s="3" t="inlineStr">
        <is>
          <t>Returns the new user AND a one-time recovery code the caller MUST show the user to save.</t>
        </is>
      </c>
      <c r="G58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3" s="3" t="inlineStr">
        <is>
          <t>READ FROM THE CODE — rendered from the expressions the function runs</t>
        </is>
      </c>
      <c r="J583" s="3" t="inlineStr">
        <is>
          <t>1. email: string
2. password: string
3. name: string
4. onCodeReady?: (code: string) =&gt; void</t>
        </is>
      </c>
      <c r="K583" s="3" t="inlineStr">
        <is>
          <t>NOT DECLARED — the code does not say what it gives back</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1. MK-XS-F-041 cacheDataKey
2. MK-XS-F-044 generateDataKey
3. MK-XS-F-045 generateRecoveryCode
4. MK-XS-F-046 makeEnvelope
5. MK-XS-F-175 uid</t>
        </is>
      </c>
      <c r="P583" s="3" t="n">
        <v>88</v>
      </c>
      <c r="Q58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3" s="3" t="inlineStr">
        <is>
          <t>—</t>
        </is>
      </c>
      <c r="T583" s="3" t="inlineStr">
        <is>
          <t>—</t>
        </is>
      </c>
      <c r="U583" s="3" t="inlineStr">
        <is>
          <t>ACTIVE</t>
        </is>
      </c>
      <c r="V583" s="3" t="inlineStr">
        <is>
          <t>2026-08-27</t>
        </is>
      </c>
      <c r="W583" s="3" t="n"/>
      <c r="X583" s="3" t="n"/>
      <c r="Y583" s="3" t="inlineStr">
        <is>
          <t>NOTHING OPEN</t>
        </is>
      </c>
    </row>
    <row r="584" ht="30" customHeight="1">
      <c r="A584" s="3" t="inlineStr">
        <is>
          <t>MK-XS-F-061</t>
        </is>
      </c>
      <c r="B584" s="3" t="inlineStr">
        <is>
          <t>resendVerification</t>
        </is>
      </c>
      <c r="C584" s="3" t="inlineStr">
        <is>
          <t>src/services/firebase.ts</t>
        </is>
      </c>
      <c r="D584" s="3" t="n">
        <v>130</v>
      </c>
      <c r="E584" s="3" t="inlineStr">
        <is>
          <t>1 · ACTION</t>
        </is>
      </c>
      <c r="F584" s="3" t="inlineStr">
        <is>
          <t>Resend the verification email to the signed-in user.</t>
        </is>
      </c>
      <c r="G584" s="11" t="inlineStr">
        <is>
          <t>sends the verification e-mail again to the signed-in person</t>
        </is>
      </c>
      <c r="H584" s="3" t="inlineStr">
        <is>
          <t>Resends the e-mail-verification message. Not a calculation.</t>
        </is>
      </c>
      <c r="I584" s="3" t="inlineStr">
        <is>
          <t>READ BY HAND 2026-08-26 — checked line by line against the code</t>
        </is>
      </c>
      <c r="J584" s="3" t="inlineStr">
        <is>
          <t>Nothing is handed to it</t>
        </is>
      </c>
      <c r="K584" s="3" t="inlineStr">
        <is>
          <t>NOT DECLARED — the code does not say what it gives back</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MK-XS-F-062</t>
        </is>
      </c>
      <c r="B585" s="3" t="inlineStr">
        <is>
          <t>refreshEmailVerified</t>
        </is>
      </c>
      <c r="C585" s="3" t="inlineStr">
        <is>
          <t>src/services/firebase.ts</t>
        </is>
      </c>
      <c r="D585" s="3" t="n">
        <v>150</v>
      </c>
      <c r="E585" s="3" t="inlineStr">
        <is>
          <t>2 · DISPLAYED</t>
        </is>
      </c>
      <c r="F585" s="3" t="inlineStr">
        <is>
          <t>Re-check verification status from the server (call after the user clicks the email link).</t>
        </is>
      </c>
      <c r="G585" s="11" t="inlineStr">
        <is>
          <t>false   when auth.current user is missing
!!auth.current user.email verified</t>
        </is>
      </c>
      <c r="H585" s="3" t="inlineStr">
        <is>
          <t>When auth.current user is missing, it answers false. !!auth.current user.email verified.</t>
        </is>
      </c>
      <c r="I585" s="3" t="inlineStr">
        <is>
          <t>READ FROM THE CODE — rendered from the expressions the function runs</t>
        </is>
      </c>
      <c r="J585" s="3" t="inlineStr">
        <is>
          <t>Nothing is handed to it</t>
        </is>
      </c>
      <c r="K585" s="3" t="inlineStr">
        <is>
          <t>Promise&lt;boolean&gt;</t>
        </is>
      </c>
      <c r="L58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MK-XS-F-063</t>
        </is>
      </c>
      <c r="B586" s="3" t="inlineStr">
        <is>
          <t>isEmailVerified</t>
        </is>
      </c>
      <c r="C586" s="3" t="inlineStr">
        <is>
          <t>src/services/firebase.ts</t>
        </is>
      </c>
      <c r="D586" s="3" t="n">
        <v>170</v>
      </c>
      <c r="E586" s="3" t="inlineStr">
        <is>
          <t>2 · DISPLAYED</t>
        </is>
      </c>
      <c r="F586" s="3" t="inlineStr">
        <is>
          <t>NOT DETERMINED — the code carries no note saying what this is for, and it has no row in the old inventory. Needs reading.</t>
        </is>
      </c>
      <c r="G586" s="11" t="inlineStr">
        <is>
          <t>!!auth.current user.email verified</t>
        </is>
      </c>
      <c r="H586" s="3" t="inlineStr">
        <is>
          <t>!!auth.current user.email verified.</t>
        </is>
      </c>
      <c r="I586" s="3" t="inlineStr">
        <is>
          <t>READ FROM THE CODE — rendered from the expressions the function runs</t>
        </is>
      </c>
      <c r="J586" s="3" t="inlineStr">
        <is>
          <t>Nothing is handed to it</t>
        </is>
      </c>
      <c r="K586" s="3" t="inlineStr">
        <is>
          <t>boolean</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MK-XS-F-064</t>
        </is>
      </c>
      <c r="B587" s="3" t="inlineStr">
        <is>
          <t>currentIdToken</t>
        </is>
      </c>
      <c r="C587" s="3" t="inlineStr">
        <is>
          <t>src/services/firebase.ts</t>
        </is>
      </c>
      <c r="D587" s="3" t="n">
        <v>204</v>
      </c>
      <c r="E587" s="3" t="inlineStr">
        <is>
          <t>3 · DEPENDENT (feeds an action only)</t>
        </is>
      </c>
      <c r="F587" s="3" t="inlineStr">
        <is>
          <t>The email of the account currently signed in to Firebase — the authoritative identity that account-level actions (delete, reauth) operate on.</t>
        </is>
      </c>
      <c r="G587" s="11" t="inlineStr">
        <is>
          <t>the answer = the signed-in person's identity token, or nothing</t>
        </is>
      </c>
      <c r="H587" s="3" t="inlineStr">
        <is>
          <t>The signed-in person's identity token for the relay, or nothing when nobody is signed in. Not a calculation.</t>
        </is>
      </c>
      <c r="I587" s="3" t="inlineStr">
        <is>
          <t>READ BY HAND 2026-08-26 — checked line by line against the code</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No</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MK-XS-F-065</t>
        </is>
      </c>
      <c r="B588" s="3" t="inlineStr">
        <is>
          <t>currentUserEmail</t>
        </is>
      </c>
      <c r="C588" s="3" t="inlineStr">
        <is>
          <t>src/services/firebase.ts</t>
        </is>
      </c>
      <c r="D588" s="3" t="n">
        <v>223</v>
      </c>
      <c r="E588" s="3" t="inlineStr">
        <is>
          <t>2 · DISPLAYED</t>
        </is>
      </c>
      <c r="F588" s="3" t="inlineStr">
        <is>
          <t>NOT DETERMINED — the code carries no note saying what this is for, and it has no row in the old inventory. Needs reading.</t>
        </is>
      </c>
      <c r="G588" s="11" t="inlineStr">
        <is>
          <t>auth.current user.email (or nothing when missing)</t>
        </is>
      </c>
      <c r="H588" s="3" t="inlineStr">
        <is>
          <t>auth.current user.email (or no answer — when missing).</t>
        </is>
      </c>
      <c r="I588" s="3" t="inlineStr">
        <is>
          <t>PARTLY READ — some of the code is still showing through; needs a hand pass</t>
        </is>
      </c>
      <c r="J588" s="3" t="inlineStr">
        <is>
          <t>Nothing is handed to it</t>
        </is>
      </c>
      <c r="K588" s="3" t="inlineStr">
        <is>
          <t>string | null</t>
        </is>
      </c>
      <c r="L588" s="3" t="inlineStr">
        <is>
          <t>"Confirm account deletion" — on the Settings screen, under "Account"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MK-XS-F-066</t>
        </is>
      </c>
      <c r="B589" s="3" t="inlineStr">
        <is>
          <t>loginUser</t>
        </is>
      </c>
      <c r="C589" s="3" t="inlineStr">
        <is>
          <t>src/services/firebase.ts</t>
        </is>
      </c>
      <c r="D589" s="3" t="n">
        <v>255</v>
      </c>
      <c r="E589" s="3" t="inlineStr">
        <is>
          <t>4 · BRINGS DATA IN</t>
        </is>
      </c>
      <c r="F589" s="3" t="inlineStr">
        <is>
          <t>Returns the user plus the unlock status: • needsRecovery=true → the password can't open the data (it was reset); prompt for the recovery code.</t>
        </is>
      </c>
      <c r="G58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8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89" s="3" t="inlineStr">
        <is>
          <t>PARTLY READ — some of the code is still showing through; needs a hand pass</t>
        </is>
      </c>
      <c r="J589" s="3" t="inlineStr">
        <is>
          <t>1. email: string
2. password: string
3. onCodeReady?: (code: string) =&gt; void</t>
        </is>
      </c>
      <c r="K589" s="3" t="inlineStr">
        <is>
          <t>Promise&lt;</t>
        </is>
      </c>
      <c r="L589" s="3" t="inlineStr">
        <is>
          <t>—</t>
        </is>
      </c>
      <c r="M589" s="3" t="inlineStr">
        <is>
          <t>None found in this function — anything it assumes comes from the functions it depends on.</t>
        </is>
      </c>
      <c r="N589" s="3" t="inlineStr">
        <is>
          <t>Yes</t>
        </is>
      </c>
      <c r="O589" s="3" t="inlineStr">
        <is>
          <t>1. MK-XS-F-041 cacheDataKey
2. MK-XS-F-044 generateDataKey
3. MK-XS-F-045 generateRecoveryCode
4. MK-XS-F-046 makeEnvelope
5. MK-XS-F-060 registerUser
6. MK-XS-F-175 uid
7. MK-XS-F-047 unwrapWithPassword</t>
        </is>
      </c>
      <c r="P589" s="3" t="n">
        <v>92</v>
      </c>
      <c r="Q58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8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MK-XS-F-067</t>
        </is>
      </c>
      <c r="B590" s="3" t="inlineStr">
        <is>
          <t>restoreWithRecoveryCode</t>
        </is>
      </c>
      <c r="C590" s="3" t="inlineStr">
        <is>
          <t>src/services/firebase.ts</t>
        </is>
      </c>
      <c r="D590" s="3" t="n">
        <v>303</v>
      </c>
      <c r="E590" s="3" t="inlineStr">
        <is>
          <t>4 · BRINGS DATA IN</t>
        </is>
      </c>
      <c r="F590" s="3" t="inlineStr">
        <is>
          <t>After a password reset, restore data access with the recovery code, then re-lock the data under the NEW password.</t>
        </is>
      </c>
      <c r="G590" s="11" t="inlineStr">
        <is>
          <t>u = auth.current user
snap = await get doc(doc(db, 'users', uid))
env = (snap.data() as any).key envelope   if snap.exists()
undefined   otherwise
dek = unwrap with recovery(env, uid, recovery code)</t>
        </is>
      </c>
      <c r="H590" s="3" t="inlineStr">
        <is>
          <t>U is auth.current user. Snap is await get doc(doc(db, 'users', uid)). Env is (snap.data() as any).key envelope — when snap.exists(); undefined — otherwise. Dek is unwrap with recovery(env, uid, recovery code).</t>
        </is>
      </c>
      <c r="I590" s="3" t="inlineStr">
        <is>
          <t>PARTLY READ — some of the code is still showing through; needs a hand pass</t>
        </is>
      </c>
      <c r="J590" s="3" t="inlineStr">
        <is>
          <t>1. recoveryCode: string
2. newPassword: string</t>
        </is>
      </c>
      <c r="K590" s="3" t="inlineStr">
        <is>
          <t>Promise&lt;void&gt;</t>
        </is>
      </c>
      <c r="L590" s="3" t="inlineStr">
        <is>
          <t>—</t>
        </is>
      </c>
      <c r="M590" s="3" t="inlineStr">
        <is>
          <t>None found in this function — anything it assumes comes from the functions it depends on.</t>
        </is>
      </c>
      <c r="N590" s="3" t="inlineStr">
        <is>
          <t>Yes</t>
        </is>
      </c>
      <c r="O590" s="3" t="inlineStr">
        <is>
          <t>1. MK-XS-F-041 cacheDataKey
2. MK-XS-F-049 rewrapPassword
3. MK-XS-F-175 uid
4. MK-XS-F-048 unwrapWithRecovery</t>
        </is>
      </c>
      <c r="P590" s="3" t="n">
        <v>89</v>
      </c>
      <c r="Q59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MK-XS-F-068</t>
        </is>
      </c>
      <c r="B591" s="3" t="inlineStr">
        <is>
          <t>regenerateRecoveryCode</t>
        </is>
      </c>
      <c r="C591" s="3" t="inlineStr">
        <is>
          <t>src/services/firebase.ts</t>
        </is>
      </c>
      <c r="D591" s="3" t="n">
        <v>338</v>
      </c>
      <c r="E591" s="3" t="inlineStr">
        <is>
          <t>4 · BRINGS DATA IN</t>
        </is>
      </c>
      <c r="F591" s="3" t="inlineStr">
        <is>
          <t>Issue a NEW recovery code for the signed-in user (the old one stops working).</t>
        </is>
      </c>
      <c r="G591" s="11" t="inlineStr">
        <is>
          <t>u = auth.current user
dek = await get data key()
snap = await get doc(doc(db, 'users', uid))
env = snap.exists() and (snap.data() as any).key envelope (or p = ''
r = '' when missing or zero)
recovery code = generate recovery code()
the answer = recovery code</t>
        </is>
      </c>
      <c r="H591" s="3" t="inlineStr">
        <is>
          <t>U is auth.current user. Dek is await get data key(). Snap is await get doc(doc(db, 'users', uid)). Env is snap.exists() and (snap.data() as any).key envelope (or p = ''; r = '' — when missing or zero). Recovery code is generate recovery code(). The answer is recovery code.</t>
        </is>
      </c>
      <c r="I591" s="3" t="inlineStr">
        <is>
          <t>PARTLY READ — some of the code is still showing through; needs a hand pass</t>
        </is>
      </c>
      <c r="J591" s="3" t="inlineStr">
        <is>
          <t>Nothing is handed to it</t>
        </is>
      </c>
      <c r="K591" s="3" t="inlineStr">
        <is>
          <t>Promise&lt;string&gt;</t>
        </is>
      </c>
      <c r="L591" s="3" t="inlineStr">
        <is>
          <t>—</t>
        </is>
      </c>
      <c r="M591" s="3" t="inlineStr">
        <is>
          <t>None found in this function — anything it assumes comes from the functions it depends on.</t>
        </is>
      </c>
      <c r="N591" s="3" t="inlineStr">
        <is>
          <t>Yes</t>
        </is>
      </c>
      <c r="O591" s="3" t="inlineStr">
        <is>
          <t>1. MK-XS-F-045 generateRecoveryCode
2. MK-XS-F-042 getDataKey
3. MK-XS-F-050 rewrapRecovery
4. MK-XS-F-175 uid</t>
        </is>
      </c>
      <c r="P591" s="3" t="n">
        <v>87</v>
      </c>
      <c r="Q59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MK-XS-F-069</t>
        </is>
      </c>
      <c r="B592" s="3" t="inlineStr">
        <is>
          <t>logoutUser</t>
        </is>
      </c>
      <c r="C592" s="3" t="inlineStr">
        <is>
          <t>src/services/firebase.ts</t>
        </is>
      </c>
      <c r="D592" s="3" t="n">
        <v>365</v>
      </c>
      <c r="E592" s="3" t="inlineStr">
        <is>
          <t>1 · ACTION</t>
        </is>
      </c>
      <c r="F592" s="3" t="inlineStr">
        <is>
          <t>NOT DETERMINED — the code carries no note saying what this is for, and it has no row in the old inventory. Needs reading.</t>
        </is>
      </c>
      <c r="G592" s="11" t="inlineStr">
        <is>
          <t>clears the data key, then signs out</t>
        </is>
      </c>
      <c r="H592" s="3" t="inlineStr">
        <is>
          <t>Forgets the decryption key and signs the person out. Not a calculation.</t>
        </is>
      </c>
      <c r="I592" s="3" t="inlineStr">
        <is>
          <t>READ BY HAND 2026-08-26 — checked line by line against the code</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Yes</t>
        </is>
      </c>
      <c r="O592" s="3" t="inlineStr">
        <is>
          <t>MK-XS-F-043 clearDataKey</t>
        </is>
      </c>
      <c r="P592" s="3" t="n">
        <v>2</v>
      </c>
      <c r="Q592" s="3" t="inlineStr">
        <is>
          <t>1. MK-XS-F-043 clearDataKey
2. MK-XS-F-137 secureDelete</t>
        </is>
      </c>
      <c r="R592" s="3" t="inlineStr">
        <is>
          <t>MK-XS-F-137 secureDelete → MK-XS-F-043 clearDataKey → MK-XS-F-069 logoutUser</t>
        </is>
      </c>
      <c r="S592" s="3" t="inlineStr">
        <is>
          <t>—</t>
        </is>
      </c>
      <c r="T592" s="3" t="inlineStr">
        <is>
          <t>—</t>
        </is>
      </c>
      <c r="U592" s="3" t="inlineStr">
        <is>
          <t>ACTIVE</t>
        </is>
      </c>
      <c r="V592" s="3" t="inlineStr">
        <is>
          <t>2026-09-12</t>
        </is>
      </c>
      <c r="W592" s="3" t="n"/>
      <c r="X592" s="3" t="n"/>
      <c r="Y592" s="3" t="inlineStr">
        <is>
          <t>NOTHING OPEN</t>
        </is>
      </c>
    </row>
    <row r="593" ht="60" customHeight="1">
      <c r="A593" s="3" t="inlineStr">
        <is>
          <t>MK-XS-F-070</t>
        </is>
      </c>
      <c r="B593" s="3" t="inlineStr">
        <is>
          <t>resetPassword</t>
        </is>
      </c>
      <c r="C593" s="3" t="inlineStr">
        <is>
          <t>src/services/firebase.ts</t>
        </is>
      </c>
      <c r="D593" s="3" t="n">
        <v>385</v>
      </c>
      <c r="E593" s="3" t="inlineStr">
        <is>
          <t>1 · ACTION</t>
        </is>
      </c>
      <c r="F593" s="3" t="inlineStr">
        <is>
          <t>NOT DETERMINED — the code carries no note saying what this is for, and it has no row in the old inventory. Needs reading.</t>
        </is>
      </c>
      <c r="G593" s="11" t="inlineStr">
        <is>
          <t>sends a password-reset e-mail to the address</t>
        </is>
      </c>
      <c r="H593" s="3" t="inlineStr">
        <is>
          <t>Sends the password-reset e-mail. Not a calculation.</t>
        </is>
      </c>
      <c r="I593" s="3" t="inlineStr">
        <is>
          <t>READ BY HAND 2026-08-26 — checked line by line against the code</t>
        </is>
      </c>
      <c r="J593" s="3" t="inlineStr">
        <is>
          <t>email: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MK-XS-F-071</t>
        </is>
      </c>
      <c r="B594" s="3" t="inlineStr">
        <is>
          <t>onAuthChange</t>
        </is>
      </c>
      <c r="C594" s="3" t="inlineStr">
        <is>
          <t>src/services/firebase.ts</t>
        </is>
      </c>
      <c r="D594" s="3" t="n">
        <v>404</v>
      </c>
      <c r="E594" s="3" t="inlineStr">
        <is>
          <t>2 · DISPLAYED</t>
        </is>
      </c>
      <c r="F594" s="3" t="inlineStr">
        <is>
          <t>NOT DETERMINED — the code carries no note saying what this is for, and it has no row in the old inventory. Needs reading.</t>
        </is>
      </c>
      <c r="G594" s="11" t="inlineStr">
        <is>
          <t>on auth state changed(auth, callback)</t>
        </is>
      </c>
      <c r="H594" s="3" t="inlineStr">
        <is>
          <t>on auth state changed(auth, callback).</t>
        </is>
      </c>
      <c r="I594" s="3" t="inlineStr">
        <is>
          <t>READ FROM THE CODE — rendered from the expressions the function runs</t>
        </is>
      </c>
      <c r="J594" s="3" t="inlineStr">
        <is>
          <t>callback: (user: any) =&gt; void</t>
        </is>
      </c>
      <c r="K594" s="3" t="inlineStr">
        <is>
          <t>NOT DECLARED — the code does not say what it gives back</t>
        </is>
      </c>
      <c r="L594" s="3" t="inlineStr">
        <is>
          <t>NOT FOUND — a screen calls it, but the words printed beside its answer could not be traced automatically. Needs reading.</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MK-XS-F-072</t>
        </is>
      </c>
      <c r="B595" s="3" t="inlineStr">
        <is>
          <t>deleteAccount</t>
        </is>
      </c>
      <c r="C595" s="3" t="inlineStr">
        <is>
          <t>src/services/firebase.ts</t>
        </is>
      </c>
      <c r="D595" s="3" t="n">
        <v>429</v>
      </c>
      <c r="E595" s="3" t="inlineStr">
        <is>
          <t>1 · ACTION</t>
        </is>
      </c>
      <c r="F595" s="3" t="inlineStr">
        <is>
          <t>Permanently delete the signed-in user's account (App Store Guideline 5.1.1(v)).</t>
        </is>
      </c>
      <c r="G595" s="11" t="inlineStr">
        <is>
          <t>u = auth.current user
cred = email auth provider.credential(email, password)
root = await load user root(uid)</t>
        </is>
      </c>
      <c r="H595" s="3" t="inlineStr">
        <is>
          <t>U is auth.current user. Cred is email auth provider.credential(email, password). Root is await load user root(uid).</t>
        </is>
      </c>
      <c r="I595" s="3" t="inlineStr">
        <is>
          <t>PARTLY READ — some of the code is still showing through; needs a hand pass</t>
        </is>
      </c>
      <c r="J595" s="3" t="inlineStr">
        <is>
          <t>password: string</t>
        </is>
      </c>
      <c r="K595" s="3" t="inlineStr">
        <is>
          <t>Promise&lt;void&gt;</t>
        </is>
      </c>
      <c r="L595" s="3" t="inlineStr">
        <is>
          <t>—</t>
        </is>
      </c>
      <c r="M595" s="3" t="inlineStr">
        <is>
          <t>None found in this function — anything it assumes comes from the functions it depends on.</t>
        </is>
      </c>
      <c r="N595" s="3" t="inlineStr">
        <is>
          <t>Yes</t>
        </is>
      </c>
      <c r="O595" s="3" t="inlineStr">
        <is>
          <t>1. MK-XS-F-035 authenticate
2. MK-XS-F-043 clearDataKey
3. MK-XS-F-079 loadUserRoot
4. MK-XS-F-175 uid</t>
        </is>
      </c>
      <c r="P595" s="3" t="n">
        <v>90</v>
      </c>
      <c r="Q59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MK-XS-F-073</t>
        </is>
      </c>
      <c r="B596" s="3" t="inlineStr">
        <is>
          <t>saveUserData</t>
        </is>
      </c>
      <c r="C596" s="3" t="inlineStr">
        <is>
          <t>src/services/firebase.ts</t>
        </is>
      </c>
      <c r="D596" s="3" t="n">
        <v>471</v>
      </c>
      <c r="E596" s="3" t="inlineStr">
        <is>
          <t>1 · ACTION</t>
        </is>
      </c>
      <c r="F596" s="3" t="inlineStr">
        <is>
          <t>Sync fields stored ENCRYPTED under users/{uid}.appStateEnc (zero-knowledge — see dataCrypto.ts).</t>
        </is>
      </c>
      <c r="G596" s="11" t="inlineStr">
        <is>
          <t>clean = JSON.parse(JSON.stringify(data ?? {}))
enc = await encrypt for sync(clean)</t>
        </is>
      </c>
      <c r="H596" s="3" t="inlineStr">
        <is>
          <t>Clean is JSON.parse(JSON.stringify(data ?? {})). Enc is await encrypt for sync(clean).</t>
        </is>
      </c>
      <c r="I596" s="3" t="inlineStr">
        <is>
          <t>PARTLY READ — some of the code is still showing through; needs a hand pass</t>
        </is>
      </c>
      <c r="J596" s="3" t="inlineStr">
        <is>
          <t>1. uid: string
2. data: object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1. MK-XS-F-054 encryptForSync
2. MK-XS-F-175 uid</t>
        </is>
      </c>
      <c r="P596" s="3" t="n">
        <v>84</v>
      </c>
      <c r="Q59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MK-XS-F-074</t>
        </is>
      </c>
      <c r="B597" s="3" t="inlineStr">
        <is>
          <t>loadUserData</t>
        </is>
      </c>
      <c r="C597" s="3" t="inlineStr">
        <is>
          <t>src/services/firebase.ts</t>
        </is>
      </c>
      <c r="D597" s="3" t="n">
        <v>501</v>
      </c>
      <c r="E597" s="3" t="inlineStr">
        <is>
          <t>4 · BRINGS DATA IN</t>
        </is>
      </c>
      <c r="F597" s="3" t="inlineStr">
        <is>
          <t>NOT DETERMINED — the code carries no note saying what this is for, and it has no row in the old inventory. Needs reading.</t>
        </is>
      </c>
      <c r="G597" s="11" t="inlineStr">
        <is>
          <t>snap = await get doc(doc(db, 'users', uid))
nothing   when !snap.exists()
d = snap.data()
await decrypt from sync(app state enc)   when app state enc ≠ nothing
the answer = app state (or nothing when missing)</t>
        </is>
      </c>
      <c r="H597" s="3" t="inlineStr">
        <is>
          <t>Snap is await get doc(doc(db, 'users', uid)). When !snap.exists(), it answers no answer. D is snap.data(). When app state enc is not no answer, it answers await decrypt from sync(app state enc). The answer is app state (or no answer — when missing).</t>
        </is>
      </c>
      <c r="I597" s="3" t="inlineStr">
        <is>
          <t>PARTLY READ — some of the code is still showing through; needs a hand pass</t>
        </is>
      </c>
      <c r="J597" s="3" t="inlineStr">
        <is>
          <t>uid: string</t>
        </is>
      </c>
      <c r="K597" s="3" t="inlineStr">
        <is>
          <t>Promise&lt;Record&lt;string, any&gt; | null&gt;</t>
        </is>
      </c>
      <c r="L597" s="3" t="inlineStr">
        <is>
          <t>"Restore your data" — on the auth screen</t>
        </is>
      </c>
      <c r="M597" s="3" t="inlineStr">
        <is>
          <t>None found in this function — anything it assumes comes from the functions it depends on.</t>
        </is>
      </c>
      <c r="N597" s="3" t="inlineStr">
        <is>
          <t>Yes</t>
        </is>
      </c>
      <c r="O597" s="3" t="inlineStr">
        <is>
          <t>1. MK-XS-F-055 decryptFromSync
2. MK-XS-F-175 uid</t>
        </is>
      </c>
      <c r="P597" s="3" t="n">
        <v>85</v>
      </c>
      <c r="Q59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7" s="3" t="inlineStr">
        <is>
          <t>—</t>
        </is>
      </c>
      <c r="T597" s="3" t="inlineStr">
        <is>
          <t>—</t>
        </is>
      </c>
      <c r="U597" s="3" t="inlineStr">
        <is>
          <t>ACTIVE</t>
        </is>
      </c>
      <c r="V597" s="3" t="inlineStr">
        <is>
          <t>2026-08-27</t>
        </is>
      </c>
      <c r="W597" s="3" t="n"/>
      <c r="X597" s="3" t="n"/>
      <c r="Y597" s="3" t="inlineStr">
        <is>
          <t>NOTHING OPEN</t>
        </is>
      </c>
    </row>
    <row r="598" ht="45" customHeight="1">
      <c r="A598" s="3" t="inlineStr">
        <is>
          <t>MK-XS-F-075</t>
        </is>
      </c>
      <c r="B598" s="3" t="inlineStr">
        <is>
          <t>createInvite</t>
        </is>
      </c>
      <c r="C598" s="3" t="inlineStr">
        <is>
          <t>src/services/firebase.ts</t>
        </is>
      </c>
      <c r="D598" s="3" t="n">
        <v>557</v>
      </c>
      <c r="E598" s="3" t="inlineStr">
        <is>
          <t>2 · DISPLAYED (presentation only)</t>
        </is>
      </c>
      <c r="F598" s="3" t="inlineStr">
        <is>
          <t>Create an invite code pointing at this household's shared data doc.</t>
        </is>
      </c>
      <c r="G598" s="11" t="inlineStr">
        <is>
          <t>code = make invite code()
the answer = code</t>
        </is>
      </c>
      <c r="H598" s="3" t="inlineStr">
        <is>
          <t>Code is make invite code(). The answer is code.</t>
        </is>
      </c>
      <c r="I598" s="3" t="inlineStr">
        <is>
          <t>READ FROM THE CODE — rendered from the expressions the function runs</t>
        </is>
      </c>
      <c r="J598" s="3" t="inlineStr">
        <is>
          <t>1. householdId: string
2. inviterName: string | null</t>
        </is>
      </c>
      <c r="K598" s="3" t="inlineStr">
        <is>
          <t>Promise&lt;string&gt;</t>
        </is>
      </c>
      <c r="L598" s="3" t="inlineStr">
        <is>
          <t>"Vesting schedule" — on the setup questions, which appear on more than one screen</t>
        </is>
      </c>
      <c r="M598" s="3" t="inlineStr">
        <is>
          <t>None found in this function — anything it assumes comes from the functions it depends on.</t>
        </is>
      </c>
      <c r="N598" s="3" t="inlineStr">
        <is>
          <t>Yes</t>
        </is>
      </c>
      <c r="O598" s="3" t="inlineStr">
        <is>
          <t>MK-XS-F-142 makeInviteCode</t>
        </is>
      </c>
      <c r="P598" s="3" t="n">
        <v>1</v>
      </c>
      <c r="Q598" s="3" t="inlineStr">
        <is>
          <t>MK-XS-F-142 makeInviteCode</t>
        </is>
      </c>
      <c r="R598" s="3" t="inlineStr">
        <is>
          <t>MK-XS-F-142 makeInviteCode → MK-XS-F-075 createInvite</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MK-XS-F-076</t>
        </is>
      </c>
      <c r="B599" s="3" t="inlineStr">
        <is>
          <t>lookupInvite</t>
        </is>
      </c>
      <c r="C599" s="3" t="inlineStr">
        <is>
          <t>src/services/firebase.ts</t>
        </is>
      </c>
      <c r="D599" s="3" t="n">
        <v>588</v>
      </c>
      <c r="E599" s="3" t="inlineStr">
        <is>
          <t>4 · BRINGS DATA IN</t>
        </is>
      </c>
      <c r="F599" s="3" t="inlineStr">
        <is>
          <t>NOT DETERMINED — the code carries no note saying what this is for, and it has no row in the old inventory. Needs reading.</t>
        </is>
      </c>
      <c r="G599" s="11" t="inlineStr">
        <is>
          <t>snap = await get doc(doc(db, 'invites', code.trim().to upper case()))
nothing   when !snap.exists()
d = snap.data() as any
the answer:
household id = household id
inviter name = inviter name (or nothing when missing)   if household id
nothing   otherwise</t>
        </is>
      </c>
      <c r="H599" s="3" t="inlineStr">
        <is>
          <t>Snap is await get doc(doc(db, 'invites', code.trim().to upper case())). When !snap.exists(), it answers no answer. D is snap.data() as any. The answer is household id = household id; inviter name = inviter name (or no answer when missing) — when household id; no answer — otherwise.</t>
        </is>
      </c>
      <c r="I599" s="3" t="inlineStr">
        <is>
          <t>PARTLY READ — some of the code is still showing through; needs a hand pass</t>
        </is>
      </c>
      <c r="J599" s="3" t="inlineStr">
        <is>
          <t>code: string</t>
        </is>
      </c>
      <c r="K599" s="3" t="inlineStr">
        <is>
          <t>Promise&lt;</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MK-XS-F-077</t>
        </is>
      </c>
      <c r="B600" s="3" t="inlineStr">
        <is>
          <t>setUserHousehold</t>
        </is>
      </c>
      <c r="C600" s="3" t="inlineStr">
        <is>
          <t>src/services/firebase.ts</t>
        </is>
      </c>
      <c r="D600" s="3" t="n">
        <v>611</v>
      </c>
      <c r="E600" s="3" t="inlineStr">
        <is>
          <t>1 · ACTION</t>
        </is>
      </c>
      <c r="F600" s="3" t="inlineStr">
        <is>
          <t>Record household membership on the member's own user doc (survives reinstall/new device).</t>
        </is>
      </c>
      <c r="G600" s="11" t="inlineStr">
        <is>
          <t>It reaches outside the app for data and hands back what came back — no arithmetic of its own.</t>
        </is>
      </c>
      <c r="H600" s="3" t="inlineStr">
        <is>
          <t>It reaches outside the app for data and hands back what came back — no arithmetic of its own.</t>
        </is>
      </c>
      <c r="I600" s="3" t="inlineStr">
        <is>
          <t>NO ARITHMETIC — there is no formula to state</t>
        </is>
      </c>
      <c r="J600" s="3" t="inlineStr">
        <is>
          <t>1. uid: string
2. householdId: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MK-XS-F-074 loadUserData
2. MK-XS-F-175 uid</t>
        </is>
      </c>
      <c r="P600" s="3" t="n">
        <v>86</v>
      </c>
      <c r="Q60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MK-XS-F-078</t>
        </is>
      </c>
      <c r="B601" s="3" t="inlineStr">
        <is>
          <t>joinHouseholdMembership</t>
        </is>
      </c>
      <c r="C601" s="3" t="inlineStr">
        <is>
          <t>src/services/firebase.ts</t>
        </is>
      </c>
      <c r="D601" s="3" t="n">
        <v>636</v>
      </c>
      <c r="E601" s="3" t="inlineStr">
        <is>
          <t>1 · ACTION</t>
        </is>
      </c>
      <c r="F601" s="3" t="inlineStr">
        <is>
          <t>Claim membership in {householdId} by writing the member doc the security rules gate access on.</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
3. code: string</t>
        </is>
      </c>
      <c r="K601" s="3" t="inlineStr">
        <is>
          <t>Promise&lt;void&gt;</t>
        </is>
      </c>
      <c r="L601" s="3" t="inlineStr">
        <is>
          <t>—</t>
        </is>
      </c>
      <c r="M601" s="3" t="inlineStr">
        <is>
          <t>None found in this function — anything it assumes comes from the functions it depends on.</t>
        </is>
      </c>
      <c r="N601" s="3" t="inlineStr">
        <is>
          <t>Yes</t>
        </is>
      </c>
      <c r="O601" s="3" t="inlineStr">
        <is>
          <t>MK-XS-F-175 uid</t>
        </is>
      </c>
      <c r="P601" s="3" t="n">
        <v>80</v>
      </c>
      <c r="Q60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MK-XS-F-079</t>
        </is>
      </c>
      <c r="B602" s="3" t="inlineStr">
        <is>
          <t>loadUserRoot</t>
        </is>
      </c>
      <c r="C602" s="3" t="inlineStr">
        <is>
          <t>src/services/firebase.ts</t>
        </is>
      </c>
      <c r="D602" s="3" t="n">
        <v>670</v>
      </c>
      <c r="E602" s="3" t="inlineStr">
        <is>
          <t>4 · BRINGS DATA IN</t>
        </is>
      </c>
      <c r="F602" s="3" t="inlineStr">
        <is>
          <t>The member's own top-level doc fields (householdId + decrypted appState) in one read.</t>
        </is>
      </c>
      <c r="G60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2" s="3" t="inlineStr">
        <is>
          <t>PARTLY READ — some of the code is still showing through; needs a hand pass</t>
        </is>
      </c>
      <c r="J602" s="3" t="inlineStr">
        <is>
          <t>uid: string</t>
        </is>
      </c>
      <c r="K602" s="3" t="inlineStr">
        <is>
          <t>Promise&lt;</t>
        </is>
      </c>
      <c r="L602" s="3" t="inlineStr">
        <is>
          <t>—</t>
        </is>
      </c>
      <c r="M602" s="3" t="inlineStr">
        <is>
          <t>None found in this function — anything it assumes comes from the functions it depends on.</t>
        </is>
      </c>
      <c r="N602" s="3" t="inlineStr">
        <is>
          <t>Yes</t>
        </is>
      </c>
      <c r="O602" s="3" t="inlineStr">
        <is>
          <t>1. MK-XS-F-055 decryptFromSync
2. MK-XS-F-175 uid</t>
        </is>
      </c>
      <c r="P602" s="3" t="n">
        <v>85</v>
      </c>
      <c r="Q60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MK-XS-F-080</t>
        </is>
      </c>
      <c r="B603" s="3" t="inlineStr">
        <is>
          <t>submitFeedback</t>
        </is>
      </c>
      <c r="C603" s="3" t="inlineStr">
        <is>
          <t>src/services/firebase.ts</t>
        </is>
      </c>
      <c r="D603" s="3" t="n">
        <v>693</v>
      </c>
      <c r="E603" s="3" t="inlineStr">
        <is>
          <t>1 · ACTION</t>
        </is>
      </c>
      <c r="F603" s="3" t="inlineStr">
        <is>
          <t>NOT DETERMINED — the code carries no note saying what this is for, and it has no row in the old inventory. Needs reading.</t>
        </is>
      </c>
      <c r="G603" s="11" t="inlineStr">
        <is>
          <t>It reaches outside the app for data and hands back what came back — no arithmetic of its own.</t>
        </is>
      </c>
      <c r="H603" s="3" t="inlineStr">
        <is>
          <t>It reaches outside the app for data and hands back what came back — no arithmetic of its own.</t>
        </is>
      </c>
      <c r="I603" s="3" t="inlineStr">
        <is>
          <t>NO ARITHMETIC — there is no formula to state</t>
        </is>
      </c>
      <c r="J603" s="3" t="inlineStr">
        <is>
          <t>Nothing is handed to it</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45" customHeight="1">
      <c r="A604" s="3" t="inlineStr">
        <is>
          <t>MK-XS-F-081</t>
        </is>
      </c>
      <c r="B604" s="3" t="inlineStr">
        <is>
          <t>isPlausibleTicker</t>
        </is>
      </c>
      <c r="C604" s="3" t="inlineStr">
        <is>
          <t>src/services/marketData.ts</t>
        </is>
      </c>
      <c r="D604" s="3" t="n">
        <v>96</v>
      </c>
      <c r="E604" s="3" t="inlineStr">
        <is>
          <t>2 · DISPLAYED</t>
        </is>
      </c>
      <c r="F604" s="3" t="inlineStr">
        <is>
          <t>Is a ticker plausibly valid before we spend a network call?</t>
        </is>
      </c>
      <c r="G604" s="11" t="inlineStr">
        <is>
          <t>÷ ^[A − za − z]{1,6}([.\-][A − za − z]{1,4})?$ ÷ .test((ticker ?? '').trim())</t>
        </is>
      </c>
      <c r="H604" s="3" t="inlineStr">
        <is>
          <t>÷ ^[A minus za minus z]{1,6}([.\-][A minus za minus z]{1,4})?$ divided by .test((ticker ?? '').trim()).</t>
        </is>
      </c>
      <c r="I604" s="3" t="inlineStr">
        <is>
          <t>PARTLY READ — some of the code is still showing through; needs a hand pass</t>
        </is>
      </c>
      <c r="J604" s="3" t="inlineStr">
        <is>
          <t>ticker: string</t>
        </is>
      </c>
      <c r="K604" s="3" t="inlineStr">
        <is>
          <t>boolean</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TICKER_PLAUSIBLE</t>
        </is>
      </c>
      <c r="U604" s="3" t="inlineStr">
        <is>
          <t>ACTIVE</t>
        </is>
      </c>
      <c r="V604" s="3" t="inlineStr">
        <is>
          <t>2026-08-27</t>
        </is>
      </c>
      <c r="W604" s="3" t="n"/>
      <c r="X604" s="3" t="n"/>
      <c r="Y604" s="3" t="inlineStr">
        <is>
          <t>NOTHING OPEN</t>
        </is>
      </c>
    </row>
    <row r="605" ht="60" customHeight="1">
      <c r="A605" s="3" t="inlineStr">
        <is>
          <t>MK-XS-F-082</t>
        </is>
      </c>
      <c r="B605" s="3" t="inlineStr">
        <is>
          <t>priceFreshness</t>
        </is>
      </c>
      <c r="C605" s="3" t="inlineStr">
        <is>
          <t>src/services/marketData.ts</t>
        </is>
      </c>
      <c r="D605" s="3" t="n">
        <v>120</v>
      </c>
      <c r="E605" s="3" t="inlineStr">
        <is>
          <t>2 · DISPLAYED</t>
        </is>
      </c>
      <c r="F605" s="3" t="inlineStr">
        <is>
          <t>Human freshness of the price cache + whether it's stale enough to warn (markets move daily, so anything older than ~4 days — a long weekend/holiday — is worth a "may be out of date" note).</t>
        </is>
      </c>
      <c r="G605" s="11" t="inlineStr">
        <is>
          <t>age   = now − the moment prices were last fetched
stale = age ≥ 4 days,  or nothing was ever fetched,  or the moment cannot be read</t>
        </is>
      </c>
      <c r="H60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5" s="3" t="inlineStr">
        <is>
          <t>READ BY HAND 2026-08-26 — checked line by line against the code</t>
        </is>
      </c>
      <c r="J605" s="3" t="inlineStr">
        <is>
          <t>1. fetchedAt: string | null | undefined
2. now: number</t>
        </is>
      </c>
      <c r="K605" s="3" t="inlineStr">
        <is>
          <t>PriceFreshness</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MK-ST-F-075 agoLabel
2. MK-ST-F-077 isStale</t>
        </is>
      </c>
      <c r="P605" s="3" t="n">
        <v>3</v>
      </c>
      <c r="Q605" s="3" t="inlineStr">
        <is>
          <t>1. MK-ST-F-075 agoLabel
2. MK-ST-F-077 isStale
3. MK-XS-F-170 daysSince</t>
        </is>
      </c>
      <c r="R605" s="3" t="inlineStr">
        <is>
          <t>1. MK-XS-F-170 daysSince → MK-ST-F-075 agoLabel → MK-XS-F-082 priceFreshness
2. MK-XS-F-170 daysSince → MK-ST-F-077 isStale → MK-XS-F-082 priceFreshness</t>
        </is>
      </c>
      <c r="S605" s="3" t="inlineStr">
        <is>
          <t>MK-HM-M-001</t>
        </is>
      </c>
      <c r="T605" s="3" t="inlineStr">
        <is>
          <t>PRICE_FRESHNESS</t>
        </is>
      </c>
      <c r="U605" s="3" t="inlineStr">
        <is>
          <t>ACTIVE</t>
        </is>
      </c>
      <c r="V605" s="3" t="inlineStr">
        <is>
          <t>2026-08-27</t>
        </is>
      </c>
      <c r="W605" s="3" t="n"/>
      <c r="X605" s="3" t="n"/>
      <c r="Y605" s="3" t="inlineStr">
        <is>
          <t>NOTHING OPEN</t>
        </is>
      </c>
    </row>
    <row r="606" ht="60" customHeight="1">
      <c r="A606" s="3" t="inlineStr">
        <is>
          <t>MK-XS-F-083</t>
        </is>
      </c>
      <c r="B606" s="3" t="inlineStr">
        <is>
          <t>fetchPriceSeries</t>
        </is>
      </c>
      <c r="C606" s="3" t="inlineStr">
        <is>
          <t>src/services/marketData.ts</t>
        </is>
      </c>
      <c r="D606" s="3" t="n">
        <v>160</v>
      </c>
      <c r="E606" s="3" t="inlineStr">
        <is>
          <t>3 · DEPENDENT</t>
        </is>
      </c>
      <c r="F606" s="3" t="inlineStr">
        <is>
          <t>Fetch many tickers in parallel; returns only the ones that resolved.</t>
        </is>
      </c>
      <c r="G606" s="11" t="inlineStr">
        <is>
          <t>unique = array.from(new set(tickers.map((t) =&gt; trim().to upper case()).filter(boolean)))
results = await promise.all settled(unique.map((t) =&gt; provider.fetch series(t, range)))
out = {}
r = results[i]
the answer = out</t>
        </is>
      </c>
      <c r="H606" s="3" t="inlineStr">
        <is>
          <t>Unique is array.from(new set(tickers.map((t) =&gt; trim().to upper case()).filter(boolean))). Results is await promise.all settled(unique.map((t) =&gt; provider.fetch series(t, range))). Out is {}. R is results[i]. The answer is out.</t>
        </is>
      </c>
      <c r="I606" s="3" t="inlineStr">
        <is>
          <t>PARTLY READ — some of the code is still showing through; needs a hand pass</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MK-CF-F-132 map</t>
        </is>
      </c>
      <c r="P606" s="3" t="n">
        <v>1</v>
      </c>
      <c r="Q606" s="3" t="inlineStr">
        <is>
          <t>MK-CF-F-132 map</t>
        </is>
      </c>
      <c r="R606" s="3" t="inlineStr">
        <is>
          <t>MK-CF-F-132 map → MK-XS-F-083 fetchPriceSeries</t>
        </is>
      </c>
      <c r="S606" s="3" t="inlineStr">
        <is>
          <t>—</t>
        </is>
      </c>
      <c r="T606" s="3" t="inlineStr">
        <is>
          <t>FETCH_PRICES</t>
        </is>
      </c>
      <c r="U606" s="3" t="inlineStr">
        <is>
          <t>ACTIVE</t>
        </is>
      </c>
      <c r="V606" s="3" t="inlineStr">
        <is>
          <t>2026-09-12</t>
        </is>
      </c>
      <c r="W606" s="3" t="n"/>
      <c r="X606" s="3" t="n"/>
      <c r="Y606" s="3" t="inlineStr">
        <is>
          <t>NOTHING OPEN</t>
        </is>
      </c>
    </row>
    <row r="607" ht="60" customHeight="1">
      <c r="A607" s="3" t="inlineStr">
        <is>
          <t>MK-XS-F-084</t>
        </is>
      </c>
      <c r="B607" s="3" t="inlineStr">
        <is>
          <t>requestNotificationPermission</t>
        </is>
      </c>
      <c r="C607" s="3" t="inlineStr">
        <is>
          <t>src/services/notifications.ts</t>
        </is>
      </c>
      <c r="D607" s="3" t="n">
        <v>34</v>
      </c>
      <c r="E607" s="3" t="inlineStr">
        <is>
          <t>2 · DISPLAYED</t>
        </is>
      </c>
      <c r="F607" s="3" t="inlineStr">
        <is>
          <t>NOT DETERMINED — the code carries no note saying what this is for, and it has no row in the old inventory. Needs reading.</t>
        </is>
      </c>
      <c r="G607" s="11" t="inlineStr">
        <is>
          <t>false   when device.is device is missing
true   when existing = 'granted'
status = 'granted'</t>
        </is>
      </c>
      <c r="H607" s="3" t="inlineStr">
        <is>
          <t>When device.is device is missing, it answers false. When existing = 'granted', it answers true. status = 'granted'.</t>
        </is>
      </c>
      <c r="I607" s="3" t="inlineStr">
        <is>
          <t>READ FROM THE CODE — rendered from the expressions the function runs</t>
        </is>
      </c>
      <c r="J607" s="3" t="inlineStr">
        <is>
          <t>Nothing is handed to it</t>
        </is>
      </c>
      <c r="K607" s="3" t="inlineStr">
        <is>
          <t>Promise&lt;boolean&gt;</t>
        </is>
      </c>
      <c r="L607" s="3" t="inlineStr">
        <is>
          <t>NOT FOUND — a screen calls it, but the words printed beside its answer could not be traced automatically. Needs reading.</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30" customHeight="1">
      <c r="A608" s="3" t="inlineStr">
        <is>
          <t>MK-XS-F-085</t>
        </is>
      </c>
      <c r="B608" s="3" t="inlineStr">
        <is>
          <t>scheduleStreakReminder</t>
        </is>
      </c>
      <c r="C608" s="3" t="inlineStr">
        <is>
          <t>src/services/notifications.ts</t>
        </is>
      </c>
      <c r="D608" s="3" t="n">
        <v>60</v>
      </c>
      <c r="E608" s="3" t="inlineStr">
        <is>
          <t>1 · ACTION</t>
        </is>
      </c>
      <c r="F608" s="3" t="inlineStr">
        <is>
          <t>── Schedule daily streak reminder ─────────────────────────────────</t>
        </is>
      </c>
      <c r="G608" s="11" t="inlineStr">
        <is>
          <t>cancels the existing reminder, then schedules a daily one at 20:00</t>
        </is>
      </c>
      <c r="H608" s="3" t="inlineStr">
        <is>
          <t>Schedules the daily 8 pm streak reminder, replacing any existing one. Not a calculation.</t>
        </is>
      </c>
      <c r="I608" s="3" t="inlineStr">
        <is>
          <t>READ BY HAND 2026-08-26 — checked line by line against the code</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W608" s="3" t="n"/>
      <c r="X608" s="3" t="n"/>
      <c r="Y608" s="3" t="inlineStr">
        <is>
          <t>NOTHING OPEN</t>
        </is>
      </c>
    </row>
    <row r="609" ht="30" customHeight="1">
      <c r="A609" s="3" t="inlineStr">
        <is>
          <t>MK-XS-F-086</t>
        </is>
      </c>
      <c r="B609" s="3" t="inlineStr">
        <is>
          <t>cancelStreakReminder</t>
        </is>
      </c>
      <c r="C609" s="3" t="inlineStr">
        <is>
          <t>src/services/notifications.ts</t>
        </is>
      </c>
      <c r="D609" s="3" t="n">
        <v>94</v>
      </c>
      <c r="E609" s="3" t="inlineStr">
        <is>
          <t>1 · ACTION</t>
        </is>
      </c>
      <c r="F609" s="3" t="inlineStr">
        <is>
          <t>── Cancel streak reminder (e.g.</t>
        </is>
      </c>
      <c r="G609" s="11" t="inlineStr">
        <is>
          <t>cancels the daily reminder</t>
        </is>
      </c>
      <c r="H609" s="3" t="inlineStr">
        <is>
          <t>Cancels the daily streak reminder.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MK-XS-F-087</t>
        </is>
      </c>
      <c r="B610" s="3" t="inlineStr">
        <is>
          <t>scheduleRmdReminder</t>
        </is>
      </c>
      <c r="C610" s="3" t="inlineStr">
        <is>
          <t>src/services/notifications.ts</t>
        </is>
      </c>
      <c r="D610" s="3" t="n">
        <v>121</v>
      </c>
      <c r="E610" s="3" t="inlineStr">
        <is>
          <t>2 · DISPLAYED</t>
        </is>
      </c>
      <c r="F610" s="3" t="inlineStr">
        <is>
          <t>── Required-withdrawal reminders (FCC Plan r48/r51 — logistics only, no timing advice) ── November 1 nudge ahead of the Dec 31 deadline (this year or a future start year).</t>
        </is>
      </c>
      <c r="G610" s="11" t="inlineStr">
        <is>
          <t>id = `rmd − reminder-${year}`
fire at = the date year, 10, 1, 10, 0, 0
false   when fire at.get time() ≤ date.now()
the answer = true</t>
        </is>
      </c>
      <c r="H610" s="3" t="inlineStr">
        <is>
          <t>Id is `rmd minus reminder-${year}`. Fire at: the date year, 10, 1, 10, 0, 0. When fire at.get time() is at most date.now(), it answers false. The answer is true.</t>
        </is>
      </c>
      <c r="I610" s="3" t="inlineStr">
        <is>
          <t>PARTLY READ — some of the code is still showing through; needs a hand pass</t>
        </is>
      </c>
      <c r="J610" s="3" t="inlineStr">
        <is>
          <t>year: number</t>
        </is>
      </c>
      <c r="K610" s="3" t="inlineStr">
        <is>
          <t>NOT DECLARED — the code does not say what it gives back</t>
        </is>
      </c>
      <c r="L610" s="3" t="inlineStr">
        <is>
          <t>NOT FOUND — a screen calls it, but the words printed beside its answer could not be traced automatically. Needs reading.</t>
        </is>
      </c>
      <c r="M610" s="3" t="inlineStr">
        <is>
          <t>· Uses today's date from the device clock, so the answer changes by itself overnight.</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45" customHeight="1">
      <c r="A611" s="3" t="inlineStr">
        <is>
          <t>MK-XS-F-088</t>
        </is>
      </c>
      <c r="B611" s="3" t="inlineStr">
        <is>
          <t>sendBudgetAlert</t>
        </is>
      </c>
      <c r="C611" s="3" t="inlineStr">
        <is>
          <t>src/services/notifications.ts</t>
        </is>
      </c>
      <c r="D611" s="3" t="n">
        <v>158</v>
      </c>
      <c r="E611" s="3" t="inlineStr">
        <is>
          <t>1 · ACTION</t>
        </is>
      </c>
      <c r="F611" s="3" t="inlineStr">
        <is>
          <t>── Budget alert (fire immediately) ────────────────────────────────</t>
        </is>
      </c>
      <c r="G611" s="11" t="inlineStr">
        <is>
          <t>sends one alert now: '&lt;category&gt; budget at &lt;round(pct)&gt;%'</t>
        </is>
      </c>
      <c r="H611" s="3" t="inlineStr">
        <is>
          <t>Sends an immediate alert naming the category and how much of its budget is used, to the whole percent. Display only.</t>
        </is>
      </c>
      <c r="I611" s="3" t="inlineStr">
        <is>
          <t>READ BY HAND 2026-08-26 — checked line by line against the code</t>
        </is>
      </c>
      <c r="J611" s="3" t="inlineStr">
        <is>
          <t>1. category: string
2. pct: number</t>
        </is>
      </c>
      <c r="K611" s="3" t="inlineStr">
        <is>
          <t>NOT DECLARED — the code does not say what it gives back</t>
        </is>
      </c>
      <c r="L611" s="3" t="inlineStr">
        <is>
          <t>—</t>
        </is>
      </c>
      <c r="M611" s="3" t="inlineStr">
        <is>
          <t>· Rounds the answer to a whole number.</t>
        </is>
      </c>
      <c r="N611" s="3" t="inlineStr">
        <is>
          <t>No</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2026-09-12</t>
        </is>
      </c>
      <c r="W611" s="3" t="n"/>
      <c r="X611" s="3" t="n"/>
      <c r="Y611" s="3" t="inlineStr">
        <is>
          <t>NOTHING OPEN</t>
        </is>
      </c>
    </row>
    <row r="612" ht="30" customHeight="1">
      <c r="A612" s="3" t="inlineStr">
        <is>
          <t>MK-XS-F-089</t>
        </is>
      </c>
      <c r="B612" s="3" t="inlineStr">
        <is>
          <t>scheduleWeeklySummary</t>
        </is>
      </c>
      <c r="C612" s="3" t="inlineStr">
        <is>
          <t>src/services/notifications.ts</t>
        </is>
      </c>
      <c r="D612" s="3" t="n">
        <v>186</v>
      </c>
      <c r="E612" s="3" t="inlineStr">
        <is>
          <t>1 · ACTION</t>
        </is>
      </c>
      <c r="F612" s="3" t="inlineStr">
        <is>
          <t>── Weekly summary notification ────────────────────────────────────</t>
        </is>
      </c>
      <c r="G612" s="11" t="inlineStr">
        <is>
          <t>cancels the existing summary, then schedules a weekly one on Monday at 09:00</t>
        </is>
      </c>
      <c r="H612" s="3" t="inlineStr">
        <is>
          <t>Schedules the Monday 9 am weekly summary, replacing any existing one. Not a calculation.</t>
        </is>
      </c>
      <c r="I612" s="3" t="inlineStr">
        <is>
          <t>READ BY HAND 2026-08-26 — checked line by line against the code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45" customHeight="1">
      <c r="A613" s="3" t="inlineStr">
        <is>
          <t>MK-XS-F-090</t>
        </is>
      </c>
      <c r="B613" s="3" t="inlineStr">
        <is>
          <t>addNotificationResponseListener</t>
        </is>
      </c>
      <c r="C613" s="3" t="inlineStr">
        <is>
          <t>src/services/notifications.ts</t>
        </is>
      </c>
      <c r="D613" s="3" t="n">
        <v>221</v>
      </c>
      <c r="E613" s="3" t="inlineStr">
        <is>
          <t>3 · DEPENDENT (feeds an action only)</t>
        </is>
      </c>
      <c r="F613" s="3" t="inlineStr">
        <is>
          <t>── Listen for notification taps ───────────────────────────────────</t>
        </is>
      </c>
      <c r="G613" s="11" t="inlineStr">
        <is>
          <t>screen = response.notification.request.content.data.screen as string</t>
        </is>
      </c>
      <c r="H613" s="3" t="inlineStr">
        <is>
          <t>Screen is response.notification.request.content.data.screen as string.</t>
        </is>
      </c>
      <c r="I613" s="3" t="inlineStr">
        <is>
          <t>READ FROM THE CODE — rendered from the expressions the function runs</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MK-XS-F-091</t>
        </is>
      </c>
      <c r="B614" s="3" t="inlineStr">
        <is>
          <t>scheduleSsWindowReminder</t>
        </is>
      </c>
      <c r="C614" s="3" t="inlineStr">
        <is>
          <t>src/services/notifications.ts</t>
        </is>
      </c>
      <c r="D614" s="3" t="n">
        <v>253</v>
      </c>
      <c r="E614" s="3" t="inlineStr">
        <is>
          <t>2 · DISPLAYED</t>
        </is>
      </c>
      <c r="F614" s="3" t="inlineStr">
        <is>
          <t>── Social Security claim-window reminder (design r18, built pre-48 per founder decision) ── Fires the month the claim window opens (their 62nd-birthday month), 10:00 on the 1st.</t>
        </is>
      </c>
      <c r="G614" s="11" t="inlineStr">
        <is>
          <t>id = 'ss − window − reminder'
fire at = the date opens year, opens month1 − 1, 1, 10, 0, 0
false   when fire at.get time() ≤ date.now()
the answer = true</t>
        </is>
      </c>
      <c r="H614" s="3" t="inlineStr">
        <is>
          <t>Id is 'ss minus window minus reminder'. Fire at: the date opens year, opens month1 minus 1, 1, 10, 0, 0. When fire at.get time() is at most date.now(), it answers false. The answer is true.</t>
        </is>
      </c>
      <c r="I614" s="3" t="inlineStr">
        <is>
          <t>PARTLY READ — some of the code is still showing through; needs a hand pass</t>
        </is>
      </c>
      <c r="J614" s="3" t="inlineStr">
        <is>
          <t>1. opensYear: number
2. opensMonth1: number</t>
        </is>
      </c>
      <c r="K614" s="3" t="inlineStr">
        <is>
          <t>NOT DECLARED — the code does not say what it gives back</t>
        </is>
      </c>
      <c r="L614" s="3" t="inlineStr">
        <is>
          <t>NOT FOUND — a screen calls it, but the words printed beside its answer could not be traced automatically. Needs reading.</t>
        </is>
      </c>
      <c r="M614" s="3" t="inlineStr">
        <is>
          <t>· Uses today's date from the device clock, so the answer changes by itself overnight.</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MK-XS-F-092</t>
        </is>
      </c>
      <c r="B615" s="3" t="inlineStr">
        <is>
          <t>parseReceiptWithOCR</t>
        </is>
      </c>
      <c r="C615" s="3" t="inlineStr">
        <is>
          <t>src/services/receiptOCR.ts</t>
        </is>
      </c>
      <c r="D615" s="3" t="n">
        <v>40</v>
      </c>
      <c r="E615" s="3" t="inlineStr">
        <is>
          <t>4 · BRINGS DATA IN</t>
        </is>
      </c>
      <c r="F615" s="3" t="inlineStr">
        <is>
          <t>Sends a receipt image to Google Cloud Vision API for OCR, then parses the raw text to extract store, total, date, category.</t>
        </is>
      </c>
      <c r="G615" s="11" t="inlineStr">
        <is>
          <t>the answer = nothing
json = await response.json()
raw text = json.responses.[0].full text annotation.text (or '' when missing or zero)
nothing   when raw text is missing</t>
        </is>
      </c>
      <c r="H615" s="3" t="inlineStr">
        <is>
          <t>The answer is no answer. Json is await response.json(). Raw text is json.responses.[0].full text annotation.text (or '' — when missing or zero). When raw text is missing, it answers no answer.</t>
        </is>
      </c>
      <c r="I615" s="3" t="inlineStr">
        <is>
          <t>PARTLY READ — some of the code is still showing through; needs a hand pass</t>
        </is>
      </c>
      <c r="J615" s="3" t="inlineStr">
        <is>
          <t>imageUri: string</t>
        </is>
      </c>
      <c r="K615" s="3" t="inlineStr">
        <is>
          <t>Promise&lt;ParsedReceipt | null&gt;</t>
        </is>
      </c>
      <c r="L615" s="3" t="inlineStr">
        <is>
          <t>—</t>
        </is>
      </c>
      <c r="M615" s="3" t="inlineStr">
        <is>
          <t>None found in this function — anything it assumes comes from the functions it depends on.</t>
        </is>
      </c>
      <c r="N615" s="3" t="inlineStr">
        <is>
          <t>No</t>
        </is>
      </c>
      <c r="O615" s="3" t="inlineStr">
        <is>
          <t>MK-XS-F-094 parseReceiptText</t>
        </is>
      </c>
      <c r="P615" s="3" t="n">
        <v>106</v>
      </c>
      <c r="Q61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MK-XS-F-093</t>
        </is>
      </c>
      <c r="B616" s="3" t="inlineStr">
        <is>
          <t>stripNonMoney</t>
        </is>
      </c>
      <c r="C616" s="3" t="inlineStr">
        <is>
          <t>src/services/receiptOCR.ts</t>
        </is>
      </c>
      <c r="D616" s="3" t="n">
        <v>109</v>
      </c>
      <c r="E616" s="3" t="inlineStr">
        <is>
          <t>3 · DEPENDENT</t>
        </is>
      </c>
      <c r="F616" s="3" t="inlineStr">
        <is>
          <t>A DATE IS NOT MONEY.</t>
        </is>
      </c>
      <c r="G616" s="11" t="inlineStr">
        <is>
          <t>the answer = the line with dates (30.04.24, 04/30/24, 2024-04-30) and times (08:30, 7:54:10) blanked out</t>
        </is>
      </c>
      <c r="H616" s="3" t="inlineStr">
        <is>
          <t>Blanks the dates and times on a receipt line so only the money figures remain for reading. No arithmetic.</t>
        </is>
      </c>
      <c r="I616" s="3" t="inlineStr">
        <is>
          <t>READ BY HAND 2026-08-26 — checked line by line against the code</t>
        </is>
      </c>
      <c r="J616" s="3" t="inlineStr">
        <is>
          <t>line: string</t>
        </is>
      </c>
      <c r="K616" s="3" t="inlineStr">
        <is>
          <t>string</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2026-09-12</t>
        </is>
      </c>
      <c r="W616" s="3" t="n"/>
      <c r="X616" s="3" t="n"/>
      <c r="Y616" s="3" t="inlineStr">
        <is>
          <t>NOTHING OPEN</t>
        </is>
      </c>
    </row>
    <row r="617" ht="60" customHeight="1">
      <c r="A617" s="3" t="inlineStr">
        <is>
          <t>MK-XS-F-094</t>
        </is>
      </c>
      <c r="B617" s="3" t="inlineStr">
        <is>
          <t>parseReceiptText</t>
        </is>
      </c>
      <c r="C617" s="3" t="inlineStr">
        <is>
          <t>src/services/receiptOCR.ts</t>
        </is>
      </c>
      <c r="D617" s="3" t="n">
        <v>155</v>
      </c>
      <c r="E617" s="3" t="inlineStr">
        <is>
          <t>3 · DEPENDENT (feeds an action only)</t>
        </is>
      </c>
      <c r="F617" s="3" t="inlineStr">
        <is>
          <t>NOT DETERMINED — the code carries no note saying what this is for, and it has no row in the old inventory. Needs reading.</t>
        </is>
      </c>
      <c r="G61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7" s="3" t="inlineStr">
        <is>
          <t>PARTLY READ — some of the code is still showing through; needs a hand pass</t>
        </is>
      </c>
      <c r="J617" s="3" t="inlineStr">
        <is>
          <t>text: string</t>
        </is>
      </c>
      <c r="K617" s="3" t="inlineStr">
        <is>
          <t>ParsedReceipt</t>
        </is>
      </c>
      <c r="L617" s="3" t="inlineStr">
        <is>
          <t>—</t>
        </is>
      </c>
      <c r="M617" s="3" t="inlineStr">
        <is>
          <t>1. Uses a built-in strong t of 0.
2. Uses a built-in weak t of 0.
3. Uses a built-in subtotal of 0.
4. Uses a built-in largest safe of 0.
5. Uses today's date from the device clock, so the answer changes by itself overnight.</t>
        </is>
      </c>
      <c r="N617" s="3" t="inlineStr">
        <is>
          <t>No</t>
        </is>
      </c>
      <c r="O617" s="3" t="inlineStr">
        <is>
          <t>1. MK-XS-F-144 guessCategory
2. MK-CF-F-204 line
3. MK-CF-F-132 map
4. MK-XS-F-058 parseReceipt
5. MK-XS-F-093 stripNonMoney</t>
        </is>
      </c>
      <c r="P617" s="3" t="n">
        <v>105</v>
      </c>
      <c r="Q61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1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MK-XS-F-095</t>
        </is>
      </c>
      <c r="B618" s="3" t="inlineStr">
        <is>
          <t>ocrAvailable</t>
        </is>
      </c>
      <c r="C618" s="3" t="inlineStr">
        <is>
          <t>src/services/receiptScan.ts</t>
        </is>
      </c>
      <c r="D618" s="3" t="n">
        <v>27</v>
      </c>
      <c r="E618" s="3" t="inlineStr">
        <is>
          <t>2 · DISPLAYED</t>
        </is>
      </c>
      <c r="F618" s="3" t="inlineStr">
        <is>
          <t>NOT DETERMINED — the code carries no note saying what this is for, and it has no row in the old inventory. Needs reading.</t>
        </is>
      </c>
      <c r="G618" s="11" t="inlineStr">
        <is>
          <t>the answer = true when the text-recognition module is present and usable</t>
        </is>
      </c>
      <c r="H618" s="3" t="inlineStr">
        <is>
          <t>Whether receipt scanning is available on this device. Not a calculation.</t>
        </is>
      </c>
      <c r="I618" s="3" t="inlineStr">
        <is>
          <t>READ BY HAND 2026-08-26 — checked line by line against the code</t>
        </is>
      </c>
      <c r="J618" s="3" t="inlineStr">
        <is>
          <t>Nothing is handed to it</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MK-XS-F-096</t>
        </is>
      </c>
      <c r="B619" s="3" t="inlineStr">
        <is>
          <t>pickReceipt</t>
        </is>
      </c>
      <c r="C619" s="3" t="inlineStr">
        <is>
          <t>src/services/receiptScan.ts</t>
        </is>
      </c>
      <c r="D619" s="3" t="n">
        <v>55</v>
      </c>
      <c r="E619" s="3" t="inlineStr">
        <is>
          <t>2 · DISPLAYED</t>
        </is>
      </c>
      <c r="F619" s="3" t="inlineStr">
        <is>
          <t>Capture (camera) or pick (library) a receipt image; returns its uri or null if cancelled/denied.</t>
        </is>
      </c>
      <c r="G61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1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19" s="3" t="inlineStr">
        <is>
          <t>PARTLY READ — some of the code is still showing through; needs a hand pass</t>
        </is>
      </c>
      <c r="J619" s="3" t="inlineStr">
        <is>
          <t>source: 'camera' | 'library'</t>
        </is>
      </c>
      <c r="K619" s="3" t="inlineStr">
        <is>
          <t>Promise&lt;string | null&gt;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MK-CF-F-204 line</t>
        </is>
      </c>
      <c r="P619" s="3" t="n">
        <v>102</v>
      </c>
      <c r="Q61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61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MK-XS-F-097</t>
        </is>
      </c>
      <c r="B620" s="3" t="inlineStr">
        <is>
          <t>ocrReceipt</t>
        </is>
      </c>
      <c r="C620" s="3" t="inlineStr">
        <is>
          <t>src/services/receiptScan.ts</t>
        </is>
      </c>
      <c r="D620" s="3" t="n">
        <v>172</v>
      </c>
      <c r="E620" s="3" t="inlineStr">
        <is>
          <t>2 · DISPLAYED (presentation only)</t>
        </is>
      </c>
      <c r="F620" s="3" t="inlineStr">
        <is>
          <t>NOT DETERMINED — the code carries no note saying what this is for, and it has no row in the old inventory. Needs reading.</t>
        </is>
      </c>
      <c r="G620" s="11" t="inlineStr">
        <is>
          <t>raw = ''   when !ocr available()
res = await mlkit.recognize(uri)
text = res.text (or '' when missing)
the answer:
...parse receipt(text) = ...parse receipt(text)
raw = text</t>
        </is>
      </c>
      <c r="H620" s="3" t="inlineStr">
        <is>
          <t>When !ocr available(), it answers raw = ''. Res is await mlkit.recognize(uri). Text is res.text (or '' — when missing). The answer is ...parse receipt(text) = ...parse receipt(text); raw = text.</t>
        </is>
      </c>
      <c r="I620" s="3" t="inlineStr">
        <is>
          <t>PARTLY READ — some of the code is still showing through; needs a hand pass</t>
        </is>
      </c>
      <c r="J620" s="3" t="inlineStr">
        <is>
          <t>uri: string</t>
        </is>
      </c>
      <c r="K620" s="3" t="inlineStr">
        <is>
          <t>Promise&lt;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MK-XS-F-095 ocrAvailable
2. MK-XS-F-058 parseReceipt</t>
        </is>
      </c>
      <c r="P620" s="3" t="n">
        <v>105</v>
      </c>
      <c r="Q62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62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MK-XS-F-098</t>
        </is>
      </c>
      <c r="B621" s="3" t="inlineStr">
        <is>
          <t>setSyncProviderForTesting</t>
        </is>
      </c>
      <c r="C621" s="3" t="inlineStr">
        <is>
          <t>src/services/sync/index.ts</t>
        </is>
      </c>
      <c r="D621" s="3" t="n">
        <v>68</v>
      </c>
      <c r="E621" s="3" t="inlineStr">
        <is>
          <t>1 · ACTION</t>
        </is>
      </c>
      <c r="F621" s="3" t="inlineStr">
        <is>
          <t>NOT DETERMINED — the code carries no note saying what this is for, and it has no row in the old inventory. Needs reading.</t>
        </is>
      </c>
      <c r="G621" s="11" t="inlineStr">
        <is>
          <t>It records or announces something and returns no figure — no arithmetic of its own.</t>
        </is>
      </c>
      <c r="H621" s="3" t="inlineStr">
        <is>
          <t>It records or announces something and returns no figure — no arithmetic of its own.</t>
        </is>
      </c>
      <c r="I621" s="3" t="inlineStr">
        <is>
          <t>NO ARITHMETIC — there is no formula to state</t>
        </is>
      </c>
      <c r="J621" s="3" t="inlineStr">
        <is>
          <t>p: SyncProvider | null</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MK-XS-F-099</t>
        </is>
      </c>
      <c r="B622" s="3" t="inlineStr">
        <is>
          <t>activeSyncProvider</t>
        </is>
      </c>
      <c r="C622" s="3" t="inlineStr">
        <is>
          <t>src/services/sync/index.ts</t>
        </is>
      </c>
      <c r="D622" s="3" t="n">
        <v>89</v>
      </c>
      <c r="E622" s="3" t="inlineStr">
        <is>
          <t>2 · DISPLAYED</t>
        </is>
      </c>
      <c r="F622" s="3" t="inlineStr">
        <is>
          <t>The one lookup the UI uses.</t>
        </is>
      </c>
      <c r="G622" s="11" t="inlineStr">
        <is>
          <t>override provider   when override provider ! = undefined
new sandbox sync provider()   if typeof __DEV__ ! = 'undefined' and __DEV__
nothing   otherwise</t>
        </is>
      </c>
      <c r="H622" s="3" t="inlineStr">
        <is>
          <t>When override provider ! = undefined, it answers override provider. new sandbox sync provider() — when typeof __DEV__ ! = 'undefined' and __DEV__; no answer — otherwise.</t>
        </is>
      </c>
      <c r="I622" s="3" t="inlineStr">
        <is>
          <t>PARTLY READ — some of the code is still showing through; needs a hand pass</t>
        </is>
      </c>
      <c r="J622" s="3" t="inlineStr">
        <is>
          <t>Nothing is handed to it</t>
        </is>
      </c>
      <c r="K622" s="3" t="inlineStr">
        <is>
          <t>SyncProvider | null</t>
        </is>
      </c>
      <c r="L622" s="3" t="inlineStr">
        <is>
          <t>NOT FOUND — a screen calls it, but the words printed beside its answer could not be traced automatically. Needs reading.</t>
        </is>
      </c>
      <c r="M622" s="3" t="inlineStr">
        <is>
          <t>None found in this function — anything it assumes comes from the functions it depends on.</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MK-XS-F-100</t>
        </is>
      </c>
      <c r="B623" s="3" t="inlineStr">
        <is>
          <t>connectionFreshness</t>
        </is>
      </c>
      <c r="C623" s="3" t="inlineStr">
        <is>
          <t>src/services/sync/index.ts</t>
        </is>
      </c>
      <c r="D623" s="3" t="n">
        <v>124</v>
      </c>
      <c r="E623" s="3" t="inlineStr">
        <is>
          <t>2 · DISPLAYED</t>
        </is>
      </c>
      <c r="F623" s="3" t="inlineStr">
        <is>
          <t>How old a connected account's last successful sync is.</t>
        </is>
      </c>
      <c r="G623" s="11" t="inlineStr">
        <is>
          <t>days = days since(last synced, now)
label = age label(last synced, now)
nothing   when days = nothing (or label = nothing when missing or zero)
the answer:
label = label
stale = is stale(last synced, now)
days old = days</t>
        </is>
      </c>
      <c r="H623" s="3" t="inlineStr">
        <is>
          <t>Days is days since(last synced, now). Label is age label(last synced, now). When days is missing (or label is missing — when missing or zero), it answers no answer. The answer is label = label; stale = is stale(last synced, now); days old = days.</t>
        </is>
      </c>
      <c r="I623" s="3" t="inlineStr">
        <is>
          <t>READ FROM THE CODE — rendered from the expressions the function runs</t>
        </is>
      </c>
      <c r="J623" s="3" t="inlineStr">
        <is>
          <t>1. lastSynced: string | null | undefined
2. now: number = Date.now()</t>
        </is>
      </c>
      <c r="K623" s="3" t="inlineStr">
        <is>
          <t>ConnectionFreshness | null</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1. MK-ST-F-076 ageLabel
2. MK-XS-F-170 daysSince
3. MK-ST-F-077 isStale</t>
        </is>
      </c>
      <c r="P623" s="3" t="n">
        <v>3</v>
      </c>
      <c r="Q623" s="3" t="inlineStr">
        <is>
          <t>1. MK-ST-F-076 ageLabel
2. MK-XS-F-170 daysSince
3. MK-ST-F-077 isStale</t>
        </is>
      </c>
      <c r="R623" s="3" t="inlineStr">
        <is>
          <t>1. MK-XS-F-170 daysSince → MK-ST-F-076 ageLabel → MK-XS-F-100 connectionFreshness
2. MK-XS-F-170 daysSince → MK-XS-F-100 connectionFreshness
3. MK-XS-F-170 daysSince → MK-ST-F-077 isStale → MK-XS-F-100 connectionFreshness</t>
        </is>
      </c>
      <c r="S623" s="3" t="inlineStr">
        <is>
          <t>—</t>
        </is>
      </c>
      <c r="T623" s="3" t="inlineStr">
        <is>
          <t>—</t>
        </is>
      </c>
      <c r="U623" s="3" t="inlineStr">
        <is>
          <t>ACTIVE</t>
        </is>
      </c>
      <c r="V623" s="3" t="inlineStr">
        <is>
          <t>2026-10-01</t>
        </is>
      </c>
      <c r="W623" s="3" t="n"/>
      <c r="X623" s="3" t="n"/>
      <c r="Y623" s="3" t="inlineStr">
        <is>
          <t>NOTHING OPEN</t>
        </is>
      </c>
    </row>
    <row r="624" ht="45" customHeight="1">
      <c r="A624" s="3" t="inlineStr">
        <is>
          <t>MK-XS-F-101</t>
        </is>
      </c>
      <c r="B624" s="3" t="inlineStr">
        <is>
          <t>stAssetId</t>
        </is>
      </c>
      <c r="C624" s="3" t="inlineStr">
        <is>
          <t>src/services/sync/ingest.ts</t>
        </is>
      </c>
      <c r="D624" s="3" t="n">
        <v>54</v>
      </c>
      <c r="E624" s="3" t="inlineStr">
        <is>
          <t>1 · ACTION</t>
        </is>
      </c>
      <c r="F624" s="3" t="inlineStr">
        <is>
          <t>What do we call this connected account internally?</t>
        </is>
      </c>
      <c r="G624" s="11" t="inlineStr">
        <is>
          <t>the answer = 'st-' + the SnapTrade account identifier</t>
        </is>
      </c>
      <c r="H624" s="3" t="inlineStr">
        <is>
          <t>The app's identifier for a connected account: the institution's identifier with an 'st-' prefix. No arithmetic.</t>
        </is>
      </c>
      <c r="I624" s="3" t="inlineStr">
        <is>
          <t>READ BY HAND 2026-08-26 — checked line by line against the code</t>
        </is>
      </c>
      <c r="J624" s="3" t="inlineStr">
        <is>
          <t>snapTradeAccountId: string</t>
        </is>
      </c>
      <c r="K624" s="3" t="inlineStr">
        <is>
          <t>NOT DECLARED — the code does not say what it gives back</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ACCOUNT_IDENTITY</t>
        </is>
      </c>
      <c r="U624" s="3" t="inlineStr">
        <is>
          <t>ACTIVE</t>
        </is>
      </c>
      <c r="V624" s="3" t="inlineStr">
        <is>
          <t>2026-09-12</t>
        </is>
      </c>
      <c r="W624" s="3" t="n"/>
      <c r="X624" s="3" t="n"/>
      <c r="Y624" s="3" t="inlineStr">
        <is>
          <t>NOTHING OPEN</t>
        </is>
      </c>
    </row>
    <row r="625" ht="60" customHeight="1">
      <c r="A625" s="3" t="inlineStr">
        <is>
          <t>MK-XS-F-102</t>
        </is>
      </c>
      <c r="B625" s="3" t="inlineStr">
        <is>
          <t>ingestSync</t>
        </is>
      </c>
      <c r="C625" s="3" t="inlineStr">
        <is>
          <t>src/services/sync/ingest.ts</t>
        </is>
      </c>
      <c r="D625" s="3" t="n">
        <v>102</v>
      </c>
      <c r="E625" s="3" t="inlineStr">
        <is>
          <t>3 · DEPENDENT (feeds an action only)</t>
        </is>
      </c>
      <c r="F625" s="3" t="inlineStr">
        <is>
          <t>A broker just sent us data — what changes?</t>
        </is>
      </c>
      <c r="G62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5" s="3" t="inlineStr">
        <is>
          <t>PARTLY READ — some of the code is still showing through; needs a hand pass</t>
        </is>
      </c>
      <c r="J625" s="3" t="inlineStr">
        <is>
          <t>Nothing is handed to it</t>
        </is>
      </c>
      <c r="K625" s="3" t="inlineStr">
        <is>
          <t>NOT DECLARED — the code does not say what it gives back</t>
        </is>
      </c>
      <c r="L625" s="3" t="inlineStr">
        <is>
          <t>—</t>
        </is>
      </c>
      <c r="M62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5" s="3" t="inlineStr">
        <is>
          <t>No</t>
        </is>
      </c>
      <c r="O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5" s="3" t="n">
        <v>39</v>
      </c>
      <c r="Q62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5" s="3" t="inlineStr">
        <is>
          <t>—</t>
        </is>
      </c>
      <c r="T625" s="3" t="inlineStr">
        <is>
          <t>SYNC_ONE_ACCOUNT</t>
        </is>
      </c>
      <c r="U625" s="3" t="inlineStr">
        <is>
          <t>ACTIVE</t>
        </is>
      </c>
      <c r="V625" s="3" t="inlineStr">
        <is>
          <t>2026-08-27</t>
        </is>
      </c>
      <c r="W625" s="3" t="n"/>
      <c r="X625" s="3" t="n"/>
      <c r="Y625" s="3" t="inlineStr">
        <is>
          <t>NOTHING OPEN</t>
        </is>
      </c>
    </row>
    <row r="626" ht="60" customHeight="1">
      <c r="A626" s="3" t="inlineStr">
        <is>
          <t>MK-XS-F-103</t>
        </is>
      </c>
      <c r="B626" s="3" t="inlineStr">
        <is>
          <t>confirmWrapper</t>
        </is>
      </c>
      <c r="C626" s="3" t="inlineStr">
        <is>
          <t>src/services/sync/ingest.ts</t>
        </is>
      </c>
      <c r="D626" s="3" t="n">
        <v>312</v>
      </c>
      <c r="E626" s="3" t="inlineStr">
        <is>
          <t>3 · DEPENDENT (feeds an action only)</t>
        </is>
      </c>
      <c r="F626" s="3" t="inlineStr">
        <is>
          <t>Mark an account's wrapper as USER-CONFIRMED — future syncs never override it.</t>
        </is>
      </c>
      <c r="G626" s="11" t="inlineStr">
        <is>
          <t>for each of accounts: ...each = ...each
kind = kind
tax bucket = tax bucket
wrapper confirmed = true   if asset id = asset id
each   otherwise</t>
        </is>
      </c>
      <c r="H626" s="3" t="inlineStr">
        <is>
          <t>for each of accounts: ...each = ...each; kind = kind; tax bucket = tax bucket; wrapper confirmed = true — when asset id = asset id; each — otherwise.</t>
        </is>
      </c>
      <c r="I626" s="3" t="inlineStr">
        <is>
          <t>READ FROM THE CODE — rendered from the expressions the function runs</t>
        </is>
      </c>
      <c r="J626" s="3" t="inlineStr">
        <is>
          <t>1. accounts: AssetAccount[]
2. assetId: string
3. kind: string
4. taxBucket: AssetAccount['tax_bucket']</t>
        </is>
      </c>
      <c r="K626" s="3" t="inlineStr">
        <is>
          <t>AssetAccount[]</t>
        </is>
      </c>
      <c r="L626" s="3" t="inlineStr">
        <is>
          <t>—</t>
        </is>
      </c>
      <c r="M626" s="3" t="inlineStr">
        <is>
          <t>None found in this function — anything it assumes comes from the functions it depends on.</t>
        </is>
      </c>
      <c r="N626" s="3" t="inlineStr">
        <is>
          <t>No</t>
        </is>
      </c>
      <c r="O626" s="3" t="inlineStr">
        <is>
          <t>MK-CF-F-132 map</t>
        </is>
      </c>
      <c r="P626" s="3" t="n">
        <v>1</v>
      </c>
      <c r="Q626" s="3" t="inlineStr">
        <is>
          <t>MK-CF-F-132 map</t>
        </is>
      </c>
      <c r="R626" s="3" t="inlineStr">
        <is>
          <t>MK-CF-F-132 map → MK-XS-F-103 confirmWrapper</t>
        </is>
      </c>
      <c r="S626" s="3" t="inlineStr">
        <is>
          <t>—</t>
        </is>
      </c>
      <c r="T626" s="3" t="inlineStr">
        <is>
          <t>CONFIRM_TAX_TYPE</t>
        </is>
      </c>
      <c r="U626" s="3" t="inlineStr">
        <is>
          <t>ACTIVE</t>
        </is>
      </c>
      <c r="V626" s="3" t="inlineStr">
        <is>
          <t>2026-08-27</t>
        </is>
      </c>
      <c r="W626" s="3" t="n"/>
      <c r="X626" s="3" t="n"/>
      <c r="Y626" s="3" t="inlineStr">
        <is>
          <t>NOTHING OPEN</t>
        </is>
      </c>
    </row>
    <row r="627" ht="60" customHeight="1">
      <c r="A627" s="3" t="inlineStr">
        <is>
          <t>MK-XS-F-104</t>
        </is>
      </c>
      <c r="B627" s="3" t="inlineStr">
        <is>
          <t>mapAccountType</t>
        </is>
      </c>
      <c r="C627" s="3" t="inlineStr">
        <is>
          <t>src/services/sync/snaptrade.ts</t>
        </is>
      </c>
      <c r="D627" s="3" t="n">
        <v>124</v>
      </c>
      <c r="E627" s="3" t="inlineStr">
        <is>
          <t>3 · DEPENDENT (feeds an action only)</t>
        </is>
      </c>
      <c r="F627" s="3" t="inlineStr">
        <is>
          <t>What kind of account is this, and how is it taxed?</t>
        </is>
      </c>
      <c r="G62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7" s="3" t="inlineStr">
        <is>
          <t>PARTLY READ — some of the code is still showing through; needs a hand pass</t>
        </is>
      </c>
      <c r="J627" s="3" t="inlineStr">
        <is>
          <t>1. rawType: string | null | undefined
2. category?: string | null</t>
        </is>
      </c>
      <c r="K627" s="3" t="inlineStr">
        <is>
          <t>WrapperGuess</t>
        </is>
      </c>
      <c r="L627" s="3" t="inlineStr">
        <is>
          <t>—</t>
        </is>
      </c>
      <c r="M627" s="3" t="inlineStr">
        <is>
          <t>None found in this function — anything it assumes comes from the functions it depends on.</t>
        </is>
      </c>
      <c r="N627" s="3" t="inlineStr">
        <is>
          <t>No</t>
        </is>
      </c>
      <c r="O627" s="3" t="inlineStr">
        <is>
          <t>MK-ST-F-056 has</t>
        </is>
      </c>
      <c r="P627" s="3" t="n">
        <v>1</v>
      </c>
      <c r="Q627" s="3" t="inlineStr">
        <is>
          <t>MK-ST-F-056 has</t>
        </is>
      </c>
      <c r="R627" s="3" t="inlineStr">
        <is>
          <t>MK-ST-F-056 has → MK-XS-F-104 mapAccountType</t>
        </is>
      </c>
      <c r="S627" s="3" t="inlineStr">
        <is>
          <t>—</t>
        </is>
      </c>
      <c r="T627" s="3" t="inlineStr">
        <is>
          <t>ACCOUNT_TAX_TYPE_GUESS</t>
        </is>
      </c>
      <c r="U627" s="3" t="inlineStr">
        <is>
          <t>ACTIVE</t>
        </is>
      </c>
      <c r="V627" s="3" t="inlineStr">
        <is>
          <t>2026-08-27</t>
        </is>
      </c>
      <c r="W627" s="3" t="n"/>
      <c r="X627" s="3" t="n"/>
      <c r="Y627" s="3" t="inlineStr">
        <is>
          <t>NOTHING OPEN</t>
        </is>
      </c>
    </row>
    <row r="628" ht="60" customHeight="1">
      <c r="A628" s="3" t="inlineStr">
        <is>
          <t>MK-XS-F-105</t>
        </is>
      </c>
      <c r="B628" s="3" t="inlineStr">
        <is>
          <t>mapPosition</t>
        </is>
      </c>
      <c r="C628" s="3" t="inlineStr">
        <is>
          <t>src/services/sync/snaptrade.ts</t>
        </is>
      </c>
      <c r="D628" s="3" t="n">
        <v>220</v>
      </c>
      <c r="E628" s="3" t="inlineStr">
        <is>
          <t>3 · DEPENDENT (feeds an action only)</t>
        </is>
      </c>
      <c r="F628" s="3" t="inlineStr">
        <is>
          <t>B7 (founder brief 2026-08-20): classification lives in the ONE function — name first, broker tag as fallback only.</t>
        </is>
      </c>
      <c r="G628" s="11" t="inlineStr">
        <is>
          <t>sym = flat symbol(p)
shares = units (or 0 when missing)
nothing   when sym is missing (or shares = 0 when missing or zero)
code = (sym.type.code ?? '').to lower case()
tick = (sym.raw symbol or sym.symbol or '').to upper case()</t>
        </is>
      </c>
      <c r="H628" s="3" t="inlineStr">
        <is>
          <t>Sym is flat symbol(p). Shares is units (or 0 — when missing). When sym is missing (or shares = 0 — when missing or zero), it answers no answer. Code is (sym.type.code ?? '').to lower case(). Tick is (sym.raw symbol or sym.symbol or '').to upper case().</t>
        </is>
      </c>
      <c r="I628" s="3" t="inlineStr">
        <is>
          <t>PARTLY READ — some of the code is still showing through; needs a hand pass</t>
        </is>
      </c>
      <c r="J628" s="3" t="inlineStr">
        <is>
          <t>p: StPosition</t>
        </is>
      </c>
      <c r="K628" s="3" t="inlineStr">
        <is>
          <t>MappedPosition | null</t>
        </is>
      </c>
      <c r="L628" s="3" t="inlineStr">
        <is>
          <t>—</t>
        </is>
      </c>
      <c r="M628" s="3" t="inlineStr">
        <is>
          <t>1. If units is missing it uses 0.
2. If quantity is missing it uses 0.</t>
        </is>
      </c>
      <c r="N628" s="3" t="inlineStr">
        <is>
          <t>No</t>
        </is>
      </c>
      <c r="O628" s="3" t="inlineStr">
        <is>
          <t>1. MK-ST-F-011 classifyHoldingClass
2. MK-XS-F-145 flatSymbol
3. MK-CF-F-132 map</t>
        </is>
      </c>
      <c r="P628" s="3" t="n">
        <v>9</v>
      </c>
      <c r="Q628" s="3" t="inlineStr">
        <is>
          <t>1. MK-ST-F-011 classifyHoldingClass
2. MK-XS-F-145 flatSymbol
3. MK-CF-F-132 map
4. MK-ST-F-010 nameEvidence
5. MK-XS-F-147 call
6. MK-ST-F-056 has
7. MK-ST-F-027 accountId
8. MK-XS-F-064 currentIdToken
9. MK-XS-F-112 relayUrl</t>
        </is>
      </c>
      <c r="R62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8" s="3" t="inlineStr">
        <is>
          <t>—</t>
        </is>
      </c>
      <c r="T628" s="3" t="inlineStr">
        <is>
          <t>CLASS_FROM_BROKER</t>
        </is>
      </c>
      <c r="U628" s="3" t="inlineStr">
        <is>
          <t>ACTIVE</t>
        </is>
      </c>
      <c r="V628" s="3" t="inlineStr">
        <is>
          <t>2026-08-27</t>
        </is>
      </c>
      <c r="W628" s="3" t="n"/>
      <c r="X628" s="3" t="n"/>
      <c r="Y628" s="3" t="inlineStr">
        <is>
          <t>NOTHING OPEN</t>
        </is>
      </c>
    </row>
    <row r="629" ht="60" customHeight="1">
      <c r="A629" s="3" t="inlineStr">
        <is>
          <t>MK-XS-F-106</t>
        </is>
      </c>
      <c r="B629" s="3" t="inlineStr">
        <is>
          <t>mapOptionHolding</t>
        </is>
      </c>
      <c r="C629" s="3" t="inlineStr">
        <is>
          <t>src/services/sync/snaptrade.ts</t>
        </is>
      </c>
      <c r="D629" s="3" t="n">
        <v>310</v>
      </c>
      <c r="E629" s="3" t="inlineStr">
        <is>
          <t>3 · DEPENDENT (feeds an action only)</t>
        </is>
      </c>
      <c r="F629" s="3" t="inlineStr">
        <is>
          <t>What is this option position worth, and what do we call it?</t>
        </is>
      </c>
      <c r="G62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2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29" s="3" t="inlineStr">
        <is>
          <t>PARTLY READ — some of the code is still showing through; needs a hand pass</t>
        </is>
      </c>
      <c r="J629" s="3" t="inlineStr">
        <is>
          <t>1. o: StOptionHolding
2. multiplier = 100</t>
        </is>
      </c>
      <c r="K629" s="3" t="inlineStr">
        <is>
          <t>MappedOption | null</t>
        </is>
      </c>
      <c r="L629" s="3" t="inlineStr">
        <is>
          <t>—</t>
        </is>
      </c>
      <c r="M629" s="3" t="inlineStr">
        <is>
          <t>1. If units is missing it uses 0.
2. If price is missing it uses 0.
3. Rounds the answer to two decimals (cents).</t>
        </is>
      </c>
      <c r="N629" s="3" t="inlineStr">
        <is>
          <t>No</t>
        </is>
      </c>
      <c r="O629" s="3" t="inlineStr">
        <is>
          <t>1. MK-ST-F-007 classifyEvent
2. MK-XS-F-146 prettyExpiry</t>
        </is>
      </c>
      <c r="P629" s="3" t="n">
        <v>3</v>
      </c>
      <c r="Q629" s="3" t="inlineStr">
        <is>
          <t>1. MK-ST-F-007 classifyEvent
2. MK-XS-F-146 prettyExpiry
3. MK-CF-F-132 map</t>
        </is>
      </c>
      <c r="R629" s="3" t="inlineStr">
        <is>
          <t>1. MK-ST-F-007 classifyEvent → MK-XS-F-106 mapOptionHolding
2. MK-CF-F-132 map → MK-XS-F-146 prettyExpiry → MK-XS-F-106 mapOptionHolding</t>
        </is>
      </c>
      <c r="S629" s="3" t="inlineStr">
        <is>
          <t>—</t>
        </is>
      </c>
      <c r="T629" s="3" t="inlineStr">
        <is>
          <t>OPTION_HOLDING</t>
        </is>
      </c>
      <c r="U629" s="3" t="inlineStr">
        <is>
          <t>ACTIVE</t>
        </is>
      </c>
      <c r="V629" s="3" t="inlineStr">
        <is>
          <t>2026-08-27</t>
        </is>
      </c>
      <c r="W629" s="3" t="n"/>
      <c r="X629" s="3" t="n"/>
      <c r="Y629" s="3" t="inlineStr">
        <is>
          <t>NOTHING OPEN</t>
        </is>
      </c>
    </row>
    <row r="630" ht="60" customHeight="1">
      <c r="A630" s="3" t="inlineStr">
        <is>
          <t>MK-XS-F-107</t>
        </is>
      </c>
      <c r="B630" s="3" t="inlineStr">
        <is>
          <t>mapActivityType</t>
        </is>
      </c>
      <c r="C630" s="3" t="inlineStr">
        <is>
          <t>src/services/sync/snaptrade.ts</t>
        </is>
      </c>
      <c r="D630" s="3" t="n">
        <v>372</v>
      </c>
      <c r="E630" s="3" t="inlineStr">
        <is>
          <t>3 · DEPENDENT (feeds an action only)</t>
        </is>
      </c>
      <c r="F630" s="3" t="inlineStr">
        <is>
          <t>A line arrived from the broker. Is this money you paid IN, money you took OUT, or something that happened inside the account?</t>
        </is>
      </c>
      <c r="G63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0" s="3" t="inlineStr">
        <is>
          <t>PARTLY READ — some of the code is still showing through; needs a hand pass</t>
        </is>
      </c>
      <c r="J630" s="3" t="inlineStr">
        <is>
          <t>a: StActivity</t>
        </is>
      </c>
      <c r="K630" s="3" t="inlineStr">
        <is>
          <t>MappedActivity</t>
        </is>
      </c>
      <c r="L630" s="3" t="inlineStr">
        <is>
          <t>—</t>
        </is>
      </c>
      <c r="M630" s="3" t="inlineStr">
        <is>
          <t>· If amount is missing it uses 0.</t>
        </is>
      </c>
      <c r="N630" s="3" t="inlineStr">
        <is>
          <t>No</t>
        </is>
      </c>
      <c r="O630" s="3" t="inlineStr">
        <is>
          <t>MK-CF-F-155 cash</t>
        </is>
      </c>
      <c r="P630" s="3" t="n">
        <v>2</v>
      </c>
      <c r="Q630" s="3" t="inlineStr">
        <is>
          <t>1. MK-CF-F-155 cash
2. MK-XS-F-122 n</t>
        </is>
      </c>
      <c r="R630" s="3" t="inlineStr">
        <is>
          <t>MK-XS-F-122 n → MK-CF-F-155 cash → MK-XS-F-107 mapActivityType</t>
        </is>
      </c>
      <c r="S630" s="3" t="inlineStr">
        <is>
          <t>—</t>
        </is>
      </c>
      <c r="T630" s="3" t="inlineStr">
        <is>
          <t>TRANSLATE_BROKER_WORD</t>
        </is>
      </c>
      <c r="U630" s="3" t="inlineStr">
        <is>
          <t>ACTIVE</t>
        </is>
      </c>
      <c r="V630" s="3" t="inlineStr">
        <is>
          <t>2026-08-27</t>
        </is>
      </c>
      <c r="W630" s="3" t="n"/>
      <c r="X630" s="3" t="n"/>
      <c r="Y630" s="3" t="inlineStr">
        <is>
          <t>NOTHING OPEN</t>
        </is>
      </c>
    </row>
    <row r="631" ht="60" customHeight="1">
      <c r="A631" s="3" t="inlineStr">
        <is>
          <t>MK-XS-F-108</t>
        </is>
      </c>
      <c r="B631" s="3" t="inlineStr">
        <is>
          <t>activityKey</t>
        </is>
      </c>
      <c r="C631" s="3" t="inlineStr">
        <is>
          <t>src/services/sync/snaptrade.ts</t>
        </is>
      </c>
      <c r="D631" s="3" t="n">
        <v>453</v>
      </c>
      <c r="E631" s="3" t="inlineStr">
        <is>
          <t>3 · DEPENDENT (feeds an action only)</t>
        </is>
      </c>
      <c r="F631" s="3" t="inlineStr">
        <is>
          <t>── duplicate-proofing ───────────────────────────────────────────────────────────────────────── SnapTrade activity ids can change when they reprocess history, so identity = the composite of everything that makes the row THAT row.</t>
        </is>
      </c>
      <c r="G631" s="11" t="inlineStr">
        <is>
          <t>the answer = import key(account, trade date or settlement date, type, amount, units, security, reference, description)</t>
        </is>
      </c>
      <c r="H631" s="3" t="inlineStr">
        <is>
          <t>The stable identity of one imported activity row, built by MK-ST-F-014 importKey from the account, the date, the type, the amount, the units, the security, the reference and the description.</t>
        </is>
      </c>
      <c r="I631" s="3" t="inlineStr">
        <is>
          <t>READ BY HAND 2026-08-26 — checked line by line against the code</t>
        </is>
      </c>
      <c r="J631" s="3" t="inlineStr">
        <is>
          <t>1. accountId: string
2. a: StActivity</t>
        </is>
      </c>
      <c r="K631" s="3" t="inlineStr">
        <is>
          <t>string</t>
        </is>
      </c>
      <c r="L631" s="3" t="inlineStr">
        <is>
          <t>—</t>
        </is>
      </c>
      <c r="M631" s="3" t="inlineStr">
        <is>
          <t>None found in this function — anything it assumes comes from the functions it depends on.</t>
        </is>
      </c>
      <c r="N631" s="3" t="inlineStr">
        <is>
          <t>No</t>
        </is>
      </c>
      <c r="O631" s="3" t="inlineStr">
        <is>
          <t>1. MK-ST-F-027 accountId
2. MK-ST-F-014 importKey</t>
        </is>
      </c>
      <c r="P631" s="3" t="n">
        <v>2</v>
      </c>
      <c r="Q631" s="3" t="inlineStr">
        <is>
          <t>1. MK-ST-F-027 accountId
2. MK-ST-F-014 importKey</t>
        </is>
      </c>
      <c r="R631" s="3" t="inlineStr">
        <is>
          <t>1. MK-ST-F-027 accountId → MK-XS-F-108 activityKey
2. MK-ST-F-014 importKey → MK-XS-F-108 activityKey</t>
        </is>
      </c>
      <c r="S631" s="3" t="inlineStr">
        <is>
          <t>—</t>
        </is>
      </c>
      <c r="T631" s="3" t="inlineStr">
        <is>
          <t>ACTIVITY_IDENTITY</t>
        </is>
      </c>
      <c r="U631" s="3" t="inlineStr">
        <is>
          <t>ACTIVE</t>
        </is>
      </c>
      <c r="V631" s="3" t="inlineStr">
        <is>
          <t>2026-09-12</t>
        </is>
      </c>
      <c r="W631" s="3" t="n"/>
      <c r="X631" s="3" t="n"/>
      <c r="Y631" s="3" t="inlineStr">
        <is>
          <t>NOTHING OPEN</t>
        </is>
      </c>
    </row>
    <row r="632" ht="60" customHeight="1">
      <c r="A632" s="3" t="inlineStr">
        <is>
          <t>MK-XS-F-109</t>
        </is>
      </c>
      <c r="B632" s="3" t="inlineStr">
        <is>
          <t>dedupeActivities</t>
        </is>
      </c>
      <c r="C632" s="3" t="inlineStr">
        <is>
          <t>src/services/sync/snaptrade.ts</t>
        </is>
      </c>
      <c r="D632" s="3" t="n">
        <v>482</v>
      </c>
      <c r="E632" s="3" t="inlineStr">
        <is>
          <t>3 · DEPENDENT (feeds an action only)</t>
        </is>
      </c>
      <c r="F632" s="3" t="inlineStr">
        <is>
          <t>Which of these activities are new since the last sync?</t>
        </is>
      </c>
      <c r="G632" s="11" t="inlineStr">
        <is>
          <t>fresh = []
k = activity key(account id, a)
the answer = fresh</t>
        </is>
      </c>
      <c r="H632" s="3" t="inlineStr">
        <is>
          <t>Fresh is []. K is activity key(account id, a). The answer is fresh.</t>
        </is>
      </c>
      <c r="I632" s="3" t="inlineStr">
        <is>
          <t>READ FROM THE CODE — rendered from the expressions the function runs</t>
        </is>
      </c>
      <c r="J632" s="3" t="inlineStr">
        <is>
          <t>1. accountId: string
2. incoming: StActivity[]
3. seenKeys: Set&lt;string&gt;</t>
        </is>
      </c>
      <c r="K632" s="3" t="inlineStr">
        <is>
          <t>StActivity[]</t>
        </is>
      </c>
      <c r="L632" s="3" t="inlineStr">
        <is>
          <t>—</t>
        </is>
      </c>
      <c r="M632" s="3" t="inlineStr">
        <is>
          <t>None found in this function — anything it assumes comes from the functions it depends on.</t>
        </is>
      </c>
      <c r="N632" s="3" t="inlineStr">
        <is>
          <t>No</t>
        </is>
      </c>
      <c r="O632" s="3" t="inlineStr">
        <is>
          <t>1. MK-ST-F-027 accountId
2. MK-XS-F-108 activityKey
3. MK-ST-F-056 has</t>
        </is>
      </c>
      <c r="P632" s="3" t="n">
        <v>4</v>
      </c>
      <c r="Q632" s="3" t="inlineStr">
        <is>
          <t>1. MK-ST-F-027 accountId
2. MK-XS-F-108 activityKey
3. MK-ST-F-056 has
4. MK-ST-F-014 importKey</t>
        </is>
      </c>
      <c r="R632" s="3" t="inlineStr">
        <is>
          <t>1. MK-ST-F-027 accountId → MK-XS-F-109 dedupeActivities
2. MK-ST-F-027 accountId → MK-XS-F-108 activityKey → MK-XS-F-109 dedupeActivities
3. MK-ST-F-014 importKey → MK-XS-F-108 activityKey → MK-XS-F-109 dedupeActivities
4. MK-ST-F-056 has → MK-XS-F-109 dedupeActivities</t>
        </is>
      </c>
      <c r="S632" s="3" t="inlineStr">
        <is>
          <t>—</t>
        </is>
      </c>
      <c r="T632" s="3" t="inlineStr">
        <is>
          <t>ALREADY_SEEN_CHECK</t>
        </is>
      </c>
      <c r="U632" s="3" t="inlineStr">
        <is>
          <t>ACTIVE</t>
        </is>
      </c>
      <c r="V632" s="3" t="inlineStr">
        <is>
          <t>2026-08-27</t>
        </is>
      </c>
      <c r="W632" s="3" t="n"/>
      <c r="X632" s="3" t="n"/>
      <c r="Y632" s="3" t="inlineStr">
        <is>
          <t>NOTHING OPEN</t>
        </is>
      </c>
    </row>
    <row r="633" ht="60" customHeight="1">
      <c r="A633" s="3" t="inlineStr">
        <is>
          <t>MK-XS-F-110</t>
        </is>
      </c>
      <c r="B633" s="3" t="inlineStr">
        <is>
          <t>netCashSleeve</t>
        </is>
      </c>
      <c r="C633" s="3" t="inlineStr">
        <is>
          <t>src/services/sync/snaptrade.ts</t>
        </is>
      </c>
      <c r="D633" s="3" t="n">
        <v>523</v>
      </c>
      <c r="E633" s="3" t="inlineStr">
        <is>
          <t>3 · DEPENDENT (feeds an action only)</t>
        </is>
      </c>
      <c r="F633" s="3" t="inlineStr">
        <is>
          <t>── the cash sleeve, deduped ─────────────────────────────────────────────────────────────────── SnapTrade counts money-market (cash_equivalent) positions INSIDE balances.cash too.</t>
        </is>
      </c>
      <c r="G633" s="11" t="inlineStr">
        <is>
          <t>net = round((balances cash ?? 0) − mmf, 2 dp)
the answer:
0   if net &lt; 0 and net &gt; -1
net   otherwise</t>
        </is>
      </c>
      <c r="H633" s="3" t="inlineStr">
        <is>
          <t>Net is (balances cash ?? 0) minus mmf, to the cent. The answer is 0 — when net &lt; 0 and net &gt; -1; net — otherwise.</t>
        </is>
      </c>
      <c r="I633" s="3" t="inlineStr">
        <is>
          <t>PARTLY READ — some of the code is still showing through; needs a hand pass</t>
        </is>
      </c>
      <c r="J633" s="3" t="inlineStr">
        <is>
          <t>1. balancesCash: number | null | undefined
2. positions: MappedPosition[]</t>
        </is>
      </c>
      <c r="K633" s="3" t="inlineStr">
        <is>
          <t>number</t>
        </is>
      </c>
      <c r="L633" s="3" t="inlineStr">
        <is>
          <t>—</t>
        </is>
      </c>
      <c r="M633" s="3" t="inlineStr">
        <is>
          <t>1. If price is missing it uses 0.
2. If balances cash is missing it uses 0.
3. Rounds the answer to two decimals (cents).</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UNINVESTED_CASH</t>
        </is>
      </c>
      <c r="U633" s="3" t="inlineStr">
        <is>
          <t>ACTIVE</t>
        </is>
      </c>
      <c r="V633" s="3" t="inlineStr">
        <is>
          <t>2026-08-27</t>
        </is>
      </c>
      <c r="W633" s="3" t="n"/>
      <c r="X633" s="3" t="n"/>
      <c r="Y633" s="3" t="inlineStr">
        <is>
          <t>NOTHING OPEN</t>
        </is>
      </c>
    </row>
    <row r="634" ht="60" customHeight="1">
      <c r="A634" s="3" t="inlineStr">
        <is>
          <t>MK-XS-F-111</t>
        </is>
      </c>
      <c r="B634" s="3" t="inlineStr">
        <is>
          <t>mergeHistoryFrom</t>
        </is>
      </c>
      <c r="C634" s="3" t="inlineStr">
        <is>
          <t>src/services/sync/snaptrade.ts</t>
        </is>
      </c>
      <c r="D634" s="3" t="n">
        <v>559</v>
      </c>
      <c r="E634" s="3" t="inlineStr">
        <is>
          <t>3 · DEPENDENT (feeds an action only)</t>
        </is>
      </c>
      <c r="F634" s="3" t="inlineStr">
        <is>
          <t>FOUNDER RULE 2026-08-04: record how far back the broker's OWN activity feed reaches, so a "past year" income figure can label itself honestly.</t>
        </is>
      </c>
      <c r="G634" s="11" t="inlineStr">
        <is>
          <t>earliest now = the first of dates
existing   when earliest now is missing
earliest now   when existing is missing
the answer:
earliest now   if earliest now &lt; existing
existing   otherwise</t>
        </is>
      </c>
      <c r="H634" s="3" t="inlineStr">
        <is>
          <t>Earliest now: the first of dates. When earliest now is missing, it answers existing. When existing is missing, it answers earliest now. The answer is earliest now — when earliest now &lt; existing; existing — otherwise.</t>
        </is>
      </c>
      <c r="I634" s="3" t="inlineStr">
        <is>
          <t>READ FROM THE CODE — rendered from the expressions the function runs</t>
        </is>
      </c>
      <c r="J634" s="3" t="inlineStr">
        <is>
          <t>1. existing: string | undefined
2. activityDates: (string | null | undefined)[]</t>
        </is>
      </c>
      <c r="K634" s="3" t="inlineStr">
        <is>
          <t>string | undefined</t>
        </is>
      </c>
      <c r="L634" s="3" t="inlineStr">
        <is>
          <t>—</t>
        </is>
      </c>
      <c r="M634" s="3" t="inlineStr">
        <is>
          <t>None found in this function — anything it assumes comes from the functions it depends on.</t>
        </is>
      </c>
      <c r="N634" s="3" t="inlineStr">
        <is>
          <t>No</t>
        </is>
      </c>
      <c r="O634" s="3" t="inlineStr">
        <is>
          <t>MK-CF-F-132 map</t>
        </is>
      </c>
      <c r="P634" s="3" t="n">
        <v>1</v>
      </c>
      <c r="Q634" s="3" t="inlineStr">
        <is>
          <t>MK-CF-F-132 map</t>
        </is>
      </c>
      <c r="R634" s="3" t="inlineStr">
        <is>
          <t>MK-CF-F-132 map → MK-XS-F-111 mergeHistoryFrom</t>
        </is>
      </c>
      <c r="S634" s="3" t="inlineStr">
        <is>
          <t>—</t>
        </is>
      </c>
      <c r="T634" s="3" t="inlineStr">
        <is>
          <t>HISTORY_DEPTH</t>
        </is>
      </c>
      <c r="U634" s="3" t="inlineStr">
        <is>
          <t>ACTIVE</t>
        </is>
      </c>
      <c r="V634" s="3" t="inlineStr">
        <is>
          <t>2026-08-27</t>
        </is>
      </c>
      <c r="W634" s="3" t="n"/>
      <c r="X634" s="3" t="n"/>
      <c r="Y634" s="3" t="inlineStr">
        <is>
          <t>NOTHING OPEN</t>
        </is>
      </c>
    </row>
    <row r="635" ht="60" customHeight="1">
      <c r="A635" s="3" t="inlineStr">
        <is>
          <t>MK-XS-F-112</t>
        </is>
      </c>
      <c r="B635" s="3" t="inlineStr">
        <is>
          <t>relayUrl</t>
        </is>
      </c>
      <c r="C635" s="3" t="inlineStr">
        <is>
          <t>src/services/sync/snaptradeClient.ts</t>
        </is>
      </c>
      <c r="D635" s="3" t="n">
        <v>35</v>
      </c>
      <c r="E635" s="3" t="inlineStr">
        <is>
          <t>3 · DEPENDENT</t>
        </is>
      </c>
      <c r="F635" s="3" t="inlineStr">
        <is>
          <t>NOT DETERMINED — the code carries no note saying what this is for, and it has no row in the old inventory. Needs reading.</t>
        </is>
      </c>
      <c r="G635" s="11" t="inlineStr">
        <is>
          <t>the answer = the relay address from the app config, else from the environment, else nothing</t>
        </is>
      </c>
      <c r="H635" s="3" t="inlineStr">
        <is>
          <t>Where the connection relay lives, read from the app configuration. Not a calculation.</t>
        </is>
      </c>
      <c r="I635" s="3" t="inlineStr">
        <is>
          <t>READ BY HAND 2026-08-26 — checked line by line against the code</t>
        </is>
      </c>
      <c r="J635" s="3" t="inlineStr">
        <is>
          <t>Nothing is handed to it</t>
        </is>
      </c>
      <c r="K635" s="3" t="inlineStr">
        <is>
          <t>string | null</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MK-XS-F-113</t>
        </is>
      </c>
      <c r="B636" s="3" t="inlineStr">
        <is>
          <t>snaptradeConfigured</t>
        </is>
      </c>
      <c r="C636" s="3" t="inlineStr">
        <is>
          <t>src/services/sync/snaptradeClient.ts</t>
        </is>
      </c>
      <c r="D636" s="3" t="n">
        <v>60</v>
      </c>
      <c r="E636" s="3" t="inlineStr">
        <is>
          <t>1 · ACTION</t>
        </is>
      </c>
      <c r="F636" s="3" t="inlineStr">
        <is>
          <t>NOT DETERMINED — the code carries no note saying what this is for, and it has no row in the old inventory. Needs reading.</t>
        </is>
      </c>
      <c r="G636" s="11" t="inlineStr">
        <is>
          <t>!!relay url()</t>
        </is>
      </c>
      <c r="H636" s="3" t="inlineStr">
        <is>
          <t>!!relay url()</t>
        </is>
      </c>
      <c r="I636" s="3" t="inlineStr">
        <is>
          <t>READ FROM THE CODE — rendered from the expressions the function runs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MK-XS-F-112 relayUrl</t>
        </is>
      </c>
      <c r="P636" s="3" t="n">
        <v>1</v>
      </c>
      <c r="Q636" s="3" t="inlineStr">
        <is>
          <t>MK-XS-F-112 relayUrl</t>
        </is>
      </c>
      <c r="R636" s="3" t="inlineStr">
        <is>
          <t>MK-XS-F-112 relayUrl → MK-XS-F-113 snaptradeConfigured</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MK-XS-F-114</t>
        </is>
      </c>
      <c r="B637" s="3" t="inlineStr">
        <is>
          <t>usdCash</t>
        </is>
      </c>
      <c r="C637" s="3" t="inlineStr">
        <is>
          <t>src/services/sync/snaptradeClient.ts</t>
        </is>
      </c>
      <c r="D637" s="3" t="n">
        <v>148</v>
      </c>
      <c r="E637" s="3" t="inlineStr">
        <is>
          <t>3 · DEPENDENT</t>
        </is>
      </c>
      <c r="F637" s="3" t="inlineStr">
        <is>
          <t>USD cash across the balances list (v1 is USD-only; other currencies are ignored, not guessed).</t>
        </is>
      </c>
      <c r="G637" s="11" t="inlineStr">
        <is>
          <t>the answer = Σ over balances in USD (or with no currency) of (cash, or 0)</t>
        </is>
      </c>
      <c r="H637" s="3" t="inlineStr">
        <is>
          <t>Adds up the cash balances a connected account reports in US dollars (a balance with no currency code counts as dollars). Other currencies are left out.</t>
        </is>
      </c>
      <c r="I637" s="3" t="inlineStr">
        <is>
          <t>READ BY HAND 2026-08-26 — checked line by line against the code</t>
        </is>
      </c>
      <c r="J637" s="3" t="inlineStr">
        <is>
          <t>balances: HoldingsPayload['balances'] | null | undefined</t>
        </is>
      </c>
      <c r="K637" s="3" t="inlineStr">
        <is>
          <t>number</t>
        </is>
      </c>
      <c r="L637" s="3" t="inlineStr">
        <is>
          <t>—</t>
        </is>
      </c>
      <c r="M637" s="3" t="inlineStr">
        <is>
          <t>· If cash is missing it uses 0.</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MK-XS-F-115</t>
        </is>
      </c>
      <c r="B638" s="3" t="inlineStr">
        <is>
          <t>shouldDailySync</t>
        </is>
      </c>
      <c r="C638" s="3" t="inlineStr">
        <is>
          <t>src/services/sync/snaptradeSync.ts</t>
        </is>
      </c>
      <c r="D638" s="3" t="n">
        <v>38</v>
      </c>
      <c r="E638" s="3" t="inlineStr">
        <is>
          <t>3 · DEPENDENT</t>
        </is>
      </c>
      <c r="F638" s="3" t="inlineStr">
        <is>
          <t>NOT DETERMINED — the code carries no note saying what this is for, and it has no row in the old inventory. Needs reading.</t>
        </is>
      </c>
      <c r="G638" s="11" t="inlineStr">
        <is>
          <t>true   when last sync at is missing
t = date.parse(last sync at)
the answer = number.is na n(t) (or now − t &gt; 20 × 3600000 when missing or zero)</t>
        </is>
      </c>
      <c r="H638" s="3" t="inlineStr">
        <is>
          <t>When last sync at is missing, it answers true. T is date.parse(last sync at). The answer is number.is na n(t) (or now minus t &gt; 20 times 3600000 — when missing or zero).</t>
        </is>
      </c>
      <c r="I638" s="3" t="inlineStr">
        <is>
          <t>PARTLY READ — some of the code is still showing through; needs a hand pass</t>
        </is>
      </c>
      <c r="J638" s="3" t="inlineStr">
        <is>
          <t>1. lastSyncAt: string | null | undefined
2. now: number = Date.now()</t>
        </is>
      </c>
      <c r="K638" s="3" t="inlineStr">
        <is>
          <t>boolean</t>
        </is>
      </c>
      <c r="L638" s="3" t="inlineStr">
        <is>
          <t>—</t>
        </is>
      </c>
      <c r="M638" s="3" t="inlineStr">
        <is>
          <t>· Uses today's date from the device clock, so the answer changes by itself overnight.</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MK-XS-F-116</t>
        </is>
      </c>
      <c r="B639" s="3" t="inlineStr">
        <is>
          <t>runSnapTradeSync</t>
        </is>
      </c>
      <c r="C639" s="3" t="inlineStr">
        <is>
          <t>src/services/sync/snaptradeSync.ts</t>
        </is>
      </c>
      <c r="D639" s="3" t="n">
        <v>144</v>
      </c>
      <c r="E639" s="3" t="inlineStr">
        <is>
          <t>2 · DISPLAYED</t>
        </is>
      </c>
      <c r="F639" s="3" t="inlineStr">
        <is>
          <t>Full sync. Returns the number of accounts synced (0 = nothing connected).</t>
        </is>
      </c>
      <c r="G63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3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39" s="3" t="inlineStr">
        <is>
          <t>PARTLY READ — some of the code is still showing through; needs a hand pass</t>
        </is>
      </c>
      <c r="J639" s="3" t="inlineStr">
        <is>
          <t>1. opts: { force?: boolean } = {}
2. reads the app's stored data</t>
        </is>
      </c>
      <c r="K639" s="3" t="inlineStr">
        <is>
          <t>Promise&lt;number&gt;</t>
        </is>
      </c>
      <c r="L639" s="3" t="inlineStr">
        <is>
          <t>NOT FOUND — a screen calls it, but the words printed beside its answer could not be traced automatically. Needs reading.</t>
        </is>
      </c>
      <c r="M639" s="3" t="inlineStr">
        <is>
          <t>· Uses today's date from the device clock, so the answer changes by itself overnight.</t>
        </is>
      </c>
      <c r="N639" s="3" t="inlineStr">
        <is>
          <t>Yes</t>
        </is>
      </c>
      <c r="O639" s="3" t="inlineStr">
        <is>
          <t>1. MK-XS-F-149 allActivities
2. MK-CF-F-132 map
3. MK-XS-F-115 shouldDailySync
4. MK-XS-F-113 snaptradeConfigured
5. MK-XS-F-101 stAssetId
6. MK-XS-F-114 usdCash</t>
        </is>
      </c>
      <c r="P639" s="3" t="n">
        <v>9</v>
      </c>
      <c r="Q639" s="3" t="inlineStr">
        <is>
          <t>1. MK-XS-F-149 allActivities
2. MK-CF-F-132 map
3. MK-XS-F-115 shouldDailySync
4. MK-XS-F-113 snaptradeConfigured
5. MK-XS-F-101 stAssetId
6. MK-XS-F-114 usdCash
7. MK-ST-F-027 accountId
8. MK-XS-F-148 unwrapActivities
9. MK-XS-F-112 relayUrl</t>
        </is>
      </c>
      <c r="R63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MK-XS-F-118</t>
        </is>
      </c>
      <c r="B640" s="3" t="inlineStr">
        <is>
          <t>prettyDate</t>
        </is>
      </c>
      <c r="C640" s="3" t="inlineStr">
        <is>
          <t>src/domain/gaps/index.ts</t>
        </is>
      </c>
      <c r="D640" s="3" t="n">
        <v>58</v>
      </c>
      <c r="E640" s="3" t="inlineStr">
        <is>
          <t>3 · DEPENDENT</t>
        </is>
      </c>
      <c r="F640" s="3" t="inlineStr">
        <is>
          <t>daysSince now comes from the ONE freshness rule in src/domain/_shared/freshness.ts (DEC-0301).</t>
        </is>
      </c>
      <c r="G640" s="11" t="inlineStr">
        <is>
          <t>d = the date `${iso}-15T12:00:00`   if iso.length = 7
`${iso}T12:00:00`   otherwise
the answer:
iso   if is na n(get time())
to locale date string('en − US', { month: 'short', day: 'numeric' })   otherwise</t>
        </is>
      </c>
      <c r="H640" s="3" t="inlineStr">
        <is>
          <t>D: the date `${iso}-15T12:00:00` — when iso.length = 7; `${iso}T12:00:00` — otherwise. The answer is iso — when is na n(get time()); to locale date string('en minus US', { month: 'short', day: 'numeric' }) — otherwise.</t>
        </is>
      </c>
      <c r="I640" s="3" t="inlineStr">
        <is>
          <t>PARTLY READ — some of the code is still showing through; needs a hand pass</t>
        </is>
      </c>
      <c r="J640" s="3" t="inlineStr">
        <is>
          <t>iso: string</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MK-XS-F-119</t>
        </is>
      </c>
      <c r="B641" s="3" t="inlineStr">
        <is>
          <t>namesFor</t>
        </is>
      </c>
      <c r="C641" s="3" t="inlineStr">
        <is>
          <t>src/domain/gaps/index.ts</t>
        </is>
      </c>
      <c r="D641" s="3" t="n">
        <v>84</v>
      </c>
      <c r="E641" s="3" t="inlineStr">
        <is>
          <t>1 · ACTION</t>
        </is>
      </c>
      <c r="F641" s="3" t="inlineStr">
        <is>
          <t>Founder finding 2026-08-11: this named an account by its INSTITUTION alone, so two Vanguard accounts produced two identical banner lines ("Vanguard last updated Aug 3" twice) with no way to tell which was which.</t>
        </is>
      </c>
      <c r="G641" s="11" t="inlineStr">
        <is>
          <t>account display names(accounts)</t>
        </is>
      </c>
      <c r="H641" s="3" t="inlineStr">
        <is>
          <t>account display names(accounts)</t>
        </is>
      </c>
      <c r="I641" s="3" t="inlineStr">
        <is>
          <t>READ FROM THE CODE — rendered from the expressions the function runs</t>
        </is>
      </c>
      <c r="J641" s="3" t="inlineStr">
        <is>
          <t>accounts: AssetAccount[]</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MK-NW-F-026 accountDisplayNames</t>
        </is>
      </c>
      <c r="P641" s="3" t="n">
        <v>8</v>
      </c>
      <c r="Q641" s="3" t="inlineStr">
        <is>
          <t>1. MK-NW-F-026 accountDisplayNames
2. MK-NW-F-025 accountDisplayName
3. MK-CF-F-155 cash
4. MK-CF-F-132 map
5. MK-XS-F-122 n
6. MK-NW-F-024 accountLastFour
7. MK-NW-F-012 taxTreatmentOf
8. MK-NW-F-023 wrapperWord</t>
        </is>
      </c>
      <c r="R64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MK-XS-F-120</t>
        </is>
      </c>
      <c r="B642" s="3" t="inlineStr">
        <is>
          <t>nameOf</t>
        </is>
      </c>
      <c r="C642" s="3" t="inlineStr">
        <is>
          <t>src/domain/gaps/index.ts</t>
        </is>
      </c>
      <c r="D642" s="3" t="n">
        <v>104</v>
      </c>
      <c r="E642" s="3" t="inlineStr">
        <is>
          <t>1 · ACTION</t>
        </is>
      </c>
      <c r="F642" s="3" t="inlineStr">
        <is>
          <t>NOT DETERMINED — the code carries no note saying what this is for, and it has no row in the old inventory. Needs reading.</t>
        </is>
      </c>
      <c r="G642" s="11" t="inlineStr">
        <is>
          <t>the answer = the person's name for the account, else the institution, else the label, else 'this account'</t>
        </is>
      </c>
      <c r="H642" s="3" t="inlineStr">
        <is>
          <t>What to call an account in a sentence — the person's own name for it, then the institution, then the label. No arithmetic.</t>
        </is>
      </c>
      <c r="I642" s="3" t="inlineStr">
        <is>
          <t>READ BY HAND 2026-08-26 — checked line by line against the code</t>
        </is>
      </c>
      <c r="J642" s="3" t="inlineStr">
        <is>
          <t>1. a: AssetAccount
2. names: Map&lt;string, string&gt;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2026-09-12</t>
        </is>
      </c>
      <c r="W642" s="3" t="n"/>
      <c r="X642" s="3" t="n"/>
      <c r="Y642" s="3" t="inlineStr">
        <is>
          <t>NOTHING OPEN</t>
        </is>
      </c>
    </row>
    <row r="643" ht="60" customHeight="1">
      <c r="A643" s="3" t="inlineStr">
        <is>
          <t>MK-XS-F-121</t>
        </is>
      </c>
      <c r="B643" s="3" t="inlineStr">
        <is>
          <t>isYm</t>
        </is>
      </c>
      <c r="C643" s="3" t="inlineStr">
        <is>
          <t>src/domain/history.ts</t>
        </is>
      </c>
      <c r="D643" s="3" t="n">
        <v>134</v>
      </c>
      <c r="E643" s="3" t="inlineStr">
        <is>
          <t>1 · ACTION</t>
        </is>
      </c>
      <c r="F643" s="3" t="inlineStr">
        <is>
          <t>NOT DETERMINED — the code carries no note saying what this is for, and it has no row in the old inventory. Needs reading.</t>
        </is>
      </c>
      <c r="G643" s="11" t="inlineStr">
        <is>
          <t>the answer = true when the text is exactly 'YYYY-MM'</t>
        </is>
      </c>
      <c r="H643" s="3" t="inlineStr">
        <is>
          <t>Whether a text is a month key of the form 'YYYY-MM'. No arithmetic.</t>
        </is>
      </c>
      <c r="I643" s="3" t="inlineStr">
        <is>
          <t>READ BY HAND 2026-08-26 — checked line by line against the code</t>
        </is>
      </c>
      <c r="J643" s="3" t="inlineStr">
        <is>
          <t>s: unknown</t>
        </is>
      </c>
      <c r="K643" s="3" t="inlineStr">
        <is>
          <t>s is string</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MK-XS-F-122</t>
        </is>
      </c>
      <c r="B644" s="3" t="inlineStr">
        <is>
          <t>n</t>
        </is>
      </c>
      <c r="C644" s="3" t="inlineStr">
        <is>
          <t>src/domain/history.ts</t>
        </is>
      </c>
      <c r="D644" s="3" t="n">
        <v>175</v>
      </c>
      <c r="E644" s="3" t="inlineStr">
        <is>
          <t>1 · ACTION</t>
        </is>
      </c>
      <c r="F644" s="3" t="inlineStr">
        <is>
          <t>NOT DETERMINED — the code carries no note saying what this is for, and it has no row in the old inventory. Needs reading.</t>
        </is>
      </c>
      <c r="G644" s="11" t="inlineStr">
        <is>
          <t>v   if typeof v = 'number' and number.is finite(v)
fallback   otherwise</t>
        </is>
      </c>
      <c r="H644" s="3" t="inlineStr">
        <is>
          <t>v — when typeof v = 'number' and number.is finite(v); fallback — otherwise</t>
        </is>
      </c>
      <c r="I644" s="3" t="inlineStr">
        <is>
          <t>PARTLY READ — some of the code is still showing through; needs a hand pass</t>
        </is>
      </c>
      <c r="J644" s="3" t="inlineStr">
        <is>
          <t>1. v: unknown
2. fallback = 0</t>
        </is>
      </c>
      <c r="K644" s="3" t="inlineStr">
        <is>
          <t>number</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MK-XS-F-123</t>
        </is>
      </c>
      <c r="B645" s="3" t="inlineStr">
        <is>
          <t>base64ToBytes</t>
        </is>
      </c>
      <c r="C645" s="3" t="inlineStr">
        <is>
          <t>src/domain/import/holdingsImport.ts</t>
        </is>
      </c>
      <c r="D645" s="3" t="n">
        <v>56</v>
      </c>
      <c r="E645" s="3" t="inlineStr">
        <is>
          <t>3 · DEPENDENT</t>
        </is>
      </c>
      <c r="F645" s="3" t="inlineStr">
        <is>
          <t>NOT DETERMINED — the code carries no note saying what this is for, and it has no row in the old inventory. Needs reading.</t>
        </is>
      </c>
      <c r="G645" s="11" t="inlineStr">
        <is>
          <t>c = b64.replace( ÷ [^A − za − z0 − 9+ ÷ ] ÷ g, '')
out = []
e1 = B64.index of(c[i]), e2 = B64.index of(c[i + 1]), e3 = B64.index of(c[i + 2]), e4 = B64.index of(c[i + 3])
n = (e1 &lt;&lt; 18) | (e2 &lt;&lt; 12) | ((e3 &amp; 63) &lt;&lt; 6) | (e4 &amp; 63)
the answer = out</t>
        </is>
      </c>
      <c r="H64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5" s="3" t="inlineStr">
        <is>
          <t>PARTLY READ — some of the code is still showing through; needs a hand pass</t>
        </is>
      </c>
      <c r="J645" s="3" t="inlineStr">
        <is>
          <t>b64: string</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MK-XS-F-124</t>
        </is>
      </c>
      <c r="B646" s="3" t="inlineStr">
        <is>
          <t>decodeUtf8</t>
        </is>
      </c>
      <c r="C646" s="3" t="inlineStr">
        <is>
          <t>src/domain/import/holdingsImport.ts</t>
        </is>
      </c>
      <c r="D646" s="3" t="n">
        <v>88</v>
      </c>
      <c r="E646" s="3" t="inlineStr">
        <is>
          <t>3 · DEPENDENT</t>
        </is>
      </c>
      <c r="F646" s="3" t="inlineStr">
        <is>
          <t>NOT DETERMINED — the code carries no note saying what this is for, and it has no row in the old inventory. Needs reading.</t>
        </is>
      </c>
      <c r="G646" s="11" t="inlineStr">
        <is>
          <t>s = ''
c = b[i++]
the answer = s</t>
        </is>
      </c>
      <c r="H646" s="3" t="inlineStr">
        <is>
          <t>S is ''. C is b[i++]. The answer is s.</t>
        </is>
      </c>
      <c r="I646" s="3" t="inlineStr">
        <is>
          <t>READ FROM THE CODE — rendered from the expressions the function runs</t>
        </is>
      </c>
      <c r="J646" s="3" t="inlineStr">
        <is>
          <t>1. b: number[]
2. start = 0</t>
        </is>
      </c>
      <c r="K646" s="3" t="inlineStr">
        <is>
          <t>string</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MK-XS-F-125</t>
        </is>
      </c>
      <c r="B647" s="3" t="inlineStr">
        <is>
          <t>decodeUtf16</t>
        </is>
      </c>
      <c r="C647" s="3" t="inlineStr">
        <is>
          <t>src/domain/import/holdingsImport.ts</t>
        </is>
      </c>
      <c r="D647" s="3" t="n">
        <v>118</v>
      </c>
      <c r="E647" s="3" t="inlineStr">
        <is>
          <t>3 · DEPENDENT</t>
        </is>
      </c>
      <c r="F647" s="3" t="inlineStr">
        <is>
          <t>NOT DETERMINED — the code carries no note saying what this is for, and it has no row in the old inventory. Needs reading.</t>
        </is>
      </c>
      <c r="G647" s="11" t="inlineStr">
        <is>
          <t>s = ''
[LOOP — the answer is found inside a loop the extractor cannot render; the steps above are the ones before it. Read by hand.]</t>
        </is>
      </c>
      <c r="H647" s="3" t="inlineStr">
        <is>
          <t>S is ''. The answer is s. The answer is found inside a loop that cannot be rendered here; read the code by hand.</t>
        </is>
      </c>
      <c r="I647" s="3" t="inlineStr">
        <is>
          <t>PARTLY READ — the body has a loop the extractor cannot render; the steps shown are the ones before it. Needs a hand pass (G23).</t>
        </is>
      </c>
      <c r="J647" s="3" t="inlineStr">
        <is>
          <t>1. b: number[]
2. start: number
3. le: boolean</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2026-09-08</t>
        </is>
      </c>
      <c r="W647" s="3" t="n"/>
      <c r="X647" s="3" t="n"/>
      <c r="Y647" s="3" t="inlineStr">
        <is>
          <t>NOTHING OPEN</t>
        </is>
      </c>
    </row>
    <row r="648" ht="60" customHeight="1">
      <c r="A648" s="3" t="inlineStr">
        <is>
          <t>MK-XS-F-126</t>
        </is>
      </c>
      <c r="B648" s="3" t="inlineStr">
        <is>
          <t>findCol</t>
        </is>
      </c>
      <c r="C648" s="3" t="inlineStr">
        <is>
          <t>src/domain/import/holdingsImport.ts</t>
        </is>
      </c>
      <c r="D648" s="3" t="n">
        <v>258</v>
      </c>
      <c r="E648" s="3" t="inlineStr">
        <is>
          <t>3 · DEPENDENT</t>
        </is>
      </c>
      <c r="F648" s="3" t="inlineStr">
        <is>
          <t>NOT DETERMINED — the code carries no note saying what this is for, and it has no row in the old inventory. Needs reading.</t>
        </is>
      </c>
      <c r="G648" s="11" t="inlineStr">
        <is>
          <t>i = headers.find index((h) =&gt; re.test(h))
i   when i ≥ 0
[LOOP — the answer is found inside a loop the extractor cannot render; the steps above are the ones before it. Read by hand.]</t>
        </is>
      </c>
      <c r="H648" s="3" t="inlineStr">
        <is>
          <t>I is headers.find index((h) =&gt; re.test(h)). When i is at least 0, it answers i. The answer is -1. The answer is found inside a loop that cannot be rendered here; read the code by hand.</t>
        </is>
      </c>
      <c r="I648" s="3" t="inlineStr">
        <is>
          <t>PARTLY READ — the body has a loop the extractor cannot render; the steps shown are the ones before it. Needs a hand pass (G23).</t>
        </is>
      </c>
      <c r="J648" s="3" t="inlineStr">
        <is>
          <t>1. headers: string[]
2. patterns: RegExp[]</t>
        </is>
      </c>
      <c r="K648" s="3" t="inlineStr">
        <is>
          <t>number</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MK-XS-F-127</t>
        </is>
      </c>
      <c r="B649" s="3" t="inlineStr">
        <is>
          <t>toIsoDate</t>
        </is>
      </c>
      <c r="C649" s="3" t="inlineStr">
        <is>
          <t>src/domain/import/holdingsImport.ts</t>
        </is>
      </c>
      <c r="D649" s="3" t="n">
        <v>290</v>
      </c>
      <c r="E649" s="3" t="inlineStr">
        <is>
          <t>3 · DEPENDENT</t>
        </is>
      </c>
      <c r="F649" s="3" t="inlineStr">
        <is>
          <t>Normalise a date cell to 'YYYY-MM-DD', or undefined if it isn't a usable date.</t>
        </is>
      </c>
      <c r="G649" s="11" t="inlineStr">
        <is>
          <t>t = (v ?? '').trim()
undefined   when t is missing
m = match( ÷ ^(\d{4})[- ÷ ](\d{1,2})[- ÷ ](\d{1,2})$ ÷ )
`${m[1]}-${m[2].pad start(2, '0')}-${m[3].pad start(2, '0')}`   when m
`${m[3]}-${m[1].pad start(2, '0')}-${m[2].pad start(2, '0')}`   when m
the answer = undefined</t>
        </is>
      </c>
      <c r="H649" s="3" t="inlineStr">
        <is>
          <t>T is (v ?? '').trim(). When t is missing, it answers undefined. M is match( divided by ^(\d{4})[- divided by ](\d{1,2})[- divided by ](\d{1,2})$ divided by ). When m, it answers `${m[1]}-${m[2].pad start(2, '0')}-${m[3].pad start(2, '0')}`. When m, it answers `${m[3]}-${m[1].pad start(2, '0')}-${m[2].pad start(2, '0')}`. The answer is undefined.</t>
        </is>
      </c>
      <c r="I649" s="3" t="inlineStr">
        <is>
          <t>PARTLY READ — some of the code is still showing through; needs a hand pass</t>
        </is>
      </c>
      <c r="J649" s="3" t="inlineStr">
        <is>
          <t>v: string</t>
        </is>
      </c>
      <c r="K649" s="3" t="inlineStr">
        <is>
          <t>string | undefined</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MK-XS-F-128</t>
        </is>
      </c>
      <c r="B650" s="3" t="inlineStr">
        <is>
          <t>cleanTicker</t>
        </is>
      </c>
      <c r="C650" s="3" t="inlineStr">
        <is>
          <t>src/domain/import/holdingsImport.ts</t>
        </is>
      </c>
      <c r="D650" s="3" t="n">
        <v>323</v>
      </c>
      <c r="E650" s="3" t="inlineStr">
        <is>
          <t>3 · DEPENDENT</t>
        </is>
      </c>
      <c r="F650" s="3" t="inlineStr">
        <is>
          <t>A plausible tradeable ticker: 1–10 chars, letters/digits/.-, at least one letter, no spaces.</t>
        </is>
      </c>
      <c r="G65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0" s="3" t="inlineStr">
        <is>
          <t>PARTLY READ — some of the code is still showing through; needs a hand pass</t>
        </is>
      </c>
      <c r="J650" s="3" t="inlineStr">
        <is>
          <t>v: string</t>
        </is>
      </c>
      <c r="K650" s="3" t="inlineStr">
        <is>
          <t>string | null</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MK-XS-F-129</t>
        </is>
      </c>
      <c r="B651" s="3" t="inlineStr">
        <is>
          <t>findHeaderRow</t>
        </is>
      </c>
      <c r="C651" s="3" t="inlineStr">
        <is>
          <t>src/domain/import/holdingsImport.ts</t>
        </is>
      </c>
      <c r="D651" s="3" t="n">
        <v>381</v>
      </c>
      <c r="E651" s="3" t="inlineStr">
        <is>
          <t>3 · DEPENDENT</t>
        </is>
      </c>
      <c r="F651" s="3" t="inlineStr">
        <is>
          <t>Find the real positions header — the first row that has BOTH a symbol/ticker AND a quantity/shares column (skips brokerage preambles like "Account Summary" and filter headers).</t>
        </is>
      </c>
      <c r="G65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1" s="3" t="inlineStr">
        <is>
          <t>PARTLY READ — the body has a loop the extractor cannot render; the steps shown are the ones before it. Needs a hand pass (G23).</t>
        </is>
      </c>
      <c r="J651" s="3" t="inlineStr">
        <is>
          <t>rows: string[][]</t>
        </is>
      </c>
      <c r="K651" s="3" t="inlineStr">
        <is>
          <t>number</t>
        </is>
      </c>
      <c r="L651" s="3" t="inlineStr">
        <is>
          <t>—</t>
        </is>
      </c>
      <c r="M651" s="3" t="inlineStr">
        <is>
          <t>None found in this function — anything it assumes comes from the functions it depends on.</t>
        </is>
      </c>
      <c r="N651" s="3" t="inlineStr">
        <is>
          <t>Yes</t>
        </is>
      </c>
      <c r="O651" s="3" t="inlineStr">
        <is>
          <t>MK-CF-F-132 map</t>
        </is>
      </c>
      <c r="P651" s="3" t="n">
        <v>1</v>
      </c>
      <c r="Q651" s="3" t="inlineStr">
        <is>
          <t>MK-CF-F-132 map</t>
        </is>
      </c>
      <c r="R651" s="3" t="inlineStr">
        <is>
          <t>MK-CF-F-132 map → MK-XS-F-129 findHeaderRow</t>
        </is>
      </c>
      <c r="S651" s="3" t="inlineStr">
        <is>
          <t>—</t>
        </is>
      </c>
      <c r="T651" s="3" t="inlineStr">
        <is>
          <t>—</t>
        </is>
      </c>
      <c r="U651" s="3" t="inlineStr">
        <is>
          <t>ACTIVE</t>
        </is>
      </c>
      <c r="V651" s="3" t="inlineStr">
        <is>
          <t>2026-09-08</t>
        </is>
      </c>
      <c r="W651" s="3" t="n"/>
      <c r="X651" s="3" t="n"/>
      <c r="Y651" s="3" t="inlineStr">
        <is>
          <t>NOTHING OPEN</t>
        </is>
      </c>
    </row>
    <row r="652" ht="60" customHeight="1">
      <c r="A652" s="3" t="inlineStr">
        <is>
          <t>MK-XS-F-130</t>
        </is>
      </c>
      <c r="B652" s="3" t="inlineStr">
        <is>
          <t>normInst</t>
        </is>
      </c>
      <c r="C652" s="3" t="inlineStr">
        <is>
          <t>src/domain/import/holdingsImport.ts</t>
        </is>
      </c>
      <c r="D652" s="3" t="n">
        <v>512</v>
      </c>
      <c r="E652" s="3" t="inlineStr">
        <is>
          <t>1 · ACTION</t>
        </is>
      </c>
      <c r="F652" s="3" t="inlineStr">
        <is>
          <t>NOT DETERMINED — the code carries no note saying what this is for, and it has no row in the old inventory. Needs reading.</t>
        </is>
      </c>
      <c r="G652" s="11" t="inlineStr">
        <is>
          <t>(s ?? '').trim().to lower case().replace( ÷ [^a − z0 − 9] ÷ g, '')</t>
        </is>
      </c>
      <c r="H652" s="3" t="inlineStr">
        <is>
          <t>(s ?? '').trim().to lower case().replace( divided by [^a minus z0 minus 9] divided by g, '')</t>
        </is>
      </c>
      <c r="I652" s="3" t="inlineStr">
        <is>
          <t>PARTLY READ — some of the code is still showing through; needs a hand pass</t>
        </is>
      </c>
      <c r="J652" s="3" t="inlineStr">
        <is>
          <t>s?: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MK-XS-F-131</t>
        </is>
      </c>
      <c r="B653" s="3" t="inlineStr">
        <is>
          <t>toInt</t>
        </is>
      </c>
      <c r="C653" s="3" t="inlineStr">
        <is>
          <t>src/domain/profile/onboarding.ts</t>
        </is>
      </c>
      <c r="D653" s="3" t="n">
        <v>28</v>
      </c>
      <c r="E653" s="3" t="inlineStr">
        <is>
          <t>3 · DEPENDENT</t>
        </is>
      </c>
      <c r="F653" s="3" t="inlineStr">
        <is>
          <t>NOT DETERMINED — the code carries no note saying what this is for, and it has no row in the old inventory. Needs reading.</t>
        </is>
      </c>
      <c r="G653" s="11" t="inlineStr">
        <is>
          <t>n = parse int(string(v ?? '').replace( ÷ [^0 − 9] ÷ g, ''), 10)
the answer:
n   if number.is finite(n)
nothing   otherwise</t>
        </is>
      </c>
      <c r="H653" s="3" t="inlineStr">
        <is>
          <t>N is parse int(string(v ?? '').replace( divided by [^0 minus 9] divided by g, ''), 10). The answer is n — when number.is finite(n); no answer — otherwise.</t>
        </is>
      </c>
      <c r="I653" s="3" t="inlineStr">
        <is>
          <t>PARTLY READ — some of the code is still showing through; needs a hand pass</t>
        </is>
      </c>
      <c r="J653" s="3" t="inlineStr">
        <is>
          <t>v: any</t>
        </is>
      </c>
      <c r="K653" s="3" t="inlineStr">
        <is>
          <t>number | null</t>
        </is>
      </c>
      <c r="L653" s="3" t="inlineStr">
        <is>
          <t>—</t>
        </is>
      </c>
      <c r="M653" s="3" t="inlineStr">
        <is>
          <t>None found in this function — anything it assumes comes from the functions it depends on.</t>
        </is>
      </c>
      <c r="N653" s="3" t="inlineStr">
        <is>
          <t>Yes</t>
        </is>
      </c>
      <c r="O653" s="3" t="inlineStr">
        <is>
          <t>MK-XS-F-122 n</t>
        </is>
      </c>
      <c r="P653" s="3" t="n">
        <v>1</v>
      </c>
      <c r="Q653" s="3" t="inlineStr">
        <is>
          <t>MK-XS-F-122 n</t>
        </is>
      </c>
      <c r="R653" s="3" t="inlineStr">
        <is>
          <t>MK-XS-F-122 n → MK-XS-F-131 toInt</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MK-XS-F-132</t>
        </is>
      </c>
      <c r="B654" s="3" t="inlineStr">
        <is>
          <t>load</t>
        </is>
      </c>
      <c r="C654" s="3" t="inlineStr">
        <is>
          <t>src/services/appLock.ts</t>
        </is>
      </c>
      <c r="D654" s="3" t="n">
        <v>25</v>
      </c>
      <c r="E654" s="3" t="inlineStr">
        <is>
          <t>3 · DEPENDENT</t>
        </is>
      </c>
      <c r="F654" s="3" t="inlineStr">
        <is>
          <t>NOT DETERMINED — the code carries no note saying what this is for, and it has no row in the old inventory. Needs reading.</t>
        </is>
      </c>
      <c r="G654" s="11" t="inlineStr">
        <is>
          <t>LA   when LA
LA</t>
        </is>
      </c>
      <c r="H654" s="3" t="inlineStr">
        <is>
          <t>When LA, it answers LA. LA.</t>
        </is>
      </c>
      <c r="I654" s="3" t="inlineStr">
        <is>
          <t>READ FROM THE CODE — rendered from the expressions the function runs</t>
        </is>
      </c>
      <c r="J654" s="3" t="inlineStr">
        <is>
          <t>Nothing is handed to it</t>
        </is>
      </c>
      <c r="K654" s="3" t="inlineStr">
        <is>
          <t>any</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MK-XS-F-133</t>
        </is>
      </c>
      <c r="B655" s="3" t="inlineStr">
        <is>
          <t>loadSentry</t>
        </is>
      </c>
      <c r="C655" s="3" t="inlineStr">
        <is>
          <t>src/services/crashReporter.ts</t>
        </is>
      </c>
      <c r="D655" s="3" t="n">
        <v>33</v>
      </c>
      <c r="E655" s="3" t="inlineStr">
        <is>
          <t>3 · DEPENDENT</t>
        </is>
      </c>
      <c r="F655" s="3" t="inlineStr">
        <is>
          <t>NOT DETERMINED — the code carries no note saying what this is for, and it has no row in the old inventory. Needs reading.</t>
        </is>
      </c>
      <c r="G655" s="11" t="inlineStr">
        <is>
          <t>the answer = the crash-reporting module, or nothing when it is absent</t>
        </is>
      </c>
      <c r="H655" s="3" t="inlineStr">
        <is>
          <t>Loads the crash reporter if it is installed. Not a calculation.</t>
        </is>
      </c>
      <c r="I655" s="3" t="inlineStr">
        <is>
          <t>READ BY HAND 2026-08-26 — checked line by line against the code</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MK-XS-F-134</t>
        </is>
      </c>
      <c r="B656" s="3" t="inlineStr">
        <is>
          <t>installGlobalHandler</t>
        </is>
      </c>
      <c r="C656" s="3" t="inlineStr">
        <is>
          <t>src/services/crashReporter.ts</t>
        </is>
      </c>
      <c r="D656" s="3" t="n">
        <v>94</v>
      </c>
      <c r="E656" s="3" t="inlineStr">
        <is>
          <t>1 · ACTION</t>
        </is>
      </c>
      <c r="F656" s="3" t="inlineStr">
        <is>
          <t>NOT DETERMINED — the code carries no note saying what this is for, and it has no row in the old inventory. Needs reading.</t>
        </is>
      </c>
      <c r="G656" s="11" t="inlineStr">
        <is>
          <t>g = global this as any
prev = error utils.get global handler.()</t>
        </is>
      </c>
      <c r="H656" s="3" t="inlineStr">
        <is>
          <t>G is global this as any. Prev is error utils.get global handler.().</t>
        </is>
      </c>
      <c r="I656" s="3" t="inlineStr">
        <is>
          <t>READ FROM THE CODE — rendered from the expressions the function runs</t>
        </is>
      </c>
      <c r="J656" s="3" t="inlineStr">
        <is>
          <t>Nothing is handed to it</t>
        </is>
      </c>
      <c r="K656" s="3" t="inlineStr">
        <is>
          <t>void</t>
        </is>
      </c>
      <c r="L656" s="3" t="inlineStr">
        <is>
          <t>—</t>
        </is>
      </c>
      <c r="M656" s="3" t="inlineStr">
        <is>
          <t>None found in this function — anything it assumes comes from the functions it depends on.</t>
        </is>
      </c>
      <c r="N656" s="3" t="inlineStr">
        <is>
          <t>Yes</t>
        </is>
      </c>
      <c r="O656" s="3" t="inlineStr">
        <is>
          <t>MK-XS-F-037 captureException</t>
        </is>
      </c>
      <c r="P656" s="3" t="n">
        <v>1</v>
      </c>
      <c r="Q656" s="3" t="inlineStr">
        <is>
          <t>MK-XS-F-037 captureException</t>
        </is>
      </c>
      <c r="R656" s="3" t="inlineStr">
        <is>
          <t>MK-XS-F-037 captureException → MK-XS-F-134 installGlobalHandler</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MK-XS-F-135</t>
        </is>
      </c>
      <c r="B657" s="3" t="inlineStr">
        <is>
          <t>secureGet</t>
        </is>
      </c>
      <c r="C657" s="3" t="inlineStr">
        <is>
          <t>src/services/dataCrypto.ts</t>
        </is>
      </c>
      <c r="D657" s="3" t="n">
        <v>48</v>
      </c>
      <c r="E657" s="3" t="inlineStr">
        <is>
          <t>4 · BRINGS DATA IN</t>
        </is>
      </c>
      <c r="F657" s="3" t="inlineStr">
        <is>
          <t>NOT DETERMINED — the code carries no note saying what this is for, and it has no row in the old inventory. Needs reading.</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name: string</t>
        </is>
      </c>
      <c r="K657" s="3" t="inlineStr">
        <is>
          <t>Promise&lt;string | null&gt;</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MK-XS-F-136</t>
        </is>
      </c>
      <c r="B658" s="3" t="inlineStr">
        <is>
          <t>secureSet</t>
        </is>
      </c>
      <c r="C658" s="3" t="inlineStr">
        <is>
          <t>src/services/dataCrypto.ts</t>
        </is>
      </c>
      <c r="D658" s="3" t="n">
        <v>72</v>
      </c>
      <c r="E658" s="3" t="inlineStr">
        <is>
          <t>1 · ACTION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1. name: string
2. value: string</t>
        </is>
      </c>
      <c r="K658" s="3" t="inlineStr">
        <is>
          <t>Promise&lt;void&gt;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MK-XS-F-137</t>
        </is>
      </c>
      <c r="B659" s="3" t="inlineStr">
        <is>
          <t>secureDelete</t>
        </is>
      </c>
      <c r="C659" s="3" t="inlineStr">
        <is>
          <t>src/services/dataCrypto.ts</t>
        </is>
      </c>
      <c r="D659" s="3" t="n">
        <v>95</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name: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MK-XS-F-138</t>
        </is>
      </c>
      <c r="B660" s="3" t="inlineStr">
        <is>
          <t>deriveKeyFromSecret</t>
        </is>
      </c>
      <c r="C660" s="3" t="inlineStr">
        <is>
          <t>src/services/dataCrypto.ts</t>
        </is>
      </c>
      <c r="D660" s="3" t="n">
        <v>262</v>
      </c>
      <c r="E660" s="3" t="inlineStr">
        <is>
          <t>3 · DEPENDENT</t>
        </is>
      </c>
      <c r="F660" s="3" t="inlineStr">
        <is>
          <t>── Wrapping (lock/unlock the DEK with a password or recovery code) ───</t>
        </is>
      </c>
      <c r="G660" s="11" t="inlineStr">
        <is>
          <t>crypto js.PBKDF2(secret.trim(), uid, { key size: 256 ÷ 32, iterations: PBKDF2_ITERS }).to string(crypto js.enc.hex)</t>
        </is>
      </c>
      <c r="H660" s="3" t="inlineStr">
        <is>
          <t>crypto js.PBKDF2(secret.trim(), uid, { key size: 256 divided by 32, iterations: PBKDF2_ITERS }).to string(crypto js.enc.hex).</t>
        </is>
      </c>
      <c r="I660" s="3" t="inlineStr">
        <is>
          <t>PARTLY READ — some of the code is still showing through; needs a hand pass</t>
        </is>
      </c>
      <c r="J660" s="3" t="inlineStr">
        <is>
          <t>1. secret: string
2. uid: string</t>
        </is>
      </c>
      <c r="K660" s="3" t="inlineStr">
        <is>
          <t>string</t>
        </is>
      </c>
      <c r="L660" s="3" t="inlineStr">
        <is>
          <t>—</t>
        </is>
      </c>
      <c r="M660" s="3" t="inlineStr">
        <is>
          <t>None found in this function — anything it assumes comes from the functions it depends on.</t>
        </is>
      </c>
      <c r="N660" s="3" t="inlineStr">
        <is>
          <t>Yes</t>
        </is>
      </c>
      <c r="O660" s="3" t="inlineStr">
        <is>
          <t>MK-XS-F-175 uid</t>
        </is>
      </c>
      <c r="P660" s="3" t="n">
        <v>80</v>
      </c>
      <c r="Q660"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MK-XS-F-139</t>
        </is>
      </c>
      <c r="B661" s="3" t="inlineStr">
        <is>
          <t>wrapWithSecret</t>
        </is>
      </c>
      <c r="C661" s="3" t="inlineStr">
        <is>
          <t>src/services/dataCrypto.ts</t>
        </is>
      </c>
      <c r="D661" s="3" t="n">
        <v>287</v>
      </c>
      <c r="E661" s="3" t="inlineStr">
        <is>
          <t>3 · DEPENDENT</t>
        </is>
      </c>
      <c r="F661" s="3" t="inlineStr">
        <is>
          <t>NOT DETERMINED — the code carries no note saying what this is for, and it has no row in the old inventory. Needs reading.</t>
        </is>
      </c>
      <c r="G661" s="11" t="inlineStr">
        <is>
          <t>encrypt with key(dek, derive key from secret(secret, uid))</t>
        </is>
      </c>
      <c r="H661" s="3" t="inlineStr">
        <is>
          <t>encrypt with key(dek, derive key from secret(secret, uid)).</t>
        </is>
      </c>
      <c r="I661" s="3" t="inlineStr">
        <is>
          <t>READ FROM THE CODE — rendered from the expressions the function runs</t>
        </is>
      </c>
      <c r="J661" s="3" t="inlineStr">
        <is>
          <t>1. dek: string
2. uid: string
3. secret: string</t>
        </is>
      </c>
      <c r="K661" s="3" t="inlineStr">
        <is>
          <t>string</t>
        </is>
      </c>
      <c r="L661" s="3" t="inlineStr">
        <is>
          <t>—</t>
        </is>
      </c>
      <c r="M661" s="3" t="inlineStr">
        <is>
          <t>None found in this function — anything it assumes comes from the functions it depends on.</t>
        </is>
      </c>
      <c r="N661" s="3" t="inlineStr">
        <is>
          <t>Yes</t>
        </is>
      </c>
      <c r="O661" s="3" t="inlineStr">
        <is>
          <t>1. MK-XS-F-138 deriveKeyFromSecret
2. MK-XS-F-052 encryptWithKey
3. MK-XS-F-175 uid</t>
        </is>
      </c>
      <c r="P661" s="3" t="n">
        <v>82</v>
      </c>
      <c r="Q66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MK-XS-F-140</t>
        </is>
      </c>
      <c r="B662" s="3" t="inlineStr">
        <is>
          <t>fetchInflation</t>
        </is>
      </c>
      <c r="C662" s="3" t="inlineStr">
        <is>
          <t>src/services/economicData.ts</t>
        </is>
      </c>
      <c r="D662" s="3" t="n">
        <v>111</v>
      </c>
      <c r="E662" s="3" t="inlineStr">
        <is>
          <t>4 · BRINGS DATA IN</t>
        </is>
      </c>
      <c r="F662" s="3" t="inlineStr">
        <is>
          <t>NOT DETERMINED — the code carries no note saying what this is for, and it has no row in the old inventory. Needs reading.</t>
        </is>
      </c>
      <c r="G662" s="11" t="inlineStr">
        <is>
          <t>res = await fetch(BLS_API + BLS_CPI_SERIES)
json = await res.json()
series = json.results.series.[0].data
latest = parse float(series[0].value)
year ago = parse float(series[12].value)
rate = ((latest − year ago) ÷ year ago) × 100
the answer = round(rate, 2 dp)</t>
        </is>
      </c>
      <c r="H66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2" s="3" t="inlineStr">
        <is>
          <t>PARTLY READ — some of the code is still showing through; needs a hand pass</t>
        </is>
      </c>
      <c r="J662" s="3" t="inlineStr">
        <is>
          <t>Nothing is handed to it</t>
        </is>
      </c>
      <c r="K662" s="3" t="inlineStr">
        <is>
          <t>Promise&lt;number&gt;</t>
        </is>
      </c>
      <c r="L662" s="3" t="inlineStr">
        <is>
          <t>—</t>
        </is>
      </c>
      <c r="M662" s="3" t="inlineStr">
        <is>
          <t>· Rounds the answer to two decimals (cents).</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MK-XS-F-141</t>
        </is>
      </c>
      <c r="B663" s="3" t="inlineStr">
        <is>
          <t>fetchTreasuryYield</t>
        </is>
      </c>
      <c r="C663" s="3" t="inlineStr">
        <is>
          <t>src/services/economicData.ts</t>
        </is>
      </c>
      <c r="D663" s="3" t="n">
        <v>153</v>
      </c>
      <c r="E663" s="3" t="inlineStr">
        <is>
          <t>4 · BRINGS DATA IN</t>
        </is>
      </c>
      <c r="F663" s="3" t="inlineStr">
        <is>
          <t>NOT DETERMINED — the code carries no note saying what this is for, and it has no row in the old inventory. Needs reading.</t>
        </is>
      </c>
      <c r="G663" s="11" t="inlineStr">
        <is>
          <t>res = await fetch(TREASURY_API)
csv = await res.text()
rows = csv.trim().split('\n').slice(1)
value = rows[i].split(',')[1].trim()
rate = parse float(value)
[LOOP — the answer is found inside a loop the extractor cannot render; the steps above are the ones before it. Read by hand.]</t>
        </is>
      </c>
      <c r="H663" s="3" t="inlineStr">
        <is>
          <t>Res is await fetch(TREASURY_API). Csv is await res.text(). Rows is csv.trim().split('\n').slice(1). Value is rows[i].split(',')[1].trim(). Rate is parse float(value). The answer is rate, to the cent. The answer is found inside a loop that cannot be rendered here; read the code by hand.</t>
        </is>
      </c>
      <c r="I663" s="3" t="inlineStr">
        <is>
          <t>PARTLY READ — the body has a loop the extractor cannot render; the steps shown are the ones before it. Needs a hand pass (G23).</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MK-XS-F-142</t>
        </is>
      </c>
      <c r="B664" s="3" t="inlineStr">
        <is>
          <t>makeInviteCode</t>
        </is>
      </c>
      <c r="C664" s="3" t="inlineStr">
        <is>
          <t>src/services/firebase.ts</t>
        </is>
      </c>
      <c r="D664" s="3" t="n">
        <v>535</v>
      </c>
      <c r="E664" s="3" t="inlineStr">
        <is>
          <t>3 · DEPENDENT</t>
        </is>
      </c>
      <c r="F664" s="3" t="inlineStr">
        <is>
          <t>── Household / spouse invites ───────────────────────────────────── Spouses share ONE data document: all reads/writes go to users/{householdId} where householdId = the inviter's uid.</t>
        </is>
      </c>
      <c r="G664" s="11" t="inlineStr">
        <is>
          <t>alphabet = 'ABCDEFGHJKMNPQRSTUVWXYZ23456789'
the answer = array.from({ length: 6 }, () =&gt; ALPHABET[math.floor(math.random() × ALPHABET.length)]).join('')</t>
        </is>
      </c>
      <c r="H664" s="3" t="inlineStr">
        <is>
          <t>Alphabet is 'ABCDEFGHJKMNPQRSTUVWXYZ23456789'. The answer is array.from({ length: 6 }, () =&gt; ALPHABET[math.floor(math.random() times ALPHABET.length)]).join('').</t>
        </is>
      </c>
      <c r="I664" s="3" t="inlineStr">
        <is>
          <t>PARTLY READ — some of the code is still showing through; needs a hand pass</t>
        </is>
      </c>
      <c r="J664" s="3" t="inlineStr">
        <is>
          <t>Nothing is handed to it</t>
        </is>
      </c>
      <c r="K664" s="3" t="inlineStr">
        <is>
          <t>string</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MK-XS-F-143</t>
        </is>
      </c>
      <c r="B665" s="3" t="inlineStr">
        <is>
          <t>yahooSymbol</t>
        </is>
      </c>
      <c r="C665" s="3" t="inlineStr">
        <is>
          <t>src/services/marketData.ts</t>
        </is>
      </c>
      <c r="D665" s="3" t="n">
        <v>41</v>
      </c>
      <c r="E665" s="3" t="inlineStr">
        <is>
          <t>4 · BRINGS DATA IN</t>
        </is>
      </c>
      <c r="F665" s="3" t="inlineStr">
        <is>
          <t>Map a plain ticker to the provider's symbol convention (crypto needs the -USD pair on Yahoo).</t>
        </is>
      </c>
      <c r="G66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5" s="3" t="inlineStr">
        <is>
          <t>PARTLY READ — some of the code is still showing through; needs a hand pass</t>
        </is>
      </c>
      <c r="J665" s="3" t="inlineStr">
        <is>
          <t>ticker: string</t>
        </is>
      </c>
      <c r="K665" s="3" t="inlineStr">
        <is>
          <t>string</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inlineStr">
        <is>
          <t>[from MK-NW-M-029, Formula (mathematical)] Is the formula embedded directly in the code and not as a separate function? Live price was to be sourced from Yahoo or similar engine.</t>
        </is>
      </c>
      <c r="X665" s="6" t="inlineStr">
        <is>
          <t>This is the feed: Yahoo Finance daily closes, free, no key. 'Current price' on the holding screen = the last close of this series, picked on the screen (no named function). Answer in full on MK-NW-M-029.</t>
        </is>
      </c>
      <c r="Y665" s="6" t="inlineStr">
        <is>
          <t>WAITING ON YOU — answer to read</t>
        </is>
      </c>
    </row>
    <row r="666" ht="60" customHeight="1">
      <c r="A666" s="3" t="inlineStr">
        <is>
          <t>MK-XS-F-144</t>
        </is>
      </c>
      <c r="B666" s="3" t="inlineStr">
        <is>
          <t>guessCategory</t>
        </is>
      </c>
      <c r="C666" s="3" t="inlineStr">
        <is>
          <t>src/services/receiptOCR.ts</t>
        </is>
      </c>
      <c r="D666" s="3" t="n">
        <v>287</v>
      </c>
      <c r="E666" s="3" t="inlineStr">
        <is>
          <t>3 · DEPENDENT (feeds an action only)</t>
        </is>
      </c>
      <c r="F666" s="3" t="inlineStr">
        <is>
          <t>NOT DETERMINED — the code carries no note saying what this is for, and it has no row in the old inventory. Needs reading.</t>
        </is>
      </c>
      <c r="G66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6" s="3" t="inlineStr">
        <is>
          <t>PARTLY READ — some of the code is still showing through; needs a hand pass</t>
        </is>
      </c>
      <c r="J666" s="3" t="inlineStr">
        <is>
          <t>1. store: string
2. text: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MK-XS-F-145</t>
        </is>
      </c>
      <c r="B667" s="3" t="inlineStr">
        <is>
          <t>flatSymbol</t>
        </is>
      </c>
      <c r="C667" s="3" t="inlineStr">
        <is>
          <t>src/services/sync/snaptrade.ts</t>
        </is>
      </c>
      <c r="D667" s="3" t="n">
        <v>170</v>
      </c>
      <c r="E667" s="3" t="inlineStr">
        <is>
          <t>3 · DEPENDENT (feeds an action only)</t>
        </is>
      </c>
      <c r="F667" s="3" t="inlineStr">
        <is>
          <t>── positions → our holdings ───────────────────────────────────────────────────────────────────</t>
        </is>
      </c>
      <c r="G667" s="11" t="inlineStr">
        <is>
          <t>s = symbol
nothing   when s is missing
the answer:
symbol   if symbol and typeof symbol = 'object'
s   otherwise</t>
        </is>
      </c>
      <c r="H667" s="3" t="inlineStr">
        <is>
          <t>S is symbol. When s is missing, it answers no answer. The answer is symbol — when symbol and typeof symbol = 'object'; s — otherwise.</t>
        </is>
      </c>
      <c r="I667" s="3" t="inlineStr">
        <is>
          <t>PARTLY READ — some of the code is still showing through; needs a hand pass</t>
        </is>
      </c>
      <c r="J667" s="3" t="inlineStr">
        <is>
          <t>p: StPosition</t>
        </is>
      </c>
      <c r="K667" s="3" t="inlineStr">
        <is>
          <t>StSymbol | null</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MK-XS-F-146</t>
        </is>
      </c>
      <c r="B668" s="3" t="inlineStr">
        <is>
          <t>prettyExpiry</t>
        </is>
      </c>
      <c r="C668" s="3" t="inlineStr">
        <is>
          <t>src/services/sync/snaptrade.ts</t>
        </is>
      </c>
      <c r="D668" s="3" t="n">
        <v>272</v>
      </c>
      <c r="E668" s="3" t="inlineStr">
        <is>
          <t>3 · DEPENDENT (feeds an action only)</t>
        </is>
      </c>
      <c r="F668" s="3" t="inlineStr">
        <is>
          <t>NOT DETERMINED — the code carries no note saying what this is for, and it has no row in the old inventory. Needs reading.</t>
        </is>
      </c>
      <c r="G668" s="11" t="inlineStr">
        <is>
          <t>`${MONTHS[m − 1]} ${d} ${y}`   if y and m and d
'unknown expiry'   otherwise</t>
        </is>
      </c>
      <c r="H668" s="3" t="inlineStr">
        <is>
          <t>`${MONTHS[m minus 1]} ${d} ${y}` — when y and m and d; 'unknown expiry' — otherwise.</t>
        </is>
      </c>
      <c r="I668" s="3" t="inlineStr">
        <is>
          <t>PARTLY READ — some of the code is still showing through; needs a hand pass</t>
        </is>
      </c>
      <c r="J668" s="3" t="inlineStr">
        <is>
          <t>iso: string | null | undefined</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MK-CF-F-132 map</t>
        </is>
      </c>
      <c r="P668" s="3" t="n">
        <v>1</v>
      </c>
      <c r="Q668" s="3" t="inlineStr">
        <is>
          <t>MK-CF-F-132 map</t>
        </is>
      </c>
      <c r="R668" s="3" t="inlineStr">
        <is>
          <t>MK-CF-F-132 map → MK-XS-F-146 prettyExpiry</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MK-XS-F-147</t>
        </is>
      </c>
      <c r="B669" s="3" t="inlineStr">
        <is>
          <t>call</t>
        </is>
      </c>
      <c r="C669" s="3" t="inlineStr">
        <is>
          <t>src/services/sync/snaptradeClient.ts</t>
        </is>
      </c>
      <c r="D669" s="3" t="n">
        <v>93</v>
      </c>
      <c r="E669" s="3" t="inlineStr">
        <is>
          <t>4 · BRINGS DATA IN</t>
        </is>
      </c>
      <c r="F669" s="3" t="inlineStr">
        <is>
          <t>NOT DETERMINED — the code carries no note saying what this is for, and it has no row in the old inventory. Needs reading.</t>
        </is>
      </c>
      <c r="G669" s="11" t="inlineStr">
        <is>
          <t>url = relay url()
token = await current id token()
data = await res.json().catch(() =&gt; nothing)
the answer = data as T</t>
        </is>
      </c>
      <c r="H669" s="3" t="inlineStr">
        <is>
          <t>Url is relay url(). Token is await current id token(). Data is await res.json().catch(() =&gt; no answer). The answer is data as T.</t>
        </is>
      </c>
      <c r="I669" s="3" t="inlineStr">
        <is>
          <t>PARTLY READ — some of the code is still showing through; needs a hand pass</t>
        </is>
      </c>
      <c r="J669" s="3" t="inlineStr">
        <is>
          <t>1. action: string
2. params: Record&lt;string, unknown&gt; = {}</t>
        </is>
      </c>
      <c r="K669" s="3" t="inlineStr">
        <is>
          <t>Promise&lt;T&gt;</t>
        </is>
      </c>
      <c r="L669" s="3" t="inlineStr">
        <is>
          <t>—</t>
        </is>
      </c>
      <c r="M669" s="3" t="inlineStr">
        <is>
          <t>None found in this function — anything it assumes comes from the functions it depends on.</t>
        </is>
      </c>
      <c r="N669" s="3" t="inlineStr">
        <is>
          <t>No</t>
        </is>
      </c>
      <c r="O669" s="3" t="inlineStr">
        <is>
          <t>1. MK-ST-F-027 accountId
2. MK-XS-F-064 currentIdToken
3. MK-XS-F-112 relayUrl</t>
        </is>
      </c>
      <c r="P669" s="3" t="n">
        <v>3</v>
      </c>
      <c r="Q669" s="3" t="inlineStr">
        <is>
          <t>1. MK-ST-F-027 accountId
2. MK-XS-F-064 currentIdToken
3. MK-XS-F-112 relayUrl</t>
        </is>
      </c>
      <c r="R669" s="3" t="inlineStr">
        <is>
          <t>1. MK-ST-F-027 accountId → MK-XS-F-147 call
2. MK-XS-F-064 currentIdToken → MK-XS-F-147 call
3. MK-XS-F-112 relayUrl → MK-XS-F-147 call</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MK-XS-F-148</t>
        </is>
      </c>
      <c r="B670" s="3" t="inlineStr">
        <is>
          <t>unwrapActivities</t>
        </is>
      </c>
      <c r="C670" s="3" t="inlineStr">
        <is>
          <t>src/services/sync/snaptradeSync.ts</t>
        </is>
      </c>
      <c r="D670" s="3" t="n">
        <v>73</v>
      </c>
      <c r="E670" s="3" t="inlineStr">
        <is>
          <t>3 · DEPENDENT</t>
        </is>
      </c>
      <c r="F670" s="3" t="inlineStr">
        <is>
          <t>SnapTrade wraps this endpoint in a pagination envelope {data, pagination:{total}} — LIVE-VERIFIED 2026-07-19 against a real E*TRADE connection (their docs' examples show a bare array; production does not).</t>
        </is>
      </c>
      <c r="G67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0" s="3" t="inlineStr">
        <is>
          <t>PARTLY READ — some of the code is still showing through; needs a hand pass</t>
        </is>
      </c>
      <c r="J670" s="3" t="inlineStr">
        <is>
          <t>raw: unknown</t>
        </is>
      </c>
      <c r="K670" s="3" t="inlineStr">
        <is>
          <t>NOT DECLARED — the code does not say what it gives back</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MK-XS-F-149</t>
        </is>
      </c>
      <c r="B671" s="3" t="inlineStr">
        <is>
          <t>allActivities</t>
        </is>
      </c>
      <c r="C671" s="3" t="inlineStr">
        <is>
          <t>src/services/sync/snaptradeSync.ts</t>
        </is>
      </c>
      <c r="D671" s="3" t="n">
        <v>102</v>
      </c>
      <c r="E671" s="3" t="inlineStr">
        <is>
          <t>3 · DEPENDENT</t>
        </is>
      </c>
      <c r="F671" s="3" t="inlineStr">
        <is>
          <t>NOT DETERMINED — the code carries no note saying what this is for, and it has no row in the old inventory. Needs reading.</t>
        </is>
      </c>
      <c r="G671" s="11" t="inlineStr">
        <is>
          <t>out = []
the answer = out</t>
        </is>
      </c>
      <c r="H671" s="3" t="inlineStr">
        <is>
          <t>Out is []. The answer is out.</t>
        </is>
      </c>
      <c r="I671" s="3" t="inlineStr">
        <is>
          <t>READ FROM THE CODE — rendered from the expressions the function runs</t>
        </is>
      </c>
      <c r="J671" s="3" t="inlineStr">
        <is>
          <t>1. accountId: string
2. startDate?: string</t>
        </is>
      </c>
      <c r="K671" s="3" t="inlineStr">
        <is>
          <t>Promise&lt;StActivity[]&gt;</t>
        </is>
      </c>
      <c r="L671" s="3" t="inlineStr">
        <is>
          <t>—</t>
        </is>
      </c>
      <c r="M671" s="3" t="inlineStr">
        <is>
          <t>· Uses a built-in page of 0.</t>
        </is>
      </c>
      <c r="N671" s="3" t="inlineStr">
        <is>
          <t>Yes</t>
        </is>
      </c>
      <c r="O671" s="3" t="inlineStr">
        <is>
          <t>1. MK-ST-F-027 accountId
2. MK-XS-F-148 unwrapActivities</t>
        </is>
      </c>
      <c r="P671" s="3" t="n">
        <v>2</v>
      </c>
      <c r="Q671" s="3" t="inlineStr">
        <is>
          <t>1. MK-ST-F-027 accountId
2. MK-XS-F-148 unwrapActivities</t>
        </is>
      </c>
      <c r="R671" s="3" t="inlineStr">
        <is>
          <t>1. MK-ST-F-027 accountId → MK-XS-F-149 allActivities
2. MK-XS-F-148 unwrapActivities → MK-XS-F-149 allActivities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MK-XS-F-170</t>
        </is>
      </c>
      <c r="B672" s="3" t="inlineStr">
        <is>
          <t>daysSince</t>
        </is>
      </c>
      <c r="C672" s="3" t="inlineStr">
        <is>
          <t>src/domain/_shared/freshness.ts</t>
        </is>
      </c>
      <c r="D672" s="3" t="n">
        <v>50</v>
      </c>
      <c r="E672" s="3" t="inlineStr">
        <is>
          <t>3 · DEPENDENT</t>
        </is>
      </c>
      <c r="F672" s="3" t="inlineStr">
        <is>
          <t>Whole days between a recorded moment and now, or null when the moment cannot be read.</t>
        </is>
      </c>
      <c r="G672" s="11" t="inlineStr">
        <is>
          <t>nothing   when when = nothing (or when = '' when missing or zero)
ms = now − (typeof when = 'number' ? when : date.parse(string(when)))
nothing   when !number.is finite(ms) (or ms &lt; 0 when missing or zero)
the answer = round down(ms ÷ 86400000)</t>
        </is>
      </c>
      <c r="H67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2" s="3" t="inlineStr">
        <is>
          <t>PARTLY READ — some of the code is still showing through; needs a hand pass</t>
        </is>
      </c>
      <c r="J672" s="3" t="inlineStr">
        <is>
          <t>1. when: string | number | null | undefined
2. now: number</t>
        </is>
      </c>
      <c r="K672" s="3" t="inlineStr">
        <is>
          <t>number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2026-10-01</t>
        </is>
      </c>
      <c r="W672" s="3" t="n"/>
      <c r="X672" s="3" t="n"/>
      <c r="Y672" s="3" t="inlineStr">
        <is>
          <t>NOTHING OPEN</t>
        </is>
      </c>
    </row>
    <row r="673" ht="60" customHeight="1">
      <c r="A673" s="3" t="inlineStr">
        <is>
          <t>MK-XS-F-171</t>
        </is>
      </c>
      <c r="B673" s="3" t="inlineStr">
        <is>
          <t>numOrNaN</t>
        </is>
      </c>
      <c r="C673" s="3" t="inlineStr">
        <is>
          <t>src/domain/import/holdingsImport.ts</t>
        </is>
      </c>
      <c r="D673" s="3" t="n">
        <v>233</v>
      </c>
      <c r="E673" s="3" t="inlineStr">
        <is>
          <t>3 · DEPENDENT</t>
        </is>
      </c>
      <c r="F673" s="3" t="inlineStr">
        <is>
          <t>NOT DETERMINED — the code carries no note saying what this is for, and it has no row in the old inventory. Needs reading.</t>
        </is>
      </c>
      <c r="G673" s="11" t="inlineStr">
        <is>
          <t>n = parse float(string(v ?? '').replace( ÷ [$,%\s] ÷ g, '').replace( ÷ [()] ÷ g, ''))
the answer:
n   if number.is finite(n)
na n   otherwise</t>
        </is>
      </c>
      <c r="H673" s="3" t="inlineStr">
        <is>
          <t>N is parse float(string(v ?? '').replace( divided by [$,%\s] divided by g, '').replace( divided by [()] divided by g, '')). The answer is n — when number.is finite(n); na n — otherwise.</t>
        </is>
      </c>
      <c r="I673" s="3" t="inlineStr">
        <is>
          <t>PARTLY READ — some of the code is still showing through; needs a hand pass</t>
        </is>
      </c>
      <c r="J673" s="3" t="inlineStr">
        <is>
          <t>v: string</t>
        </is>
      </c>
      <c r="K673" s="3" t="inlineStr">
        <is>
          <t>number</t>
        </is>
      </c>
      <c r="L673" s="3" t="inlineStr">
        <is>
          <t>—</t>
        </is>
      </c>
      <c r="M673" s="3" t="inlineStr">
        <is>
          <t>None found in this function — anything it assumes comes from the functions it depends on.</t>
        </is>
      </c>
      <c r="N673" s="3" t="inlineStr">
        <is>
          <t>Yes</t>
        </is>
      </c>
      <c r="O673" s="3" t="inlineStr">
        <is>
          <t>MK-XS-F-122 n</t>
        </is>
      </c>
      <c r="P673" s="3" t="n">
        <v>1</v>
      </c>
      <c r="Q673" s="3" t="inlineStr">
        <is>
          <t>MK-XS-F-122 n</t>
        </is>
      </c>
      <c r="R673" s="3" t="inlineStr">
        <is>
          <t>MK-XS-F-122 n → MK-XS-F-171 numOrNaN</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MK-XS-F-172</t>
        </is>
      </c>
      <c r="B674" s="3" t="inlineStr">
        <is>
          <t>assetClassForSymbol</t>
        </is>
      </c>
      <c r="C674" s="3" t="inlineStr">
        <is>
          <t>src/domain/import/holdingsImport.ts</t>
        </is>
      </c>
      <c r="D674" s="3" t="n">
        <v>352</v>
      </c>
      <c r="E674" s="3" t="inlineStr">
        <is>
          <t>3 · DEPENDENT</t>
        </is>
      </c>
      <c r="F674" s="3" t="inlineStr">
        <is>
          <t>B7 (founder brief 2026-08-20): classification lives in the ONE function — this road only adapts.</t>
        </is>
      </c>
      <c r="G674" s="11" t="inlineStr">
        <is>
          <t>classify holding class({ ticker: symbol, name, has security identity: true }).cls</t>
        </is>
      </c>
      <c r="H674" s="3" t="inlineStr">
        <is>
          <t>classify holding class({ ticker: symbol, name, has security identity: true }).cls.</t>
        </is>
      </c>
      <c r="I674" s="3" t="inlineStr">
        <is>
          <t>PARTLY READ — some of the code is still showing through; needs a hand pass</t>
        </is>
      </c>
      <c r="J674" s="3" t="inlineStr">
        <is>
          <t>1. symbol: string
2. name = ''</t>
        </is>
      </c>
      <c r="K674" s="3" t="inlineStr">
        <is>
          <t>AssetClass</t>
        </is>
      </c>
      <c r="L674" s="3" t="inlineStr">
        <is>
          <t>—</t>
        </is>
      </c>
      <c r="M674" s="3" t="inlineStr">
        <is>
          <t>None found in this function — anything it assumes comes from the functions it depends on.</t>
        </is>
      </c>
      <c r="N674" s="3" t="inlineStr">
        <is>
          <t>Yes</t>
        </is>
      </c>
      <c r="O674" s="3" t="inlineStr">
        <is>
          <t>MK-ST-F-011 classifyHoldingClass</t>
        </is>
      </c>
      <c r="P674" s="3" t="n">
        <v>8</v>
      </c>
      <c r="Q674" s="3" t="inlineStr">
        <is>
          <t>1. MK-ST-F-011 classifyHoldingClass
2. MK-ST-F-010 nameEvidence
3. MK-XS-F-147 call
4. MK-ST-F-056 has
5. MK-CF-F-132 map
6. MK-ST-F-027 accountId
7. MK-XS-F-064 currentIdToken
8. MK-XS-F-112 relayUrl</t>
        </is>
      </c>
      <c r="R67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MK-XS-F-173</t>
        </is>
      </c>
      <c r="B675" s="3" t="inlineStr">
        <is>
          <t>getOrCreateKey</t>
        </is>
      </c>
      <c r="C675" s="3" t="inlineStr">
        <is>
          <t>src/store/secureStorage.ts</t>
        </is>
      </c>
      <c r="D675" s="3" t="n">
        <v>47</v>
      </c>
      <c r="E675" s="3" t="inlineStr">
        <is>
          <t>4 · BRINGS DATA IN</t>
        </is>
      </c>
      <c r="F675" s="3" t="inlineStr">
        <is>
          <t>NOT DETERMINED — the code carries no note saying what this is for, and it has no row in the old inventory. Needs reading.</t>
        </is>
      </c>
      <c r="G67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5" s="3" t="inlineStr">
        <is>
          <t>PARTLY READ — some of the code is still showing through; needs a hand pass</t>
        </is>
      </c>
      <c r="J675" s="3" t="inlineStr">
        <is>
          <t>Nothing is handed to it</t>
        </is>
      </c>
      <c r="K675" s="3" t="inlineStr">
        <is>
          <t>Promise&lt;string&gt;</t>
        </is>
      </c>
      <c r="L675" s="3" t="inlineStr">
        <is>
          <t>—</t>
        </is>
      </c>
      <c r="M675" s="3" t="inlineStr">
        <is>
          <t>None found in this function — anything it assumes comes from the functions it depends on.</t>
        </is>
      </c>
      <c r="N675" s="3" t="inlineStr">
        <is>
          <t>No</t>
        </is>
      </c>
      <c r="O675" s="3" t="inlineStr">
        <is>
          <t>1. MK-XS-F-135 secureGet
2. MK-XS-F-136 secureSet</t>
        </is>
      </c>
      <c r="P675" s="3" t="n">
        <v>2</v>
      </c>
      <c r="Q675" s="3" t="inlineStr">
        <is>
          <t>1. MK-XS-F-135 secureGet
2. MK-XS-F-136 secureSet</t>
        </is>
      </c>
      <c r="R675" s="3" t="inlineStr">
        <is>
          <t>1. MK-XS-F-135 secureGet → MK-XS-F-173 getOrCreateKey
2. MK-XS-F-136 secureSet → MK-XS-F-173 getOrCreateKey</t>
        </is>
      </c>
      <c r="S675" s="3" t="inlineStr">
        <is>
          <t>—</t>
        </is>
      </c>
      <c r="T675" s="3" t="inlineStr">
        <is>
          <t>—</t>
        </is>
      </c>
      <c r="U675" s="3" t="inlineStr">
        <is>
          <t>ACTIVE</t>
        </is>
      </c>
      <c r="V675" s="3" t="inlineStr">
        <is>
          <t>2026-09-12</t>
        </is>
      </c>
      <c r="W675" s="3" t="n"/>
      <c r="X675" s="3" t="n"/>
      <c r="Y675" s="3" t="inlineStr">
        <is>
          <t>NOTHING OPEN</t>
        </is>
      </c>
    </row>
    <row r="676" ht="60" customHeight="1">
      <c r="A676" s="3" t="inlineStr">
        <is>
          <t>MK-XS-F-174</t>
        </is>
      </c>
      <c r="B676" s="3" t="inlineStr">
        <is>
          <t>recomputeBalances</t>
        </is>
      </c>
      <c r="C676" s="3" t="inlineStr">
        <is>
          <t>src/store/useStore.ts</t>
        </is>
      </c>
      <c r="D676" s="3" t="n">
        <v>60</v>
      </c>
      <c r="E676" s="3" t="inlineStr">
        <is>
          <t>3 · DEPENDENT</t>
        </is>
      </c>
      <c r="F676" s="3" t="inlineStr">
        <is>
          <t>Recompute the cached `balance` of every ledger-managed account = cash sleeve + Σ(position × live price).</t>
        </is>
      </c>
      <c r="G67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6" s="3" t="inlineStr">
        <is>
          <t>PARTLY READ — some of the code is still showing through; needs a hand pass</t>
        </is>
      </c>
      <c r="J676" s="3" t="inlineStr">
        <is>
          <t>1. accs: AssetAccount[]
2. cache: Record&lt;string, PriceSeries&gt;</t>
        </is>
      </c>
      <c r="K676" s="3" t="inlineStr">
        <is>
          <t>AssetAccount[]</t>
        </is>
      </c>
      <c r="L676" s="3" t="inlineStr">
        <is>
          <t>—</t>
        </is>
      </c>
      <c r="M676" s="3" t="inlineStr">
        <is>
          <t>· If cash balance is missing it counts as zero, so nothing recorded and a real zero look the same.</t>
        </is>
      </c>
      <c r="N676" s="3" t="inlineStr">
        <is>
          <t>Yes</t>
        </is>
      </c>
      <c r="O676" s="3" t="inlineStr">
        <is>
          <t>1. MK-ST-F-028 buildDayFromAccounts
2. MK-PF-F-002 costBasis
3. MK-CF-F-038 debtsFromOnboarding
4. MK-PF-F-009 latestClose
5. MK-CF-F-132 map
6. MK-PF-F-004 marketValue
7. MK-ST-F-030 record
8. MK-XS-F-024 resolveLens
9. MK-ST-F-055 round2
10. MK-ST-F-044 setMoneyFormat</t>
        </is>
      </c>
      <c r="P676" s="3" t="n">
        <v>79</v>
      </c>
      <c r="Q676"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6"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MK-XS-F-175</t>
        </is>
      </c>
      <c r="B677" s="3" t="inlineStr">
        <is>
          <t>uid</t>
        </is>
      </c>
      <c r="C677" s="3" t="inlineStr">
        <is>
          <t>src/store/useStore.ts</t>
        </is>
      </c>
      <c r="D677" s="3" t="n">
        <v>586</v>
      </c>
      <c r="E677" s="3" t="inlineStr">
        <is>
          <t>2 · DISPLAYED</t>
        </is>
      </c>
      <c r="F677" s="3" t="inlineStr">
        <is>
          <t>NOT DETERMINED — the code carries no note saying what this is for, and it has no row in the old inventory. Needs reading.</t>
        </is>
      </c>
      <c r="G67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7" s="3" t="inlineStr">
        <is>
          <t>PARTLY READ — the body has a loop the extractor cannot render; the steps shown are the ones before it. Needs a hand pass (G23).</t>
        </is>
      </c>
      <c r="J677" s="3" t="inlineStr">
        <is>
          <t>1. Nothing is handed to it
2. reads the app's stored data</t>
        </is>
      </c>
      <c r="K677" s="3" t="inlineStr">
        <is>
          <t>NOT DECLARED — the code does not say what it gives back</t>
        </is>
      </c>
      <c r="L677" s="3" t="inlineStr">
        <is>
          <t>NOT FOUND — a screen calls it, but the words printed beside its answer could not be traced automatically. Needs reading.</t>
        </is>
      </c>
      <c r="M67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7" s="3" t="inlineStr">
        <is>
          <t>Yes</t>
        </is>
      </c>
      <c r="O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7" s="3" t="n">
        <v>79</v>
      </c>
      <c r="Q677"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7" s="3" t="inlineStr">
        <is>
          <t>—</t>
        </is>
      </c>
      <c r="T677" s="3" t="inlineStr">
        <is>
          <t>—</t>
        </is>
      </c>
      <c r="U677" s="3" t="inlineStr">
        <is>
          <t>ACTIVE</t>
        </is>
      </c>
      <c r="V677" s="3" t="inlineStr">
        <is>
          <t>2026-09-25</t>
        </is>
      </c>
      <c r="W677" s="3" t="n"/>
      <c r="X677" s="3" t="n"/>
      <c r="Y677" s="3" t="inlineStr">
        <is>
          <t>NOTHING OPEN</t>
        </is>
      </c>
    </row>
    <row r="678" ht="60" customHeight="1">
      <c r="A678" s="3" t="inlineStr">
        <is>
          <t>MK-XS-F-176</t>
        </is>
      </c>
      <c r="B678" s="3" t="inlineStr">
        <is>
          <t>useMonthlyStats</t>
        </is>
      </c>
      <c r="C678" s="3" t="inlineStr">
        <is>
          <t>src/store/useStore.ts</t>
        </is>
      </c>
      <c r="D678" s="3" t="n">
        <v>1296</v>
      </c>
      <c r="E678" s="3" t="inlineStr">
        <is>
          <t>2 · DISPLAYED</t>
        </is>
      </c>
      <c r="F678" s="3" t="inlineStr">
        <is>
          <t>── Selectors ──────────────────────────────────────────────────────────</t>
        </is>
      </c>
      <c r="G67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8" s="3" t="inlineStr">
        <is>
          <t>PARTLY READ — some of the code is still showing through; needs a hand pass</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 Uses today's date from the device clock, so the answer changes by itself overnight.</t>
        </is>
      </c>
      <c r="N678" s="3" t="inlineStr">
        <is>
          <t>Yes</t>
        </is>
      </c>
      <c r="O678" s="3" t="inlineStr">
        <is>
          <t>MK-CF-O-002 expenses</t>
        </is>
      </c>
      <c r="P678" s="3" t="n">
        <v>15</v>
      </c>
      <c r="Q67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8" s="3" t="inlineStr">
        <is>
          <t>—</t>
        </is>
      </c>
      <c r="T678" s="3" t="inlineStr">
        <is>
          <t>—</t>
        </is>
      </c>
      <c r="U678" s="3" t="inlineStr">
        <is>
          <t>ACTIVE</t>
        </is>
      </c>
      <c r="V678" s="3" t="inlineStr">
        <is>
          <t>2026-09-12</t>
        </is>
      </c>
      <c r="W678" s="3" t="n"/>
      <c r="X678" s="3" t="n"/>
      <c r="Y678" s="3" t="inlineStr">
        <is>
          <t>NOTHING OPEN</t>
        </is>
      </c>
    </row>
    <row r="679" ht="60" customHeight="1">
      <c r="A679" s="3" t="inlineStr">
        <is>
          <t>MK-XS-F-177</t>
        </is>
      </c>
      <c r="B679" s="3" t="inlineStr">
        <is>
          <t>useCategorySpend</t>
        </is>
      </c>
      <c r="C679" s="3" t="inlineStr">
        <is>
          <t>src/store/useStore.ts</t>
        </is>
      </c>
      <c r="D679" s="3" t="n">
        <v>1353</v>
      </c>
      <c r="E679" s="3" t="inlineStr">
        <is>
          <t>2 · DISPLAYED</t>
        </is>
      </c>
      <c r="F679" s="3" t="inlineStr">
        <is>
          <t>NOT DETERMINED — the code carries no note saying what this is for, and it has no row in the old inventory. Needs reading.</t>
        </is>
      </c>
      <c r="G679" s="11" t="inlineStr">
        <is>
          <t>now = new date()
d = the date date
to date string() = now.to date string()   when budget frequency = 'daily'
d ≥ new date(now.get time() − 7 × 86400000)   when budget frequency = 'weekly'
the answer = get full year() = now.get full year() and get month() = now.get month()
map = {}</t>
        </is>
      </c>
      <c r="H67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1. If category] is missing it counts as zero, so nothing recorded and a real zero look the same.
2. Uses today's date from the device clock, so the answer changes by itself overnight.</t>
        </is>
      </c>
      <c r="N679" s="3" t="inlineStr">
        <is>
          <t>Yes</t>
        </is>
      </c>
      <c r="O679" s="3" t="inlineStr">
        <is>
          <t>1. MK-CF-O-002 expenses
2. MK-CF-F-132 map</t>
        </is>
      </c>
      <c r="P679" s="3" t="n">
        <v>15</v>
      </c>
      <c r="Q67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7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MK-XS-F-178</t>
        </is>
      </c>
      <c r="B680" s="3" t="inlineStr">
        <is>
          <t>useLevel</t>
        </is>
      </c>
      <c r="C680" s="3" t="inlineStr">
        <is>
          <t>src/store/useStore.ts</t>
        </is>
      </c>
      <c r="D680" s="3" t="n">
        <v>1386</v>
      </c>
      <c r="E680" s="3" t="inlineStr">
        <is>
          <t>2 · DISPLAYED</t>
        </is>
      </c>
      <c r="F680" s="3" t="inlineStr">
        <is>
          <t>NOT DETERMINED — the code carries no note saying what this is for, and it has no row in the old inventory. Needs reading.</t>
        </is>
      </c>
      <c r="G680" s="11" t="inlineStr">
        <is>
          <t>xp = use store((s) =&gt; xp)
current = levels[0], next = levels[1]
pct = min(((xp − current.min) ÷ (next.min − current.min)) × 100, 100)   if next.min &gt; current.min
100   otherwise
the answer = { ...current, next, xp, pct }</t>
        </is>
      </c>
      <c r="H680" s="3" t="inlineStr">
        <is>
          <t>Xp is use store((s) =&gt; xp). Current is levels[0], next = levels[1]. Pct: the smaller of ((xp minus current.min) divided by (next.min minus current.min)) times 100 and 100 — when next.min &gt; current.min; 100 — otherwise. The answer is { ...current, next, xp, pct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MK-XS-F-179</t>
        </is>
      </c>
      <c r="B681" s="3" t="inlineStr">
        <is>
          <t>ageToday</t>
        </is>
      </c>
      <c r="C681" s="3" t="inlineStr">
        <is>
          <t>src/domain/profile/calc.ts</t>
        </is>
      </c>
      <c r="D681" s="3" t="n">
        <v>78</v>
      </c>
      <c r="E681" s="3" t="inlineStr">
        <is>
          <t>2 · DISPLAYED</t>
        </is>
      </c>
      <c r="F68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1" s="11" t="inlineStr">
        <is>
          <t>y = number(birth year); if (!y or !number.is finite(y)) return nothing
m = birth month read as a number
current age(y, m, as of)   when m ≥ 1 and m ≤ 12
the answer = as of.get full year() − y</t>
        </is>
      </c>
      <c r="H681" s="3" t="inlineStr">
        <is>
          <t>Y is number(birth year); — when (!y or !number.is finite(y)) return no answer. M is birth month read as a number. When m is at least 1 and m is at most 12, it answers current age(y, m, as of). The answer is as of.get full year() minus y.</t>
        </is>
      </c>
      <c r="I681" s="3" t="inlineStr">
        <is>
          <t>PARTLY READ — some of the code is still showing through; needs a hand pass</t>
        </is>
      </c>
      <c r="J681" s="3" t="inlineStr">
        <is>
          <t>1. birthYear: number | null | undefined
2. birthMonth: number | null | undefined
3. asOf: Date = new Date()</t>
        </is>
      </c>
      <c r="K681" s="3" t="inlineStr">
        <is>
          <t>number | null</t>
        </is>
      </c>
      <c r="L681" s="3" t="inlineStr">
        <is>
          <t>NOT FOUND — a screen calls it, but the words printed beside its answer could not be traced automatically. Needs reading.</t>
        </is>
      </c>
      <c r="M68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1" s="3" t="inlineStr">
        <is>
          <t>Yes</t>
        </is>
      </c>
      <c r="O681" s="3" t="inlineStr">
        <is>
          <t>MK-XS-F-017 currentAge</t>
        </is>
      </c>
      <c r="P681" s="3" t="n">
        <v>1</v>
      </c>
      <c r="Q681" s="3" t="inlineStr">
        <is>
          <t>MK-XS-F-017 currentAge</t>
        </is>
      </c>
      <c r="R681" s="3" t="inlineStr">
        <is>
          <t>MK-XS-F-017 currentAge → MK-XS-F-179 ageToday</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MK-XS-F-180</t>
        </is>
      </c>
      <c r="B682" s="3" t="inlineStr">
        <is>
          <t>declareFigures</t>
        </is>
      </c>
      <c r="C682" s="3" t="inlineStr">
        <is>
          <t>MoneyKeel/functions/_figure-spec.ts</t>
        </is>
      </c>
      <c r="D682" s="3" t="n">
        <v>170</v>
      </c>
      <c r="E682" s="3" t="inlineStr">
        <is>
          <t>3 · DEPENDENT</t>
        </is>
      </c>
      <c r="F682" s="3" t="inlineStr">
        <is>
          <t>Declare the figures a door hands out.</t>
        </is>
      </c>
      <c r="G682" s="11" t="inlineStr">
        <is>
          <t>NOT READ YET — the body is not a shape this can render faithfully, so nothing is claimed rather than something being guessed. It needs reading by hand.</t>
        </is>
      </c>
      <c r="H682" s="3" t="inlineStr">
        <is>
          <t>NOT READ YET — the body is not a shape this can render faithfully, so nothing is claimed rather than something being guessed. It needs reading by hand.</t>
        </is>
      </c>
      <c r="I682" s="3" t="inlineStr">
        <is>
          <t>NOT READ — nothing is claimed rather than something guessed</t>
        </is>
      </c>
      <c r="J682" s="3" t="inlineStr">
        <is>
          <t>f: T</t>
        </is>
      </c>
      <c r="K682" s="3" t="inlineStr">
        <is>
          <t>T</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2026-09-14</t>
        </is>
      </c>
      <c r="W682" s="3" t="n"/>
      <c r="X682" s="3" t="n"/>
      <c r="Y682" s="3" t="inlineStr">
        <is>
          <t>NOTHING OPEN</t>
        </is>
      </c>
    </row>
    <row r="683" ht="60" customHeight="1">
      <c r="A683" s="3" t="inlineStr">
        <is>
          <t>MK-XS-F-181</t>
        </is>
      </c>
      <c r="B683" s="3" t="inlineStr">
        <is>
          <t>merge</t>
        </is>
      </c>
      <c r="C683" s="3" t="inlineStr">
        <is>
          <t>MoneyKeel/functions/figures.ts</t>
        </is>
      </c>
      <c r="D683" s="3" t="n">
        <v>65</v>
      </c>
      <c r="E683" s="3" t="inlineStr">
        <is>
          <t>3 · DEPENDENT (feeds an action only)</t>
        </is>
      </c>
      <c r="F683" s="3" t="inlineStr">
        <is>
          <t>NOT DETERMINED — the code carries no note saying what this is for, and it has no row in the old inventory. Needs reading.</t>
        </is>
      </c>
      <c r="G683" s="11" t="inlineStr">
        <is>
          <t>out = {}
from = {}
the answer = out</t>
        </is>
      </c>
      <c r="H683" s="3" t="inlineStr">
        <is>
          <t>Out is {}. From is {}. The answer is out.</t>
        </is>
      </c>
      <c r="I683" s="3" t="inlineStr">
        <is>
          <t>READ FROM THE CODE — rendered from the expressions the function runs</t>
        </is>
      </c>
      <c r="J683" s="3" t="inlineStr">
        <is>
          <t>Nothing is handed to it</t>
        </is>
      </c>
      <c r="K683" s="3" t="inlineStr">
        <is>
          <t>Record&lt;string, FigureSpec&gt;</t>
        </is>
      </c>
      <c r="L683" s="3" t="inlineStr">
        <is>
          <t>—</t>
        </is>
      </c>
      <c r="M683" s="3" t="inlineStr">
        <is>
          <t>None found in this function — anything it assumes comes from the functions it depends on.</t>
        </is>
      </c>
      <c r="N683" s="3" t="inlineStr">
        <is>
          <t>No</t>
        </is>
      </c>
      <c r="O683" s="3" t="inlineStr">
        <is>
          <t>MK-CF-F-132 map</t>
        </is>
      </c>
      <c r="P683" s="3" t="n">
        <v>1</v>
      </c>
      <c r="Q683" s="3" t="inlineStr">
        <is>
          <t>MK-CF-F-132 map</t>
        </is>
      </c>
      <c r="R683" s="3" t="inlineStr">
        <is>
          <t>MK-CF-F-132 map → MK-XS-F-181 merge</t>
        </is>
      </c>
      <c r="S683" s="3" t="inlineStr">
        <is>
          <t>—</t>
        </is>
      </c>
      <c r="T683" s="3" t="inlineStr">
        <is>
          <t>—</t>
        </is>
      </c>
      <c r="U683" s="3" t="inlineStr">
        <is>
          <t>ACTIVE</t>
        </is>
      </c>
      <c r="V683" s="3" t="inlineStr">
        <is>
          <t>2026-09-14</t>
        </is>
      </c>
      <c r="W683" s="3" t="n"/>
      <c r="X683" s="3" t="n"/>
      <c r="Y683" s="3" t="inlineStr">
        <is>
          <t>NOTHING OPEN</t>
        </is>
      </c>
    </row>
    <row r="684" ht="45" customHeight="1">
      <c r="A684" s="3" t="inlineStr">
        <is>
          <t>MK-XS-F-182</t>
        </is>
      </c>
      <c r="B684" s="3" t="inlineStr">
        <is>
          <t>figureSpec</t>
        </is>
      </c>
      <c r="C684" s="3" t="inlineStr">
        <is>
          <t>MoneyKeel/functions/figures.ts</t>
        </is>
      </c>
      <c r="D684" s="3" t="n">
        <v>99</v>
      </c>
      <c r="E684" s="3" t="inlineStr">
        <is>
          <t>2 · DISPLAYED</t>
        </is>
      </c>
      <c r="F684" s="3" t="inlineStr">
        <is>
          <t>The declaration behind an identifier, or a refusal that names the identifier — never a silent blank.</t>
        </is>
      </c>
      <c r="G684" s="11" t="inlineStr">
        <is>
          <t>spec = FIGURE_REGISTER[id]
the answer = spec</t>
        </is>
      </c>
      <c r="H684" s="3" t="inlineStr">
        <is>
          <t>Spec is FIGURE_REGISTER[id]. The answer is spec.</t>
        </is>
      </c>
      <c r="I684" s="3" t="inlineStr">
        <is>
          <t>READ FROM THE CODE — rendered from the expressions the function runs</t>
        </is>
      </c>
      <c r="J684" s="3" t="inlineStr">
        <is>
          <t>id: string</t>
        </is>
      </c>
      <c r="K684" s="3" t="inlineStr">
        <is>
          <t>FigureSpec</t>
        </is>
      </c>
      <c r="L684" s="3" t="inlineStr">
        <is>
          <t>NOT FOUND — a screen calls it, but the words printed beside its answer could not be traced automatically. Needs reading.</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2026-09-14</t>
        </is>
      </c>
      <c r="W684" s="3" t="n"/>
      <c r="X684" s="3" t="n"/>
      <c r="Y684" s="3" t="inlineStr">
        <is>
          <t>NOTHING OPEN</t>
        </is>
      </c>
    </row>
    <row r="685" ht="60" customHeight="1">
      <c r="A685" s="3" t="inlineStr">
        <is>
          <t>MK-XS-F-183</t>
        </is>
      </c>
      <c r="B685" s="3" t="inlineStr">
        <is>
          <t>writeFigure</t>
        </is>
      </c>
      <c r="C685" s="3" t="inlineStr">
        <is>
          <t>MoneyKeel/functions/_figure-spec.ts</t>
        </is>
      </c>
      <c r="D685" s="3" t="n">
        <v>66</v>
      </c>
      <c r="E685" s="3" t="inlineStr">
        <is>
          <t>2 · DISPLAYED</t>
        </is>
      </c>
      <c r="F685" s="3" t="inlineStr">
        <is>
          <t>WRITE A FIGURE THE WAY THE SCREEN WRITES IT — one writer, two callers (2026-09-28).</t>
        </is>
      </c>
      <c r="G685" s="11" t="inlineStr">
        <is>
          <t>spec.refusal   when value = nothing (or !number.is finite(value) when missing or zero)
body + (opts.spoken ? ` a ${spec.per}` : ` ÷ ${spec.per}`)   when opts.with period and spec.per
body</t>
        </is>
      </c>
      <c r="H685" s="3" t="inlineStr">
        <is>
          <t>When value is missing (or !number.is finite(value) — when missing or zero), it answers spec.refusal. When opts.with period and spec.per, it answers body plus (opts.spoken ? ` a ${spec.per}` : ` divided by ${spec.per}`). body.</t>
        </is>
      </c>
      <c r="I685" s="3" t="inlineStr">
        <is>
          <t>PARTLY READ — some of the code is still showing through; needs a hand pass</t>
        </is>
      </c>
      <c r="J685" s="3" t="inlineStr">
        <is>
          <t>1. spec: FigureSpec
2. value: number | null
3. opts?: { spoken?: boolean; withPeriod?: boolean }</t>
        </is>
      </c>
      <c r="K685" s="3" t="inlineStr">
        <is>
          <t>string</t>
        </is>
      </c>
      <c r="L685" s="3" t="inlineStr">
        <is>
          <t>NOT FOUND — a screen calls it, but the words printed beside its answer could not be traced automatically. Needs reading.</t>
        </is>
      </c>
      <c r="M685" s="3" t="inlineStr">
        <is>
          <t>1. Rounds the answer to 1 decimal place.
2. Shows 2 decimal places.
3. Shows 1 decimal place.</t>
        </is>
      </c>
      <c r="N685" s="3" t="inlineStr">
        <is>
          <t>Yes</t>
        </is>
      </c>
      <c r="O685" s="3" t="inlineStr">
        <is>
          <t>1. MK-ST-F-049 formatMoney
2. MK-ST-F-050 formatMoneyCents
3. MK-ST-F-039 on
4. MK-ST-F-060 verdict</t>
        </is>
      </c>
      <c r="P685" s="3" t="n">
        <v>7</v>
      </c>
      <c r="Q685" s="3" t="inlineStr">
        <is>
          <t>1. MK-ST-F-049 formatMoney
2. MK-ST-F-050 formatMoneyCents
3. MK-ST-F-039 on
4. MK-ST-F-060 verdict
5. MK-ST-F-048 currencySymbol
6. MK-XS-F-122 n
7. MK-ST-F-047 activeCurrency</t>
        </is>
      </c>
      <c r="R68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MK-ST-F-039 on → MK-XS-F-183 writeFigure
7. MK-ST-F-060 verdict → MK-XS-F-183 writeFigure</t>
        </is>
      </c>
      <c r="S685" s="3" t="inlineStr">
        <is>
          <t>—</t>
        </is>
      </c>
      <c r="T685" s="3" t="inlineStr">
        <is>
          <t>—</t>
        </is>
      </c>
      <c r="U685" s="3" t="inlineStr">
        <is>
          <t>ACTIVE</t>
        </is>
      </c>
      <c r="V685" s="3" t="inlineStr">
        <is>
          <t>2026-09-28</t>
        </is>
      </c>
      <c r="W685" s="3" t="n"/>
      <c r="X685" s="3" t="n"/>
      <c r="Y685" s="3" t="inlineStr">
        <is>
          <t>NOTHING OPEN</t>
        </is>
      </c>
    </row>
  </sheetData>
  <autoFilter ref="A1:Y68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108</v>
      </c>
      <c r="C3" s="3" t="n">
        <v>31</v>
      </c>
      <c r="D3" s="3" t="n">
        <v>0</v>
      </c>
      <c r="E3" s="3" t="n">
        <v>60</v>
      </c>
      <c r="F3" s="3" t="n">
        <v>20</v>
      </c>
    </row>
    <row r="4" ht="15" customHeight="1">
      <c r="A4" s="3" t="inlineStr">
        <is>
          <t>2 · DISPLAYED</t>
        </is>
      </c>
      <c r="B4" s="3" t="n">
        <v>260</v>
      </c>
      <c r="C4" s="3" t="n">
        <v>42</v>
      </c>
      <c r="D4" s="3" t="n">
        <v>4</v>
      </c>
      <c r="E4" s="3" t="n">
        <v>63</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213</v>
      </c>
      <c r="C6" s="3" t="n">
        <v>19</v>
      </c>
      <c r="D6" s="3" t="n">
        <v>0</v>
      </c>
      <c r="E6" s="3" t="n">
        <v>23</v>
      </c>
      <c r="F6" s="3" t="n">
        <v>10</v>
      </c>
    </row>
    <row r="7" ht="15" customHeight="1">
      <c r="A7" s="3" t="inlineStr">
        <is>
          <t>3 · DEPENDENT (feeds an action only)</t>
        </is>
      </c>
      <c r="B7" s="3" t="n">
        <v>83</v>
      </c>
      <c r="C7" s="3" t="n">
        <v>15</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683</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30</v>
      </c>
      <c r="C5" s="3" t="n">
        <v>0</v>
      </c>
      <c r="D5" s="3" t="n">
        <v>8</v>
      </c>
      <c r="E5" s="3" t="n">
        <v>15</v>
      </c>
      <c r="F5" s="3" t="n">
        <v>7</v>
      </c>
    </row>
    <row r="6" ht="15" customHeight="1">
      <c r="A6" s="3" t="inlineStr">
        <is>
          <t>Networth</t>
        </is>
      </c>
      <c r="B6" s="3" t="n">
        <v>48</v>
      </c>
      <c r="C6" s="3" t="n">
        <v>0</v>
      </c>
      <c r="D6" s="3" t="n">
        <v>1</v>
      </c>
      <c r="E6" s="3" t="n">
        <v>44</v>
      </c>
      <c r="F6" s="3" t="n">
        <v>3</v>
      </c>
    </row>
    <row r="7" ht="15" customHeight="1">
      <c r="A7" s="3" t="inlineStr">
        <is>
          <t>Performance</t>
        </is>
      </c>
      <c r="B7" s="3" t="n">
        <v>11</v>
      </c>
      <c r="C7" s="3" t="n">
        <v>0</v>
      </c>
      <c r="D7" s="3" t="n">
        <v>3</v>
      </c>
      <c r="E7" s="3" t="n">
        <v>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190</v>
      </c>
      <c r="C10" s="3" t="n">
        <v>1</v>
      </c>
      <c r="D10" s="3" t="n">
        <v>25</v>
      </c>
      <c r="E10" s="3" t="n">
        <v>127</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2026-10-01T19:20:44Z</dcterms:created>
  <dcterms:modified xsi:type="dcterms:W3CDTF">2026-10-01T19:21:26Z</dcterms:modified>
</cp:coreProperties>
</file>