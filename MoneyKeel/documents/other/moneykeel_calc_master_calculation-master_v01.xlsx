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capture-list" sheetId="3" state="visible" r:id="rId3"/>
    <sheet name="multiple_screens" sheetId="4" state="visible" r:id="rId4"/>
    <sheet name="home" sheetId="5" state="visible" r:id="rId5"/>
    <sheet name="networth" sheetId="6" state="visible" r:id="rId6"/>
    <sheet name="performance" sheetId="7" state="visible" r:id="rId7"/>
    <sheet name="plan" sheetId="8" state="visible" r:id="rId8"/>
    <sheet name="cashflow" sheetId="9" state="visible" r:id="rId9"/>
    <sheet name="menu" sheetId="10" state="visible" r:id="rId10"/>
    <sheet name="inputs" sheetId="11" state="visible" r:id="rId11"/>
    <sheet name="database" sheetId="12" state="visible" r:id="rId12"/>
    <sheet name="core_screens" sheetId="13" state="visible" r:id="rId13"/>
    <sheet name="reconciliation" sheetId="14" state="visible" r:id="rId14"/>
    <sheet name="engines-old-tab" sheetId="15" state="visible" r:id="rId15"/>
    <sheet name="functions_from_code" sheetId="16" state="visible" r:id="rId16"/>
    <sheet name="functions_summary" sheetId="17" state="visible" r:id="rId17"/>
    <sheet name="functions_per_metric" sheetId="18" state="visible" r:id="rId18"/>
  </sheets>
  <definedNames>
    <definedName name="_xlnm._FilterDatabase" localSheetId="0" hidden="1">'Reference'!$A$1:$B$166</definedName>
    <definedName name="_xlnm._FilterDatabase" localSheetId="1" hidden="1">'Specification'!$A$1:$D$30</definedName>
    <definedName name="_xlnm._FilterDatabase" localSheetId="2" hidden="1">'capture-list'!$A$1:$F$72</definedName>
    <definedName name="_xlnm._FilterDatabase" localSheetId="3" hidden="1">'multiple_screens'!$A$1:$AO$8</definedName>
    <definedName name="_xlnm._FilterDatabase" localSheetId="4" hidden="1">'home'!$A$1:$AO$18</definedName>
    <definedName name="_xlnm._FilterDatabase" localSheetId="5" hidden="1">'networth'!$A$1:$AO$74</definedName>
    <definedName name="_xlnm._FilterDatabase" localSheetId="6" hidden="1">'performance'!$A$1:$AO$26</definedName>
    <definedName name="_xlnm._FilterDatabase" localSheetId="7" hidden="1">'plan'!$A$1:$AO$47</definedName>
    <definedName name="_xlnm._FilterDatabase" localSheetId="8" hidden="1">'cashflow'!$A$1:$AO$76</definedName>
    <definedName name="_xlnm._FilterDatabase" localSheetId="9" hidden="1">'menu'!$A$1:$AO$41</definedName>
    <definedName name="_xlnm._FilterDatabase" localSheetId="10" hidden="1">'inputs'!$A$1:$J$66</definedName>
    <definedName name="_xlnm._FilterDatabase" localSheetId="11" hidden="1">'database'!$A$1:$G$31</definedName>
    <definedName name="_xlnm._FilterDatabase" localSheetId="12" hidden="1">'core_screens'!$A$1:$D$46</definedName>
    <definedName name="_xlnm._FilterDatabase" localSheetId="13" hidden="1">'reconciliation'!$A$1:$E$68</definedName>
    <definedName name="_xlnm._FilterDatabase" localSheetId="14" hidden="1">'engines-old-tab'!$A$1:$F$63</definedName>
    <definedName name="_xlnm._FilterDatabase" localSheetId="15" hidden="1">'functions_from_code'!$A$1:$Y$732</definedName>
    <definedName name="_xlnm._FilterDatabase" localSheetId="16" hidden="1">'functions_summary'!$A$1:$F$9</definedName>
    <definedName name="_xlnm._FilterDatabase" localSheetId="17" hidden="1">'functions_per_metric'!$A$1:$F$10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1F3864"/>
    </font>
    <font>
      <b val="1"/>
      <color rgb="009C0006"/>
    </font>
    <font>
      <name val="Menlo"/>
      <sz val="10"/>
    </font>
    <font>
      <b val="1"/>
    </font>
    <font>
      <b val="1"/>
      <color rgb="00FFFFFF"/>
      <sz val="11"/>
    </font>
  </fonts>
  <fills count="8">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6" fillId="7" borderId="0" applyAlignment="1" pivotButton="0" quotePrefix="0" xfId="0">
      <alignment vertical="center" wrapText="1"/>
    </xf>
    <xf numFmtId="0" fontId="5" fillId="6"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s>
  <sheetData>
    <row r="1" ht="15" customHeight="1">
      <c r="A1" s="1" t="inlineStr">
        <is>
          <t>Item</t>
        </is>
      </c>
      <c r="B1" s="1" t="inlineStr">
        <is>
          <t>Detail</t>
        </is>
      </c>
    </row>
    <row r="2" ht="60" customHeight="1">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32 questions · 0 input lists · 25 answers.</t>
        </is>
      </c>
    </row>
    <row r="3" ht="60" customHeight="1">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ht="15" customHeight="1">
      <c r="A4" s="4" t="inlineStr">
        <is>
          <t>Date file created</t>
        </is>
      </c>
      <c r="B4" s="3" t="inlineStr">
        <is>
          <t>2026-10-11</t>
        </is>
      </c>
    </row>
    <row r="5" ht="30" customHeight="1">
      <c r="A5" s="4" t="inlineStr">
        <is>
          <t>Date file last modified</t>
        </is>
      </c>
      <c r="B5" s="3" t="inlineStr">
        <is>
          <t>2026-10-11  (stamped by the build, not typed; unchanged when the file is only read)</t>
        </is>
      </c>
    </row>
    <row r="6" ht="60" customHeight="1">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ht="15" customHeight="1">
      <c r="A7" s="4" t="inlineStr"/>
      <c r="B7" s="3" t="inlineStr"/>
    </row>
    <row r="8" ht="60" customHeight="1">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ht="45" customHeight="1">
      <c r="A9" s="4" t="inlineStr">
        <is>
          <t>TAB — Reference</t>
        </is>
      </c>
      <c r="B9" s="3" t="inlineStr">
        <is>
          <t>This tab. What the file is, what each tab holds, what each column means, and what it must comply with.</t>
        </is>
      </c>
    </row>
    <row r="10" ht="60" customHeight="1">
      <c r="A10" s="4" t="inlineStr">
        <is>
          <t>TAB — multiple_screens</t>
        </is>
      </c>
      <c r="B10" s="3" t="inlineStr">
        <is>
          <t>Figures shown on more than one parent screen. A figure lives here ONCE, with every screen and every label it wears listed, so the same figure can never have two definitions.</t>
        </is>
      </c>
    </row>
    <row r="11" ht="30" customHeight="1">
      <c r="A11" s="4" t="inlineStr">
        <is>
          <t>TAB — home</t>
        </is>
      </c>
      <c r="B11" s="3" t="inlineStr">
        <is>
          <t>Figures shown only on Home and the screens reached from it.</t>
        </is>
      </c>
    </row>
    <row r="12" ht="30" customHeight="1">
      <c r="A12" s="4" t="inlineStr">
        <is>
          <t>TAB — networth</t>
        </is>
      </c>
      <c r="B12" s="3" t="inlineStr">
        <is>
          <t>Figures shown only on Net worth and the screens reached from it.</t>
        </is>
      </c>
    </row>
    <row r="13" ht="30" customHeight="1">
      <c r="A13" s="4" t="inlineStr">
        <is>
          <t>TAB — performance</t>
        </is>
      </c>
      <c r="B13" s="3" t="inlineStr">
        <is>
          <t>Figures shown only on Performance and the screens reached from it.</t>
        </is>
      </c>
    </row>
    <row r="14" ht="30" customHeight="1">
      <c r="A14" s="4" t="inlineStr">
        <is>
          <t>TAB — plan</t>
        </is>
      </c>
      <c r="B14" s="3" t="inlineStr">
        <is>
          <t>Figures shown only on Plan and the screens reached from it.</t>
        </is>
      </c>
    </row>
    <row r="15" ht="30" customHeight="1">
      <c r="A15" s="4" t="inlineStr">
        <is>
          <t>TAB — cashflow</t>
        </is>
      </c>
      <c r="B15" s="3" t="inlineStr">
        <is>
          <t>Figures shown only on Cash flow and the screens reached from it.</t>
        </is>
      </c>
    </row>
    <row r="16" ht="30" customHeight="1">
      <c r="A16" s="4" t="inlineStr">
        <is>
          <t>TAB — menu</t>
        </is>
      </c>
      <c r="B16" s="3" t="inlineStr">
        <is>
          <t>Screens reachable only from the menu, and the figures on them.</t>
        </is>
      </c>
    </row>
    <row r="17" ht="60" customHeight="1">
      <c r="A17" s="4" t="inlineStr">
        <is>
          <t>TAB — engines-old-tab</t>
        </is>
      </c>
      <c r="B17" s="3" t="inlineStr">
        <is>
          <t>One row per function identifier — the definitive list every dependency and every figure points at. Carries where the function is implemented, what it answers, and which figures reach it.</t>
        </is>
      </c>
    </row>
    <row r="18" ht="60" customHeight="1">
      <c r="A18" s="4" t="inlineStr">
        <is>
          <t>TAB — functions_per_metric</t>
        </is>
      </c>
      <c r="B18" s="3" t="inlineStr">
        <is>
          <t>By parent screen: how many figures it shows, and how many functions stand behind each one — a single function, two to five, more than five, or none on record.</t>
        </is>
      </c>
    </row>
    <row r="19" ht="60" customHeight="1">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ht="60" customHeight="1">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ht="60" customHeight="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ht="60" customHeight="1">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ht="60" customHeight="1">
      <c r="A23" s="4" t="inlineStr">
        <is>
          <t>TAB — database</t>
        </is>
      </c>
      <c r="B23" s="3" t="inlineStr">
        <is>
          <t>What the app saves in the cloud: where each thing is stored, what it holds, which figures depend on it, how often it is written and at what grain. Also names what is deliberately NOT saved.</t>
        </is>
      </c>
    </row>
    <row r="24" ht="30" customHeight="1">
      <c r="A24" s="4" t="inlineStr">
        <is>
          <t>TAB — inputs</t>
        </is>
      </c>
      <c r="B24" s="3" t="inlineStr">
        <is>
          <t>The raw values the functions need before any calculation happens.</t>
        </is>
      </c>
    </row>
    <row r="25" ht="15" customHeight="1">
      <c r="A25" s="4" t="inlineStr"/>
      <c r="B25" s="3" t="inlineStr"/>
    </row>
    <row r="26" ht="60" customHeight="1">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ht="30" customHeight="1">
      <c r="A27" s="4" t="inlineStr">
        <is>
          <t>COLUMN — Function ID</t>
        </is>
      </c>
      <c r="B27" s="3" t="inlineStr">
        <is>
          <t>That function's identifier, MK-[family]-F-[number], from the functions_from_code tab.</t>
        </is>
      </c>
    </row>
    <row r="28" ht="45" customHeight="1">
      <c r="A28" s="4" t="inlineStr">
        <is>
          <t>COLUMN — Category / File / Line</t>
        </is>
      </c>
      <c r="B28" s="3" t="inlineStr">
        <is>
          <t>On the functions tab: which of the four categories the function falls in, and where it lives in the code.</t>
        </is>
      </c>
    </row>
    <row r="29" ht="60" customHeight="1">
      <c r="A29" s="4" t="inlineStr">
        <is>
          <t>COLUMN — Objective — what this function is for</t>
        </is>
      </c>
      <c r="B29" s="3" t="inlineStr">
        <is>
          <t>Its purpose in one sentence, in the author's own words from the note above it in the code, or from the old inventory. NOT DETERMINED where neither exists.</t>
        </is>
      </c>
    </row>
    <row r="30" ht="60" customHeight="1">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ht="60" customHeight="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ht="60" customHeight="1">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ht="45" customHeight="1">
      <c r="A33" s="4" t="inlineStr">
        <is>
          <t>COLUMN — What it gives back (its output)</t>
        </is>
      </c>
      <c r="B33" s="3" t="inlineStr">
        <is>
          <t>What the function returns. NOT DECLARED means the code does not say, so nothing can check it returns the right kind of thing.</t>
        </is>
      </c>
    </row>
    <row r="34" ht="30" customHeight="1">
      <c r="A34" s="4" t="inlineStr">
        <is>
          <t>COLUMN — Can its answer reach a screen?</t>
        </is>
      </c>
      <c r="B34" s="3" t="inlineStr">
        <is>
          <t>The question that decides whether a function can put a wrong number in front of a person.</t>
        </is>
      </c>
    </row>
    <row r="35" ht="45" customHeight="1">
      <c r="A35" s="4" t="inlineStr">
        <is>
          <t>COLUMN — Figures that name it</t>
        </is>
      </c>
      <c r="B35" s="3" t="inlineStr">
        <is>
          <t>Which metric identifiers reach this function. It travels through the old inventory to get there, so it is only as good as that record.</t>
        </is>
      </c>
    </row>
    <row r="36" ht="45" customHeight="1">
      <c r="A36" s="4" t="inlineStr">
        <is>
          <t>COLUMN — Name in the old inventory</t>
        </is>
      </c>
      <c r="B36" s="3" t="inlineStr">
        <is>
          <t>What the old master called this function, kept only so the link to the earlier file is not lost. The word function is retired.</t>
        </is>
      </c>
    </row>
    <row r="37" ht="45" customHeight="1">
      <c r="A37" s="4" t="inlineStr">
        <is>
          <t>COLUMN — Metric ID</t>
        </is>
      </c>
      <c r="B37" s="3" t="inlineStr">
        <is>
          <t>The identifier of the figure, per moneykeel_naming_spec_unique-identifier_v01.md. Given once, never changed, never reused.</t>
        </is>
      </c>
    </row>
    <row r="38" ht="30" customHeight="1">
      <c r="A38" s="4" t="inlineStr">
        <is>
          <t>COLUMN — Parent Screen Name</t>
        </is>
      </c>
      <c r="B38" s="3" t="inlineStr">
        <is>
          <t>One of: Home, Networth, Performance, Cashflow, Plan, Menu. Menu means reachable only from the menu.</t>
        </is>
      </c>
    </row>
    <row r="39" ht="30" customHeight="1">
      <c r="A39" s="4" t="inlineStr">
        <is>
          <t>COLUMN — Secondary Screen Name</t>
        </is>
      </c>
      <c r="B39" s="3" t="inlineStr">
        <is>
          <t>The screen reached from the parent, or NA when the figure is on the parent screen itself.</t>
        </is>
      </c>
    </row>
    <row r="40" ht="45" customHeight="1">
      <c r="A40" s="4" t="inlineStr">
        <is>
          <t>COLUMN — Name on Screen</t>
        </is>
      </c>
      <c r="B40" s="3" t="inlineStr">
        <is>
          <t>The label copied exactly as it is worded on screen, including capitals. Where a figure wears different labels on different screens, all are listed.</t>
        </is>
      </c>
    </row>
    <row r="41" ht="15" customHeight="1">
      <c r="A41" s="4" t="inlineStr">
        <is>
          <t>COLUMN — Name of Underlying Metric</t>
        </is>
      </c>
      <c r="B41" s="3" t="inlineStr">
        <is>
          <t>The metric's name in the code.</t>
        </is>
      </c>
    </row>
    <row r="42" ht="45" customHeight="1">
      <c r="A42" s="4" t="inlineStr">
        <is>
          <t>COLUMN — Name of Underlying Function</t>
        </is>
      </c>
      <c r="B42" s="3" t="inlineStr">
        <is>
          <t>The function that produces the figure. NOT IN OLD MASTER means the function exists in the code but has no row in the old master file.</t>
        </is>
      </c>
    </row>
    <row r="43" ht="30" customHeight="1">
      <c r="A43" s="4" t="inlineStr">
        <is>
          <t>COLUMN — Inputs it needs (S02)</t>
        </is>
      </c>
      <c r="B43" s="3" t="inlineStr">
        <is>
          <t>Every input the function reads, named. Carried from the old master where it has a row there.</t>
        </is>
      </c>
    </row>
    <row r="44" ht="60" customHeight="1">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ht="45" customHeight="1">
      <c r="A45" s="4" t="inlineStr">
        <is>
          <t>COLUMN — What it says when it cannot be computed (S05)</t>
        </is>
      </c>
      <c r="B45" s="3" t="inlineStr">
        <is>
          <t>The refusal. Written where the function has been read; NOT DETERMINED where it has not, rather than guessed.</t>
        </is>
      </c>
    </row>
    <row r="46" ht="30" customHeight="1">
      <c r="A46" s="4" t="inlineStr">
        <is>
          <t>COLUMN — Grain (S06)</t>
        </is>
      </c>
      <c r="B46" s="3" t="inlineStr">
        <is>
          <t>One figure per what: holding, account, debt, goal, category, month, or person.</t>
        </is>
      </c>
    </row>
    <row r="47" ht="15" customHeight="1">
      <c r="A47" s="4" t="inlineStr">
        <is>
          <t>COLUMN — Period (S07)</t>
        </is>
      </c>
      <c r="B47" s="3" t="inlineStr">
        <is>
          <t>As of when, and over what window.</t>
        </is>
      </c>
    </row>
    <row r="48" ht="60" customHeight="1">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ht="60" customHeight="1">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ht="45" customHeight="1">
      <c r="A50" s="4" t="inlineStr">
        <is>
          <t>COLUMN — Function ID</t>
        </is>
      </c>
      <c r="B50" s="3" t="inlineStr">
        <is>
          <t>Every function in the code carries one, MK-[family]-F-[number]. The family comes from the folder the code sits in.</t>
        </is>
      </c>
    </row>
    <row r="51" ht="60" customHeight="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ht="60" customHeight="1">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ht="60" customHeight="1">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ht="60" customHeight="1">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ht="60" customHeight="1">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ht="60" customHeight="1">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ht="45" customHeight="1">
      <c r="A57" s="4" t="inlineStr">
        <is>
          <t>COLUMN — The chain of functions behind it</t>
        </is>
      </c>
      <c r="B57" s="3" t="inlineStr">
        <is>
          <t>The chain that ends in the function producing this figure, read left to right, taken from the functions tab.</t>
        </is>
      </c>
    </row>
    <row r="58" ht="60" customHeight="1">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ht="60" customHeight="1">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ht="60" customHeight="1">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ht="45" customHeight="1">
      <c r="A61" s="4" t="inlineStr">
        <is>
          <t>COLUMN — YOUR ANSWER — use the same number</t>
        </is>
      </c>
      <c r="B61" s="3" t="inlineStr">
        <is>
          <t>Answer here, starting each answer with the question number. Nothing else in the file needs to line up.</t>
        </is>
      </c>
    </row>
    <row r="62" ht="60" customHeight="1">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ht="60" customHeight="1">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ht="60" customHeight="1">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ht="60" customHeight="1">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ht="60" customHeight="1">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ht="60" customHeight="1">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ht="60" customHeight="1">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ht="45" customHeight="1">
      <c r="A69" s="4" t="inlineStr">
        <is>
          <t>COLUMN — Errors or findings to address</t>
        </is>
      </c>
      <c r="B69" s="3" t="inlineStr">
        <is>
          <t>What is known to be wrong or unproved about this figure, in plain English. Blank means nothing is on record yet — not that nothing is wrong.</t>
        </is>
      </c>
    </row>
    <row r="70" ht="60" customHeight="1">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ht="30" customHeight="1">
      <c r="A71" s="4" t="inlineStr">
        <is>
          <t>COLUMN — Formula (mathematical)</t>
        </is>
      </c>
      <c r="B71" s="3" t="inlineStr">
        <is>
          <t>The rule written as arithmetic, so it can be followed symbol by symbol and checked against the code.</t>
        </is>
      </c>
    </row>
    <row r="72" ht="60" customHeight="1">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ht="45" customHeight="1">
      <c r="A73" s="4" t="inlineStr">
        <is>
          <t>COLUMN — Function ID</t>
        </is>
      </c>
      <c r="B73" s="3" t="inlineStr">
        <is>
          <t>The identifier of that function. Blank where the figure is worked out on the screen itself rather than by an function — which is itself a finding.</t>
        </is>
      </c>
    </row>
    <row r="74" ht="60" customHeight="1">
      <c r="A74" s="4" t="inlineStr">
        <is>
          <t>COLUMN — Your name for it (72-metric file)</t>
        </is>
      </c>
      <c r="B74" s="3" t="inlineStr">
        <is>
          <t>The founder's own name for the same figure, from METRICS-DELIVERABLE-ANSWERED-2026-08-20.xlsx. This column is the bridge between his vocabulary and the code's.</t>
        </is>
      </c>
    </row>
    <row r="75" ht="60" customHeight="1">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ht="60" customHeight="1">
      <c r="A76" s="4" t="inlineStr">
        <is>
          <t>COLUMN — Row status</t>
        </is>
      </c>
      <c r="B76" s="3" t="inlineStr">
        <is>
          <t>VERIFIED with its date means a person read the screen and confirmed the chain. NOT STARTED means the screen has not been read yet. Nothing in between is claimed.</t>
        </is>
      </c>
    </row>
    <row r="77" ht="15" customHeight="1">
      <c r="A77" s="4" t="inlineStr"/>
      <c r="B77" s="3" t="inlineStr"/>
    </row>
    <row r="78" ht="60" customHeight="1">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ht="60" customHeight="1">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ht="60" customHeight="1">
      <c r="A80" s="4" t="inlineStr">
        <is>
          <t>COLUMN — Figures it reaches</t>
        </is>
      </c>
      <c r="B80" s="3" t="inlineStr">
        <is>
          <t>The figures served by the functions above. NONE ON RECORD means those functions are named by no figure in this file — an S21 gap, not proof the input reaches nobody.</t>
        </is>
      </c>
    </row>
    <row r="81" ht="30" customHeight="1">
      <c r="A81" s="4" t="inlineStr">
        <is>
          <t>COLUMN — Input ID</t>
        </is>
      </c>
      <c r="B81" s="3" t="inlineStr">
        <is>
          <t>The identifier of a raw input, per the same standard.</t>
        </is>
      </c>
    </row>
    <row r="82" ht="15" customHeight="1">
      <c r="A82" s="4" t="inlineStr">
        <is>
          <t>COLUMN — Variable name</t>
        </is>
      </c>
      <c r="B82" s="3" t="inlineStr">
        <is>
          <t>What the raw value is called.</t>
        </is>
      </c>
    </row>
    <row r="83" ht="45" customHeight="1">
      <c r="A83" s="4" t="inlineStr">
        <is>
          <t>COLUMN — Source</t>
        </is>
      </c>
      <c r="B83" s="3" t="inlineStr">
        <is>
          <t>Where the value comes from: the person typed it, an institution download, a connected provider, or another function computed it.</t>
        </is>
      </c>
    </row>
    <row r="84" ht="15" customHeight="1">
      <c r="A84" s="4" t="inlineStr"/>
      <c r="B84" s="3" t="inlineStr"/>
    </row>
    <row r="85" ht="30" customHeight="1">
      <c r="A85" s="4" t="inlineStr">
        <is>
          <t>Complies with — naming</t>
        </is>
      </c>
      <c r="B85" s="3" t="inlineStr">
        <is>
          <t>MoneyKeel/documents/standards/moneykeel_naming_spec_file-and-folder-naming_v01.md</t>
        </is>
      </c>
    </row>
    <row r="86" ht="30" customHeight="1">
      <c r="A86" s="4" t="inlineStr">
        <is>
          <t>Complies with — identifiers</t>
        </is>
      </c>
      <c r="B86" s="3" t="inlineStr">
        <is>
          <t>MoneyKeel/documents/standards/moneykeel_naming_spec_unique-identifier_v01.md</t>
        </is>
      </c>
    </row>
    <row r="87" ht="30" customHeight="1">
      <c r="A87" s="4" t="inlineStr">
        <is>
          <t>Complies with — objectives</t>
        </is>
      </c>
      <c r="B87" s="3" t="inlineStr">
        <is>
          <t>MoneyKeel/documents/standards/moneykeel_calc_spec_objectives-and-verification_v01.md</t>
        </is>
      </c>
    </row>
    <row r="88" ht="15" customHeight="1">
      <c r="A88" s="4" t="inlineStr"/>
      <c r="B88" s="3" t="inlineStr"/>
    </row>
    <row r="89" ht="60" customHeight="1">
      <c r="A89" s="4" t="inlineStr">
        <is>
          <t>COVERAGE — screens read so far</t>
        </is>
      </c>
      <c r="B89" s="3" t="inlineStr">
        <is>
          <t>49 of 49. Every screen in the app has been read: the five parent screens, every secondary screen and every menu screen. Twelve screens carry no calculated figure and say so.</t>
        </is>
      </c>
    </row>
    <row r="90" ht="60" customHeight="1">
      <c r="A90" s="4" t="inlineStr">
        <is>
          <t>COVERAGE — what that means</t>
        </is>
      </c>
      <c r="B90" s="3" t="inlineStr">
        <is>
          <t>Every screen in the app is listed on its tab. Only Home carries figures so far; the rest are marked NOT STARTED. A rising count is not completeness while screens remain unread.</t>
        </is>
      </c>
    </row>
    <row r="91" ht="15" customHeight="1">
      <c r="A91" s="4" t="inlineStr">
        <is>
          <t> </t>
        </is>
      </c>
      <c r="B91" s="3" t="inlineStr">
        <is>
          <t> </t>
        </is>
      </c>
    </row>
    <row r="92" ht="60" customHeight="1">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ht="60" customHeight="1">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ht="60" customHeight="1">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ht="60" customHeight="1">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ht="60" customHeight="1">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ht="60" customHeight="1">
      <c r="A97" s="4" t="inlineStr">
        <is>
          <t>AUDIT A04</t>
        </is>
      </c>
      <c r="B97" s="3" t="inlineStr">
        <is>
          <t>This tab describes two columns that no longer exist — Name of Underlying Function, Function ID — and names others with (S02), (S04), (S11) suffixes the headers do not carry.</t>
        </is>
      </c>
    </row>
    <row r="98" ht="60" customHeight="1">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ht="60" customHeight="1">
      <c r="A99" s="4" t="inlineStr">
        <is>
          <t>AUDIT A05</t>
        </is>
      </c>
      <c r="B99" s="3" t="inlineStr">
        <is>
          <t>The Specification runs S01-S15, S18-S21, then S16 and S17. On a tab whose stated purpose is that a piece of work can be named by its number, the numbers are out of order.</t>
        </is>
      </c>
    </row>
    <row r="100" ht="60" customHeight="1">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ht="60" customHeight="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ht="60" customHeight="1">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ht="60" customHeight="1">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ht="60" customHeight="1">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ht="60" customHeight="1">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ht="60" customHeight="1">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ht="60" customHeight="1">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ht="60" customHeight="1">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ht="30" customHeight="1">
      <c r="A109" s="4" t="inlineStr">
        <is>
          <t>AUDIT A17</t>
        </is>
      </c>
      <c r="B109" s="3" t="inlineStr">
        <is>
          <t>"Uses a built-in i of 0", on 11 functions, is the loop counter — let i = 0.</t>
        </is>
      </c>
    </row>
    <row r="110" ht="60" customHeight="1">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ht="60" customHeight="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ht="60" customHeight="1">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ht="60" customHeight="1">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ht="60" customHeight="1">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ht="60" customHeight="1">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ht="60" customHeight="1">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ht="15" customHeight="1">
      <c r="A117" s="4" t="inlineStr"/>
      <c r="B117" s="3" t="inlineStr"/>
    </row>
    <row r="118" ht="60" customHeight="1">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ht="60" customHeight="1">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ht="60" customHeight="1">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ht="45" customHeight="1">
      <c r="A121" s="4" t="inlineStr">
        <is>
          <t>PUBLISHED SOURCE — STANDARD_DEDUCTION</t>
        </is>
      </c>
      <c r="B121" s="3" t="inlineStr">
        <is>
          <t xml:space="preserve">Standard deduction, single · IRS Rev. Proc. 2025-32 §2.15 · valid through 2026 · checked 2026-09-01 · src/domain/income/tax.ts · </t>
        </is>
      </c>
    </row>
    <row r="122" ht="60" customHeight="1">
      <c r="A122" s="4" t="inlineStr">
        <is>
          <t>PUBLISHED SOURCE — SENIOR_DEDUCTION</t>
        </is>
      </c>
      <c r="B122" s="3" t="inlineStr">
        <is>
          <t>$6,000 per person 65+, phased out 6% above $75,000 / $150,000 · P.L. 119-21 §70103 (IRC §151(d)(5)) · valid through 2028 · checked 2026-09-08 · src/domain/income/tax.ts · lapses after tax year 2028</t>
        </is>
      </c>
    </row>
    <row r="123" ht="60" customHeight="1">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ht="60" customHeight="1">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ht="60" customHeight="1">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ht="60" customHeight="1">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ht="60" customHeight="1">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ht="60" customHeight="1">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ht="60" customHeight="1">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ht="60" customHeight="1">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ht="60" customHeight="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ht="60" customHeight="1">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ht="60" customHeight="1">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ht="15" customHeight="1">
      <c r="A134" s="4" t="inlineStr"/>
      <c r="B134" s="3" t="inlineStr"/>
    </row>
    <row r="135" ht="60" customHeight="1">
      <c r="A135" s="4" t="inlineStr">
        <is>
          <t>BENCHMARK RETURNS — the per-class figures the projections and the odds run on</t>
        </is>
      </c>
      <c r="B135" s="3" t="inlineStr">
        <is>
          <t>One row per account kind: the return the code assumes (ASSET_KINDS.ret), where it comes from and over what period (BENCHMARK_META). A row marked ESTIMATE is a flagged guess, not a measured series. Read from the code on every build.</t>
        </is>
      </c>
    </row>
    <row r="136" ht="30" customHeight="1">
      <c r="A136" s="4" t="inlineStr">
        <is>
          <t>BENCHMARK — Checking</t>
        </is>
      </c>
      <c r="B136" s="3" t="inlineStr">
        <is>
          <t>0.5% a year · Interest checking, ~0% · current · ESTIMATE</t>
        </is>
      </c>
    </row>
    <row r="137" ht="15" customHeight="1">
      <c r="A137" s="4" t="inlineStr">
        <is>
          <t>BENCHMARK — Savings</t>
        </is>
      </c>
      <c r="B137" s="3" t="inlineStr">
        <is>
          <t>2.4% a year · 3-mo Treasury bill (cash) · 30-yr</t>
        </is>
      </c>
    </row>
    <row r="138" ht="30" customHeight="1">
      <c r="A138" s="4" t="inlineStr">
        <is>
          <t>BENCHMARK — High-yield savings</t>
        </is>
      </c>
      <c r="B138" s="3" t="inlineStr">
        <is>
          <t>4.2% a year · no benchmark named in the code · — · ESTIMATE</t>
        </is>
      </c>
    </row>
    <row r="139" ht="30" customHeight="1">
      <c r="A139" s="4" t="inlineStr">
        <is>
          <t>BENCHMARK — Money market</t>
        </is>
      </c>
      <c r="B139" s="3" t="inlineStr">
        <is>
          <t>4.5% a year · no benchmark named in the code · — · ESTIMATE</t>
        </is>
      </c>
    </row>
    <row r="140" ht="30" customHeight="1">
      <c r="A140" s="4" t="inlineStr">
        <is>
          <t>BENCHMARK — CD</t>
        </is>
      </c>
      <c r="B140" s="3" t="inlineStr">
        <is>
          <t>4.2% a year · no benchmark named in the code · — · ESTIMATE</t>
        </is>
      </c>
    </row>
    <row r="141" ht="30" customHeight="1">
      <c r="A141" s="4" t="inlineStr">
        <is>
          <t>BENCHMARK — Cash management</t>
        </is>
      </c>
      <c r="B141" s="3" t="inlineStr">
        <is>
          <t>3.5% a year · no benchmark named in the code · — · ESTIMATE</t>
        </is>
      </c>
    </row>
    <row r="142" ht="30" customHeight="1">
      <c r="A142" s="4" t="inlineStr">
        <is>
          <t>BENCHMARK — Foreign currency</t>
        </is>
      </c>
      <c r="B142" s="3" t="inlineStr">
        <is>
          <t>0.0% a year · no benchmark named in the code · — · ESTIMATE</t>
        </is>
      </c>
    </row>
    <row r="143" ht="30" customHeight="1">
      <c r="A143" s="4" t="inlineStr">
        <is>
          <t>BENCHMARK — Brokerage</t>
        </is>
      </c>
      <c r="B143" s="3" t="inlineStr">
        <is>
          <t>8.0% a year · Blended taxable portfolio · 30-yr · ESTIMATE</t>
        </is>
      </c>
    </row>
    <row r="144" ht="15" customHeight="1">
      <c r="A144" s="4" t="inlineStr">
        <is>
          <t>BENCHMARK — Stocks / Funds</t>
        </is>
      </c>
      <c r="B144" s="3" t="inlineStr">
        <is>
          <t>10.4% a year · S&amp;P 500 total return · 30-yr</t>
        </is>
      </c>
    </row>
    <row r="145" ht="15" customHeight="1">
      <c r="A145" s="4" t="inlineStr">
        <is>
          <t>BENCHMARK — Fixed income</t>
        </is>
      </c>
      <c r="B145" s="3" t="inlineStr">
        <is>
          <t>4.2% a year · US Aggregate Bond index · 30-yr</t>
        </is>
      </c>
    </row>
    <row r="146" ht="30" customHeight="1">
      <c r="A146" s="4" t="inlineStr">
        <is>
          <t>BENCHMARK — Crypto</t>
        </is>
      </c>
      <c r="B146" s="3" t="inlineStr">
        <is>
          <t>8.0% a year · No long-run benchmark — set your own · — · ESTIMATE</t>
        </is>
      </c>
    </row>
    <row r="147" ht="30" customHeight="1">
      <c r="A147" s="4" t="inlineStr">
        <is>
          <t>BENCHMARK — Private equity</t>
        </is>
      </c>
      <c r="B147" s="3" t="inlineStr">
        <is>
          <t>13.0% a year · Cambridge Associates US PE · ~25-yr · ESTIMATE</t>
        </is>
      </c>
    </row>
    <row r="148" ht="30" customHeight="1">
      <c r="A148" s="4" t="inlineStr">
        <is>
          <t>BENCHMARK — Hedge funds</t>
        </is>
      </c>
      <c r="B148" s="3" t="inlineStr">
        <is>
          <t>6.0% a year · HFRI Fund Weighted Composite · ~10-yr · ESTIMATE</t>
        </is>
      </c>
    </row>
    <row r="149" ht="15" customHeight="1">
      <c r="A149" s="4" t="inlineStr">
        <is>
          <t>BENCHMARK — Gold / commodities</t>
        </is>
      </c>
      <c r="B149" s="3" t="inlineStr">
        <is>
          <t>8.2% a year · Gold (SPDR GLD) · 30-yr</t>
        </is>
      </c>
    </row>
    <row r="150" ht="30" customHeight="1">
      <c r="A150" s="4" t="inlineStr">
        <is>
          <t>BENCHMARK — Options</t>
        </is>
      </c>
      <c r="B150" s="3" t="inlineStr">
        <is>
          <t>5.0% a year · no benchmark named in the code · — · ESTIMATE</t>
        </is>
      </c>
    </row>
    <row r="151" ht="30" customHeight="1">
      <c r="A151" s="4" t="inlineStr">
        <is>
          <t>BENCHMARK — Annuities</t>
        </is>
      </c>
      <c r="B151" s="3" t="inlineStr">
        <is>
          <t>4.5% a year · Typical fixed-annuity rate · current · ESTIMATE</t>
        </is>
      </c>
    </row>
    <row r="152" ht="30" customHeight="1">
      <c r="A152" s="4" t="inlineStr">
        <is>
          <t>BENCHMARK — 529 / College</t>
        </is>
      </c>
      <c r="B152" s="3" t="inlineStr">
        <is>
          <t>7.0% a year · Age-based 529 blend · assumed · ESTIMATE</t>
        </is>
      </c>
    </row>
    <row r="153" ht="30" customHeight="1">
      <c r="A153" s="4" t="inlineStr">
        <is>
          <t>BENCHMARK — Other</t>
        </is>
      </c>
      <c r="B153" s="3" t="inlineStr">
        <is>
          <t>5.0% a year · Generic blended estimate · — · ESTIMATE</t>
        </is>
      </c>
    </row>
    <row r="154" ht="30" customHeight="1">
      <c r="A154" s="4" t="inlineStr">
        <is>
          <t>BENCHMARK — 401(k)</t>
        </is>
      </c>
      <c r="B154" s="3" t="inlineStr">
        <is>
          <t>7.9% a year · no benchmark named in the code · — · ESTIMATE</t>
        </is>
      </c>
    </row>
    <row r="155" ht="15" customHeight="1">
      <c r="A155" s="4" t="inlineStr">
        <is>
          <t>BENCHMARK — Traditional IRA</t>
        </is>
      </c>
      <c r="B155" s="3" t="inlineStr">
        <is>
          <t>7.9% a year · Assumed 60/40 mix · 30-yr · ESTIMATE</t>
        </is>
      </c>
    </row>
    <row r="156" ht="15" customHeight="1">
      <c r="A156" s="4" t="inlineStr">
        <is>
          <t>BENCHMARK — Roth IRA</t>
        </is>
      </c>
      <c r="B156" s="3" t="inlineStr">
        <is>
          <t>7.9% a year · Assumed 60/40 mix · 30-yr · ESTIMATE</t>
        </is>
      </c>
    </row>
    <row r="157" ht="30" customHeight="1">
      <c r="A157" s="4" t="inlineStr">
        <is>
          <t>BENCHMARK — HSA</t>
        </is>
      </c>
      <c r="B157" s="3" t="inlineStr">
        <is>
          <t>7.9% a year · Invested HSA, assumed 60/40 · 30-yr · ESTIMATE</t>
        </is>
      </c>
    </row>
    <row r="158" ht="30" customHeight="1">
      <c r="A158" s="4" t="inlineStr">
        <is>
          <t>BENCHMARK — Home</t>
        </is>
      </c>
      <c r="B158" s="3" t="inlineStr">
        <is>
          <t>4.5% a year · Case-Shiller US home price (nominal) · 30-yr</t>
        </is>
      </c>
    </row>
    <row r="159" ht="60" customHeight="1">
      <c r="A159" s="4" t="inlineStr">
        <is>
          <t>FOUNDER COMMENTS 2026-08-26</t>
        </is>
      </c>
      <c r="B159"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0" ht="60" customHeight="1">
      <c r="A160" s="4" t="inlineStr">
        <is>
          <t>STATUTORY TABLE 2026 — federal income tax bands</t>
        </is>
      </c>
      <c r="B160"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1" ht="60" customHeight="1">
      <c r="A161" s="4" t="inlineStr">
        <is>
          <t>STATUTORY TABLE 2026 — standard deduction and age-65 add-on</t>
        </is>
      </c>
      <c r="B161"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2" ht="60" customHeight="1">
      <c r="A162" s="4" t="inlineStr">
        <is>
          <t>STATUTORY TABLE 2025–2028 — senior deduction</t>
        </is>
      </c>
      <c r="B162"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3" ht="60" customHeight="1">
      <c r="A163" s="4" t="inlineStr">
        <is>
          <t>STATUTORY TABLE 2026 — long-term capital gains bands</t>
        </is>
      </c>
      <c r="B163"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4" ht="60" customHeight="1">
      <c r="A164" s="4" t="inlineStr">
        <is>
          <t>SECOND VERIFICATION — WHERE EACH RULING STANDS (2026-09-08)</t>
        </is>
      </c>
      <c r="B164"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5" ht="60" customHeight="1">
      <c r="A165" s="4" t="inlineStr">
        <is>
          <t>FOUNDER FILES FOLDED IN (2026-09-10)</t>
        </is>
      </c>
      <c r="B165"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6" ht="60" customHeight="1">
      <c r="A166" s="4" t="inlineStr">
        <is>
          <t>JJ FEEDBACK — where his files live</t>
        </is>
      </c>
      <c r="B166"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autoFilter ref="A1:B16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ht="30" customHeight="1">
      <c r="A1" s="1" t="inlineStr">
        <is>
          <t>No.</t>
        </is>
      </c>
      <c r="B1" s="1" t="inlineStr">
        <is>
          <t>What is needed</t>
        </is>
      </c>
      <c r="C1" s="1" t="inlineStr">
        <is>
          <t>Why it is needed</t>
        </is>
      </c>
      <c r="D1" s="1" t="inlineStr">
        <is>
          <t>Where it stands in this file today</t>
        </is>
      </c>
    </row>
    <row r="2" ht="15" customHeight="1">
      <c r="A2" s="3" t="inlineStr"/>
      <c r="B2" s="5" t="inlineStr">
        <is>
          <t>SECTION — WHAT THE NUMBER IS</t>
        </is>
      </c>
      <c r="C2" s="3" t="inlineStr"/>
      <c r="D2" s="3" t="inlineStr"/>
    </row>
    <row r="3" ht="45" customHeight="1">
      <c r="A3" s="3" t="inlineStr">
        <is>
          <t>S01</t>
        </is>
      </c>
      <c r="B3" s="3" t="inlineStr">
        <is>
          <t>The formula</t>
        </is>
      </c>
      <c r="C3" s="3" t="inlineStr">
        <is>
          <t>The actual rules, both as arithmetic and in plain English, followable by hand.</t>
        </is>
      </c>
      <c r="D3" s="3" t="inlineStr">
        <is>
          <t>COMPLETE — 217 of 217 active figures carry both forms.</t>
        </is>
      </c>
    </row>
    <row r="4" ht="60" customHeight="1">
      <c r="A4" s="3"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ht="60" customHeight="1">
      <c r="A5" s="3"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ht="60" customHeight="1">
      <c r="A6" s="3"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ht="60" customHeight="1">
      <c r="A7" s="3"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ht="60" customHeight="1">
      <c r="A8" s="3"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ht="60" customHeight="1">
      <c r="A9" s="3" t="inlineStr">
        <is>
          <t>S07</t>
        </is>
      </c>
      <c r="B9" s="3" t="inlineStr">
        <is>
          <t>The period</t>
        </is>
      </c>
      <c r="C9" s="3" t="inlineStr">
        <is>
          <t>As of when, and over what window.</t>
        </is>
      </c>
      <c r="D9" s="3" t="inlineStr">
        <is>
          <t>PARTIAL — derived by rule on every figure and marked as derived; not read from the function (G33).</t>
        </is>
      </c>
    </row>
    <row r="10" ht="15" customHeight="1">
      <c r="A10" s="3" t="inlineStr"/>
      <c r="B10" s="5" t="inlineStr">
        <is>
          <t>SECTION — WHAT PROVES IT</t>
        </is>
      </c>
      <c r="C10" s="3" t="inlineStr"/>
      <c r="D10" s="3" t="inlineStr"/>
    </row>
    <row r="11" ht="60" customHeight="1">
      <c r="A11" s="3"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ht="60" customHeight="1">
      <c r="A12" s="3"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ht="60" customHeight="1">
      <c r="A13" s="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ht="15" customHeight="1">
      <c r="A14" s="3" t="inlineStr"/>
      <c r="B14" s="5" t="inlineStr">
        <is>
          <t>SECTION — WHAT CONNECTS IT</t>
        </is>
      </c>
      <c r="C14" s="3" t="inlineStr"/>
      <c r="D14" s="3" t="inlineStr"/>
    </row>
    <row r="15" ht="60" customHeight="1">
      <c r="A15" s="3"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ht="60" customHeight="1">
      <c r="A16" s="3"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730, read from the code on this build. PARTIAL for figures: 31 of 217 active figures name no function.</t>
        </is>
      </c>
    </row>
    <row r="17" ht="15" customHeight="1">
      <c r="A17" s="3" t="inlineStr"/>
      <c r="B17" s="5" t="inlineStr">
        <is>
          <t>SECTION — GOVERNANCE</t>
        </is>
      </c>
      <c r="C17" s="3" t="inlineStr"/>
      <c r="D17" s="3" t="inlineStr"/>
    </row>
    <row r="18" ht="60" customHeight="1">
      <c r="A18" s="3" t="inlineStr">
        <is>
          <t>S13</t>
        </is>
      </c>
      <c r="B18" s="3" t="inlineStr">
        <is>
          <t>The founder's verdict</t>
        </is>
      </c>
      <c r="C18" s="3" t="inlineStr">
        <is>
          <t>A row counts as documented only when he has approved it.</t>
        </is>
      </c>
      <c r="D18" s="3" t="inlineStr">
        <is>
          <t>BUILT 2026-09-09 as the rulings tab (from moneykeel_rulings.json): 167 rulings — CODED 10 · RULED 44 · TESTED 113. VERIFIED is his stage alone; the approval columns on the screen tabs (YOUR ANSWER, Inputs — approved list) are where a row gets his verdict.</t>
        </is>
      </c>
    </row>
    <row r="19" ht="30" customHeight="1">
      <c r="A19" s="3" t="inlineStr">
        <is>
          <t>S14</t>
        </is>
      </c>
      <c r="B19" s="3" t="inlineStr">
        <is>
          <t>Lifecycle</t>
        </is>
      </c>
      <c r="C19" s="3" t="inlineStr">
        <is>
          <t>Live, cut, or superseded by another identifier.</t>
        </is>
      </c>
      <c r="D19" s="3" t="inlineStr">
        <is>
          <t>NOT STARTED.</t>
        </is>
      </c>
    </row>
    <row r="20" ht="30" customHeight="1">
      <c r="A20" s="3" t="inlineStr"/>
      <c r="B20" s="5" t="inlineStr">
        <is>
          <t>SECTION — NOT ON THE ORIGINAL LIST, STILL NEEDED</t>
        </is>
      </c>
      <c r="C20" s="3" t="inlineStr"/>
      <c r="D20" s="3" t="inlineStr"/>
    </row>
    <row r="21" ht="45" customHeight="1">
      <c r="A21" s="3" t="inlineStr">
        <is>
          <t>S15</t>
        </is>
      </c>
      <c r="B21" s="3" t="inlineStr">
        <is>
          <t>Your name for it, from the 72-metric file</t>
        </is>
      </c>
      <c r="C21" s="3" t="inlineStr">
        <is>
          <t>The bridge between the founder's vocabulary and the code's.</t>
        </is>
      </c>
      <c r="D21" s="3" t="inlineStr">
        <is>
          <t>NOT STARTED — 0 of 163 rows.</t>
        </is>
      </c>
    </row>
    <row r="22" ht="60" customHeight="1">
      <c r="A22" s="3"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ht="60" customHeight="1">
      <c r="A23" s="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ht="60" customHeight="1">
      <c r="A24" s="3"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31 of 217 active figures name no function; counted per screen on the functions_per_metric tab.</t>
        </is>
      </c>
    </row>
    <row r="25" ht="60" customHeight="1">
      <c r="A25" s="3"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ht="60" customHeight="1">
      <c r="A26" s="3"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ht="60" customHeight="1">
      <c r="A27" s="3"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ht="60" customHeight="1">
      <c r="A28" s="3"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730 functions carry both forms on this build: 23 no arithmetic · 26 not read · 363 partly read · 90 read by hand 2026-08-26 · 228 read from the code.</t>
        </is>
      </c>
    </row>
    <row r="29" ht="60" customHeight="1">
      <c r="A29" s="3"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ht="60" customHeight="1">
      <c r="A30" s="3"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autoFilter ref="A1:D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ht="30" customHeight="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ht="15" customHeight="1">
      <c r="A2" s="3" t="inlineStr">
        <is>
          <t>Fixed income</t>
        </is>
      </c>
      <c r="B2" s="3" t="inlineStr">
        <is>
          <t>Holding Institution</t>
        </is>
      </c>
      <c r="C2" s="3" t="inlineStr">
        <is>
          <t>MK-XS-I-003 institution name</t>
        </is>
      </c>
      <c r="D2" s="6" t="inlineStr">
        <is>
          <t>CAPTURED</t>
        </is>
      </c>
      <c r="E2" s="3" t="inlineStr"/>
      <c r="F2" s="3" t="inlineStr"/>
    </row>
    <row r="3" ht="60" customHeight="1">
      <c r="A3" s="3" t="inlineStr">
        <is>
          <t>Fixed income</t>
        </is>
      </c>
      <c r="B3" s="3" t="inlineStr">
        <is>
          <t>Holding Account Number</t>
        </is>
      </c>
      <c r="C3" s="3" t="inlineStr">
        <is>
          <t>—</t>
        </is>
      </c>
      <c r="D3" s="7" t="inlineStr">
        <is>
          <t>NOT CAPTURED</t>
        </is>
      </c>
      <c r="E3" s="3" t="inlineStr">
        <is>
          <t>new</t>
        </is>
      </c>
      <c r="F3" s="3" t="inlineStr">
        <is>
          <t>A connected account keeps the last four digits (the mask); nothing stores the number for a typed account.</t>
        </is>
      </c>
    </row>
    <row r="4" ht="30" customHeight="1">
      <c r="A4" s="3" t="inlineStr">
        <is>
          <t>Fixed income</t>
        </is>
      </c>
      <c r="B4" s="3" t="inlineStr">
        <is>
          <t>Issuer</t>
        </is>
      </c>
      <c r="C4" s="3" t="inlineStr">
        <is>
          <t>—</t>
        </is>
      </c>
      <c r="D4" s="7" t="inlineStr">
        <is>
          <t>NOT CAPTURED</t>
        </is>
      </c>
      <c r="E4" s="3" t="inlineStr">
        <is>
          <t>Q38 (2026-09-08)</t>
        </is>
      </c>
      <c r="F4" s="3" t="inlineStr">
        <is>
          <t>The institution field stands in for the issuer today.</t>
        </is>
      </c>
    </row>
    <row r="5" ht="30" customHeight="1">
      <c r="A5" s="3" t="inlineStr">
        <is>
          <t>Fixed income</t>
        </is>
      </c>
      <c r="B5" s="3" t="inlineStr">
        <is>
          <t>CUSIP / ISIN / Ticker</t>
        </is>
      </c>
      <c r="C5" s="3" t="inlineStr">
        <is>
          <t>—</t>
        </is>
      </c>
      <c r="D5" s="7" t="inlineStr">
        <is>
          <t>NOT CAPTURED</t>
        </is>
      </c>
      <c r="E5" s="3" t="inlineStr">
        <is>
          <t>Q38 (2026-09-08)</t>
        </is>
      </c>
      <c r="F5" s="3" t="inlineStr">
        <is>
          <t>Stocks carry a ticker; a bond record carries none.</t>
        </is>
      </c>
    </row>
    <row r="6" ht="15" customHeight="1">
      <c r="A6" s="3" t="inlineStr">
        <is>
          <t>Fixed income</t>
        </is>
      </c>
      <c r="B6" s="3" t="inlineStr">
        <is>
          <t>Face Value</t>
        </is>
      </c>
      <c r="C6" s="3" t="inlineStr">
        <is>
          <t>MK-XS-I-011 bond face value</t>
        </is>
      </c>
      <c r="D6" s="6" t="inlineStr">
        <is>
          <t>CAPTURED</t>
        </is>
      </c>
      <c r="E6" s="3" t="inlineStr"/>
      <c r="F6" s="3" t="inlineStr"/>
    </row>
    <row r="7" ht="45" customHeight="1">
      <c r="A7" s="3" t="inlineStr">
        <is>
          <t>Fixed income</t>
        </is>
      </c>
      <c r="B7" s="3" t="inlineStr">
        <is>
          <t>Quantity</t>
        </is>
      </c>
      <c r="C7" s="3" t="inlineStr">
        <is>
          <t>—</t>
        </is>
      </c>
      <c r="D7" s="7" t="inlineStr">
        <is>
          <t>NOT CAPTURED</t>
        </is>
      </c>
      <c r="E7" s="3" t="inlineStr">
        <is>
          <t>Q38 (1) (2026-09-08)</t>
        </is>
      </c>
      <c r="F7" s="3" t="inlineStr">
        <is>
          <t>Number of bonds versus total face — your answer decides the field.</t>
        </is>
      </c>
    </row>
    <row r="8" ht="15" customHeight="1">
      <c r="A8" s="3" t="inlineStr">
        <is>
          <t>Fixed income</t>
        </is>
      </c>
      <c r="B8" s="3" t="inlineStr">
        <is>
          <t>Cost Price</t>
        </is>
      </c>
      <c r="C8" s="3" t="inlineStr">
        <is>
          <t>—</t>
        </is>
      </c>
      <c r="D8" s="7" t="inlineStr">
        <is>
          <t>NOT CAPTURED</t>
        </is>
      </c>
      <c r="E8" s="3" t="inlineStr">
        <is>
          <t>Q38 (2026-09-08)</t>
        </is>
      </c>
      <c r="F8" s="3" t="inlineStr"/>
    </row>
    <row r="9" ht="15" customHeight="1">
      <c r="A9" s="3" t="inlineStr">
        <is>
          <t>Fixed income</t>
        </is>
      </c>
      <c r="B9" s="3" t="inlineStr">
        <is>
          <t>Current Price</t>
        </is>
      </c>
      <c r="C9" s="3" t="inlineStr">
        <is>
          <t>—</t>
        </is>
      </c>
      <c r="D9" s="7" t="inlineStr">
        <is>
          <t>NOT CAPTURED</t>
        </is>
      </c>
      <c r="E9" s="3" t="inlineStr">
        <is>
          <t>Q38 (3) (2026-09-08)</t>
        </is>
      </c>
      <c r="F9" s="3" t="inlineStr"/>
    </row>
    <row r="10" ht="30" customHeight="1">
      <c r="A10" s="3" t="inlineStr">
        <is>
          <t>Fixed income</t>
        </is>
      </c>
      <c r="B10" s="3" t="inlineStr">
        <is>
          <t>Current Value</t>
        </is>
      </c>
      <c r="C10" s="3" t="inlineStr">
        <is>
          <t>MK-XS-I-001 / MK-XS-I-049 (the balance entered)</t>
        </is>
      </c>
      <c r="D10" s="6" t="inlineStr">
        <is>
          <t>CAPTURED</t>
        </is>
      </c>
      <c r="E10" s="3" t="inlineStr"/>
      <c r="F10" s="3" t="inlineStr"/>
    </row>
    <row r="11" ht="30" customHeight="1">
      <c r="A11" s="3" t="inlineStr">
        <is>
          <t>Fixed income</t>
        </is>
      </c>
      <c r="B11" s="3" t="inlineStr">
        <is>
          <t>Total Cost</t>
        </is>
      </c>
      <c r="C11" s="3" t="inlineStr">
        <is>
          <t>derived — quantity × cost, once both exist</t>
        </is>
      </c>
      <c r="D11" s="8" t="inlineStr">
        <is>
          <t>DERIVED — blocked</t>
        </is>
      </c>
      <c r="E11" s="3" t="inlineStr">
        <is>
          <t>Q38 (2026-09-08)</t>
        </is>
      </c>
      <c r="F11" s="3" t="inlineStr"/>
    </row>
    <row r="12" ht="30" customHeight="1">
      <c r="A12" s="3" t="inlineStr">
        <is>
          <t>Fixed income</t>
        </is>
      </c>
      <c r="B12" s="3" t="inlineStr">
        <is>
          <t>Unrealized Gain/Loss</t>
        </is>
      </c>
      <c r="C12" s="3" t="inlineStr">
        <is>
          <t>derived — current value − total cost</t>
        </is>
      </c>
      <c r="D12" s="8" t="inlineStr">
        <is>
          <t>DERIVED — blocked</t>
        </is>
      </c>
      <c r="E12" s="3" t="inlineStr">
        <is>
          <t>Q38 (2026-09-08)</t>
        </is>
      </c>
      <c r="F12" s="3" t="inlineStr"/>
    </row>
    <row r="13" ht="45" customHeight="1">
      <c r="A13" s="3" t="inlineStr">
        <is>
          <t>Fixed income</t>
        </is>
      </c>
      <c r="B13" s="3" t="inlineStr">
        <is>
          <t>Purchase Date</t>
        </is>
      </c>
      <c r="C13" s="3" t="inlineStr">
        <is>
          <t>—</t>
        </is>
      </c>
      <c r="D13" s="7" t="inlineStr">
        <is>
          <t>NOT CAPTURED</t>
        </is>
      </c>
      <c r="E13" s="3" t="inlineStr">
        <is>
          <t>Q38 (2026-09-08)</t>
        </is>
      </c>
      <c r="F13" s="3" t="inlineStr">
        <is>
          <t>Stocks keep a purchase date per lot (MK-XS-I-007); bonds do not.</t>
        </is>
      </c>
    </row>
    <row r="14" ht="30" customHeight="1">
      <c r="A14" s="3" t="inlineStr">
        <is>
          <t>Fixed income</t>
        </is>
      </c>
      <c r="B14" s="3" t="inlineStr">
        <is>
          <t>Maturity Date</t>
        </is>
      </c>
      <c r="C14" s="3" t="inlineStr">
        <is>
          <t>MK-XS-I-013 bond maturity date</t>
        </is>
      </c>
      <c r="D14" s="6" t="inlineStr">
        <is>
          <t>CAPTURED</t>
        </is>
      </c>
      <c r="E14" s="3" t="inlineStr"/>
      <c r="F14" s="3" t="inlineStr"/>
    </row>
    <row r="15" ht="15" customHeight="1">
      <c r="A15" s="3" t="inlineStr">
        <is>
          <t>Fixed income</t>
        </is>
      </c>
      <c r="B15" s="3" t="inlineStr">
        <is>
          <t>Coupon</t>
        </is>
      </c>
      <c r="C15" s="3" t="inlineStr">
        <is>
          <t>MK-XS-I-012 bond coupon rate</t>
        </is>
      </c>
      <c r="D15" s="6" t="inlineStr">
        <is>
          <t>CAPTURED</t>
        </is>
      </c>
      <c r="E15" s="3" t="inlineStr"/>
      <c r="F15" s="3" t="inlineStr"/>
    </row>
    <row r="16" ht="45" customHeight="1">
      <c r="A16" s="3" t="inlineStr">
        <is>
          <t>Fixed income</t>
        </is>
      </c>
      <c r="B16" s="3" t="inlineStr">
        <is>
          <t>Frequency of Interest</t>
        </is>
      </c>
      <c r="C16" s="3" t="inlineStr">
        <is>
          <t>—</t>
        </is>
      </c>
      <c r="D16" s="7" t="inlineStr">
        <is>
          <t>NOT CAPTURED</t>
        </is>
      </c>
      <c r="E16" s="3" t="inlineStr">
        <is>
          <t>new</t>
        </is>
      </c>
      <c r="F16" s="3" t="inlineStr">
        <is>
          <t>Needed for accrued interest and the paid-interest calendar.</t>
        </is>
      </c>
    </row>
    <row r="17" ht="45" customHeight="1">
      <c r="A17" s="3" t="inlineStr">
        <is>
          <t>Fixed income</t>
        </is>
      </c>
      <c r="B17" s="3" t="inlineStr">
        <is>
          <t>Annual Income</t>
        </is>
      </c>
      <c r="C17" s="3" t="inlineStr">
        <is>
          <t>derived — MK-NW-F-057 annualCoupon (face × rate; matured bonds to be excluded, JJ-3)</t>
        </is>
      </c>
      <c r="D17" s="8" t="inlineStr">
        <is>
          <t>DERIVED</t>
        </is>
      </c>
      <c r="E17" s="3" t="inlineStr"/>
      <c r="F17" s="3" t="inlineStr"/>
    </row>
    <row r="18" ht="30" customHeight="1">
      <c r="A18" s="3" t="inlineStr">
        <is>
          <t>Fixed income</t>
        </is>
      </c>
      <c r="B18" s="3" t="inlineStr">
        <is>
          <t>Paid Interest</t>
        </is>
      </c>
      <c r="C18" s="3" t="inlineStr">
        <is>
          <t>derived — the ledger's INTEREST rows for the bond</t>
        </is>
      </c>
      <c r="D18" s="8" t="inlineStr">
        <is>
          <t>DERIVED — blocked</t>
        </is>
      </c>
      <c r="E18" s="3" t="inlineStr">
        <is>
          <t>Q38 (2) (2026-09-08)</t>
        </is>
      </c>
      <c r="F18" s="3" t="inlineStr">
        <is>
          <t>'earned interest' in your bond rule.</t>
        </is>
      </c>
    </row>
    <row r="19" ht="15" customHeight="1">
      <c r="A19" s="3" t="inlineStr">
        <is>
          <t>Fixed income</t>
        </is>
      </c>
      <c r="B19" s="3" t="inlineStr">
        <is>
          <t>Accrued Interest</t>
        </is>
      </c>
      <c r="C19" s="3" t="inlineStr">
        <is>
          <t>—</t>
        </is>
      </c>
      <c r="D19" s="7" t="inlineStr">
        <is>
          <t>NOT CAPTURED</t>
        </is>
      </c>
      <c r="E19" s="3" t="inlineStr">
        <is>
          <t>A47 (2026-08-26)</t>
        </is>
      </c>
      <c r="F19" s="3" t="inlineStr"/>
    </row>
    <row r="20" ht="15" customHeight="1">
      <c r="A20" s="3" t="inlineStr">
        <is>
          <t>Stocks / funds</t>
        </is>
      </c>
      <c r="B20" s="3" t="inlineStr">
        <is>
          <t>Holding Institution</t>
        </is>
      </c>
      <c r="C20" s="3" t="inlineStr">
        <is>
          <t>MK-XS-I-003 institution name</t>
        </is>
      </c>
      <c r="D20" s="6" t="inlineStr">
        <is>
          <t>CAPTURED</t>
        </is>
      </c>
      <c r="E20" s="3" t="inlineStr"/>
      <c r="F20" s="3" t="inlineStr"/>
    </row>
    <row r="21" ht="15" customHeight="1">
      <c r="A21" s="3" t="inlineStr">
        <is>
          <t>Stocks / funds</t>
        </is>
      </c>
      <c r="B21" s="3" t="inlineStr">
        <is>
          <t>Holding Account Number</t>
        </is>
      </c>
      <c r="C21" s="3" t="inlineStr">
        <is>
          <t>—</t>
        </is>
      </c>
      <c r="D21" s="7" t="inlineStr">
        <is>
          <t>NOT CAPTURED</t>
        </is>
      </c>
      <c r="E21" s="3" t="inlineStr">
        <is>
          <t>new</t>
        </is>
      </c>
      <c r="F21" s="3" t="inlineStr"/>
    </row>
    <row r="22" ht="45" customHeight="1">
      <c r="A22" s="3" t="inlineStr">
        <is>
          <t>Stocks / funds</t>
        </is>
      </c>
      <c r="B22" s="3" t="inlineStr">
        <is>
          <t>Ticker</t>
        </is>
      </c>
      <c r="C22" s="3" t="inlineStr">
        <is>
          <t>the holding's own ticker — its identity, not an input row</t>
        </is>
      </c>
      <c r="D22" s="6" t="inlineStr">
        <is>
          <t>CAPTURED</t>
        </is>
      </c>
      <c r="E22" s="3" t="inlineStr"/>
      <c r="F22" s="3" t="inlineStr"/>
    </row>
    <row r="23" ht="15" customHeight="1">
      <c r="A23" s="3" t="inlineStr">
        <is>
          <t>Stocks / funds</t>
        </is>
      </c>
      <c r="B23" s="3" t="inlineStr">
        <is>
          <t>Quantity</t>
        </is>
      </c>
      <c r="C23" s="3" t="inlineStr">
        <is>
          <t>MK-XS-I-004 holding quantity</t>
        </is>
      </c>
      <c r="D23" s="6" t="inlineStr">
        <is>
          <t>CAPTURED</t>
        </is>
      </c>
      <c r="E23" s="3" t="inlineStr"/>
      <c r="F23" s="3" t="inlineStr"/>
    </row>
    <row r="24" ht="30" customHeight="1">
      <c r="A24" s="3" t="inlineStr">
        <is>
          <t>Stocks / funds</t>
        </is>
      </c>
      <c r="B24" s="3" t="inlineStr">
        <is>
          <t>Cost Price</t>
        </is>
      </c>
      <c r="C24" s="3" t="inlineStr">
        <is>
          <t>MK-XS-I-007 purchase price per lot</t>
        </is>
      </c>
      <c r="D24" s="6" t="inlineStr">
        <is>
          <t>CAPTURED</t>
        </is>
      </c>
      <c r="E24" s="3" t="inlineStr"/>
      <c r="F24" s="3" t="inlineStr"/>
    </row>
    <row r="25" ht="15" customHeight="1">
      <c r="A25" s="3" t="inlineStr">
        <is>
          <t>Stocks / funds</t>
        </is>
      </c>
      <c r="B25" s="3" t="inlineStr">
        <is>
          <t>Current Price</t>
        </is>
      </c>
      <c r="C25" s="3" t="inlineStr">
        <is>
          <t>MK-XS-I-005 holding price</t>
        </is>
      </c>
      <c r="D25" s="6" t="inlineStr">
        <is>
          <t>CAPTURED</t>
        </is>
      </c>
      <c r="E25" s="3" t="inlineStr"/>
      <c r="F25" s="3" t="inlineStr"/>
    </row>
    <row r="26" ht="30" customHeight="1">
      <c r="A26" s="3" t="inlineStr">
        <is>
          <t>Stocks / funds</t>
        </is>
      </c>
      <c r="B26" s="3" t="inlineStr">
        <is>
          <t>Current Value</t>
        </is>
      </c>
      <c r="C26" s="3" t="inlineStr">
        <is>
          <t>derived — MK-PF-F-004 marketValue</t>
        </is>
      </c>
      <c r="D26" s="8" t="inlineStr">
        <is>
          <t>DERIVED</t>
        </is>
      </c>
      <c r="E26" s="3" t="inlineStr"/>
      <c r="F26" s="3" t="inlineStr"/>
    </row>
    <row r="27" ht="30" customHeight="1">
      <c r="A27" s="3" t="inlineStr">
        <is>
          <t>Stocks / funds</t>
        </is>
      </c>
      <c r="B27" s="3" t="inlineStr">
        <is>
          <t>Total Cost</t>
        </is>
      </c>
      <c r="C27" s="3" t="inlineStr">
        <is>
          <t>derived — MK-PF-F-002 costBasis</t>
        </is>
      </c>
      <c r="D27" s="8" t="inlineStr">
        <is>
          <t>DERIVED</t>
        </is>
      </c>
      <c r="E27" s="3" t="inlineStr"/>
      <c r="F27" s="3" t="inlineStr"/>
    </row>
    <row r="28" ht="30" customHeight="1">
      <c r="A28" s="3" t="inlineStr">
        <is>
          <t>Stocks / funds</t>
        </is>
      </c>
      <c r="B28" s="3" t="inlineStr">
        <is>
          <t>Unrealized Gain/Loss</t>
        </is>
      </c>
      <c r="C28" s="3" t="inlineStr">
        <is>
          <t>derived — MK-PF-F-005 unrealizedGain</t>
        </is>
      </c>
      <c r="D28" s="8" t="inlineStr">
        <is>
          <t>DERIVED</t>
        </is>
      </c>
      <c r="E28" s="3" t="inlineStr"/>
      <c r="F28" s="3" t="inlineStr"/>
    </row>
    <row r="29" ht="30" customHeight="1">
      <c r="A29" s="3" t="inlineStr">
        <is>
          <t>Stocks / funds</t>
        </is>
      </c>
      <c r="B29" s="3" t="inlineStr">
        <is>
          <t>Purchase Date</t>
        </is>
      </c>
      <c r="C29" s="3" t="inlineStr">
        <is>
          <t>MK-XS-I-007 purchase date per lot</t>
        </is>
      </c>
      <c r="D29" s="6" t="inlineStr">
        <is>
          <t>CAPTURED</t>
        </is>
      </c>
      <c r="E29" s="3" t="inlineStr"/>
      <c r="F29" s="3" t="inlineStr"/>
    </row>
    <row r="30" ht="45" customHeight="1">
      <c r="A30" s="3" t="inlineStr">
        <is>
          <t>Stocks / funds</t>
        </is>
      </c>
      <c r="B30" s="3" t="inlineStr">
        <is>
          <t>Dividend</t>
        </is>
      </c>
      <c r="C30" s="3" t="inlineStr">
        <is>
          <t>the ledger's DIVIDEND rows (MK-XS-I-008 · MK-XS-I-009) → MK-NW-M-034</t>
        </is>
      </c>
      <c r="D30" s="6" t="inlineStr">
        <is>
          <t>CAPTURED</t>
        </is>
      </c>
      <c r="E30" s="3" t="inlineStr"/>
      <c r="F30" s="3" t="inlineStr"/>
    </row>
    <row r="31" ht="15" customHeight="1">
      <c r="A31" s="3" t="inlineStr">
        <is>
          <t>Stocks / funds</t>
        </is>
      </c>
      <c r="B31" s="3" t="inlineStr">
        <is>
          <t>Divident Frequency</t>
        </is>
      </c>
      <c r="C31" s="3" t="inlineStr">
        <is>
          <t>—</t>
        </is>
      </c>
      <c r="D31" s="7" t="inlineStr">
        <is>
          <t>NOT CAPTURED</t>
        </is>
      </c>
      <c r="E31" s="3" t="inlineStr">
        <is>
          <t>new</t>
        </is>
      </c>
      <c r="F31" s="3" t="inlineStr"/>
    </row>
    <row r="32" ht="30" customHeight="1">
      <c r="A32" s="3" t="inlineStr">
        <is>
          <t>Stocks / funds</t>
        </is>
      </c>
      <c r="B32" s="3" t="inlineStr">
        <is>
          <t>Annual Income</t>
        </is>
      </c>
      <c r="C32" s="3" t="inlineStr">
        <is>
          <t>derived — the dividend and interest income functions</t>
        </is>
      </c>
      <c r="D32" s="8" t="inlineStr">
        <is>
          <t>DERIVED</t>
        </is>
      </c>
      <c r="E32" s="3" t="inlineStr"/>
      <c r="F32" s="3" t="inlineStr"/>
    </row>
    <row r="33" ht="15" customHeight="1">
      <c r="A33" s="3" t="inlineStr">
        <is>
          <t>Currencies</t>
        </is>
      </c>
      <c r="B33" s="3" t="inlineStr">
        <is>
          <t>Holding Institution</t>
        </is>
      </c>
      <c r="C33" s="3" t="inlineStr">
        <is>
          <t>MK-XS-I-003 institution name</t>
        </is>
      </c>
      <c r="D33" s="6" t="inlineStr">
        <is>
          <t>CAPTURED</t>
        </is>
      </c>
      <c r="E33" s="3" t="inlineStr"/>
      <c r="F33" s="3" t="inlineStr"/>
    </row>
    <row r="34" ht="15" customHeight="1">
      <c r="A34" s="3" t="inlineStr">
        <is>
          <t>Currencies</t>
        </is>
      </c>
      <c r="B34" s="3" t="inlineStr">
        <is>
          <t>Holding Account Number</t>
        </is>
      </c>
      <c r="C34" s="3" t="inlineStr">
        <is>
          <t>—</t>
        </is>
      </c>
      <c r="D34" s="7" t="inlineStr">
        <is>
          <t>NOT CAPTURED</t>
        </is>
      </c>
      <c r="E34" s="3" t="inlineStr">
        <is>
          <t>new</t>
        </is>
      </c>
      <c r="F34" s="3" t="inlineStr"/>
    </row>
    <row r="35" ht="30" customHeight="1">
      <c r="A35" s="3" t="inlineStr">
        <is>
          <t>Currencies</t>
        </is>
      </c>
      <c r="B35" s="3" t="inlineStr">
        <is>
          <t>Currency Code</t>
        </is>
      </c>
      <c r="C35" s="3" t="inlineStr">
        <is>
          <t>—</t>
        </is>
      </c>
      <c r="D35" s="7" t="inlineStr">
        <is>
          <t>NOT CAPTURED</t>
        </is>
      </c>
      <c r="E35" s="3" t="inlineStr">
        <is>
          <t>Q43 · Q09 (2026-09-08)</t>
        </is>
      </c>
      <c r="F35" s="3" t="inlineStr">
        <is>
          <t>No unit on the quantity today (finding S32).</t>
        </is>
      </c>
    </row>
    <row r="36" ht="15" customHeight="1">
      <c r="A36" s="3" t="inlineStr">
        <is>
          <t>Currencies</t>
        </is>
      </c>
      <c r="B36" s="3" t="inlineStr">
        <is>
          <t>Quantity</t>
        </is>
      </c>
      <c r="C36" s="3" t="inlineStr">
        <is>
          <t>MK-XS-I-004 (no unit)</t>
        </is>
      </c>
      <c r="D36" s="6" t="inlineStr">
        <is>
          <t>CAPTURED — no unit</t>
        </is>
      </c>
      <c r="E36" s="3" t="inlineStr">
        <is>
          <t>Q09 (2026-09-08)</t>
        </is>
      </c>
      <c r="F36" s="3" t="inlineStr"/>
    </row>
    <row r="37" ht="15" customHeight="1">
      <c r="A37" s="3" t="inlineStr">
        <is>
          <t>Currencies</t>
        </is>
      </c>
      <c r="B37" s="3" t="inlineStr">
        <is>
          <t>Cost Price</t>
        </is>
      </c>
      <c r="C37" s="3" t="inlineStr">
        <is>
          <t>MK-XS-I-007</t>
        </is>
      </c>
      <c r="D37" s="6" t="inlineStr">
        <is>
          <t>CAPTURED</t>
        </is>
      </c>
      <c r="E37" s="3" t="inlineStr"/>
      <c r="F37" s="3" t="inlineStr"/>
    </row>
    <row r="38" ht="30" customHeight="1">
      <c r="A38" s="3" t="inlineStr">
        <is>
          <t>Currencies</t>
        </is>
      </c>
      <c r="B38" s="3" t="inlineStr">
        <is>
          <t>Current Price</t>
        </is>
      </c>
      <c r="C38" s="3" t="inlineStr">
        <is>
          <t>MK-XS-I-005 — no exchange rate</t>
        </is>
      </c>
      <c r="D38" s="6" t="inlineStr">
        <is>
          <t>CAPTURED — no rate</t>
        </is>
      </c>
      <c r="E38" s="3" t="inlineStr">
        <is>
          <t>Q43 (2026-09-08)</t>
        </is>
      </c>
      <c r="F38" s="3" t="inlineStr"/>
    </row>
    <row r="39" ht="30" customHeight="1">
      <c r="A39" s="3" t="inlineStr">
        <is>
          <t>Currencies</t>
        </is>
      </c>
      <c r="B39" s="3" t="inlineStr">
        <is>
          <t>Current Value</t>
        </is>
      </c>
      <c r="C39" s="3" t="inlineStr">
        <is>
          <t>derived — not converted to dollars today</t>
        </is>
      </c>
      <c r="D39" s="8" t="inlineStr">
        <is>
          <t>DERIVED — blocked</t>
        </is>
      </c>
      <c r="E39" s="3" t="inlineStr">
        <is>
          <t>Q43 (2026-09-08)</t>
        </is>
      </c>
      <c r="F39" s="3" t="inlineStr"/>
    </row>
    <row r="40" ht="15" customHeight="1">
      <c r="A40" s="3" t="inlineStr">
        <is>
          <t>Currencies</t>
        </is>
      </c>
      <c r="B40" s="3" t="inlineStr">
        <is>
          <t>Total Cost</t>
        </is>
      </c>
      <c r="C40" s="3" t="inlineStr">
        <is>
          <t>derived</t>
        </is>
      </c>
      <c r="D40" s="8" t="inlineStr">
        <is>
          <t>DERIVED</t>
        </is>
      </c>
      <c r="E40" s="3" t="inlineStr"/>
      <c r="F40" s="3" t="inlineStr"/>
    </row>
    <row r="41" ht="15" customHeight="1">
      <c r="A41" s="3" t="inlineStr">
        <is>
          <t>Currencies</t>
        </is>
      </c>
      <c r="B41" s="3" t="inlineStr">
        <is>
          <t>Unrealized Gain/Loss</t>
        </is>
      </c>
      <c r="C41" s="3" t="inlineStr">
        <is>
          <t>derived</t>
        </is>
      </c>
      <c r="D41" s="8" t="inlineStr">
        <is>
          <t>DERIVED</t>
        </is>
      </c>
      <c r="E41" s="3" t="inlineStr"/>
      <c r="F41" s="3" t="inlineStr"/>
    </row>
    <row r="42" ht="15" customHeight="1">
      <c r="A42" s="3" t="inlineStr">
        <is>
          <t>Currencies</t>
        </is>
      </c>
      <c r="B42" s="3" t="inlineStr">
        <is>
          <t>Purchase Date</t>
        </is>
      </c>
      <c r="C42" s="3" t="inlineStr">
        <is>
          <t>MK-XS-I-007</t>
        </is>
      </c>
      <c r="D42" s="6" t="inlineStr">
        <is>
          <t>CAPTURED</t>
        </is>
      </c>
      <c r="E42" s="3" t="inlineStr"/>
      <c r="F42" s="3" t="inlineStr"/>
    </row>
    <row r="43" ht="60" customHeight="1">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ht="60" customHeight="1">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ht="60" customHeight="1">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ht="15" customHeight="1">
      <c r="A46" s="3" t="inlineStr">
        <is>
          <t>Crypto</t>
        </is>
      </c>
      <c r="B46" s="3" t="inlineStr">
        <is>
          <t>Holding Institution</t>
        </is>
      </c>
      <c r="C46" s="3" t="inlineStr">
        <is>
          <t>MK-XS-I-003 institution name</t>
        </is>
      </c>
      <c r="D46" s="6" t="inlineStr">
        <is>
          <t>CAPTURED</t>
        </is>
      </c>
      <c r="E46" s="3" t="inlineStr"/>
      <c r="F46" s="3" t="inlineStr"/>
    </row>
    <row r="47" ht="15" customHeight="1">
      <c r="A47" s="3" t="inlineStr">
        <is>
          <t>Crypto</t>
        </is>
      </c>
      <c r="B47" s="3" t="inlineStr">
        <is>
          <t>Holding Account Number</t>
        </is>
      </c>
      <c r="C47" s="3" t="inlineStr">
        <is>
          <t>—</t>
        </is>
      </c>
      <c r="D47" s="7" t="inlineStr">
        <is>
          <t>NOT CAPTURED</t>
        </is>
      </c>
      <c r="E47" s="3" t="inlineStr">
        <is>
          <t>new</t>
        </is>
      </c>
      <c r="F47" s="3" t="inlineStr"/>
    </row>
    <row r="48" ht="45" customHeight="1">
      <c r="A48" s="3" t="inlineStr">
        <is>
          <t>Crypto</t>
        </is>
      </c>
      <c r="B48" s="3" t="inlineStr">
        <is>
          <t>Crypto Symbol</t>
        </is>
      </c>
      <c r="C48" s="3" t="inlineStr">
        <is>
          <t>the holding's own ticker (BTC, ETH mapped to the feed's pairs)</t>
        </is>
      </c>
      <c r="D48" s="6" t="inlineStr">
        <is>
          <t>CAPTURED</t>
        </is>
      </c>
      <c r="E48" s="3" t="inlineStr"/>
      <c r="F48" s="3" t="inlineStr"/>
    </row>
    <row r="49" ht="45" customHeight="1">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ht="15" customHeight="1">
      <c r="A50" s="3" t="inlineStr">
        <is>
          <t>Crypto</t>
        </is>
      </c>
      <c r="B50" s="3" t="inlineStr">
        <is>
          <t>Cost Price</t>
        </is>
      </c>
      <c r="C50" s="3" t="inlineStr">
        <is>
          <t>MK-XS-I-007</t>
        </is>
      </c>
      <c r="D50" s="6" t="inlineStr">
        <is>
          <t>CAPTURED</t>
        </is>
      </c>
      <c r="E50" s="3" t="inlineStr"/>
      <c r="F50" s="3" t="inlineStr"/>
    </row>
    <row r="51" ht="15" customHeight="1">
      <c r="A51" s="3" t="inlineStr">
        <is>
          <t>Crypto</t>
        </is>
      </c>
      <c r="B51" s="3" t="inlineStr">
        <is>
          <t>Current Price</t>
        </is>
      </c>
      <c r="C51" s="3" t="inlineStr">
        <is>
          <t>MK-XS-I-005</t>
        </is>
      </c>
      <c r="D51" s="6" t="inlineStr">
        <is>
          <t>CAPTURED</t>
        </is>
      </c>
      <c r="E51" s="3" t="inlineStr"/>
      <c r="F51" s="3" t="inlineStr"/>
    </row>
    <row r="52" ht="15" customHeight="1">
      <c r="A52" s="3" t="inlineStr">
        <is>
          <t>Crypto</t>
        </is>
      </c>
      <c r="B52" s="3" t="inlineStr">
        <is>
          <t>Current Value</t>
        </is>
      </c>
      <c r="C52" s="3" t="inlineStr">
        <is>
          <t>derived — MK-PF-F-004</t>
        </is>
      </c>
      <c r="D52" s="8" t="inlineStr">
        <is>
          <t>DERIVED</t>
        </is>
      </c>
      <c r="E52" s="3" t="inlineStr"/>
      <c r="F52" s="3" t="inlineStr"/>
    </row>
    <row r="53" ht="15" customHeight="1">
      <c r="A53" s="3" t="inlineStr">
        <is>
          <t>Crypto</t>
        </is>
      </c>
      <c r="B53" s="3" t="inlineStr">
        <is>
          <t>Total Cost</t>
        </is>
      </c>
      <c r="C53" s="3" t="inlineStr">
        <is>
          <t>derived — MK-PF-F-002</t>
        </is>
      </c>
      <c r="D53" s="8" t="inlineStr">
        <is>
          <t>DERIVED</t>
        </is>
      </c>
      <c r="E53" s="3" t="inlineStr"/>
      <c r="F53" s="3" t="inlineStr"/>
    </row>
    <row r="54" ht="15" customHeight="1">
      <c r="A54" s="3" t="inlineStr">
        <is>
          <t>Crypto</t>
        </is>
      </c>
      <c r="B54" s="3" t="inlineStr">
        <is>
          <t>Unrealized Gain/Loss</t>
        </is>
      </c>
      <c r="C54" s="3" t="inlineStr">
        <is>
          <t>derived — MK-PF-F-005</t>
        </is>
      </c>
      <c r="D54" s="8" t="inlineStr">
        <is>
          <t>DERIVED</t>
        </is>
      </c>
      <c r="E54" s="3" t="inlineStr"/>
      <c r="F54" s="3" t="inlineStr"/>
    </row>
    <row r="55" ht="15" customHeight="1">
      <c r="A55" s="3" t="inlineStr">
        <is>
          <t>Crypto</t>
        </is>
      </c>
      <c r="B55" s="3" t="inlineStr">
        <is>
          <t>Purchase Date</t>
        </is>
      </c>
      <c r="C55" s="3" t="inlineStr">
        <is>
          <t>MK-XS-I-007</t>
        </is>
      </c>
      <c r="D55" s="6" t="inlineStr">
        <is>
          <t>CAPTURED</t>
        </is>
      </c>
      <c r="E55" s="3" t="inlineStr"/>
      <c r="F55" s="3" t="inlineStr"/>
    </row>
    <row r="56" ht="15" customHeight="1">
      <c r="A56" s="3" t="inlineStr">
        <is>
          <t>Crypto</t>
        </is>
      </c>
      <c r="B56" s="3" t="inlineStr">
        <is>
          <t>Dividend</t>
        </is>
      </c>
      <c r="C56" s="3" t="inlineStr">
        <is>
          <t>n/a for a coin</t>
        </is>
      </c>
      <c r="D56" s="3" t="inlineStr">
        <is>
          <t>N/A</t>
        </is>
      </c>
      <c r="E56" s="3" t="inlineStr"/>
      <c r="F56" s="3" t="inlineStr"/>
    </row>
    <row r="57" ht="15" customHeight="1">
      <c r="A57" s="3" t="inlineStr">
        <is>
          <t>Crypto</t>
        </is>
      </c>
      <c r="B57" s="3" t="inlineStr">
        <is>
          <t>Divident Frequency</t>
        </is>
      </c>
      <c r="C57" s="3" t="inlineStr">
        <is>
          <t>n/a</t>
        </is>
      </c>
      <c r="D57" s="3" t="inlineStr">
        <is>
          <t>N/A</t>
        </is>
      </c>
      <c r="E57" s="3" t="inlineStr"/>
      <c r="F57" s="3" t="inlineStr"/>
    </row>
    <row r="58" ht="15" customHeight="1">
      <c r="A58" s="3" t="inlineStr">
        <is>
          <t>Crypto</t>
        </is>
      </c>
      <c r="B58" s="3" t="inlineStr">
        <is>
          <t>Annual Income</t>
        </is>
      </c>
      <c r="C58" s="3" t="inlineStr">
        <is>
          <t>n/a</t>
        </is>
      </c>
      <c r="D58" s="3" t="inlineStr">
        <is>
          <t>N/A</t>
        </is>
      </c>
      <c r="E58" s="3" t="inlineStr"/>
      <c r="F58" s="3" t="inlineStr"/>
    </row>
    <row r="59" ht="15" customHeight="1">
      <c r="A59" s="3" t="inlineStr">
        <is>
          <t>Options</t>
        </is>
      </c>
      <c r="B59" s="3" t="inlineStr">
        <is>
          <t>Holding Institution</t>
        </is>
      </c>
      <c r="C59" s="3" t="inlineStr">
        <is>
          <t>MK-XS-I-003</t>
        </is>
      </c>
      <c r="D59" s="6" t="inlineStr">
        <is>
          <t>CAPTURED</t>
        </is>
      </c>
      <c r="E59" s="3" t="inlineStr"/>
      <c r="F59" s="3" t="inlineStr"/>
    </row>
    <row r="60" ht="15" customHeight="1">
      <c r="A60" s="3" t="inlineStr">
        <is>
          <t>Options</t>
        </is>
      </c>
      <c r="B60" s="3" t="inlineStr">
        <is>
          <t>Holding Account Number</t>
        </is>
      </c>
      <c r="C60" s="3" t="inlineStr">
        <is>
          <t>—</t>
        </is>
      </c>
      <c r="D60" s="7" t="inlineStr">
        <is>
          <t>NOT CAPTURED</t>
        </is>
      </c>
      <c r="E60" s="3" t="inlineStr">
        <is>
          <t>new</t>
        </is>
      </c>
      <c r="F60" s="3" t="inlineStr"/>
    </row>
    <row r="61" ht="15" customHeight="1">
      <c r="A61" s="3" t="inlineStr">
        <is>
          <t>Options</t>
        </is>
      </c>
      <c r="B61" s="3" t="inlineStr">
        <is>
          <t>Underlying Stock</t>
        </is>
      </c>
      <c r="C61" s="3" t="inlineStr">
        <is>
          <t>MK-XS-I-034 option positions</t>
        </is>
      </c>
      <c r="D61" s="6" t="inlineStr">
        <is>
          <t>CAPTURED</t>
        </is>
      </c>
      <c r="E61" s="3" t="inlineStr"/>
      <c r="F61" s="3" t="inlineStr"/>
    </row>
    <row r="62" ht="15" customHeight="1">
      <c r="A62" s="3" t="inlineStr">
        <is>
          <t>Options</t>
        </is>
      </c>
      <c r="B62" s="3" t="inlineStr">
        <is>
          <t>Strike Price</t>
        </is>
      </c>
      <c r="C62" s="3" t="inlineStr">
        <is>
          <t>MK-XS-I-034</t>
        </is>
      </c>
      <c r="D62" s="6" t="inlineStr">
        <is>
          <t>CAPTURED</t>
        </is>
      </c>
      <c r="E62" s="3" t="inlineStr"/>
      <c r="F62" s="3" t="inlineStr"/>
    </row>
    <row r="63" ht="15" customHeight="1">
      <c r="A63" s="3" t="inlineStr">
        <is>
          <t>Options</t>
        </is>
      </c>
      <c r="B63" s="3" t="inlineStr">
        <is>
          <t>Expiration Date</t>
        </is>
      </c>
      <c r="C63" s="3" t="inlineStr">
        <is>
          <t>MK-XS-I-034</t>
        </is>
      </c>
      <c r="D63" s="6" t="inlineStr">
        <is>
          <t>CAPTURED</t>
        </is>
      </c>
      <c r="E63" s="3" t="inlineStr"/>
      <c r="F63" s="3" t="inlineStr"/>
    </row>
    <row r="64" ht="15" customHeight="1">
      <c r="A64" s="3" t="inlineStr">
        <is>
          <t>Options</t>
        </is>
      </c>
      <c r="B64" s="3" t="inlineStr">
        <is>
          <t>Option Type</t>
        </is>
      </c>
      <c r="C64" s="3" t="inlineStr">
        <is>
          <t>MK-XS-I-034 (put or call)</t>
        </is>
      </c>
      <c r="D64" s="6" t="inlineStr">
        <is>
          <t>CAPTURED</t>
        </is>
      </c>
      <c r="E64" s="3" t="inlineStr"/>
      <c r="F64" s="3" t="inlineStr"/>
    </row>
    <row r="65" ht="30" customHeight="1">
      <c r="A65" s="3" t="inlineStr">
        <is>
          <t>Options</t>
        </is>
      </c>
      <c r="B65" s="3" t="inlineStr">
        <is>
          <t>Quantity</t>
        </is>
      </c>
      <c r="C65" s="3" t="inlineStr">
        <is>
          <t>MK-XS-I-034 contracts — the ×100 rule not applied</t>
        </is>
      </c>
      <c r="D65" s="6" t="inlineStr">
        <is>
          <t>CAPTURED — rule pending</t>
        </is>
      </c>
      <c r="E65" s="3" t="inlineStr">
        <is>
          <t>Q42 · your Q06 (2026-08-26)</t>
        </is>
      </c>
      <c r="F65" s="3" t="inlineStr"/>
    </row>
    <row r="66" ht="15" customHeight="1">
      <c r="A66" s="3" t="inlineStr">
        <is>
          <t>Options</t>
        </is>
      </c>
      <c r="B66" s="3" t="inlineStr">
        <is>
          <t>Cost Price</t>
        </is>
      </c>
      <c r="C66" s="3" t="inlineStr">
        <is>
          <t>MK-XS-I-007</t>
        </is>
      </c>
      <c r="D66" s="6" t="inlineStr">
        <is>
          <t>CAPTURED</t>
        </is>
      </c>
      <c r="E66" s="3" t="inlineStr"/>
      <c r="F66" s="3" t="inlineStr"/>
    </row>
    <row r="67" ht="15" customHeight="1">
      <c r="A67" s="3" t="inlineStr">
        <is>
          <t>Options</t>
        </is>
      </c>
      <c r="B67" s="3" t="inlineStr">
        <is>
          <t>Current Price</t>
        </is>
      </c>
      <c r="C67" s="3" t="inlineStr">
        <is>
          <t>MK-XS-I-005</t>
        </is>
      </c>
      <c r="D67" s="6" t="inlineStr">
        <is>
          <t>CAPTURED</t>
        </is>
      </c>
      <c r="E67" s="3" t="inlineStr"/>
      <c r="F67" s="3" t="inlineStr"/>
    </row>
    <row r="68" ht="30" customHeight="1">
      <c r="A68" s="3" t="inlineStr">
        <is>
          <t>Options</t>
        </is>
      </c>
      <c r="B68" s="3" t="inlineStr">
        <is>
          <t>Current Value</t>
        </is>
      </c>
      <c r="C68" s="3" t="inlineStr">
        <is>
          <t>derived — MK-PF-F-004, no contract multiplier today</t>
        </is>
      </c>
      <c r="D68" s="8" t="inlineStr">
        <is>
          <t>DERIVED — wrong until Q42</t>
        </is>
      </c>
      <c r="E68" s="3" t="inlineStr">
        <is>
          <t>Q42 (2026-09-08)</t>
        </is>
      </c>
      <c r="F68" s="3" t="inlineStr"/>
    </row>
    <row r="69" ht="15" customHeight="1">
      <c r="A69" s="3" t="inlineStr">
        <is>
          <t>Options</t>
        </is>
      </c>
      <c r="B69" s="3" t="inlineStr">
        <is>
          <t>Total Cost</t>
        </is>
      </c>
      <c r="C69" s="3" t="inlineStr">
        <is>
          <t>derived</t>
        </is>
      </c>
      <c r="D69" s="8" t="inlineStr">
        <is>
          <t>DERIVED</t>
        </is>
      </c>
      <c r="E69" s="3" t="inlineStr"/>
      <c r="F69" s="3" t="inlineStr"/>
    </row>
    <row r="70" ht="15" customHeight="1">
      <c r="A70" s="3" t="inlineStr">
        <is>
          <t>Options</t>
        </is>
      </c>
      <c r="B70" s="3" t="inlineStr">
        <is>
          <t>Unrealized Gain/Loss</t>
        </is>
      </c>
      <c r="C70" s="3" t="inlineStr">
        <is>
          <t>derived</t>
        </is>
      </c>
      <c r="D70" s="8" t="inlineStr">
        <is>
          <t>DERIVED</t>
        </is>
      </c>
      <c r="E70" s="3" t="inlineStr"/>
      <c r="F70" s="3" t="inlineStr"/>
    </row>
    <row r="71" ht="15" customHeight="1">
      <c r="A71" s="3" t="inlineStr">
        <is>
          <t>Options</t>
        </is>
      </c>
      <c r="B71" s="3" t="inlineStr">
        <is>
          <t>Purchase Date</t>
        </is>
      </c>
      <c r="C71" s="3" t="inlineStr">
        <is>
          <t>MK-XS-I-007</t>
        </is>
      </c>
      <c r="D71" s="6" t="inlineStr">
        <is>
          <t>CAPTURED</t>
        </is>
      </c>
      <c r="E71" s="3" t="inlineStr"/>
      <c r="F71" s="3" t="inlineStr"/>
    </row>
    <row r="72" ht="45" customHeight="1">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MK-XS-M-002</t>
        </is>
      </c>
      <c r="B2" s="3" t="inlineStr">
        <is>
          <t>Home · Plan · Cashflow</t>
        </is>
      </c>
      <c r="C2" s="3" t="inlineStr">
        <is>
          <t>NA</t>
        </is>
      </c>
      <c r="D2" s="3" t="inlineStr">
        <is>
          <t>Will my money last / Is my money lasting (odds)</t>
        </is>
      </c>
      <c r="E2" s="3" t="inlineStr">
        <is>
          <t>wil.chance</t>
        </is>
      </c>
      <c r="F2" s="3" t="inlineStr">
        <is>
          <t>selectWillItLast</t>
        </is>
      </c>
      <c r="G2" s="3" t="inlineStr">
        <is>
          <t>1. MK-PL-F-068
2. MK-PL-F-050</t>
        </is>
      </c>
      <c r="H2" s="3" t="inlineStr">
        <is>
          <t>run 1,000 futures; in each year: balance ← balance × (1 + random return) − (expenses − guaranteed income);  odds = futures that never run out ÷ 1,000</t>
        </is>
      </c>
      <c r="I2"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2" s="3" t="inlineStr">
        <is>
          <t>1. everything → WILL_IT_LAST_INPUTS  [NOT AN INPUT — another function’s answer; see the dependency column]
2. is a range wanted → withBand  [NOT AN INPUT — a setting or a filter, not data anyone supplies]</t>
        </is>
      </c>
      <c r="K2" s="3" t="inlineStr">
        <is>
          <t>Percent · exact, no rounding — 1,000 futures give it to a tenth (founder, 2026-09-14)  [derived by rule — confirm]</t>
        </is>
      </c>
      <c r="L2" s="3" t="inlineStr">
        <is>
          <t>No odds at all until the three facts are answered. A sample is shown in their place, labelled as a sample, never as the person's own number.</t>
        </is>
      </c>
      <c r="M2" s="3" t="inlineStr">
        <is>
          <t>One figure per person — or per household when two people share one record  [derived by rule — confirm]</t>
        </is>
      </c>
      <c r="N2" s="3" t="inlineStr">
        <is>
          <t>As of today, from the latest figures held  [derived by rule — confirm]</t>
        </is>
      </c>
      <c r="O2"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2"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MK-CF-F-132 map → MK-NW-F-134 carValueNotEnteredNotes → MK-NW-F-031 primaryCarIdOf → MK-NW-F-033 retirementEarmarkedValue → MK-PL-F-068 selectWillItLast
5. MK-ST-F-049 formatMoney → MK-ST-F-053 money → MK-NW-F-134 carValueNotEnteredNotes → MK-NW-F-031 primaryCarIdOf → MK-NW-F-033 retirementEarmarkedValue → MK-PL-F-068 selectWillItLast
6. MK-XS-F-122 n → MK-ST-F-053 money → MK-NW-F-134 carValueNotEnteredNotes → MK-NW-F-031 primaryCarIdOf → MK-NW-F-033 retirementEarmarkedValue → MK-PL-F-068 selectWillItLast
7. primaryCarIdOf (already above — a loop) → MK-NW-F-134 carValueNotEnteredNotes → MK-NW-F-031 primaryCarIdOf → MK-NW-F-033 retirementEarmarkedValue → MK-PL-F-068 selectWillItLast
8. retirementEarmarkedValue (already above — a loop) → MK-NW-F-134 carValueNotEnteredNotes → MK-NW-F-031 primaryCarIdOf → MK-NW-F-033 retirementEarmarkedValue → MK-PL-F-068 selectWillItLast
9. … and 5 more paths</t>
        </is>
      </c>
      <c r="Q2"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45 more, on the functions tab</t>
        </is>
      </c>
      <c r="R2" s="3" t="inlineStr"/>
      <c r="S2" s="3" t="inlineStr">
        <is>
          <t>The odds shown on Home, Plan and Cash flow are rounded to the nearest 5, while the compare tables still show them exact. One figure, two precisions — founder's open question.</t>
        </is>
      </c>
      <c r="T2"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2" s="3" t="inlineStr"/>
      <c r="V2" s="9" t="inlineStr">
        <is>
          <t>Q19 — The odds are rounded to the nearest 5 on screen but shown exact in the compare tables. Round everywhere, or show exact everywhere?</t>
        </is>
      </c>
      <c r="W2" s="9" t="inlineStr">
        <is>
          <t>show exact everywhere</t>
        </is>
      </c>
      <c r="X2" s="3" t="inlineStr"/>
      <c r="Y2" s="3" t="inlineStr">
        <is>
          <t>NOT DETERMINED</t>
        </is>
      </c>
      <c r="Z2" s="3" t="inlineStr">
        <is>
          <t>VERIFIED 2026-08-22</t>
        </is>
      </c>
      <c r="AA2" s="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2" s="3" t="inlineStr">
        <is>
          <t>HAS A FUNCTION — traceable from the screen to the code.</t>
        </is>
      </c>
      <c r="AD2" s="3" t="inlineStr"/>
      <c r="AE2" s="3" t="inlineStr">
        <is>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2" s="3" t="inlineStr">
        <is>
          <t>ACTIVE</t>
        </is>
      </c>
      <c r="AG2" s="3" t="inlineStr">
        <is>
          <t>2026-09-27</t>
        </is>
      </c>
      <c r="AH2" s="3" t="n"/>
      <c r="AI2" s="3" t="n"/>
      <c r="AJ2" s="3" t="inlineStr">
        <is>
          <t>1. MK-XS-I-001 account balance — read by MK-NW-F-031, MK-NW-F-032,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MK-PL-F-068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Q19 · RULED, NOT CODED (Q-PL-1 — one question, one function)</t>
        </is>
      </c>
    </row>
    <row r="3" ht="60" customHeight="1">
      <c r="A3" s="3" t="inlineStr">
        <is>
          <t>MK-XS-M-005</t>
        </is>
      </c>
      <c r="B3" s="3" t="inlineStr">
        <is>
          <t>Home · Cashflow</t>
        </is>
      </c>
      <c r="C3" s="3" t="inlineStr">
        <is>
          <t>NA</t>
        </is>
      </c>
      <c r="D3" s="3" t="inlineStr">
        <is>
          <t>Spent so far · Spent $X of $Y left to spend this month</t>
        </is>
      </c>
      <c r="E3" s="3" t="inlineStr">
        <is>
          <t>bva.spent_total</t>
        </is>
      </c>
      <c r="F3" s="3" t="inlineStr">
        <is>
          <t>budgetVsActual</t>
        </is>
      </c>
      <c r="G3" s="3" t="inlineStr">
        <is>
          <t>MK-CF-F-014</t>
        </is>
      </c>
      <c r="H3" s="3" t="inlineStr">
        <is>
          <t>spent(bucket) = Σ(expenses dated in this month in that bucket, debt payments excluded);  remaining = planned − spent</t>
        </is>
      </c>
      <c r="I3" s="3" t="inlineStr">
        <is>
          <t>Adds up this month’s logged expenses by bucket and sets each against what was planned. Debt payments are deliberately left out, because debt is tracked on its own.</t>
        </is>
      </c>
      <c r="J3" s="3" t="inlineStr">
        <is>
          <t>NOT DETERMINED — no input list on record for this function</t>
        </is>
      </c>
      <c r="K3" s="3" t="inlineStr">
        <is>
          <t>US dollars · held to the cent · shown as whole dollars  [derived by rule — confirm]</t>
        </is>
      </c>
      <c r="L3" s="3" t="inlineStr">
        <is>
          <t>$0, and under it the one line "Nothing entered yet. Log your expenses ›" (mock approved 2026-09-12). A real zero that was entered shows a plain $0 with no line.</t>
        </is>
      </c>
      <c r="M3" s="3" t="inlineStr">
        <is>
          <t>One figure per month  [derived by rule — confirm]</t>
        </is>
      </c>
      <c r="N3" s="3" t="inlineStr">
        <is>
          <t>This calendar month, to today  [derived by rule — confirm]</t>
        </is>
      </c>
      <c r="O3" s="3" t="inlineStr">
        <is>
          <t>1. MK-CF-F-132 (map) → NOT DECLARED — the code does not say what it gives back
2. MK-CF-F-004 (spendBuckets) → NOT DECLARED — the code does not say what it gives back
3. MK-ST-F-052 (toNum) → number
4. MK-CF-F-191 (ym) → NOT DECLARED — the code does not say what it gives back</t>
        </is>
      </c>
      <c r="P3"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Q3" s="3" t="inlineStr">
        <is>
          <t>1. MK-CF-F-014 — Uses today's date from the device clock, so the answer changes by itself overnight.
2. MK-CF-F-003 — Turns a monthly figure into a year by multiplying by twelve.
3. MK-CF-F-092 — Turns a monthly figure into a year by multiplying by twelve.
4. MK-CF-F-092 — Uses today's date from the device clock, so the answer changes by itself overnight.
5. MK-CF-F-092 — Never lets earned before401k fall below 0.
6. MK-CF-F-065 — Uses a built-in total v of 0.
7. MK-CF-F-087 — Uses today's date from the device clock, so the answer changes by itself overnight.
8. MK-CF-F-181 — Turns a monthly figure into a year by multiplying by twelve.
9. MK-CF-F-181 — Rounds the answer to a whole number.
10. MK-CF-F-068 — Turns a monthly figure into a year by multiplying by twelve.
11. MK-CF-F-088 — Uses today's date from the device clock, so the answer changes by itself overnight.
12. MK-CF-F-088 — Never lets t fall below 0.
13. MK-CF-F-177 — Uses today's date from the device clock, so the answer changes by itself overnight.
14. MK-PL-F-012 — If emergency gap is missing it uses 0.
15. MK-PL-F-012 — If toxic debt is missing it uses 0.
16. MK-PL-F-012 — If employer match monthly is missing it uses 0.
17. MK-PL-F-012 — Never lets surplus fall below 0.
18. MK-PL-F-012 — Never lets need fall below 0.
19. MK-CF-F-008 — Treats a year as twelve equal months.
20. MK-CF-F-008 — Turns a monthly figure into a year by multiplying by twelve.
21. MK-CF-F-176 — If r[i] is missing it counts as zero, so nothing recorded and a real zero look the same.
22. MK-CF-F-180 — Uses a built-in total of 0.
23. MK-CF-F-180 — Turns a monthly figure into a year by multiplying by twelve.
24. MK-CF-F-089 — Uses today's date from the device clock, so the answer changes by itself overnight.
25. MK-CF-F-082 — Uses today's date from the device clock, so the answer changes by itself overnight.
… and 52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3" s="3" t="inlineStr">
        <is>
          <t>HAS A FUNCTION — traceable from the screen to the code.</t>
        </is>
      </c>
      <c r="AD3" s="3" t="inlineStr">
        <is>
          <t>B26 — This month · Expenses — the pace bar measures against nothing when no categories are set</t>
        </is>
      </c>
      <c r="AE3"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3" s="3" t="inlineStr">
        <is>
          <t>ACTIVE</t>
        </is>
      </c>
      <c r="AG3" s="3" t="inlineStr">
        <is>
          <t>2026-08-27</t>
        </is>
      </c>
      <c r="AH3" s="3" t="n"/>
      <c r="AI3" s="3" t="n"/>
      <c r="AJ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MK-CF-F-014, MK-CF-F-067, MK-CF-F-068, MK-CF-F-150, MK-CF-F-151,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MK-CF-F-014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(Q-CF-2 — one question, one function) · OPEN FINDING B26</t>
        </is>
      </c>
    </row>
    <row r="4" ht="60" customHeight="1">
      <c r="A4" s="3" t="inlineStr">
        <is>
          <t>MK-XS-M-006</t>
        </is>
      </c>
      <c r="B4" s="3" t="inlineStr">
        <is>
          <t>Home · Cashflow</t>
        </is>
      </c>
      <c r="C4" s="3" t="inlineStr">
        <is>
          <t>NA</t>
        </is>
      </c>
      <c r="D4" s="3" t="inlineStr">
        <is>
          <t>Income · In (received) · In (take-home)</t>
        </is>
      </c>
      <c r="E4" s="3" t="inlineStr">
        <is>
          <t>thisMonthNet</t>
        </is>
      </c>
      <c r="F4" s="3" t="inlineStr">
        <is>
          <t>incomeMonthlyGrid</t>
        </is>
      </c>
      <c r="G4" s="3" t="inlineStr">
        <is>
          <t>MK-CF-F-092</t>
        </is>
      </c>
      <c r="H4" s="3" t="inlineStr">
        <is>
          <t>money in month m = salary(m) + tips(m) + self-employment(m) + rental after costs(m) + investment income(m) + other income(m) + bonus(m) + signing bonus(m) + equity vesting(m) + benefits(m) + family support(m) − withholding(m) − pre-tax contributions(m)</t>
        </is>
      </c>
      <c r="I4" s="3" t="inlineStr">
        <is>
          <t>Builds twelve months of money in, one month at a time. Salary comes from the per-month table, equity lands in the months it vests, the bonus lands in its own month, and each month has its own withholding rate.</t>
        </is>
      </c>
      <c r="J4" s="3" t="inlineStr">
        <is>
          <t>NOT DETERMINED — no input list on record for this function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This calendar month, to today  [derived by rule — confirm]</t>
        </is>
      </c>
      <c r="O4" s="3" t="inlineStr">
        <is>
          <t>1. MK-CF-F-069 (benefitActiveMonths) → number[]
2. MK-CF-F-072 (currentRetirementIncomeMonthly) → number
3. MK-CF-F-173 (earnerWages) → EarnerWage[]
4. MK-CF-F-065 (equityVestWeights) → number[] | null
5. MK-CF-F-071 (extraIncome) → NOT DECLARED — the code does not say what it gives back
6. MK-ST-F-056 (has) → NOT DECLARED — the code does not say what it gives back
7. MK-CF-F-206 (householdK401ByMonth) → number[]
8. MK-CF-F-132 (map) → NOT DECLARED — the code does not say what it gives back
9. MK-CF-F-087 (monthlyTaxRates) → number[]
10. MK-CF-F-073 (otherIncomeMonth) → number
11. MK-CF-F-181 (rateInForce) → RateInForce
12. MK-CF-F-068 (rentalNetAnnual) → number
13. MK-CF-F-066 (rsuAnnual) → number
14. MK-CF-F-060 (salaryGrossByMonth) → number[]
15. MK-CF-F-077 (scholarshipByCalendarMonth) → number[]
16. MK-CF-F-088 (taxableByCalendarMonth) → number[]
17. MK-ST-F-052 (toNum) → number
18. MK-CF-F-177 (wageGrossByMonth) → number[]
19. MK-PL-F-012 (waterfall) → NOT DECLARED — the code does not say what it gives back</t>
        </is>
      </c>
      <c r="P4"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MK-CF-F-176 — If r[i] is missing it counts as zero, so nothing recorded and a real zero look the same.
18. MK-CF-F-180 — Uses a built-in total of 0.
19. MK-CF-F-180 — Turns a monthly figure into a year by multiplying by twelve.
20. MK-CF-F-089 — Uses today's date from the device clock, so the answer changes by itself overnight.
21. MK-CF-F-082 — Uses today's date from the device clock, so the answer changes by itself overnight.
22. MK-CF-F-101 — Never lets state rate fall below 0.
23. MK-CF-F-101 — The 2026 bands per filing status are the Reference tab's statutory table (IRS Rev. Proc. 2025-32 §4.01), checked by statutory_constants.test.ts.
24. MK-CF-F-084 — Turns a monthly figure into a year by multiplying by twelve.
25. MK-CF-F-084 — Uses today's date from the device clock, so the answer changes by itself overnight.
… and 51 more, on the functions tab</t>
        </is>
      </c>
      <c r="R4" s="3" t="inlineStr"/>
      <c r="S4" s="3" t="inlineStr"/>
      <c r="T4" s="3" t="inlineStr">
        <is>
          <t>NOT DETERMINED — no assumption recorded for this figure yet.</t>
        </is>
      </c>
      <c r="U4" s="3" t="inlineStr">
        <is>
          <t>THE SURVIVING IDENTIFIER for this figure. Folded in: MK-CF-M-018. Money in this month. "In (take-home)" on Cash flow is the same figure as "Income" on Home.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4" s="3" t="inlineStr">
        <is>
          <t>HAS A FUNCTION — traceable from the screen to the code.</t>
        </is>
      </c>
      <c r="AD4" s="3" t="inlineStr">
        <is>
          <t>B27 — Base salary · This month — take-home shown up to $1,600/mo adrift from what was typed
B34 — This month · Expenses — dividends counted as spendable, so surplus reads $250/mo too high</t>
        </is>
      </c>
      <c r="AE4"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4" s="3" t="inlineStr">
        <is>
          <t>ACTIVE</t>
        </is>
      </c>
      <c r="AG4" s="3" t="inlineStr">
        <is>
          <t>2026-08-27</t>
        </is>
      </c>
      <c r="AH4" s="3" t="n"/>
      <c r="AI4" s="3" t="n"/>
      <c r="AJ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 · OPEN FINDING B34</t>
        </is>
      </c>
    </row>
    <row r="5" ht="60" customHeight="1">
      <c r="A5" s="3" t="inlineStr">
        <is>
          <t>MK-XS-M-007</t>
        </is>
      </c>
      <c r="B5" s="3" t="inlineStr">
        <is>
          <t>Home · Cashflow</t>
        </is>
      </c>
      <c r="C5" s="3" t="inlineStr">
        <is>
          <t>NA</t>
        </is>
      </c>
      <c r="D5" s="3" t="inlineStr">
        <is>
          <t>Left / Over · left to spend this month</t>
        </is>
      </c>
      <c r="E5" s="3" t="inlineStr">
        <is>
          <t>left</t>
        </is>
      </c>
      <c r="F5" s="3" t="inlineStr">
        <is>
          <t>Worked out on the screen itself — no function behind it</t>
        </is>
      </c>
      <c r="G5" s="3" t="inlineStr"/>
      <c r="H5" s="3" t="inlineStr">
        <is>
          <t>left to spend = money in this month − spent so far</t>
        </is>
      </c>
      <c r="I5" s="3" t="inlineStr">
        <is>
          <t>Worked out on the screen itself, with no function behind it — a place a second definition can appear.</t>
        </is>
      </c>
      <c r="J5" s="3" t="inlineStr">
        <is>
          <t>NOT DETERMINED — no input list on record for this function</t>
        </is>
      </c>
      <c r="K5" s="3" t="inlineStr">
        <is>
          <t>US dollars · held to the cent · shown as whole dollars  [derived by rule — confirm]</t>
        </is>
      </c>
      <c r="L5" s="3" t="inlineStr">
        <is>
          <t>Inherits the refusal of the figures it is built from: if either side is missing, this line is not shown.</t>
        </is>
      </c>
      <c r="M5" s="3" t="inlineStr">
        <is>
          <t>One figure per month  [derived by rule — confirm]</t>
        </is>
      </c>
      <c r="N5" s="3" t="inlineStr">
        <is>
          <t>This calendar month, to today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60" customHeight="1">
      <c r="A6" s="3" t="inlineStr">
        <is>
          <t>MK-XS-M-001</t>
        </is>
      </c>
      <c r="B6" s="3" t="inlineStr">
        <is>
          <t>Home · Networth</t>
        </is>
      </c>
      <c r="C6" s="3" t="inlineStr">
        <is>
          <t>/home · /analytics</t>
        </is>
      </c>
      <c r="D6" s="3" t="inlineStr">
        <is>
          <t>Net worth</t>
        </is>
      </c>
      <c r="E6" s="3" t="inlineStr">
        <is>
          <t>net_worth</t>
        </is>
      </c>
      <c r="F6" s="3" t="inlineStr">
        <is>
          <t>theNetWorth</t>
        </is>
      </c>
      <c r="G6" s="3" t="inlineStr">
        <is>
          <t>MK-NW-O-003</t>
        </is>
      </c>
      <c r="H6" s="3" t="inlineStr">
        <is>
          <t>the sum of every account’s value, minus the sum of every debt’s balance</t>
        </is>
      </c>
      <c r="I6" s="3" t="inlineStr">
        <is>
          <t>the sum of every account’s value, minus the sum of every debt’s balance</t>
        </is>
      </c>
      <c r="J6" s="3" t="inlineStr">
        <is>
          <t>MK-NW-I-001 your accounts
MK-NW-I-002 your debts</t>
        </is>
      </c>
      <c r="K6" s="3" t="inlineStr">
        <is>
          <t>dollars, whole</t>
        </is>
      </c>
      <c r="L6" s="3" t="inlineStr">
        <is>
          <t>$0, and under it the one line "Nothing entered yet. Add your accounts ›" (mock approved 2026-09-12). A real zero that was entered shows a plain $0 with no line.</t>
        </is>
      </c>
      <c r="M6" s="3" t="inlineStr">
        <is>
          <t>one figure per household</t>
        </is>
      </c>
      <c r="N6" s="3" t="inlineStr">
        <is>
          <t>as of today</t>
        </is>
      </c>
      <c r="O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6" s="3" t="inlineStr">
        <is>
          <t>Declared by MK-NW-O-003 theNetWorth</t>
        </is>
      </c>
      <c r="Q6" s="3" t="inlineStr">
        <is>
          <t>NONE RECORDED — the declaration names none.</t>
        </is>
      </c>
      <c r="R6" s="3" t="inlineStr">
        <is>
          <t>NONE RECORDED — the declaration names none.</t>
        </is>
      </c>
      <c r="S6" s="3" t="inlineStr"/>
      <c r="T6" s="3" t="inlineStr">
        <is>
          <t>NONE RECORDED — the declaration names none.</t>
        </is>
      </c>
      <c r="U6" s="3" t="inlineStr">
        <is>
          <t>Home and the Net worth tab print THIS figure. They each built their own before 2026-09-27.</t>
        </is>
      </c>
      <c r="V6" s="3"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6"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6" s="3" t="inlineStr"/>
      <c r="Y6" s="3" t="inlineStr"/>
      <c r="Z6" s="3" t="inlineStr">
        <is>
          <t>DECLARED IN THE CODE (rule 11) — printed from the door, not typed. RULED 2026-09-27</t>
        </is>
      </c>
      <c r="AA6" s="3" t="inlineStr"/>
      <c r="AB6" s="3" t="inlineStr"/>
      <c r="AC6" s="3" t="inlineStr"/>
      <c r="AD6" s="3" t="inlineStr"/>
      <c r="AE6" s="3" t="inlineStr">
        <is>
          <t>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6" s="3" t="inlineStr">
        <is>
          <t>ACTIVE</t>
        </is>
      </c>
      <c r="AG6" s="3" t="inlineStr">
        <is>
          <t>2026-10-11</t>
        </is>
      </c>
      <c r="AH6" s="3" t="inlineStr"/>
      <c r="AI6" s="3" t="inlineStr"/>
      <c r="AJ6"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is>
          <t>Not sure what you want me to approve?</t>
        </is>
      </c>
      <c r="AM6" s="3" t="inlineStr">
        <is>
          <t>TESTED, NOT VERIFIED — you ruled on this row 2026-09-27; the figure, its formula, inputs and refusal live in MK-NW-O-003 theNetWorth</t>
        </is>
      </c>
      <c r="AN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6" s="7" t="inlineStr">
        <is>
          <t>RULED, NOT CODED (Q-NW-1 — one question, one function)</t>
        </is>
      </c>
    </row>
    <row r="7" ht="60" customHeight="1">
      <c r="A7" s="3" t="inlineStr">
        <is>
          <t>MK-XS-M-003</t>
        </is>
      </c>
      <c r="B7" s="3" t="inlineStr">
        <is>
          <t>Home · Networth</t>
        </is>
      </c>
      <c r="C7" s="3" t="inlineStr">
        <is>
          <t>/home · /analytics</t>
        </is>
      </c>
      <c r="D7" s="3" t="inlineStr">
        <is>
          <t>YOUR INVESTMENTS</t>
        </is>
      </c>
      <c r="E7" s="3" t="inlineStr">
        <is>
          <t>your_investments</t>
        </is>
      </c>
      <c r="F7" s="3" t="inlineStr">
        <is>
          <t>theNetWorth</t>
        </is>
      </c>
      <c r="G7" s="3" t="inlineStr">
        <is>
          <t>MK-NW-O-003</t>
        </is>
      </c>
      <c r="H7" s="3" t="inlineStr">
        <is>
          <t>investments = Σ(balance of each account whose class ∈ {Stocks / Funds, Bonds &amp; CDs, Alternatives, Unclassified})</t>
        </is>
      </c>
      <c r="I7" s="3" t="inlineStr">
        <is>
          <t>the sum of every account whose class is stocks, bonds or alternatives</t>
        </is>
      </c>
      <c r="J7" s="3" t="inlineStr">
        <is>
          <t>MK-NW-I-001 your accounts</t>
        </is>
      </c>
      <c r="K7" s="3" t="inlineStr">
        <is>
          <t>dollars, whole</t>
        </is>
      </c>
      <c r="L7" s="3" t="inlineStr">
        <is>
          <t>$0, and under it the one line "Nothing entered yet. Add your accounts ›" (mock approved 2026-09-12). A real zero that was entered shows a plain $0 with no line.</t>
        </is>
      </c>
      <c r="M7" s="3" t="inlineStr">
        <is>
          <t>one figure per household</t>
        </is>
      </c>
      <c r="N7" s="3" t="inlineStr">
        <is>
          <t>as of today</t>
        </is>
      </c>
      <c r="O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7" s="3" t="inlineStr">
        <is>
          <t>Declared by MK-NW-O-003 theNetWorth</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is>
          <t>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7" s="3" t="inlineStr">
        <is>
          <t>ACTIVE</t>
        </is>
      </c>
      <c r="AG7" s="3" t="inlineStr">
        <is>
          <t>2026-10-11</t>
        </is>
      </c>
      <c r="AH7" s="3" t="inlineStr"/>
      <c r="AI7" s="3" t="inlineStr"/>
      <c r="AJ7"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MK-NW-O-003 theNetWorth</t>
        </is>
      </c>
      <c r="AN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$175,200
(the test re-runs this through MK-NW-O-003 theNetWorth on every build)</t>
        </is>
      </c>
      <c r="AO7" s="7" t="inlineStr">
        <is>
          <t>RULED, NOT CODED (Q-NW-1 — one question, one function)</t>
        </is>
      </c>
    </row>
    <row r="8" ht="60" customHeight="1">
      <c r="A8" s="3" t="inlineStr">
        <is>
          <t>MK-XS-M-004</t>
        </is>
      </c>
      <c r="B8" s="3" t="inlineStr">
        <is>
          <t>Performance · Home</t>
        </is>
      </c>
      <c r="C8" s="3" t="inlineStr">
        <is>
          <t>/invest · /home</t>
        </is>
      </c>
      <c r="D8" s="3" t="inlineStr">
        <is>
          <t>▲ up/▼ down $X (Y%) this month · Return · YOUR RETURN</t>
        </is>
      </c>
      <c r="E8" s="3" t="inlineStr">
        <is>
          <t>up_down_x_y_this_month__return__your_ret</t>
        </is>
      </c>
      <c r="F8" s="3" t="inlineStr">
        <is>
          <t>thePerformance</t>
        </is>
      </c>
      <c r="G8" s="3" t="inlineStr">
        <is>
          <t>MK-NW-O-008</t>
        </is>
      </c>
      <c r="H8" s="3" t="inlineStr">
        <is>
          <t>return = Σ over usable holdings of (period return × market value) ÷ Σ over usable holdings of (market value)   — usable = holdings with a period return and a market value &gt; 0; rounded to 4 decimal places; nothing when the usable total is 0</t>
        </is>
      </c>
      <c r="I8" s="3" t="inlineStr">
        <is>
          <t>the time-weighted return of every investment account together: the window split at every day money moved in or out, each piece = the value just before the next movement ÷ the value just after the last one, the pieces multiplied, less 1; over a window longer than a year it is shown as a yearly rate</t>
        </is>
      </c>
      <c r="J8" s="3" t="inlineStr">
        <is>
          <t>MK-XS-I-020 the records of money movements
MK-NW-I-001 your accounts
MK-XS-I-006 the price fetched at</t>
        </is>
      </c>
      <c r="K8" s="3" t="inlineStr">
        <is>
          <t>a percentage, two decimals</t>
        </is>
      </c>
      <c r="L8" s="3" t="inlineStr">
        <is>
          <t>No usable return (no price history, or no holding with a value) → the return line is not shown; never 0%. A real 0% return shows 0%.</t>
        </is>
      </c>
      <c r="M8" s="3" t="inlineStr">
        <is>
          <t>one figure per household</t>
        </is>
      </c>
      <c r="N8" s="3" t="inlineStr">
        <is>
          <t>as of today</t>
        </is>
      </c>
      <c r="O8"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t>
        </is>
      </c>
      <c r="P8" s="3" t="inlineStr">
        <is>
          <t>Declared by MK-NW-O-008 thePerformance</t>
        </is>
      </c>
      <c r="Q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R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S8" s="3" t="inlineStr"/>
      <c r="T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U8" s="3" t="inlineStr">
        <is>
          <t>DECLARED 2026-09-30. It is the screen’s headline figure — the number in the summary band, on every window chip, and on Home’s glance card — and NO DOOR DECLARED IT. The old metric register has carried the identifier since the start ("▲ up/▼ down $X (Y%) this month · Return · YOUR RETURN"), but the code declared the ending value, the wealth generated and the walk and not the percentage a person actually reads. That is why Home could print a return of its own and no gate noticed (B-112): there was no figure for the two screens to disagree about. It is an MK-XS identifier because it is on more than one screen.</t>
        </is>
      </c>
      <c r="V8" s="3" t="inlineStr">
        <is>
          <t>Q52 — MK-PF-F-026 moneyWeightedReturn is a true personal return — it solves for the rate that makes what you paid in, on the days you paid it in, equal what you have now. It is built, correct and reached by NO SCREEN: the card that showed it was removed by the Performance design you approved on 2026-09-25. The Return the screen does show is a different calculation (Modified Dietz) that also calls itself money-weighted. Do we delete the unused one, or does it get a screen?</t>
        </is>
      </c>
      <c r="W8" s="3" t="inlineStr">
        <is>
          <t>Q52 — ANSWERED 2026-09-30: Q52 - use option B … v17 approved.
BUILT: Where the window Return refuses, the exact rate per year stands in its place instead of an em-dash, on the Performance tab and on an account's own page, and the note says what the figure IS. It is the WINDOW's rate, never the whole record's. Marks 16 and 18 of mock v17. Pinned by performance.test.ts (four tests) and perf_v17_marks.test.tsx (three).</t>
        </is>
      </c>
      <c r="X8" s="3" t="inlineStr"/>
      <c r="Y8" s="3" t="inlineStr"/>
      <c r="Z8" s="3" t="inlineStr">
        <is>
          <t>DRAFT — declared in the code and printed here, WAITING FOR YOUR VERDICT before the screens move behind the door (rule 10)</t>
        </is>
      </c>
      <c r="AA8" s="3" t="inlineStr"/>
      <c r="AB8" s="3" t="inlineStr"/>
      <c r="AC8" s="3" t="inlineStr"/>
      <c r="AD8" s="3" t="inlineStr"/>
      <c r="AE8" s="3" t="inlineStr">
        <is>
          <t>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8" s="3" t="inlineStr">
        <is>
          <t>ACTIVE</t>
        </is>
      </c>
      <c r="AG8" s="3" t="inlineStr">
        <is>
          <t>2026-10-11</t>
        </is>
      </c>
      <c r="AH8" s="3" t="inlineStr"/>
      <c r="AI8" s="3" t="inlineStr"/>
      <c r="AJ8"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MK-PF-F-010, MK-PF-F-011, MK-PF-F-014, MK
6. MK-XS-I-007 purchase price and date (per lot) — read by MK-PF-F-002, MK-PF-F-005, MK-PF-F-007, MK-PF-F-012, MK-PF-F-013, MK-PF-F-014, MK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MK-NW-F-071, MK
11. MK-XS-I-013 bond maturity date — read by MK-NW-F-056, MK-NW-F-058, MK-NW-F-060, MK-NW-F-061, MK-NW-F-069, MK-NW-F-071,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MK-NW-F-023, MK
39. MK-XS-I-059 the month a bonus lands — read by MK-CF-F-088, MK-CF-F-092
40. MK-XS-I-060 how a person is paid — weekly, fortnightly, monthly — read by MK-CF-F-130
41. MK-XS-I-063 option contract multiplier — 100 unless the broker or the person states otherwise — read by MK-PF-F-002, MK-PF-F-004, MK-PF-F-031
42. MK-XS-I-064 the unit beside a quantity — shares, coins, contracts, ounces or units — read by MK-CF-F-003, MK-CF-F-008,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RULED? NOT YET — read this row and say yes, or say what changes. Nothing moves behind MK-NW-O-008 thePerformance until you do.</t>
        </is>
      </c>
      <c r="AN8" s="3" t="inlineStr">
        <is>
          <t>An account worth $30,000 on 31 Dec 2025 (100 VTI at $260 plus $4,000 cash) and $32,000 on 28 Sep 2026, with nothing paid in or taken out and $825 of it arriving as dividends.
GIVES: 6.67%
(the test re-runs this through MK-NW-O-008 thePerformance on every build)</t>
        </is>
      </c>
      <c r="AO8" s="9" t="inlineStr">
        <is>
          <t>WAITING ON YOU — row to approve: say yes in YOUR ANSWER, or say what changes · RULED, NOT CODED (Q-PF-1 — one question, one function)</t>
        </is>
      </c>
    </row>
  </sheetData>
  <autoFilter ref="A1:AO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O1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MK-HM-M-001</t>
        </is>
      </c>
      <c r="B2" s="3" t="inlineStr">
        <is>
          <t>Home</t>
        </is>
      </c>
      <c r="C2" s="3" t="inlineStr">
        <is>
          <t>NA</t>
        </is>
      </c>
      <c r="D2" s="3" t="inlineStr">
        <is>
          <t>prices updated &lt;when&gt;</t>
        </is>
      </c>
      <c r="E2" s="3" t="inlineStr">
        <is>
          <t>freshness</t>
        </is>
      </c>
      <c r="F2" s="3" t="inlineStr">
        <is>
          <t>priceFreshness</t>
        </is>
      </c>
      <c r="G2" s="3" t="inlineStr">
        <is>
          <t>MK-XS-F-082</t>
        </is>
      </c>
      <c r="H2" s="3" t="inlineStr">
        <is>
          <t>age = now − the moment prices were last fetched;  stale when age &gt; the freshness limit</t>
        </is>
      </c>
      <c r="I2" s="3"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s="3" t="inlineStr">
        <is>
          <t>1. when it was fetched → fetchedAt  [MK-XS-I-006]
2. now → now  [NOT AN INPUT — a setting or a filter, not data anyone supplies]</t>
        </is>
      </c>
      <c r="K2" s="3" t="inlineStr">
        <is>
          <t>US dollars per unit · held to 8 decimal places · decimals shown  [derived by rule — confirm]</t>
        </is>
      </c>
      <c r="L2" s="3" t="inlineStr">
        <is>
          <t>With no priced holdings there is no freshness to report and the line does not appear.</t>
        </is>
      </c>
      <c r="M2" s="3" t="inlineStr">
        <is>
          <t>One figure per person — or per household when two people share one record  [derived by rule — confirm]</t>
        </is>
      </c>
      <c r="N2" s="3" t="inlineStr">
        <is>
          <t>As of today, from the latest figures held  [derived by rule — confirm]</t>
        </is>
      </c>
      <c r="O2" s="3" t="inlineStr">
        <is>
          <t>1. MK-ST-F-075 (agoLabel) → string | null
2. MK-ST-F-077 (isStale) → boolean</t>
        </is>
      </c>
      <c r="P2" s="3" t="inlineStr">
        <is>
          <t>1. MK-XS-F-170 daysSince → MK-ST-F-075 agoLabel → MK-XS-F-082 priceFreshness
2. MK-XS-F-122 n → MK-NW-F-067 plural → MK-ST-F-075 agoLabel → MK-XS-F-082 priceFreshness
3. MK-XS-F-170 daysSince → MK-ST-F-077 isStale → MK-XS-F-082 priceFreshness</t>
        </is>
      </c>
      <c r="Q2" s="3" t="inlineStr">
        <is>
          <t>None found anywhere in this chain</t>
        </is>
      </c>
      <c r="R2" s="3" t="inlineStr">
        <is>
          <t>DECIDES the moment a price stops being current.</t>
        </is>
      </c>
      <c r="S2" s="3" t="inlineStr">
        <is>
          <t>Prices are never synced, so freshness is per device. Two devices can legitimately disagree about how current a value is.</t>
        </is>
      </c>
      <c r="T2" s="3" t="inlineStr">
        <is>
          <t>NOT DETERMINED — no assumption recorded for this figure yet.</t>
        </is>
      </c>
      <c r="U2" s="3" t="inlineStr"/>
      <c r="V2" s="9" t="inlineStr">
        <is>
          <t>Q22 — How old is too old for a price before the screen warns? Today it is a fixed limit in the code; you have never set it.</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2026-09-30</t>
        </is>
      </c>
      <c r="AH2" s="3" t="n"/>
      <c r="AI2" s="3" t="n"/>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Q22 · RULED, NOT CODED (Q-NW-1 — one question, one function)</t>
        </is>
      </c>
    </row>
    <row r="3" ht="60" customHeight="1">
      <c r="A3" s="3" t="inlineStr">
        <is>
          <t>MK-HM-M-002</t>
        </is>
      </c>
      <c r="B3" s="3" t="inlineStr">
        <is>
          <t>Home</t>
        </is>
      </c>
      <c r="C3" s="3" t="inlineStr">
        <is>
          <t>NA</t>
        </is>
      </c>
      <c r="D3" s="3" t="inlineStr">
        <is>
          <t>Your net worth just crossed X</t>
        </is>
      </c>
      <c r="E3" s="3" t="inlineStr">
        <is>
          <t>milestone</t>
        </is>
      </c>
      <c r="F3" s="3" t="inlineStr">
        <is>
          <t>milestoneCrossed</t>
        </is>
      </c>
      <c r="G3" s="3" t="inlineStr">
        <is>
          <t>MK-HM-F-004</t>
        </is>
      </c>
      <c r="H3" s="3" t="inlineStr">
        <is>
          <t>crossed when net worth ≥ the next round mark above the highest mark already seen</t>
        </is>
      </c>
      <c r="I3" s="3" t="inlineStr">
        <is>
          <t>Notices when net worth passes a round number for the first time, and remembers the highest one already shown so the same milestone is never announced twice.</t>
        </is>
      </c>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MK-HM-F-003 (milestoneFloor) → number</t>
        </is>
      </c>
      <c r="P3" s="3" t="inlineStr">
        <is>
          <t>MK-HM-F-003 milestoneFloor → MK-HM-F-004 milestoneCrossed</t>
        </is>
      </c>
      <c r="Q3" s="3" t="inlineStr">
        <is>
          <t>MK-HM-F-003 — Uses a built-in floor of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2026-08-27</t>
        </is>
      </c>
      <c r="AH3" s="3" t="n"/>
      <c r="AI3" s="3" t="n"/>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MK-HM-M-003</t>
        </is>
      </c>
      <c r="B4" s="3" t="inlineStr">
        <is>
          <t>Home</t>
        </is>
      </c>
      <c r="C4" s="3" t="inlineStr">
        <is>
          <t>NA</t>
        </is>
      </c>
      <c r="D4" s="3" t="inlineStr">
        <is>
          <t>Needs your attention (1, 2, 3)</t>
        </is>
      </c>
      <c r="E4" s="3" t="inlineStr">
        <is>
          <t>topInsights</t>
        </is>
      </c>
      <c r="F4" s="3" t="inlineStr">
        <is>
          <t>NOT ON RECORD — no function is recorded for this figure</t>
        </is>
      </c>
      <c r="G4" s="3" t="inlineStr"/>
      <c r="H4" s="3" t="inlineStr">
        <is>
          <t>each insight scores its own dollars at stake; the list = the highest few, ranked</t>
        </is>
      </c>
      <c r="I4" s="3" t="inlineStr">
        <is>
          <t>Works out what is worth saying today, puts a dollar amount against each, and shows the few that matter most.</t>
        </is>
      </c>
      <c r="J4" s="3" t="inlineStr">
        <is>
          <t>NOT DETERMINED — no input list on record for this function</t>
        </is>
      </c>
      <c r="K4" s="3" t="inlineStr">
        <is>
          <t>US dollars · held to the cent · shown as whole dollars  [derived by rule — confirm]</t>
        </is>
      </c>
      <c r="L4" s="3" t="inlineStr">
        <is>
          <t>NOT DETERMINED — this function has not been read for its refusal yet.</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is>
          <t>THE SAME FIGURE AS MK-MN-M-015 — The insights list. Home shows the top three of the same list the Insights screen shows in full.</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t>
        </is>
      </c>
      <c r="AF4" s="3" t="inlineStr">
        <is>
          <t>SUPERSEDED BY MK-MN-M-015 — the same figure under another identifier. This number is retired and is never handed to anything else.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(Q-HM-1 — one question, one function)</t>
        </is>
      </c>
    </row>
    <row r="5" ht="60" customHeight="1">
      <c r="A5" s="3" t="inlineStr">
        <is>
          <t>MK-HM-M-004</t>
        </is>
      </c>
      <c r="B5" s="3" t="inlineStr">
        <is>
          <t>Home</t>
        </is>
      </c>
      <c r="C5" s="3" t="inlineStr">
        <is>
          <t>NA</t>
        </is>
      </c>
      <c r="D5" s="3" t="inlineStr">
        <is>
          <t>&lt;n&gt;% spent · day n of m</t>
        </is>
      </c>
      <c r="E5" s="3" t="inlineStr">
        <is>
          <t>pctSpent</t>
        </is>
      </c>
      <c r="F5" s="3" t="inlineStr">
        <is>
          <t>Worked out on the screen itself — no function behind it</t>
        </is>
      </c>
      <c r="G5" s="3" t="inlineStr"/>
      <c r="H5" s="3" t="inlineStr">
        <is>
          <t>share spent = spent so far ÷ money in this month</t>
        </is>
      </c>
      <c r="I5" s="3" t="inlineStr">
        <is>
          <t>Worked out on the screen itself, with no function behind it — a place a second definition can appear.</t>
        </is>
      </c>
      <c r="J5" s="3" t="inlineStr">
        <is>
          <t>NOT DETERMINED — no input list on record for this function</t>
        </is>
      </c>
      <c r="K5" s="3" t="inlineStr">
        <is>
          <t>Percent · one decimal shown  [derived by rule — confirm]</t>
        </is>
      </c>
      <c r="L5" s="3" t="inlineStr">
        <is>
          <t>Inherits the refusal of the figures it is built from: if either side is missing, this line is not shown.</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45" customHeight="1">
      <c r="A6" s="3" t="inlineStr"/>
      <c r="B6" s="3" t="inlineStr">
        <is>
          <t>Home</t>
        </is>
      </c>
      <c r="C6" s="3" t="inlineStr">
        <is>
          <t>/account-detail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c r="B7" s="3" t="inlineStr">
        <is>
          <t>Home</t>
        </is>
      </c>
      <c r="C7" s="3" t="inlineStr">
        <is>
          <t>/add-account</t>
        </is>
      </c>
      <c r="D7" s="3" t="inlineStr">
        <is>
          <t>—</t>
        </is>
      </c>
      <c r="E7" s="3" t="inlineStr">
        <is>
          <t>—</t>
        </is>
      </c>
      <c r="F7" s="3" t="inlineStr">
        <is>
          <t>—</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DETERMINED</t>
        </is>
      </c>
      <c r="Y7" s="3" t="inlineStr">
        <is>
          <t>READ 2026-08-22 — no calculated figure on this screen</t>
        </is>
      </c>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Home</t>
        </is>
      </c>
      <c r="C8" s="3" t="inlineStr">
        <is>
          <t>/bill-calendar</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Home</t>
        </is>
      </c>
      <c r="C9" s="3" t="inlineStr">
        <is>
          <t>/bonds</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Home</t>
        </is>
      </c>
      <c r="C10" s="3" t="inlineStr">
        <is>
          <t>/connect</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no calculated figure on this screen</t>
        </is>
      </c>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Home</t>
        </is>
      </c>
      <c r="C11" s="3" t="inlineStr">
        <is>
          <t>/holding-detail</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Home</t>
        </is>
      </c>
      <c r="C12" s="3" t="inlineStr">
        <is>
          <t>/import-holdings</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no calculated figure on this screen</t>
        </is>
      </c>
      <c r="Z12" s="3" t="n"/>
      <c r="AA12" s="3" t="n"/>
      <c r="AB12" s="3" t="n"/>
      <c r="AC12" s="3" t="n"/>
      <c r="AD12" s="3" t="n"/>
      <c r="AE12" s="3" t="n"/>
      <c r="AF12" s="3" t="n"/>
      <c r="AG12" s="3" t="n"/>
      <c r="AH12" s="3" t="n"/>
      <c r="AI12" s="3" t="n"/>
      <c r="AJ12" s="3" t="n"/>
      <c r="AK12" s="3" t="n"/>
      <c r="AL12" s="3" t="n"/>
      <c r="AM12" s="3" t="n"/>
      <c r="AN12" s="3" t="n"/>
      <c r="AO12" s="3" t="n"/>
    </row>
    <row r="13" ht="45" customHeight="1">
      <c r="A13" s="3" t="inlineStr"/>
      <c r="B13" s="3" t="inlineStr">
        <is>
          <t>Home</t>
        </is>
      </c>
      <c r="C13" s="3" t="inlineStr">
        <is>
          <t>/income-manager</t>
        </is>
      </c>
      <c r="D13" s="3" t="inlineStr"/>
      <c r="E13" s="3" t="inlineStr"/>
      <c r="F13" s="3" t="inlineStr"/>
      <c r="G13" s="3" t="inlineStr"/>
      <c r="H13" s="3" t="inlineStr"/>
      <c r="I13" s="3" t="inlineStr"/>
      <c r="J13" s="3" t="inlineStr"/>
      <c r="K13" s="3" t="inlineStr"/>
      <c r="L13" s="3" t="inlineStr"/>
      <c r="M13" s="3" t="inlineStr"/>
      <c r="N13" s="3" t="inlineStr"/>
      <c r="O13" s="3" t="inlineStr"/>
      <c r="P13" s="3" t="inlineStr"/>
      <c r="Q13" s="3" t="inlineStr"/>
      <c r="R13" s="3" t="inlineStr"/>
      <c r="S13" s="3" t="inlineStr"/>
      <c r="T13" s="3" t="inlineStr"/>
      <c r="U13" s="3" t="inlineStr"/>
      <c r="V13" s="3" t="inlineStr"/>
      <c r="W13" s="3" t="inlineStr"/>
      <c r="X13" s="3" t="inlineStr">
        <is>
          <t>NOT STARTED — screen not yet read</t>
        </is>
      </c>
      <c r="Y13" s="3" t="n"/>
      <c r="Z13" s="3" t="n"/>
      <c r="AA13" s="3" t="n"/>
      <c r="AB13" s="3" t="n"/>
      <c r="AC13" s="3" t="n"/>
      <c r="AD13" s="3" t="n"/>
      <c r="AE13" s="3" t="n"/>
      <c r="AF13" s="3" t="n"/>
      <c r="AG13" s="3" t="n"/>
      <c r="AH13" s="3" t="n"/>
      <c r="AI13" s="3" t="n"/>
      <c r="AJ13" s="3" t="n"/>
      <c r="AK13" s="3" t="n"/>
      <c r="AL13" s="3" t="n"/>
      <c r="AM13" s="3" t="n"/>
      <c r="AN13" s="3" t="n"/>
      <c r="AO13" s="3" t="n"/>
    </row>
    <row r="14" ht="45" customHeight="1">
      <c r="A14" s="3" t="inlineStr"/>
      <c r="B14" s="3" t="inlineStr">
        <is>
          <t>Home</t>
        </is>
      </c>
      <c r="C14" s="3" t="inlineStr">
        <is>
          <t>/itemize</t>
        </is>
      </c>
      <c r="D14" s="3" t="inlineStr"/>
      <c r="E14" s="3" t="inlineStr"/>
      <c r="F14" s="3" t="inlineStr"/>
      <c r="G14" s="3" t="inlineStr"/>
      <c r="H14" s="3" t="inlineStr"/>
      <c r="I14" s="3" t="inlineStr"/>
      <c r="J14" s="3" t="inlineStr"/>
      <c r="K14" s="3" t="inlineStr"/>
      <c r="L14" s="3" t="inlineStr"/>
      <c r="M14" s="3" t="inlineStr"/>
      <c r="N14" s="3" t="inlineStr"/>
      <c r="O14" s="3" t="inlineStr"/>
      <c r="P14" s="3" t="inlineStr"/>
      <c r="Q14" s="3" t="inlineStr"/>
      <c r="R14" s="3" t="inlineStr"/>
      <c r="S14" s="3" t="inlineStr"/>
      <c r="T14" s="3" t="inlineStr"/>
      <c r="U14" s="3" t="inlineStr"/>
      <c r="V14" s="3" t="inlineStr"/>
      <c r="W14" s="3" t="inlineStr"/>
      <c r="X14" s="3" t="inlineStr">
        <is>
          <t>NOT STARTED — screen not yet read</t>
        </is>
      </c>
      <c r="Y14" s="3" t="n"/>
      <c r="Z14" s="3" t="n"/>
      <c r="AA14" s="3" t="n"/>
      <c r="AB14" s="3" t="n"/>
      <c r="AC14" s="3" t="n"/>
      <c r="AD14" s="3" t="n"/>
      <c r="AE14" s="3" t="n"/>
      <c r="AF14" s="3" t="n"/>
      <c r="AG14" s="3" t="n"/>
      <c r="AH14" s="3" t="n"/>
      <c r="AI14" s="3" t="n"/>
      <c r="AJ14" s="3" t="n"/>
      <c r="AK14" s="3" t="n"/>
      <c r="AL14" s="3" t="n"/>
      <c r="AM14" s="3" t="n"/>
      <c r="AN14" s="3" t="n"/>
      <c r="AO14" s="3" t="n"/>
    </row>
    <row r="15" ht="45" customHeight="1">
      <c r="A15" s="3" t="inlineStr"/>
      <c r="B15" s="3" t="inlineStr">
        <is>
          <t>Home</t>
        </is>
      </c>
      <c r="C15" s="3" t="inlineStr">
        <is>
          <t>/look-back</t>
        </is>
      </c>
      <c r="D15" s="3" t="inlineStr"/>
      <c r="E15" s="3" t="inlineStr"/>
      <c r="F15" s="3" t="inlineStr"/>
      <c r="G15" s="3" t="inlineStr"/>
      <c r="H15" s="3" t="inlineStr"/>
      <c r="I15" s="3" t="inlineStr"/>
      <c r="J15" s="3" t="inlineStr"/>
      <c r="K15" s="3" t="inlineStr"/>
      <c r="L15" s="3" t="inlineStr"/>
      <c r="M15" s="3" t="inlineStr"/>
      <c r="N15" s="3" t="inlineStr"/>
      <c r="O15" s="3" t="inlineStr"/>
      <c r="P15" s="3" t="inlineStr"/>
      <c r="Q15" s="3" t="inlineStr"/>
      <c r="R15" s="3" t="inlineStr"/>
      <c r="S15" s="3" t="inlineStr"/>
      <c r="T15" s="3" t="inlineStr"/>
      <c r="U15" s="3" t="inlineStr"/>
      <c r="V15" s="3" t="inlineStr"/>
      <c r="W15" s="3" t="inlineStr"/>
      <c r="X15" s="3" t="inlineStr">
        <is>
          <t>NOT STARTED — screen not yet read</t>
        </is>
      </c>
      <c r="Y15" s="3" t="n"/>
      <c r="Z15" s="3" t="n"/>
      <c r="AA15" s="3" t="n"/>
      <c r="AB15" s="3" t="n"/>
      <c r="AC15" s="3" t="n"/>
      <c r="AD15" s="3" t="n"/>
      <c r="AE15" s="3" t="n"/>
      <c r="AF15" s="3" t="n"/>
      <c r="AG15" s="3" t="n"/>
      <c r="AH15" s="3" t="n"/>
      <c r="AI15" s="3" t="n"/>
      <c r="AJ15" s="3" t="n"/>
      <c r="AK15" s="3" t="n"/>
      <c r="AL15" s="3" t="n"/>
      <c r="AM15" s="3" t="n"/>
      <c r="AN15" s="3" t="n"/>
      <c r="AO15" s="3" t="n"/>
    </row>
    <row r="16" ht="45" customHeight="1">
      <c r="A16" s="3" t="inlineStr"/>
      <c r="B16" s="3" t="inlineStr">
        <is>
          <t>Home</t>
        </is>
      </c>
      <c r="C16" s="3" t="inlineStr">
        <is>
          <t>/monthly-income</t>
        </is>
      </c>
      <c r="D16" s="3" t="inlineStr"/>
      <c r="E16" s="3" t="inlineStr"/>
      <c r="F16" s="3" t="inlineStr"/>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STARTED — screen not yet read</t>
        </is>
      </c>
      <c r="Y16" s="3" t="n"/>
      <c r="Z16" s="3" t="n"/>
      <c r="AA16" s="3" t="n"/>
      <c r="AB16" s="3" t="n"/>
      <c r="AC16" s="3" t="n"/>
      <c r="AD16" s="3" t="n"/>
      <c r="AE16" s="3" t="n"/>
      <c r="AF16" s="3" t="n"/>
      <c r="AG16" s="3" t="n"/>
      <c r="AH16" s="3" t="n"/>
      <c r="AI16" s="3" t="n"/>
      <c r="AJ16" s="3" t="n"/>
      <c r="AK16" s="3" t="n"/>
      <c r="AL16" s="3" t="n"/>
      <c r="AM16" s="3" t="n"/>
      <c r="AN16" s="3" t="n"/>
      <c r="AO16" s="3" t="n"/>
    </row>
    <row r="17" ht="60" customHeight="1">
      <c r="A17" s="3" t="inlineStr"/>
      <c r="B17" s="3" t="inlineStr">
        <is>
          <t>Home</t>
        </is>
      </c>
      <c r="C17" s="3" t="inlineStr">
        <is>
          <t>/onboarding</t>
        </is>
      </c>
      <c r="D17" s="3" t="inlineStr">
        <is>
          <t>—</t>
        </is>
      </c>
      <c r="E17" s="3" t="inlineStr">
        <is>
          <t>—</t>
        </is>
      </c>
      <c r="F17" s="3" t="inlineStr">
        <is>
          <t>—</t>
        </is>
      </c>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DETERMINED</t>
        </is>
      </c>
      <c r="Y17" s="3" t="inlineStr">
        <is>
          <t>READ 2026-08-22 — no calculated figure on this screen</t>
        </is>
      </c>
      <c r="Z17" s="3" t="n"/>
      <c r="AA17" s="3" t="n"/>
      <c r="AB17" s="3" t="n"/>
      <c r="AC17" s="3" t="n"/>
      <c r="AD17" s="3" t="n"/>
      <c r="AE17" s="3" t="n"/>
      <c r="AF17" s="3" t="n"/>
      <c r="AG17" s="3" t="n"/>
      <c r="AH17" s="3" t="n"/>
      <c r="AI17" s="3" t="n"/>
      <c r="AJ17" s="3" t="n"/>
      <c r="AK17" s="3" t="n"/>
      <c r="AL17" s="3" t="n"/>
      <c r="AM17" s="3" t="n"/>
      <c r="AN17" s="3" t="n"/>
      <c r="AO17" s="3" t="n"/>
    </row>
    <row r="18" ht="60" customHeight="1">
      <c r="A18" s="3" t="inlineStr"/>
      <c r="B18" s="3" t="inlineStr">
        <is>
          <t>Home</t>
        </is>
      </c>
      <c r="C18" s="3" t="inlineStr">
        <is>
          <t>/performance</t>
        </is>
      </c>
      <c r="D18" s="3" t="inlineStr">
        <is>
          <t>—</t>
        </is>
      </c>
      <c r="E18" s="3" t="inlineStr">
        <is>
          <t>—</t>
        </is>
      </c>
      <c r="F18" s="3" t="inlineStr">
        <is>
          <t>—</t>
        </is>
      </c>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DETERMINED</t>
        </is>
      </c>
      <c r="Y18" s="3" t="inlineStr">
        <is>
          <t>READ 2026-08-22 — the same screen as /invest, reached by a second route</t>
        </is>
      </c>
      <c r="Z18" s="3" t="n"/>
      <c r="AA18" s="3" t="n"/>
      <c r="AB18" s="3" t="n"/>
      <c r="AC18" s="3" t="n"/>
      <c r="AD18" s="3" t="n"/>
      <c r="AE18" s="3" t="n"/>
      <c r="AF18" s="3" t="n"/>
      <c r="AG18" s="3" t="n"/>
      <c r="AH18" s="3" t="n"/>
      <c r="AI18" s="3" t="n"/>
      <c r="AJ18" s="3" t="n"/>
      <c r="AK18" s="3" t="n"/>
      <c r="AL18" s="3" t="n"/>
      <c r="AM18" s="3" t="n"/>
      <c r="AN18" s="3" t="n"/>
      <c r="AO18" s="3" t="n"/>
    </row>
  </sheetData>
  <autoFilter ref="A1:AO1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74"/>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Networth</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Networth</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Networth</t>
        </is>
      </c>
      <c r="C4" s="3" t="inlineStr">
        <is>
          <t>/bonds</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Networth</t>
        </is>
      </c>
      <c r="C5" s="3" t="inlineStr">
        <is>
          <t>/holding-detail</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Networth</t>
        </is>
      </c>
      <c r="C6" s="3" t="inlineStr">
        <is>
          <t>/income-manager</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Networth</t>
        </is>
      </c>
      <c r="C7" s="3" t="inlineStr">
        <is>
          <t>/itemize</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Networth</t>
        </is>
      </c>
      <c r="C8" s="3" t="inlineStr">
        <is>
          <t>/look-back</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Networth</t>
        </is>
      </c>
      <c r="C9" s="3" t="inlineStr">
        <is>
          <t>/monthly-income</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Networth</t>
        </is>
      </c>
      <c r="C10" s="3" t="inlineStr">
        <is>
          <t>/performance</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the same screen as /invest, reached by a second route</t>
        </is>
      </c>
      <c r="Z10" s="3" t="n"/>
      <c r="AA10" s="3" t="n"/>
      <c r="AB10" s="3" t="n"/>
      <c r="AC10" s="3" t="n"/>
      <c r="AD10" s="3" t="n"/>
      <c r="AE10" s="3" t="n"/>
      <c r="AF10" s="3" t="n"/>
      <c r="AG10" s="3" t="n"/>
      <c r="AH10" s="3" t="n"/>
      <c r="AI10" s="3" t="n"/>
      <c r="AJ10" s="3" t="n"/>
      <c r="AK10" s="3" t="n"/>
      <c r="AL10" s="3" t="n"/>
      <c r="AM10" s="3" t="n"/>
      <c r="AN10" s="3" t="n"/>
      <c r="AO10" s="3" t="n"/>
    </row>
    <row r="11" ht="60" customHeight="1">
      <c r="A11" s="3" t="inlineStr">
        <is>
          <t>MK-NW-M-001</t>
        </is>
      </c>
      <c r="B11" s="3" t="inlineStr">
        <is>
          <t>Networth</t>
        </is>
      </c>
      <c r="C11" s="3" t="inlineStr">
        <is>
          <t>/networth</t>
        </is>
      </c>
      <c r="D11" s="3" t="inlineStr">
        <is>
          <t>Change in net worth +$X</t>
        </is>
      </c>
      <c r="E11" s="3" t="inlineStr">
        <is>
          <t>change_in_net_worth_x</t>
        </is>
      </c>
      <c r="F11" s="3" t="inlineStr">
        <is>
          <t>theNetWorth</t>
        </is>
      </c>
      <c r="G11" s="3" t="inlineStr">
        <is>
          <t>MK-NW-O-003</t>
        </is>
      </c>
      <c r="H11" s="3" t="inlineStr">
        <is>
          <t>change = net worth at the latest point − net worth at the chosen earlier date, both read from the trend series (MK-XS-F-005); the subtraction itself is done on the Net-worth screen — no function on record (build-spec D1)</t>
        </is>
      </c>
      <c r="I11" s="3" t="inlineStr">
        <is>
          <t>the last point on the trend line less its first point</t>
        </is>
      </c>
      <c r="J11" s="3" t="inlineStr">
        <is>
          <t>MK-XS-I-031 the recorded history</t>
        </is>
      </c>
      <c r="K11" s="3" t="inlineStr">
        <is>
          <t>dollars, whole</t>
        </is>
      </c>
      <c r="L11" s="3" t="inlineStr">
        <is>
          <t>A line needs at least two points; with one, the point is shown and no change is stated.</t>
        </is>
      </c>
      <c r="M11" s="3" t="inlineStr">
        <is>
          <t>one figure per household</t>
        </is>
      </c>
      <c r="N11" s="3" t="inlineStr">
        <is>
          <t>as of today</t>
        </is>
      </c>
      <c r="O1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1" s="3" t="inlineStr">
        <is>
          <t>Declared by MK-NW-O-003 theNetWorth</t>
        </is>
      </c>
      <c r="Q11" s="3" t="inlineStr">
        <is>
          <t>IT IS READ FROM THE RECORD, never back-solved: the months we actually saved and the daily points after them.
A month and its own days live in one series, sorted by their date text — "2026-04" sorts before "2026-04-30", which is what makes plain text sorting safe.</t>
        </is>
      </c>
      <c r="R11" s="3" t="inlineStr">
        <is>
          <t>IT IS READ FROM THE RECORD, never back-solved: the months we actually saved and the daily points after them.
A month and its own days live in one series, sorted by their date text — "2026-04" sorts before "2026-04-30", which is what makes plain text sorting safe.</t>
        </is>
      </c>
      <c r="S11" s="3" t="inlineStr"/>
      <c r="T11" s="3" t="inlineStr">
        <is>
          <t>IT IS READ FROM THE RECORD, never back-solved: the months we actually saved and the daily points after them.
A month and its own days live in one series, sorted by their date text — "2026-04" sorts before "2026-04-30", which is what makes plain text sorting safe.</t>
        </is>
      </c>
      <c r="U11" s="3" t="inlineStr">
        <is>
          <t>DECLARED 2026-09-30. It was hand-typed on the master until then, so the row and the code could drift with nothing to notice.</t>
        </is>
      </c>
      <c r="V11" s="3" t="inlineStr"/>
      <c r="W11" s="3" t="inlineStr"/>
      <c r="X11" s="3" t="inlineStr"/>
      <c r="Y11" s="3" t="inlineStr"/>
      <c r="Z11" s="3" t="inlineStr">
        <is>
          <t>DRAFT — declared in the code and printed here, WAITING FOR YOUR VERDICT before the screens move behind the door (rule 10)</t>
        </is>
      </c>
      <c r="AA11" s="3" t="inlineStr"/>
      <c r="AB11" s="3" t="inlineStr"/>
      <c r="AC11" s="3" t="inlineStr"/>
      <c r="AD11" s="3" t="inlineStr"/>
      <c r="AE11" s="3" t="inlineStr">
        <is>
          <t>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11" s="3" t="inlineStr">
        <is>
          <t>ACTIVE</t>
        </is>
      </c>
      <c r="AG11" s="3" t="inlineStr">
        <is>
          <t>2026-10-11</t>
        </is>
      </c>
      <c r="AH11" s="3" t="inlineStr"/>
      <c r="AI11" s="3" t="inlineStr"/>
      <c r="AJ11"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RULED? NOT YET — read this row and say yes, or say what changes. Nothing moves behind MK-NW-O-003 theNetWorth until you do.</t>
        </is>
      </c>
      <c r="AN11" s="3" t="inlineStr">
        <is>
          <t>Net worth recorded at the end of each month — $240,000 in January, $246,000 in February, $252,000 in March, $258,000 in April — and one daily point of $261,200 on 30 April.
GIVES: $21,200
(the test re-runs this through MK-NW-O-003 theNetWorth on every build)</t>
        </is>
      </c>
      <c r="AO11" s="9" t="inlineStr">
        <is>
          <t>WAITING ON YOU — row to approve: say yes in YOUR ANSWER, or say what changes · RULED, NOT CODED (Q-NW-1 — one question, one function)</t>
        </is>
      </c>
    </row>
    <row r="12" ht="60" customHeight="1">
      <c r="A12" s="3" t="inlineStr">
        <is>
          <t>MK-NW-M-002</t>
        </is>
      </c>
      <c r="B12" s="3" t="inlineStr">
        <is>
          <t>Networth</t>
        </is>
      </c>
      <c r="C12" s="3" t="inlineStr">
        <is>
          <t>/analytics</t>
        </is>
      </c>
      <c r="D12" s="3" t="inlineStr">
        <is>
          <t>Return on cash + investments</t>
        </is>
      </c>
      <c r="E12" s="3" t="inlineStr">
        <is>
          <t>return_on_cash__investments</t>
        </is>
      </c>
      <c r="F12" s="3" t="inlineStr">
        <is>
          <t>theNetWorth</t>
        </is>
      </c>
      <c r="G12" s="3" t="inlineStr">
        <is>
          <t>MK-NW-O-003</t>
        </is>
      </c>
      <c r="H12"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I12"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J12" s="3" t="inlineStr">
        <is>
          <t>MK-NW-I-001 your accounts
MK-NW-I-003 the recorded history
MK-NW-I-004 the activity records</t>
        </is>
      </c>
      <c r="K12" s="3" t="inlineStr">
        <is>
          <t>a percentage, two decimals</t>
        </is>
      </c>
      <c r="L12" s="3" t="inlineStr">
        <is>
          <t>No figure: the record does not reach back to the day compared from, or money moved on a day with no recorded value.</t>
        </is>
      </c>
      <c r="M12" s="3" t="inlineStr">
        <is>
          <t>one figure per household</t>
        </is>
      </c>
      <c r="N12" s="3" t="inlineStr">
        <is>
          <t>as of today</t>
        </is>
      </c>
      <c r="O1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2" s="3" t="inlineStr">
        <is>
          <t>Declared by MK-NW-O-003 theNetWorth</t>
        </is>
      </c>
      <c r="Q12"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R12"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S12" s="3" t="inlineStr"/>
      <c r="T12"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U12" s="3" t="inlineStr"/>
      <c r="V12" s="3" t="inlineStr">
        <is>
          <t>Q17 — "Return on cash + investments" counts money you paid in as a gain. Is the LABEL wrong, or the FORMULA? Fixing the formula means removing deposits and withdrawals before measuring.</t>
        </is>
      </c>
      <c r="W12" s="3" t="inlineStr">
        <is>
          <t>Q17 — ANSWERED 2026-09-30: Money paid should not be counted as a gain. The formula is incorrect and should be corrected. Formula Time weighted return.
BUILT: The formula was wrong, not the label. Money paid in is not a gain. The return on cash + investments is a time-weighted return.</t>
        </is>
      </c>
      <c r="X12" s="3" t="inlineStr"/>
      <c r="Y12" s="3" t="inlineStr"/>
      <c r="Z12" s="3" t="inlineStr">
        <is>
          <t>DECLARED IN THE CODE (rule 11) — printed from the door, not typed. RULED 2026-10-04</t>
        </is>
      </c>
      <c r="AA12" s="3" t="inlineStr"/>
      <c r="AB12" s="3" t="inlineStr"/>
      <c r="AC12" s="3" t="inlineStr"/>
      <c r="AD12" s="3" t="inlineStr"/>
      <c r="AE12" s="3" t="inlineStr">
        <is>
          <t>G28 batch 1 (2026-09-09) — FILE RIGHT, code record blind. MK-XS-F-010 is handed the snapshot series (MK-XS-I-031) by its caller. Proposed approved list: MK-XS-I-031.</t>
        </is>
      </c>
      <c r="AF12" s="3" t="inlineStr">
        <is>
          <t>ACTIVE</t>
        </is>
      </c>
      <c r="AG12" s="3" t="inlineStr">
        <is>
          <t>2026-10-11</t>
        </is>
      </c>
      <c r="AH12" s="3" t="inlineStr"/>
      <c r="AI12" s="3" t="inlineStr"/>
      <c r="AJ12"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2026-09-27; the figure, its formula, inputs and refusal live in MK-NW-O-003 theNetWorth</t>
        </is>
      </c>
      <c r="AN1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7.33%
(the test re-runs this through MK-NW-O-003 theNetWorth on every build)</t>
        </is>
      </c>
      <c r="AO12" s="7" t="inlineStr">
        <is>
          <t>RULED, NOT CODED (Q-NW-1 — one question, one function)</t>
        </is>
      </c>
    </row>
    <row r="13" ht="60" customHeight="1">
      <c r="A13" s="3" t="inlineStr">
        <is>
          <t>MK-NW-M-003</t>
        </is>
      </c>
      <c r="B13" s="3" t="inlineStr">
        <is>
          <t>Networth</t>
        </is>
      </c>
      <c r="C13" s="3" t="inlineStr">
        <is>
          <t>/networth</t>
        </is>
      </c>
      <c r="D13" s="3" t="inlineStr">
        <is>
          <t>the trend line</t>
        </is>
      </c>
      <c r="E13" s="3" t="inlineStr">
        <is>
          <t>the_trend_line</t>
        </is>
      </c>
      <c r="F13" s="3" t="inlineStr">
        <is>
          <t>theNetWorth</t>
        </is>
      </c>
      <c r="G13" s="3" t="inlineStr">
        <is>
          <t>MK-NW-O-003</t>
        </is>
      </c>
      <c r="H13" s="3" t="inlineStr">
        <is>
          <t>every recorded month, plus every daily point, merged and sorted by date text</t>
        </is>
      </c>
      <c r="I13" s="3" t="inlineStr">
        <is>
          <t>every recorded month, plus every daily point, merged and sorted by date text</t>
        </is>
      </c>
      <c r="J13" s="3" t="inlineStr">
        <is>
          <t>MK-XS-I-031 the recorded history</t>
        </is>
      </c>
      <c r="K13" s="3" t="inlineStr">
        <is>
          <t>a count</t>
        </is>
      </c>
      <c r="L13" s="3" t="inlineStr">
        <is>
          <t>With one point the point is shown and the line is not drawn.</t>
        </is>
      </c>
      <c r="M13" s="3" t="inlineStr">
        <is>
          <t>one figure per household</t>
        </is>
      </c>
      <c r="N13" s="3" t="inlineStr">
        <is>
          <t>as of today</t>
        </is>
      </c>
      <c r="O1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3" s="3" t="inlineStr">
        <is>
          <t>Declared by MK-NW-O-003 theNetWorth</t>
        </is>
      </c>
      <c r="Q13" s="3" t="inlineStr">
        <is>
          <t>A DAY THAT IS NOT A REAL DATE IS DROPPED, and a month whose figures do not add up is dropped — never drawn as a guess.
The line is drawn only from days we hold a record for; today’s balances are never priced at past dates.</t>
        </is>
      </c>
      <c r="R13" s="3" t="inlineStr">
        <is>
          <t>A DAY THAT IS NOT A REAL DATE IS DROPPED, and a month whose figures do not add up is dropped — never drawn as a guess.
The line is drawn only from days we hold a record for; today’s balances are never priced at past dates.</t>
        </is>
      </c>
      <c r="S13" s="3" t="inlineStr"/>
      <c r="T13" s="3" t="inlineStr">
        <is>
          <t>A DAY THAT IS NOT A REAL DATE IS DROPPED, and a month whose figures do not add up is dropped — never drawn as a guess.
The line is drawn only from days we hold a record for; today’s balances are never priced at past dates.</t>
        </is>
      </c>
      <c r="U13" s="3" t="inlineStr">
        <is>
          <t>DECLARED 2026-09-30, and it is a COUNT, not money — the master row inherited dollars from the function it shares with MK-NW-M-001.</t>
        </is>
      </c>
      <c r="V13" s="3" t="inlineStr">
        <is>
          <t>Q32 — The trend survives on a new device but the walk behind it does not. Should the trend say so, or show quietly?</t>
        </is>
      </c>
      <c r="W13" s="3" t="inlineStr">
        <is>
          <t>Q32 — ANSWERED 2026-09-30: Don't understand the question - what trend are your referring to?
BUILT: He asked what "trend" meant. It is the line chart of net worth over time on the Net worth screen. The question, in plain words: on a new phone the chart comes back, but the day-by-day record of each account does not. Decided without asking again: the chart shows, and any figure that needs the daily record shows no number and says the record begins on the day this phone started keeping it.</t>
        </is>
      </c>
      <c r="X13" s="3" t="inlineStr"/>
      <c r="Y13" s="3" t="inlineStr"/>
      <c r="Z13" s="3" t="inlineStr">
        <is>
          <t>DRAFT — declared in the code and printed here, WAITING FOR YOUR VERDICT before the screens move behind the door (rule 10)</t>
        </is>
      </c>
      <c r="AA13" s="3" t="inlineStr"/>
      <c r="AB13" s="3" t="inlineStr"/>
      <c r="AC13" s="3" t="inlineStr"/>
      <c r="AD13" s="3" t="inlineStr"/>
      <c r="AE13" s="3" t="inlineStr">
        <is>
          <t>G28 batch 1 (2026-09-09) — Same as MK-NW-M-001 (the same producer, MK-XS-F-005).</t>
        </is>
      </c>
      <c r="AF13" s="3" t="inlineStr">
        <is>
          <t>ACTIVE</t>
        </is>
      </c>
      <c r="AG13" s="3" t="inlineStr">
        <is>
          <t>2026-10-11</t>
        </is>
      </c>
      <c r="AH13" s="3" t="inlineStr"/>
      <c r="AI13" s="3" t="inlineStr"/>
      <c r="AJ13"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RULED? NOT YET — read this row and say yes, or say what changes. Nothing moves behind MK-NW-O-003 theNetWorth until you do.</t>
        </is>
      </c>
      <c r="AN13" s="3" t="inlineStr">
        <is>
          <t>Net worth recorded at the end of each month — $240,000 in January, $246,000 in February, $252,000 in March, $258,000 in April — and one daily point of $261,200 on 30 April.
GIVES: 5
(the test re-runs this through MK-NW-O-003 theNetWorth on every build)</t>
        </is>
      </c>
      <c r="AO13" s="9" t="inlineStr">
        <is>
          <t>WAITING ON YOU — row to approve: say yes in YOUR ANSWER, or say what changes · RULED, NOT CODED (Q-NW-1 — one question, one function)</t>
        </is>
      </c>
    </row>
    <row r="14" ht="60" customHeight="1">
      <c r="A14" s="3" t="inlineStr">
        <is>
          <t>MK-NW-M-004</t>
        </is>
      </c>
      <c r="B14" s="3" t="inlineStr">
        <is>
          <t>Networth</t>
        </is>
      </c>
      <c r="C14" s="3" t="inlineStr">
        <is>
          <t>/analytics</t>
        </is>
      </c>
      <c r="D14" s="3" t="inlineStr">
        <is>
          <t>WHAT YOU OWN</t>
        </is>
      </c>
      <c r="E14" s="3" t="inlineStr">
        <is>
          <t>what_you_own</t>
        </is>
      </c>
      <c r="F14" s="3" t="inlineStr">
        <is>
          <t>theNetWorth</t>
        </is>
      </c>
      <c r="G14" s="3" t="inlineStr">
        <is>
          <t>MK-NW-O-003</t>
        </is>
      </c>
      <c r="H14" s="3" t="inlineStr">
        <is>
          <t>the sum of every account’s value</t>
        </is>
      </c>
      <c r="I14" s="3" t="inlineStr">
        <is>
          <t>the sum of every account’s value</t>
        </is>
      </c>
      <c r="J14" s="3" t="inlineStr">
        <is>
          <t>MK-NW-I-001 your accounts</t>
        </is>
      </c>
      <c r="K14" s="3" t="inlineStr">
        <is>
          <t>dollars, whole</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4" s="3" t="inlineStr">
        <is>
          <t>Declared by MK-NW-O-003 theNetWorth</t>
        </is>
      </c>
      <c r="Q14" s="3" t="inlineStr">
        <is>
          <t>NONE RECORDED — the declaration names none.</t>
        </is>
      </c>
      <c r="R14" s="3" t="inlineStr">
        <is>
          <t>NONE RECORDED — the declaration names none.</t>
        </is>
      </c>
      <c r="S14" s="3" t="inlineStr"/>
      <c r="T14" s="3" t="inlineStr">
        <is>
          <t>NONE RECORDED — the declaration names none.</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2026-10-11</t>
        </is>
      </c>
      <c r="AH14" s="3" t="inlineStr"/>
      <c r="AI14" s="3" t="inlineStr"/>
      <c r="AJ14"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MK-NW-O-003 theNetWorth</t>
        </is>
      </c>
      <c r="AN14"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$503,200
(the test re-runs this through MK-NW-O-003 theNetWorth on every build)</t>
        </is>
      </c>
      <c r="AO14" s="7" t="inlineStr">
        <is>
          <t>RULED, NOT CODED (Q-NW-1 — one question, one function)</t>
        </is>
      </c>
    </row>
    <row r="15" ht="60" customHeight="1">
      <c r="A15" s="3" t="inlineStr">
        <is>
          <t>MK-NW-M-005</t>
        </is>
      </c>
      <c r="B15" s="3" t="inlineStr">
        <is>
          <t>Networth</t>
        </is>
      </c>
      <c r="C15" s="3" t="inlineStr">
        <is>
          <t>/analytics · /insights</t>
        </is>
      </c>
      <c r="D15" s="3" t="inlineStr">
        <is>
          <t>CASH</t>
        </is>
      </c>
      <c r="E15" s="3" t="inlineStr">
        <is>
          <t>cash</t>
        </is>
      </c>
      <c r="F15" s="3" t="inlineStr">
        <is>
          <t>theNetWorth</t>
        </is>
      </c>
      <c r="G15" s="3" t="inlineStr">
        <is>
          <t>MK-NW-O-003</t>
        </is>
      </c>
      <c r="H15" s="3" t="inlineStr">
        <is>
          <t>cash = Σ(balance of each account whose class = Cash) + Σ over CONNECTED accounts of (the cash slice of the account's class breakdown)</t>
        </is>
      </c>
      <c r="I15"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15" s="3" t="inlineStr">
        <is>
          <t>MK-NW-I-001 your accounts</t>
        </is>
      </c>
      <c r="K15" s="3" t="inlineStr">
        <is>
          <t>dollars, whole</t>
        </is>
      </c>
      <c r="L15" s="3" t="inlineStr">
        <is>
          <t>$0, and under it the one line "Nothing entered yet. Add your accounts ›" (mock approved 2026-09-12). A real zero that was entered shows a plain $0 with no line.</t>
        </is>
      </c>
      <c r="M15" s="3" t="inlineStr">
        <is>
          <t>one figure per household</t>
        </is>
      </c>
      <c r="N15" s="3" t="inlineStr">
        <is>
          <t>as of today</t>
        </is>
      </c>
      <c r="O1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5" s="3" t="inlineStr">
        <is>
          <t>Declared by MK-NW-O-003 theNetWorth</t>
        </is>
      </c>
      <c r="Q15" s="3" t="inlineStr">
        <is>
          <t>A CD and a money-market fund are NOT cash: they are bonds and funds, because they pay interest and dividends that must be measured (founder, 2026-08-04).</t>
        </is>
      </c>
      <c r="R15" s="3" t="inlineStr">
        <is>
          <t>A CD and a money-market fund are NOT cash: they are bonds and funds, because they pay interest and dividends that must be measured (founder, 2026-08-04).</t>
        </is>
      </c>
      <c r="S15" s="3" t="inlineStr"/>
      <c r="T15" s="3" t="inlineStr">
        <is>
          <t>A CD and a money-market fund are NOT cash: they are bonds and funds, because they pay interest and dividends that must be measured (founder, 2026-08-04).</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is>
          <t>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15" s="3" t="inlineStr">
        <is>
          <t>ACTIVE</t>
        </is>
      </c>
      <c r="AG15" s="3" t="inlineStr">
        <is>
          <t>2026-10-11</t>
        </is>
      </c>
      <c r="AH15" s="3" t="inlineStr"/>
      <c r="AI15" s="3" t="inlineStr"/>
      <c r="AJ15"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MK-NW-O-003 theNetWorth</t>
        </is>
      </c>
      <c r="AN1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$18,000
(the test re-runs this through MK-NW-O-003 theNetWorth on every build)</t>
        </is>
      </c>
      <c r="AO15" s="7" t="inlineStr">
        <is>
          <t>RULED, NOT CODED (Q-NW-1 — one question, one function)</t>
        </is>
      </c>
    </row>
    <row r="16" ht="60" customHeight="1">
      <c r="A16" s="3" t="inlineStr">
        <is>
          <t>MK-NW-M-006</t>
        </is>
      </c>
      <c r="B16" s="3" t="inlineStr">
        <is>
          <t>Networth</t>
        </is>
      </c>
      <c r="C16" s="3" t="inlineStr">
        <is>
          <t>/networth</t>
        </is>
      </c>
      <c r="D16" s="3" t="inlineStr">
        <is>
          <t>🏠 PERSONAL PROPERTY</t>
        </is>
      </c>
      <c r="E16" s="3" t="inlineStr">
        <is>
          <t>personal_property</t>
        </is>
      </c>
      <c r="F16" s="3" t="inlineStr">
        <is>
          <t>theNetWorth</t>
        </is>
      </c>
      <c r="G16" s="3" t="inlineStr">
        <is>
          <t>MK-NW-O-003</t>
        </is>
      </c>
      <c r="H16" s="3" t="inlineStr">
        <is>
          <t>the balances of every account in that band, added up — for this band, every account whose class is personal property: vehicles and valuables. Real estate is its own band.</t>
        </is>
      </c>
      <c r="I16" s="3" t="inlineStr">
        <is>
          <t>the balances of every account in that band, added up — for this band, every account whose class is personal property: vehicles and valuables. Real estate is its own band.</t>
        </is>
      </c>
      <c r="J16" s="3" t="inlineStr">
        <is>
          <t>MK-NW-I-001 your accounts</t>
        </is>
      </c>
      <c r="K16" s="3" t="inlineStr">
        <is>
          <t>dollars, whole</t>
        </is>
      </c>
      <c r="L16" s="3" t="inlineStr">
        <is>
          <t>The band shows $0 and, on a fresh account, the one line "Nothing entered yet. Add your accounts ›".</t>
        </is>
      </c>
      <c r="M16" s="3" t="inlineStr">
        <is>
          <t>one figure per band</t>
        </is>
      </c>
      <c r="N16" s="3" t="inlineStr">
        <is>
          <t>as of today</t>
        </is>
      </c>
      <c r="O1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6" s="3" t="inlineStr">
        <is>
          <t>Declared by MK-NW-O-003 theNetWorth</t>
        </is>
      </c>
      <c r="Q16"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R16"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S16" s="3" t="inlineStr"/>
      <c r="T16"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U16" s="3" t="inlineStr">
        <is>
          <t>MOVED OFF THE SCREEN 2026-09-30. Its row said so in as many words — "this section total is computed on the screen itself", written by hand 2026-09-08 — and it named NO function. NetWorthScreen grouped the accounts and totalled each band with an inline reduce over balances, which is the rule against re-deriving money on a screen. It is MK-NW-F ledgerGroups now, and both groupings are pinned to agree.</t>
        </is>
      </c>
      <c r="V16" s="3" t="inlineStr"/>
      <c r="W16" s="3" t="inlineStr"/>
      <c r="X16" s="3" t="inlineStr"/>
      <c r="Y16" s="3" t="inlineStr"/>
      <c r="Z16" s="3" t="inlineStr">
        <is>
          <t>DRAFT — declared in the code and printed here, WAITING FOR YOUR VERDICT before the screens move behind the door (rule 10)</t>
        </is>
      </c>
      <c r="AA16" s="3" t="inlineStr"/>
      <c r="AB16" s="3" t="inlineStr"/>
      <c r="AC16" s="3" t="inlineStr"/>
      <c r="AD16" s="3" t="inlineStr"/>
      <c r="AE16" s="3" t="inlineStr"/>
      <c r="AF16" s="3" t="inlineStr">
        <is>
          <t>ACTIVE</t>
        </is>
      </c>
      <c r="AG16" s="3" t="inlineStr">
        <is>
          <t>2026-10-11</t>
        </is>
      </c>
      <c r="AH16" s="3" t="inlineStr"/>
      <c r="AI16" s="3" t="inlineStr"/>
      <c r="AJ16"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RULED? NOT YET — read this row and say yes, or say what changes. Nothing moves behind MK-NW-O-003 theNetWorth until you do.</t>
        </is>
      </c>
      <c r="AN16" s="3" t="inlineStr">
        <is>
          <t>The five accounts above plus a $21,000 car: $18,000 checking, $142,000 brokerage, a $24,200 Treasury at Fidelity, a $310,000 rental with no institution recorded, $9,000 of gold in a vault and the car.
GIVES: $21,000
(the test re-runs this through MK-NW-O-003 theNetWorth on every build)</t>
        </is>
      </c>
      <c r="AO16" s="9" t="inlineStr">
        <is>
          <t>WAITING ON YOU — row to approve: say yes in YOUR ANSWER, or say what changes · RULED, NOT CODED (Q-NW-1 — one question, one function)</t>
        </is>
      </c>
    </row>
    <row r="17" ht="60" customHeight="1">
      <c r="A17" s="3" t="inlineStr">
        <is>
          <t>MK-NW-M-007</t>
        </is>
      </c>
      <c r="B17" s="3" t="inlineStr">
        <is>
          <t>Networth</t>
        </is>
      </c>
      <c r="C17" s="3" t="inlineStr">
        <is>
          <t>/analytics</t>
        </is>
      </c>
      <c r="D17" s="3" t="inlineStr">
        <is>
          <t>class rows — by class, institution or type</t>
        </is>
      </c>
      <c r="E17" s="3" t="inlineStr">
        <is>
          <t>class_rows__by_class_institution_or_type</t>
        </is>
      </c>
      <c r="F17" s="3" t="inlineStr">
        <is>
          <t>theNetWorth</t>
        </is>
      </c>
      <c r="G17" s="3" t="inlineStr">
        <is>
          <t>MK-NW-O-003</t>
        </is>
      </c>
      <c r="H17" s="3" t="inlineStr">
        <is>
          <t>each account’s value booked to its class, added up by class</t>
        </is>
      </c>
      <c r="I17" s="3" t="inlineStr">
        <is>
          <t>each account’s value booked to its class, added up by class</t>
        </is>
      </c>
      <c r="J17" s="3" t="inlineStr">
        <is>
          <t>MK-NW-I-001 your accounts</t>
        </is>
      </c>
      <c r="K17" s="3" t="inlineStr">
        <is>
          <t>dollars, whole</t>
        </is>
      </c>
      <c r="L17" s="3" t="inlineStr">
        <is>
          <t>$0, and under it the one line "Nothing entered yet. Add your accounts ›" (mock approved 2026-09-12). A real zero that was entered shows a plain $0 with no line.</t>
        </is>
      </c>
      <c r="M17" s="3" t="inlineStr">
        <is>
          <t>one class</t>
        </is>
      </c>
      <c r="N17" s="3" t="inlineStr">
        <is>
          <t>as of today</t>
        </is>
      </c>
      <c r="O1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7" s="3" t="inlineStr">
        <is>
          <t>Declared by MK-NW-O-003 theNetWorth</t>
        </is>
      </c>
      <c r="Q17" s="3" t="inlineStr">
        <is>
          <t>NONE RECORDED — the declaration names none.</t>
        </is>
      </c>
      <c r="R17" s="3" t="inlineStr">
        <is>
          <t>NONE RECORDED — the declaration names none.</t>
        </is>
      </c>
      <c r="S17" s="3" t="inlineStr"/>
      <c r="T17" s="3" t="inlineStr">
        <is>
          <t>NONE RECORDED — the declaration names none.</t>
        </is>
      </c>
      <c r="U17" s="3" t="inlineStr"/>
      <c r="V17" s="3"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17" s="3" t="inlineStr">
        <is>
          <t>Q10 — ANSWERED 2026-09-30: Q10: Draft order is correct
BUILT: He approved the draft order. NOT BUILT, and for a reason he should see: the draft I wrote puts the institution's own class field first, which is the opposite of his own brief B7 (2026-08-20), "name first, broker tag as fallback only". That brief came from his Vanguard money-market fund being counted as cash because the tag overrode the name.
Q11 — ANSWERED 2026-09-30: Q11: Refuse the line and ask
BUILT: When nothing says what a holding is, the app does not guess. The holding is counted in no class — it shows as Unclassified — and Net worth asks the person what it is. Their answer ends the asking and stays through every sync.
Q12 — ANSWERED 2026-09-30: Q12: user entry stays even if it is not in the import file. If user modify cost or quantity post import/linked from institution, cost basis should not be overwritten in future sync as quantity, price and market value can change with time but not cost.
BUILT: What a person enters on a linked account stays. A holding they added stays even when the broker's list does not carry it. A cost they set is kept by every later sync: the shares, the price and the value follow the broker, the cost per share does not.
Q13 — ANSWERED 2026-09-30: Q13: incomplete question
BUILT: The question reached him cut off. In full: is a gold fund such as GLD just a fund carrying a commodity label, and should the app hold physical metal by weight, purity and storage at launch? Decided without asking again: as built. GLD is an alternative. Physical metal is entered by hand as "Gold / commodities" with its value; weight, purity and storage are not asked.</t>
        </is>
      </c>
      <c r="X17" s="3" t="inlineStr"/>
      <c r="Y17" s="3" t="inlineStr"/>
      <c r="Z17" s="3" t="inlineStr">
        <is>
          <t>DECLARED IN THE CODE (rule 11) — printed from the door, not typed. RULED 2026-09-27</t>
        </is>
      </c>
      <c r="AA17" s="3" t="inlineStr"/>
      <c r="AB17" s="3" t="inlineStr"/>
      <c r="AC17" s="3" t="inlineStr"/>
      <c r="AD17" s="3" t="inlineStr"/>
      <c r="AE17" s="3" t="inlineStr">
        <is>
          <t>G32 / Q48 — RULED 2026-09-09: $0 stays, with the sentence '$0 — nothing entered yet.' and this row's door ('Add your accounts ›'). File written; the screen follows the approved empty-state mock (one pattern, one screen), then every screen.</t>
        </is>
      </c>
      <c r="AF17" s="3" t="inlineStr">
        <is>
          <t>ACTIVE</t>
        </is>
      </c>
      <c r="AG17" s="3" t="inlineStr">
        <is>
          <t>2026-10-11</t>
        </is>
      </c>
      <c r="AH17" s="3" t="inlineStr"/>
      <c r="AI17" s="3" t="inlineStr"/>
      <c r="AJ17"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2026-09-27; the figure, its formula, inputs and refusal live in MK-NW-O-003 theNetWorth</t>
        </is>
      </c>
      <c r="AN1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$142,000
(the test re-runs this through MK-NW-O-003 theNetWorth on every build)</t>
        </is>
      </c>
      <c r="AO17" s="7" t="inlineStr">
        <is>
          <t>RULED, NOT CODED (Q-NW-1 — one question, one function)</t>
        </is>
      </c>
    </row>
    <row r="18" ht="60" customHeight="1">
      <c r="A18" s="3" t="inlineStr">
        <is>
          <t>MK-NW-M-008</t>
        </is>
      </c>
      <c r="B18" s="3" t="inlineStr">
        <is>
          <t>Networth</t>
        </is>
      </c>
      <c r="C18" s="3" t="inlineStr">
        <is>
          <t>/networth</t>
        </is>
      </c>
      <c r="D18" s="3" t="inlineStr">
        <is>
          <t>each account and its balance</t>
        </is>
      </c>
      <c r="E18" s="3" t="inlineStr">
        <is>
          <t>each_account_and_its_balance</t>
        </is>
      </c>
      <c r="F18" s="3" t="inlineStr">
        <is>
          <t>theNetWorth</t>
        </is>
      </c>
      <c r="G18" s="3" t="inlineStr">
        <is>
          <t>MK-NW-O-003</t>
        </is>
      </c>
      <c r="H18" s="3" t="inlineStr">
        <is>
          <t>the account’s own balance, listed under the band it belongs to</t>
        </is>
      </c>
      <c r="I18" s="3" t="inlineStr">
        <is>
          <t>the account’s own balance, listed under the band it belongs to</t>
        </is>
      </c>
      <c r="J18" s="3" t="inlineStr">
        <is>
          <t>MK-NW-I-001 your accounts
MK-XS-I-003 institution name</t>
        </is>
      </c>
      <c r="K18" s="3" t="inlineStr">
        <is>
          <t>dollars, whole</t>
        </is>
      </c>
      <c r="L18" s="3" t="inlineStr">
        <is>
          <t>$0, and under it the one line "Nothing entered yet. Add your accounts ›" (mock approved 2026-09-12). A real zero that was entered shows a plain $0 with no line.</t>
        </is>
      </c>
      <c r="M18" s="3" t="inlineStr">
        <is>
          <t>one figure per account</t>
        </is>
      </c>
      <c r="N18" s="3" t="inlineStr">
        <is>
          <t>as of today</t>
        </is>
      </c>
      <c r="O18"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8" s="3" t="inlineStr">
        <is>
          <t>Declared by MK-NW-O-003 theNetWorth</t>
        </is>
      </c>
      <c r="Q18" s="3" t="inlineStr">
        <is>
          <t>UNDER AN INSTITUTION’S NAME, the class mix inside it is named too — a Fidelity holding a fund and a Treasury reads as a roll-up, not a flat lump.
The mix is ordered biggest first, so the largest thing inside an institution is the first thing read.</t>
        </is>
      </c>
      <c r="R18" s="3" t="inlineStr">
        <is>
          <t>UNDER AN INSTITUTION’S NAME, the class mix inside it is named too — a Fidelity holding a fund and a Treasury reads as a roll-up, not a flat lump.
The mix is ordered biggest first, so the largest thing inside an institution is the first thing read.</t>
        </is>
      </c>
      <c r="S18" s="3" t="inlineStr"/>
      <c r="T18" s="3" t="inlineStr">
        <is>
          <t>UNDER AN INSTITUTION’S NAME, the class mix inside it is named too — a Fidelity holding a fund and a Treasury reads as a roll-up, not a flat lump.
The mix is ordered biggest first, so the largest thing inside an institution is the first thing read.</t>
        </is>
      </c>
      <c r="U18" s="3" t="inlineStr">
        <is>
          <t>DECLARED 2026-09-30 with MK-NW-M-006 — the same function answers both, which is why the band and the rows beneath it cannot disagree. The worked example is Fidelity: $142,000 of fund plus a $24,200 Treasury.</t>
        </is>
      </c>
      <c r="V18" s="3" t="inlineStr">
        <is>
          <t>Q14 — What should a MIXED account be called on screen, when it holds several classes at once?</t>
        </is>
      </c>
      <c r="W18" s="3" t="inlineStr">
        <is>
          <t>Q14 — ANSWERED 2026-09-30: Call an account by it's name - no need to label it unless it is checking or savings account.
BUILT: An account is called by its name. No class word is printed under it — not "Mixed", not "Unclassified".</t>
        </is>
      </c>
      <c r="X18" s="3" t="inlineStr"/>
      <c r="Y18" s="3" t="inlineStr"/>
      <c r="Z18" s="3" t="inlineStr">
        <is>
          <t>DRAFT — declared in the code and printed here, WAITING FOR YOUR VERDICT before the screens move behind the door (rule 10)</t>
        </is>
      </c>
      <c r="AA18" s="3" t="inlineStr"/>
      <c r="AB18" s="3" t="inlineStr"/>
      <c r="AC18" s="3" t="inlineStr"/>
      <c r="AD18" s="3" t="inlineStr"/>
      <c r="AE18" s="3" t="inlineStr">
        <is>
          <t>G32 / Q48 — RULED 2026-09-09: $0 stays, with the sentence '$0 — nothing entered yet.' and this row's door ('Add your accounts ›'). File written; the screen follows the approved empty-state mock (one pattern, one screen), then every screen.</t>
        </is>
      </c>
      <c r="AF18" s="3" t="inlineStr">
        <is>
          <t>ACTIVE</t>
        </is>
      </c>
      <c r="AG18" s="3" t="inlineStr">
        <is>
          <t>2026-10-11</t>
        </is>
      </c>
      <c r="AH18" s="3" t="inlineStr"/>
      <c r="AI18" s="3" t="inlineStr"/>
      <c r="AJ18"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RULED? NOT YET — read this row and say yes, or say what changes. Nothing moves behind MK-NW-O-003 theNetWorth until you do.</t>
        </is>
      </c>
      <c r="AN18" s="3" t="inlineStr">
        <is>
          <t>The five accounts above plus a $21,000 car: $18,000 checking, $142,000 brokerage, a $24,200 Treasury at Fidelity, a $310,000 rental with no institution recorded, $9,000 of gold in a vault and the car.
GIVES: $166,200
(the test re-runs this through MK-NW-O-003 theNetWorth on every build)</t>
        </is>
      </c>
      <c r="AO18" s="9" t="inlineStr">
        <is>
          <t>WAITING ON YOU — row to approve: say yes in YOUR ANSWER, or say what changes · RULED, NOT CODED (Q-NW-1 — one question, one function)</t>
        </is>
      </c>
    </row>
    <row r="19" ht="60" customHeight="1">
      <c r="A19" s="3" t="inlineStr">
        <is>
          <t>MK-NW-M-009</t>
        </is>
      </c>
      <c r="B19" s="3" t="inlineStr">
        <is>
          <t>Networth</t>
        </is>
      </c>
      <c r="C19" s="3" t="inlineStr">
        <is>
          <t>/analytics</t>
        </is>
      </c>
      <c r="D19" s="3" t="inlineStr">
        <is>
          <t>DEBTS</t>
        </is>
      </c>
      <c r="E19" s="3" t="inlineStr">
        <is>
          <t>debts</t>
        </is>
      </c>
      <c r="F19" s="3" t="inlineStr">
        <is>
          <t>theNetWorth</t>
        </is>
      </c>
      <c r="G19" s="3" t="inlineStr">
        <is>
          <t>MK-NW-O-003</t>
        </is>
      </c>
      <c r="H19" s="3" t="inlineStr">
        <is>
          <t>the sum of every debt’s remaining balance</t>
        </is>
      </c>
      <c r="I19" s="3" t="inlineStr">
        <is>
          <t>the sum of every debt’s remaining balance</t>
        </is>
      </c>
      <c r="J19" s="3" t="inlineStr">
        <is>
          <t>MK-NW-I-002 your debts</t>
        </is>
      </c>
      <c r="K19" s="3" t="inlineStr">
        <is>
          <t>dollars, whole</t>
        </is>
      </c>
      <c r="L19" s="3" t="inlineStr">
        <is>
          <t>$0, and under it the one line "Nothing entered yet. Add your debts ›" (mock approved 2026-09-12). A real zero that was entered shows a plain $0 with no line.</t>
        </is>
      </c>
      <c r="M19" s="3" t="inlineStr">
        <is>
          <t>one figure per household</t>
        </is>
      </c>
      <c r="N19" s="3" t="inlineStr">
        <is>
          <t>as of today</t>
        </is>
      </c>
      <c r="O1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9" s="3" t="inlineStr">
        <is>
          <t>Declared by MK-NW-O-003 theNetWorth</t>
        </is>
      </c>
      <c r="Q19" s="3" t="inlineStr">
        <is>
          <t>NONE RECORDED — the declaration names none.</t>
        </is>
      </c>
      <c r="R19" s="3" t="inlineStr">
        <is>
          <t>NONE RECORDED — the declaration names none.</t>
        </is>
      </c>
      <c r="S19" s="3" t="inlineStr"/>
      <c r="T19" s="3" t="inlineStr">
        <is>
          <t>NONE RECORDED — the declaration names none.</t>
        </is>
      </c>
      <c r="U19" s="3" t="inlineStr"/>
      <c r="V19" s="3" t="inlineStr"/>
      <c r="W19" s="3" t="inlineStr"/>
      <c r="X19" s="3" t="inlineStr"/>
      <c r="Y19" s="3" t="inlineStr"/>
      <c r="Z19" s="3" t="inlineStr">
        <is>
          <t>DECLARED IN THE CODE (rule 11) — printed from the door, not typed. RULED 2026-09-27</t>
        </is>
      </c>
      <c r="AA19" s="3" t="inlineStr"/>
      <c r="AB19" s="3" t="inlineStr"/>
      <c r="AC19" s="3" t="inlineStr"/>
      <c r="AD19" s="3" t="inlineStr"/>
      <c r="AE19" s="3" t="inlineStr">
        <is>
          <t>G32 / Q48 — RULED 2026-09-09: $0 stays, with the sentence '$0 — nothing entered yet.' and this row's door ('Add your debts ›'). File written; the screen follows the approved empty-state mock (one pattern, one screen), then every screen.</t>
        </is>
      </c>
      <c r="AF19" s="3" t="inlineStr">
        <is>
          <t>ACTIVE</t>
        </is>
      </c>
      <c r="AG19" s="3" t="inlineStr">
        <is>
          <t>2026-10-11</t>
        </is>
      </c>
      <c r="AH19" s="3" t="inlineStr"/>
      <c r="AI19" s="3" t="inlineStr"/>
      <c r="AJ19"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2026-09-27; the figure, its formula, inputs and refusal live in MK-NW-O-003 theNetWorth</t>
        </is>
      </c>
      <c r="AN19"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$242,000
(the test re-runs this through MK-NW-O-003 theNetWorth on every build)</t>
        </is>
      </c>
      <c r="AO19" s="7" t="inlineStr">
        <is>
          <t>RULED, NOT CODED (Q-NW-1 — one question, one function)</t>
        </is>
      </c>
    </row>
    <row r="20" ht="60" customHeight="1">
      <c r="A20" s="3" t="inlineStr">
        <is>
          <t>MK-NW-M-010</t>
        </is>
      </c>
      <c r="B20" s="3" t="inlineStr">
        <is>
          <t>Networth</t>
        </is>
      </c>
      <c r="C20" s="3" t="inlineStr">
        <is>
          <t>/analytics</t>
        </is>
      </c>
      <c r="D20" s="3" t="inlineStr">
        <is>
          <t>each debt and what is left on it</t>
        </is>
      </c>
      <c r="E20" s="3" t="inlineStr">
        <is>
          <t>each_debt_and_what_is_left_on_it</t>
        </is>
      </c>
      <c r="F20" s="3" t="inlineStr">
        <is>
          <t>theNetWorth</t>
        </is>
      </c>
      <c r="G20" s="3" t="inlineStr"/>
      <c r="H20" s="3" t="inlineStr">
        <is>
          <t>the remaining balance you entered, lowered by each payment logged</t>
        </is>
      </c>
      <c r="I20" s="3" t="inlineStr">
        <is>
          <t>The balance still owed on the debt, as recorded — an input, no arithmetic.</t>
        </is>
      </c>
      <c r="J20" s="3" t="inlineStr">
        <is>
          <t>MK-NW-I-002 your debts</t>
        </is>
      </c>
      <c r="K20" s="3" t="inlineStr">
        <is>
          <t>dollars, whole</t>
        </is>
      </c>
      <c r="L20" s="3" t="inlineStr">
        <is>
          <t>$0, and under it the one line "Nothing entered yet. Add your debts ›" (mock approved 2026-09-12). A real zero that was entered shows a plain $0 with no line.</t>
        </is>
      </c>
      <c r="M20" s="3" t="inlineStr">
        <is>
          <t>one debt</t>
        </is>
      </c>
      <c r="N20" s="3" t="inlineStr">
        <is>
          <t>as of today</t>
        </is>
      </c>
      <c r="O20" s="3" t="inlineStr">
        <is>
          <t>No function on record — nothing to chain</t>
        </is>
      </c>
      <c r="P20" s="3" t="inlineStr">
        <is>
          <t>Declared by MK-NW-O-003 theNetWorth</t>
        </is>
      </c>
      <c r="Q20" s="3" t="inlineStr">
        <is>
          <t>NONE RECORDED — the declaration names none.</t>
        </is>
      </c>
      <c r="R20" s="3" t="inlineStr">
        <is>
          <t>NONE RECORDED — the declaration names none.</t>
        </is>
      </c>
      <c r="S20" s="3" t="inlineStr"/>
      <c r="T20" s="3" t="inlineStr">
        <is>
          <t>NONE RECORDED — the declaration names none.</t>
        </is>
      </c>
      <c r="U20" s="3" t="inlineStr"/>
      <c r="V20" s="3" t="inlineStr"/>
      <c r="W20" s="3" t="inlineStr"/>
      <c r="X20" s="3" t="inlineStr"/>
      <c r="Y20" s="3" t="inlineStr"/>
      <c r="Z20" s="3" t="inlineStr">
        <is>
          <t>DECLARED IN THE CODE (rule 11) — printed from the door, not typed. RULED 2026-09-27</t>
        </is>
      </c>
      <c r="AA20" s="3" t="inlineStr"/>
      <c r="AB20" s="3" t="inlineStr"/>
      <c r="AC20" s="3" t="inlineStr"/>
      <c r="AD20" s="3" t="inlineStr"/>
      <c r="AE20" s="3" t="inlineStr">
        <is>
          <t>G32 / Q48 — RULED 2026-09-09: $0 stays, with the sentence '$0 — nothing entered yet.' and this row's door ('Add your debts ›'). File written; the screen follows the approved empty-state mock (one pattern, one screen), then every screen.</t>
        </is>
      </c>
      <c r="AF20" s="3" t="inlineStr">
        <is>
          <t>ACTIVE</t>
        </is>
      </c>
      <c r="AG20" s="3" t="inlineStr">
        <is>
          <t>2026-10-11</t>
        </is>
      </c>
      <c r="AH20" s="3" t="inlineStr"/>
      <c r="AI20" s="3" t="inlineStr"/>
      <c r="AJ20" s="3" t="inlineStr">
        <is>
          <t>No function on record — nothing to read from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2026-09-27; the figure, its formula, inputs and refusal live in MK-NW-O-003 theNetWorth</t>
        </is>
      </c>
      <c r="AN20"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$228,000
(the test re-runs this through MK-NW-O-003 theNetWorth on every build)</t>
        </is>
      </c>
      <c r="AO20" s="7" t="inlineStr">
        <is>
          <t>RULED, NOT CODED (Q-NW-1 — one question, one function)</t>
        </is>
      </c>
    </row>
    <row r="21" ht="60" customHeight="1">
      <c r="A21" s="3" t="inlineStr">
        <is>
          <t>MK-NW-M-011</t>
        </is>
      </c>
      <c r="B21" s="3" t="inlineStr">
        <is>
          <t>Networth</t>
        </is>
      </c>
      <c r="C21" s="3" t="inlineStr">
        <is>
          <t>/analytics</t>
        </is>
      </c>
      <c r="D21" s="3" t="inlineStr">
        <is>
          <t>minimum monthly payment on a debt</t>
        </is>
      </c>
      <c r="E21" s="3" t="inlineStr">
        <is>
          <t>minimum_monthly_payment_on_a_debt</t>
        </is>
      </c>
      <c r="F21" s="3" t="inlineStr">
        <is>
          <t>theNetWorth</t>
        </is>
      </c>
      <c r="G21" s="3" t="inlineStr">
        <is>
          <t>MK-NW-O-003</t>
        </is>
      </c>
      <c r="H21" s="3" t="inlineStr">
        <is>
          <t>required payment = 0 when the debt is due in full; otherwise the larger of the stated minimum and the payment the person chose (the stated minimum alone when no payment was chosen)</t>
        </is>
      </c>
      <c r="I21" s="3" t="inlineStr">
        <is>
          <t>the LARGER of the minimum you entered and any monthly payment you set — a debt due in full has no monthly payment at all</t>
        </is>
      </c>
      <c r="J21" s="3" t="inlineStr">
        <is>
          <t>MK-NW-I-002 your debts</t>
        </is>
      </c>
      <c r="K21" s="3" t="inlineStr">
        <is>
          <t>dollars, whole a month</t>
        </is>
      </c>
      <c r="L21" s="3" t="inlineStr">
        <is>
          <t>No minimum entered.</t>
        </is>
      </c>
      <c r="M21" s="3" t="inlineStr">
        <is>
          <t>one debt</t>
        </is>
      </c>
      <c r="N21" s="3" t="inlineStr">
        <is>
          <t>a month</t>
        </is>
      </c>
      <c r="O2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1" s="3" t="inlineStr">
        <is>
          <t>Declared by MK-NW-O-003 theNetWorth</t>
        </is>
      </c>
      <c r="Q21" s="3" t="inlineStr">
        <is>
          <t>FOUNDER RULING G19 (2026-09-08): one payment rule, the larger of the stated minimum and the payment set — the same words in both formula columns.</t>
        </is>
      </c>
      <c r="R21" s="3" t="inlineStr">
        <is>
          <t>FOUNDER RULING G19 (2026-09-08): one payment rule, the larger of the stated minimum and the payment set — the same words in both formula columns.</t>
        </is>
      </c>
      <c r="S21" s="3" t="inlineStr"/>
      <c r="T21" s="3" t="inlineStr">
        <is>
          <t>FOUNDER RULING G19 (2026-09-08): one payment rule, the larger of the stated minimum and the payment set — the same words in both formula columns.</t>
        </is>
      </c>
      <c r="U21" s="3" t="inlineStr"/>
      <c r="V21" s="3" t="inlineStr"/>
      <c r="W21" s="3" t="inlineStr"/>
      <c r="X21" s="3" t="inlineStr"/>
      <c r="Y21" s="3" t="inlineStr"/>
      <c r="Z21" s="3" t="inlineStr">
        <is>
          <t>DECLARED IN THE CODE (rule 11) — printed from the door, not typed. RULED 2026-09-27</t>
        </is>
      </c>
      <c r="AA21" s="3" t="inlineStr"/>
      <c r="AB21" s="3" t="inlineStr"/>
      <c r="AC21" s="3" t="inlineStr"/>
      <c r="AD21" s="3" t="inlineStr"/>
      <c r="AE21" s="3" t="inlineStr">
        <is>
          <t>G19 — CLOSED 2026-09-08: the math column's 'interest + 1% of balance' rule existed nowhere in the code and is gone; both columns now state the one rule MK-CF-F-023 applies. No code change.</t>
        </is>
      </c>
      <c r="AF21" s="3" t="inlineStr">
        <is>
          <t>ACTIVE</t>
        </is>
      </c>
      <c r="AG21" s="3" t="inlineStr">
        <is>
          <t>2026-10-11</t>
        </is>
      </c>
      <c r="AH21" s="3" t="inlineStr"/>
      <c r="AI21" s="3" t="inlineStr"/>
      <c r="AJ21"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2026-09-27; the figure, its formula, inputs and refusal live in MK-NW-O-003 theNetWorth</t>
        </is>
      </c>
      <c r="AN21"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$2,400/month
(the test re-runs this through MK-NW-O-003 theNetWorth on every build)</t>
        </is>
      </c>
      <c r="AO21" s="7" t="inlineStr">
        <is>
          <t>RULED, NOT CODED (Q-NW-1 — one question, one function)</t>
        </is>
      </c>
    </row>
    <row r="22" ht="60" customHeight="1">
      <c r="A22" s="3" t="inlineStr">
        <is>
          <t>MK-NW-M-012</t>
        </is>
      </c>
      <c r="B22" s="3" t="inlineStr">
        <is>
          <t>Networth</t>
        </is>
      </c>
      <c r="C22" s="3" t="inlineStr">
        <is>
          <t>/analytics · /home</t>
        </is>
      </c>
      <c r="D22" s="3" t="inlineStr">
        <is>
          <t>Monthly debt payments</t>
        </is>
      </c>
      <c r="E22" s="3" t="inlineStr">
        <is>
          <t>monthly_debt_payments</t>
        </is>
      </c>
      <c r="F22" s="3" t="inlineStr">
        <is>
          <t>theNetWorth</t>
        </is>
      </c>
      <c r="G22" s="3" t="inlineStr">
        <is>
          <t>MK-CF-F-024</t>
        </is>
      </c>
      <c r="H22" s="3" t="inlineStr">
        <is>
          <t>monthly debt payments = Σ over debts of (required payment) — due-in-full debts count 0</t>
        </is>
      </c>
      <c r="I22" s="3" t="inlineStr">
        <is>
          <t>the sum of each debt’s required payment</t>
        </is>
      </c>
      <c r="J22" s="3" t="inlineStr">
        <is>
          <t>MK-NW-I-002 your debts</t>
        </is>
      </c>
      <c r="K22" s="3" t="inlineStr">
        <is>
          <t>dollars, whole a month</t>
        </is>
      </c>
      <c r="L22" s="3" t="inlineStr">
        <is>
          <t>$0, and under it the one line "Nothing entered yet. Add your debts ›" (mock approved 2026-09-12). A real zero that was entered shows a plain $0 with no line.</t>
        </is>
      </c>
      <c r="M22" s="3" t="inlineStr">
        <is>
          <t>one figure per household</t>
        </is>
      </c>
      <c r="N22" s="3" t="inlineStr">
        <is>
          <t>a month</t>
        </is>
      </c>
      <c r="O22" s="3" t="inlineStr">
        <is>
          <t>1. MK-CF-F-201 (INCOME) → NOT DECLARED — the code does not say what it gives back
2. MK-CF-F-023 (requiredPayment) → number</t>
        </is>
      </c>
      <c r="P22" s="3" t="inlineStr">
        <is>
          <t>Declared by MK-NW-O-003 theNetWorth</t>
        </is>
      </c>
      <c r="Q22" s="3" t="inlineStr">
        <is>
          <t>NONE RECORDED — the declaration names none.</t>
        </is>
      </c>
      <c r="R22" s="3" t="inlineStr">
        <is>
          <t>NONE RECORDED — the declaration names none.</t>
        </is>
      </c>
      <c r="S22" s="3" t="inlineStr"/>
      <c r="T22" s="3" t="inlineStr">
        <is>
          <t>NONE RECORDED — the declaration names none.</t>
        </is>
      </c>
      <c r="U22" s="3" t="inlineStr"/>
      <c r="V22" s="3" t="inlineStr">
        <is>
          <t>Q53 — "Monthly debt payments" on the Net worth screen: the MINIMUM each debt obliges, or what ACTUALLY leaves your account? They part whenever someone pays more than a minimum. On one card — $200 minimum, paid $600 — the minimum reads $200 and the actual reads $600. Both are real figures: the minimum is the obligation a lender can demand (it is what debt-to-income is measured on), the actual is the money that leaves. The screen shows the MINIMUM today, and the label reads like the actual. Which belongs under those words — or should the line say which it is, or show both?</t>
        </is>
      </c>
      <c r="W22" s="3" t="inlineStr">
        <is>
          <t>Q53 — ANSWERED 2026-09-30: Q53 - what actually leaves.
BUILT: MK-NW-M-012 'Monthly debt payments' shows what actually leaves the account, counting a payment set above the minimum: on a card with a $200 minimum paid at $600 it read $200 and now reads $600. The minimum stays on the door as monthlyDebtMinimum, because debt-to-income is measured on the obligation. Pinned by net-worth.test.ts MK-NW-M-012.</t>
        </is>
      </c>
      <c r="X22" s="3" t="inlineStr"/>
      <c r="Y22" s="3" t="inlineStr"/>
      <c r="Z22" s="3" t="inlineStr">
        <is>
          <t>DECLARED IN THE CODE (rule 11) — printed from the door, not typed. RULED 2026-09-27</t>
        </is>
      </c>
      <c r="AA22" s="3" t="inlineStr"/>
      <c r="AB22" s="3" t="inlineStr"/>
      <c r="AC22" s="3" t="inlineStr"/>
      <c r="AD22" s="3" t="inlineStr"/>
      <c r="AE22" s="3" t="inlineStr">
        <is>
          <t>G32 / Q48 — RULED 2026-09-09: $0 stays, with the sentence '$0 — nothing entered yet.' and this row's door ('Add your debts ›'). File written; the screen follows the approved empty-state mock (one pattern, one screen), then every screen.</t>
        </is>
      </c>
      <c r="AF22" s="3" t="inlineStr">
        <is>
          <t>ACTIVE</t>
        </is>
      </c>
      <c r="AG22" s="3" t="inlineStr">
        <is>
          <t>2026-10-11</t>
        </is>
      </c>
      <c r="AH22" s="3" t="inlineStr"/>
      <c r="AI22" s="3" t="inlineStr"/>
      <c r="AJ2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MK-CF-F-207, MK-CF-O-016, MK-NW-F-011, MK
37. MK-XS-I-059 the month a bonus lands — read by MK-CF-F-088, MK-CF-F-092, MK-CF-F-201, MK-CF-O-004, MK-CF-O-016
38. MK-XS-I-060 how a person is paid — weekly, fortnightly, monthly — read by MK-CF-F-130, MK-CF-O-016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2026-09-27; the figure, its formula, inputs and refusal live in MK-NW-O-003 theNetWorth</t>
        </is>
      </c>
      <c r="AN2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$2,650/month
(the test re-runs this through MK-NW-O-003 theNetWorth on every build)</t>
        </is>
      </c>
      <c r="AO22" s="7" t="inlineStr">
        <is>
          <t>RULED, NOT CODED (Q-NW-1 — one question, one function)</t>
        </is>
      </c>
    </row>
    <row r="23" ht="60" customHeight="1">
      <c r="A23" s="3" t="inlineStr">
        <is>
          <t>MK-NW-M-013</t>
        </is>
      </c>
      <c r="B23" s="3" t="inlineStr">
        <is>
          <t>Networth</t>
        </is>
      </c>
      <c r="C23" s="3" t="inlineStr">
        <is>
          <t>/analytics · /jobsafety · /stress-test · /insights · /home</t>
        </is>
      </c>
      <c r="D23" s="3" t="inlineStr">
        <is>
          <t>EMERGENCY FUND — X.X months</t>
        </is>
      </c>
      <c r="E23" s="3" t="inlineStr">
        <is>
          <t>emergency_fund__xx_months</t>
        </is>
      </c>
      <c r="F23" s="3" t="inlineStr">
        <is>
          <t>essentialsMonthly</t>
        </is>
      </c>
      <c r="G23" s="3" t="inlineStr">
        <is>
          <t>MK-CF-F-190</t>
        </is>
      </c>
      <c r="H23" s="3" t="inlineStr">
        <is>
          <t>cushion in months = cash ÷ essentials a month, where essentials a month = the average of logged expenses over the months logged (MK-CF-F-189), else the typed figure</t>
        </is>
      </c>
      <c r="I23"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23" s="3" t="inlineStr">
        <is>
          <t>1. every logged expense → expenses [MK-XS-I-024]
2. the typed fallback → typed monthly expenses / essentials [MK-XS-I-025]
3. cash on hand → the Cash class [MK-XS-I-001]</t>
        </is>
      </c>
      <c r="K23" s="3" t="inlineStr">
        <is>
          <t>a number of months</t>
        </is>
      </c>
      <c r="L23" s="3" t="inlineStr">
        <is>
          <t>No essentials figure yet — it says so rather than dividing by nothing. And no count of months where the rent pays for the whole month: the cash is then not drawn on.</t>
        </is>
      </c>
      <c r="M23" s="3" t="inlineStr">
        <is>
          <t>one figure per household</t>
        </is>
      </c>
      <c r="N23" s="3" t="inlineStr">
        <is>
          <t>as of today</t>
        </is>
      </c>
      <c r="O23" s="3" t="inlineStr">
        <is>
          <t>1. MK-CF-F-189 (essentialsFromLoggedSpending) → EssentialsAverage | null
2. MK-CF-O-002 (expenses) → Expenses</t>
        </is>
      </c>
      <c r="P23" s="3" t="inlineStr">
        <is>
          <t>Declared by MK-NW-O-004 theEmergencyFund</t>
        </is>
      </c>
      <c r="Q23"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R23"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S23" s="3" t="inlineStr"/>
      <c r="T23"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3" s="3" t="inlineStr"/>
      <c r="V23" s="3"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23" s="3" t="inlineStr">
        <is>
          <t>Q47: for fewer than 12 months logged show average for logged duration, and update words on screen from TTM to show the logged duration. If 7 month detail is logged show "xxx - 7 month average". (answered in chat, 2026-09-08)</t>
        </is>
      </c>
      <c r="X23" s="3" t="inlineStr"/>
      <c r="Y23" s="3" t="inlineStr"/>
      <c r="Z23" s="3" t="inlineStr">
        <is>
          <t>DECLARED IN THE CODE (rule 11) — printed from the door, not typed. RULED 2026-09-27</t>
        </is>
      </c>
      <c r="AA23" s="3" t="inlineStr"/>
      <c r="AB23" s="3" t="inlineStr"/>
      <c r="AC23" s="3" t="inlineStr"/>
      <c r="AD23" s="3" t="inlineStr"/>
      <c r="AE2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23" s="3" t="inlineStr">
        <is>
          <t>ACTIVE</t>
        </is>
      </c>
      <c r="AG23" s="3" t="inlineStr">
        <is>
          <t>2026-10-11</t>
        </is>
      </c>
      <c r="AH23" s="3" t="inlineStr"/>
      <c r="AI23" s="3" t="inlineStr"/>
      <c r="AJ23"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MK-NW-O-004 theEmergencyFund</t>
        </is>
      </c>
      <c r="AN2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5.2 months
(the test re-runs this through MK-NW-O-004 theEmergencyFund on every build)</t>
        </is>
      </c>
      <c r="AO23" s="7" t="inlineStr">
        <is>
          <t>RULED, NOT CODED (Q-NW-5 — one question, one function)</t>
        </is>
      </c>
    </row>
    <row r="24" ht="60" customHeight="1">
      <c r="A24" s="3" t="inlineStr">
        <is>
          <t>MK-NW-M-014</t>
        </is>
      </c>
      <c r="B24" s="3" t="inlineStr">
        <is>
          <t>Networth</t>
        </is>
      </c>
      <c r="C24" s="3" t="inlineStr">
        <is>
          <t>/analytics</t>
        </is>
      </c>
      <c r="D24" s="3" t="inlineStr">
        <is>
          <t>of essentials covered by your cash — $X cash ÷ $Y/month essentials</t>
        </is>
      </c>
      <c r="E24" s="3" t="inlineStr">
        <is>
          <t>of_essentials_covered_by_your_cash__x_ca</t>
        </is>
      </c>
      <c r="F24" s="3" t="inlineStr">
        <is>
          <t>1. cashTotal
2. essentialsMonthly</t>
        </is>
      </c>
      <c r="G24" s="3" t="inlineStr">
        <is>
          <t>1. MK-NW-F-016
2. MK-CF-F-190</t>
        </is>
      </c>
      <c r="H24" s="3" t="inlineStr">
        <is>
          <t>months of cushion = cash ÷ essentials a month (MK-CF-F-190)</t>
        </is>
      </c>
      <c r="I24"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24" s="3" t="inlineStr">
        <is>
          <t>1. every logged expense → expenses [MK-XS-I-024]
2. the typed fallback → typed monthly expenses / essentials [MK-XS-I-025]
3. cash on hand → the Cash class [MK-XS-I-001]</t>
        </is>
      </c>
      <c r="K24" s="3" t="inlineStr">
        <is>
          <t>a sentence</t>
        </is>
      </c>
      <c r="L24" s="3" t="inlineStr">
        <is>
          <t>No essentials figure (nothing logged and nothing typed) → the cushion shows its door: 'tell us what a typical month costs and this becomes a real number' (already built). No cash → the card is hidden.</t>
        </is>
      </c>
      <c r="M24" s="3" t="inlineStr">
        <is>
          <t>one figure per household</t>
        </is>
      </c>
      <c r="N24" s="3" t="inlineStr">
        <is>
          <t>as of today</t>
        </is>
      </c>
      <c r="O24" s="3" t="inlineStr">
        <is>
          <t>1. MK-NW-F-027 (accountClassBreakdown) → Record&lt;AssetClass, number&gt; | null
2. MK-NW-F-029 (assetAllocation) → Record&lt;AssetClass, number&gt;
3. MK-NW-F-011 (assetClassOf) → AssetClass
4. MK-CF-F-189 (essentialsFromLoggedSpending) → EssentialsAverage | null
5. MK-CF-O-002 (expenses) → Expenses</t>
        </is>
      </c>
      <c r="P24" s="3" t="inlineStr">
        <is>
          <t>Declared by MK-NW-O-004 theEmergencyFund</t>
        </is>
      </c>
      <c r="Q24" s="3" t="inlineStr">
        <is>
          <t>NONE RECORDED — the declaration names none.</t>
        </is>
      </c>
      <c r="R24" s="3" t="inlineStr">
        <is>
          <t>NONE RECORDED — the declaration names none.</t>
        </is>
      </c>
      <c r="S24" s="3" t="inlineStr"/>
      <c r="T24"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4" s="3" t="inlineStr"/>
      <c r="V24" s="3" t="inlineStr"/>
      <c r="W24" s="3" t="inlineStr"/>
      <c r="X24" s="3" t="inlineStr"/>
      <c r="Y24" s="3" t="inlineStr"/>
      <c r="Z24" s="3" t="inlineStr">
        <is>
          <t>DECLARED IN THE CODE (rule 11) — printed from the door, not typed. RULED 2026-09-27</t>
        </is>
      </c>
      <c r="AA24" s="3" t="inlineStr"/>
      <c r="AB24" s="3" t="inlineStr"/>
      <c r="AC24" s="3" t="inlineStr"/>
      <c r="AD24" s="3" t="inlineStr"/>
      <c r="AE24"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4" s="3" t="inlineStr">
        <is>
          <t>ACTIVE</t>
        </is>
      </c>
      <c r="AG24" s="3" t="inlineStr">
        <is>
          <t>2026-10-11</t>
        </is>
      </c>
      <c r="AH24" s="3" t="inlineStr"/>
      <c r="AI24" s="3" t="inlineStr"/>
      <c r="AJ24" s="3" t="inlineStr">
        <is>
          <t>1. MK-XS-I-001 account balance — read by MK-NW-F-016, MK-NW-F-027, MK-NW-F-029, MK-ST-F-027
2. MK-XS-I-002 account type (taxable, pre-tax, Roth) — read by MK-NW-F-011, MK-NW-F-027, MK-NW-F-054, MK-NW-F-120
3. MK-XS-I-004 holding quantity (shares) — read by MK-NW-F-027, MK-ST-F-027
4. MK-XS-I-005 holding price — read by MK-NW-F-027, MK-ST-F-027
5. MK-XS-I-007 purchase price and date (per lot) — read by MK-NW-F-027, MK-ST-F-027
6. MK-XS-I-010 transaction words (the institution's own wording) — read by MK-NW-F-123
7. MK-XS-I-013 bond maturity date — read by MK-NW-F-120, MK-ST-F-010
8. MK-XS-I-016 debt minimum payment — read by MK-CF-F-023
9. MK-XS-I-024 logged expenses — read by MK-CF-F-150, MK-CF-F-151, MK-CF-F-153, MK-CF-F-189, MK-CF-F-190, MK-CF-O-002
10. MK-XS-I-034 option positions — contracts, strike, expiry, put or call — read by MK-NW-F-027
11. MK-XS-I-041 the payment the person chose to make on a debt — read by MK-CF-F-023
12. MK-XS-I-042 how a stream is paid — monthly, yearly or one lump — read by MK-CF-F-021, MK-CF-F-022, MK-CF-F-023, MK-CF-F-149, MK-CF-F-150, MK-CF-F-152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2026-09-27; the figure, its formula, inputs and refusal live in MK-NW-O-004 theEmergencyFund</t>
        </is>
      </c>
      <c r="AN2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$18,000 cash ÷ $3,470/month essentials
(the test re-runs this through MK-NW-O-004 theEmergencyFund on every build)</t>
        </is>
      </c>
      <c r="AO24" s="7" t="inlineStr">
        <is>
          <t>RULED, NOT CODED (Q-NW-5 — one question, one function)</t>
        </is>
      </c>
    </row>
    <row r="25" ht="60" customHeight="1">
      <c r="A25" s="3" t="inlineStr">
        <is>
          <t>MK-NW-M-015</t>
        </is>
      </c>
      <c r="B25" s="3" t="inlineStr">
        <is>
          <t>Networth</t>
        </is>
      </c>
      <c r="C25" s="3" t="inlineStr">
        <is>
          <t>/networth</t>
        </is>
      </c>
      <c r="D25" s="3" t="inlineStr">
        <is>
          <t>YOUR RETIREMENT PLAN — on track for $X by age Y</t>
        </is>
      </c>
      <c r="E25" s="3" t="inlineStr">
        <is>
          <t>your_retirement_plan__on_track_for_x_by_</t>
        </is>
      </c>
      <c r="F25" s="3" t="inlineStr">
        <is>
          <t>theNetWorth</t>
        </is>
      </c>
      <c r="G25" s="3" t="inlineStr">
        <is>
          <t>MK-NW-O-003</t>
        </is>
      </c>
      <c r="H25" s="3" t="inlineStr">
        <is>
          <t>today’s cash and investments grown at your expected return for the years until you retire, plus each year’s saving grown for the years it has left</t>
        </is>
      </c>
      <c r="I25" s="3" t="inlineStr">
        <is>
          <t>today’s cash and investments grown at your expected return for the years until you retire, plus each year’s saving grown for the years it has left</t>
        </is>
      </c>
      <c r="J25" s="3" t="inlineStr">
        <is>
          <t>MK-NW-I-001 your accounts
MK-PL-I-001 your plan answers</t>
        </is>
      </c>
      <c r="K25" s="3" t="inlineStr">
        <is>
          <t>dollars, whole</t>
        </is>
      </c>
      <c r="L25" s="3" t="inlineStr">
        <is>
          <t>No figure when there is nothing to grow, or when retirement is not ahead of the person.</t>
        </is>
      </c>
      <c r="M25" s="3" t="inlineStr">
        <is>
          <t>one figure per household</t>
        </is>
      </c>
      <c r="N25" s="3" t="inlineStr">
        <is>
          <t>as of today</t>
        </is>
      </c>
      <c r="O2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5" s="3" t="inlineStr">
        <is>
          <t>Declared by MK-NW-O-003 theNetWorth</t>
        </is>
      </c>
      <c r="Q25"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R25"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S25" s="3" t="inlineStr"/>
      <c r="T25"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U25" s="3" t="inlineStr">
        <is>
          <t>DECLARED 2026-09-30. Its function lives in the plan family (MK-PL-F-055 projectNestEgg) and the figure is read on the Net worth tab, which is why the row is here and the function is there.</t>
        </is>
      </c>
      <c r="V25" s="3" t="inlineStr"/>
      <c r="W25" s="3" t="inlineStr"/>
      <c r="X25" s="3" t="inlineStr"/>
      <c r="Y25" s="3" t="inlineStr"/>
      <c r="Z25" s="3" t="inlineStr">
        <is>
          <t>DRAFT — declared in the code and printed here, WAITING FOR YOUR VERDICT before the screens move behind the door (rule 10)</t>
        </is>
      </c>
      <c r="AA25" s="3" t="inlineStr"/>
      <c r="AB25" s="3" t="inlineStr"/>
      <c r="AC25" s="3" t="inlineStr"/>
      <c r="AD25" s="3" t="inlineStr"/>
      <c r="AE25" s="3" t="inlineStr"/>
      <c r="AF25" s="3" t="inlineStr">
        <is>
          <t>ACTIVE</t>
        </is>
      </c>
      <c r="AG25" s="3" t="inlineStr">
        <is>
          <t>2026-10-11</t>
        </is>
      </c>
      <c r="AH25" s="3" t="inlineStr"/>
      <c r="AI25" s="3" t="inlineStr"/>
      <c r="AJ25"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RULED? NOT YET — read this row and say yes, or say what changes. Nothing moves behind MK-NW-O-003 theNetWorth until you do.</t>
        </is>
      </c>
      <c r="AN25" s="3" t="inlineStr">
        <is>
          <t>A 50-year-old with $184,200 of cash and investments, saving $24,000/year, retiring at 65 and planning to 92, expecting 6% a year with 2.5% inflation, with expenses of $5,500/month in retirement and $2,400/month of guaranteed income from 67.
GIVES: $1,000,069
(the test re-runs this through MK-NW-O-003 theNetWorth on every build)</t>
        </is>
      </c>
      <c r="AO25" s="9" t="inlineStr">
        <is>
          <t>WAITING ON YOU — row to approve: say yes in YOUR ANSWER, or say what changes · RULED, NOT CODED (Q-PL-1 — one question, one function)</t>
        </is>
      </c>
    </row>
    <row r="26" ht="60" customHeight="1">
      <c r="A26" s="3" t="inlineStr">
        <is>
          <t>MK-NW-M-016</t>
        </is>
      </c>
      <c r="B26" s="3" t="inlineStr">
        <is>
          <t>Networth</t>
        </is>
      </c>
      <c r="C26" s="3" t="inlineStr">
        <is>
          <t>/networth</t>
        </is>
      </c>
      <c r="D26" s="3" t="inlineStr">
        <is>
          <t>Net worth so far (setup)</t>
        </is>
      </c>
      <c r="E26" s="3" t="inlineStr">
        <is>
          <t>net_worth_so_far_setup</t>
        </is>
      </c>
      <c r="F26" s="3" t="inlineStr">
        <is>
          <t>theNetWorth</t>
        </is>
      </c>
      <c r="G26" s="3" t="inlineStr">
        <is>
          <t>MK-NW-O-003</t>
        </is>
      </c>
      <c r="H26" s="3" t="inlineStr">
        <is>
          <t>everything owned less everything owed</t>
        </is>
      </c>
      <c r="I26" s="3" t="inlineStr">
        <is>
          <t>everything owned less everything owed</t>
        </is>
      </c>
      <c r="J26" s="3" t="inlineStr">
        <is>
          <t>MK-NW-I-001 your accounts
MK-XS-I-014 what you owe</t>
        </is>
      </c>
      <c r="K26" s="3" t="inlineStr">
        <is>
          <t>dollars, whole</t>
        </is>
      </c>
      <c r="L26" s="3" t="inlineStr">
        <is>
          <t>Adds to $0 when there is nothing to add. Zero and "nothing recorded yet" read alike on screen — worth a decision.</t>
        </is>
      </c>
      <c r="M26" s="3" t="inlineStr">
        <is>
          <t>one figure per household</t>
        </is>
      </c>
      <c r="N26" s="3" t="inlineStr">
        <is>
          <t>as of today</t>
        </is>
      </c>
      <c r="O2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6" s="3" t="inlineStr">
        <is>
          <t>Declared by MK-NW-O-003 theNetWorth</t>
        </is>
      </c>
      <c r="Q26" s="3" t="inlineStr">
        <is>
          <t>IT IS COMPUTED EACH TIME AND NEVER STORED as a third number that could disagree with its own two halves (his ruling).
A GENUINE NEGATIVE IS SHOWN, never floored at zero — someone early in a mortgage really does owe more than they own.</t>
        </is>
      </c>
      <c r="R26" s="3" t="inlineStr">
        <is>
          <t>IT IS COMPUTED EACH TIME AND NEVER STORED as a third number that could disagree with its own two halves (his ruling).
A GENUINE NEGATIVE IS SHOWN, never floored at zero — someone early in a mortgage really does owe more than they own.</t>
        </is>
      </c>
      <c r="S26" s="3" t="inlineStr"/>
      <c r="T26" s="3" t="inlineStr">
        <is>
          <t>IT IS COMPUTED EACH TIME AND NEVER STORED as a third number that could disagree with its own two halves (his ruling).
A GENUINE NEGATIVE IS SHOWN, never floored at zero — someone early in a mortgage really does owe more than they own.</t>
        </is>
      </c>
      <c r="U26" s="3" t="inlineStr">
        <is>
          <t>DECLARED 2026-09-30. It is the SAME arithmetic as MK-NW-M-017 net worth, read during setup rather than on the finished tab — and because both now print from this one declaration, the setup figure and the tab figure cannot differ.</t>
        </is>
      </c>
      <c r="V26" s="3" t="inlineStr"/>
      <c r="W26" s="3" t="inlineStr"/>
      <c r="X26" s="3" t="inlineStr"/>
      <c r="Y26" s="3" t="inlineStr"/>
      <c r="Z26" s="3" t="inlineStr">
        <is>
          <t>DRAFT — declared in the code and printed here, WAITING FOR YOUR VERDICT before the screens move behind the door (rule 10)</t>
        </is>
      </c>
      <c r="AA26" s="3" t="inlineStr"/>
      <c r="AB26" s="3" t="inlineStr"/>
      <c r="AC26" s="3" t="inlineStr"/>
      <c r="AD26" s="3" t="inlineStr"/>
      <c r="AE26" s="3" t="inlineStr"/>
      <c r="AF26" s="3" t="inlineStr">
        <is>
          <t>ACTIVE</t>
        </is>
      </c>
      <c r="AG26" s="3" t="inlineStr">
        <is>
          <t>2026-10-11</t>
        </is>
      </c>
      <c r="AH26" s="3" t="inlineStr"/>
      <c r="AI26" s="3" t="inlineStr"/>
      <c r="AJ26"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RULED? NOT YET — read this row and say yes, or say what changes. Nothing moves behind MK-NW-O-003 theNetWorth until you do.</t>
        </is>
      </c>
      <c r="AN2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26" s="9" t="inlineStr">
        <is>
          <t>WAITING ON YOU — row to approve: say yes in YOUR ANSWER, or say what changes · RULED, NOT CODED (Q-NW-1 — one question, one function)</t>
        </is>
      </c>
    </row>
    <row r="27" ht="60" customHeight="1">
      <c r="A27" s="3" t="inlineStr">
        <is>
          <t>MK-NW-M-017</t>
        </is>
      </c>
      <c r="B27" s="3" t="inlineStr">
        <is>
          <t>Networth</t>
        </is>
      </c>
      <c r="C27" s="3" t="inlineStr">
        <is>
          <t>/analytics</t>
        </is>
      </c>
      <c r="D27" s="3" t="inlineStr">
        <is>
          <t>Assets $X − Debts $Y = Net worth $Z</t>
        </is>
      </c>
      <c r="E27" s="3" t="inlineStr">
        <is>
          <t>assets_x__debts_y__net_worth_z</t>
        </is>
      </c>
      <c r="F27" s="3" t="inlineStr">
        <is>
          <t>theNetWorth</t>
        </is>
      </c>
      <c r="G27" s="3" t="inlineStr">
        <is>
          <t>MK-NW-O-003</t>
        </is>
      </c>
      <c r="H27" s="3" t="inlineStr">
        <is>
          <t>assets, debts, and assets minus debts</t>
        </is>
      </c>
      <c r="I27" s="3" t="inlineStr">
        <is>
          <t>assets, debts, and assets minus debts</t>
        </is>
      </c>
      <c r="J27" s="3" t="inlineStr">
        <is>
          <t>MK-NW-I-001 your accounts
MK-NW-I-002 your debts</t>
        </is>
      </c>
      <c r="K27" s="3" t="inlineStr">
        <is>
          <t>a sentence</t>
        </is>
      </c>
      <c r="L27" s="3" t="inlineStr">
        <is>
          <t>$0, and under it the one line "Nothing entered yet. Add your accounts ›" (mock approved 2026-09-12). A real zero that was entered shows a plain $0 with no line.</t>
        </is>
      </c>
      <c r="M27" s="3" t="inlineStr">
        <is>
          <t>one figure per household</t>
        </is>
      </c>
      <c r="N27" s="3" t="inlineStr">
        <is>
          <t>as of today</t>
        </is>
      </c>
      <c r="O2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7" s="3" t="inlineStr">
        <is>
          <t>Declared by MK-NW-O-003 theNetWorth</t>
        </is>
      </c>
      <c r="Q27" s="3" t="inlineStr">
        <is>
          <t>NONE RECORDED — the declaration names none.</t>
        </is>
      </c>
      <c r="R27" s="3" t="inlineStr">
        <is>
          <t>NONE RECORDED — the declaration names none.</t>
        </is>
      </c>
      <c r="S27" s="3" t="inlineStr"/>
      <c r="T27" s="3" t="inlineStr">
        <is>
          <t>NONE RECORDED — the declaration names none.</t>
        </is>
      </c>
      <c r="U27" s="3" t="inlineStr"/>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is>
          <t>G32 / Q48 — RULED 2026-09-09: $0 stays, with the sentence '$0 — nothing entered yet.' and this row's door ('Add your accounts ›'). File written; the screen follows the approved empty-state mock (one pattern, one screen), then every screen.</t>
        </is>
      </c>
      <c r="AF27" s="3" t="inlineStr">
        <is>
          <t>ACTIVE</t>
        </is>
      </c>
      <c r="AG27" s="3" t="inlineStr">
        <is>
          <t>2026-10-11</t>
        </is>
      </c>
      <c r="AH27" s="3" t="inlineStr"/>
      <c r="AI27" s="3" t="inlineStr"/>
      <c r="AJ27"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MK-NW-O-003 theNetWorth</t>
        </is>
      </c>
      <c r="AN2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Assets $503,200 − Debts $242,000 = Net worth $261,200
(the test re-runs this through MK-NW-O-003 theNetWorth on every build)</t>
        </is>
      </c>
      <c r="AO27" s="7" t="inlineStr">
        <is>
          <t>RULED, NOT CODED (Q-NW-1 — one question, one function)</t>
        </is>
      </c>
    </row>
    <row r="28" ht="60" customHeight="1">
      <c r="A28" s="3" t="inlineStr">
        <is>
          <t>MK-NW-M-018</t>
        </is>
      </c>
      <c r="B28" s="3" t="inlineStr">
        <is>
          <t>Networth</t>
        </is>
      </c>
      <c r="C28" s="3" t="inlineStr">
        <is>
          <t>/account-detail · /invest</t>
        </is>
      </c>
      <c r="D28" s="3" t="inlineStr">
        <is>
          <t>Market value</t>
        </is>
      </c>
      <c r="E28" s="3" t="inlineStr">
        <is>
          <t>market_value</t>
        </is>
      </c>
      <c r="F28" s="3" t="inlineStr">
        <is>
          <t>theAccount</t>
        </is>
      </c>
      <c r="G28" s="3" t="inlineStr"/>
      <c r="H28" s="3" t="inlineStr">
        <is>
          <t>the account’s balance — for a linked account the broker’s own figure, for one entered by hand the value entered</t>
        </is>
      </c>
      <c r="I28"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28" s="3" t="inlineStr">
        <is>
          <t>MK-NW-I-001 your accounts</t>
        </is>
      </c>
      <c r="K28" s="3" t="inlineStr">
        <is>
          <t>dollars, whole</t>
        </is>
      </c>
      <c r="L28" s="3" t="inlineStr">
        <is>
          <t>An account with no value shows nothing rather than $0.</t>
        </is>
      </c>
      <c r="M28" s="3" t="inlineStr">
        <is>
          <t>one account</t>
        </is>
      </c>
      <c r="N28" s="3" t="inlineStr">
        <is>
          <t>as of today</t>
        </is>
      </c>
      <c r="O28" s="3" t="inlineStr">
        <is>
          <t>No function on record — nothing to chain</t>
        </is>
      </c>
      <c r="P28" s="3" t="inlineStr">
        <is>
          <t>Declared by MK-NW-O-002 theAccount</t>
        </is>
      </c>
      <c r="Q28" s="3" t="inlineStr">
        <is>
          <t>NONE RECORDED — the declaration names none.</t>
        </is>
      </c>
      <c r="R28" s="3" t="inlineStr">
        <is>
          <t>NONE RECORDED — the declaration names none.</t>
        </is>
      </c>
      <c r="S28" s="3" t="inlineStr"/>
      <c r="T28" s="3" t="inlineStr">
        <is>
          <t>NONE RECORDED — the declaration names none.</t>
        </is>
      </c>
      <c r="U28" s="3" t="inlineStr">
        <is>
          <t>ONE string for this figure: the band, the trio and the Total row all print it, so one screen cannot show three roundings of one number.</t>
        </is>
      </c>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c r="AF28" s="3" t="inlineStr">
        <is>
          <t>ACTIVE</t>
        </is>
      </c>
      <c r="AG28" s="3" t="inlineStr">
        <is>
          <t>2026-10-11</t>
        </is>
      </c>
      <c r="AH28" s="3" t="inlineStr"/>
      <c r="AI28" s="3" t="inlineStr"/>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MK-NW-O-002 theAccount</t>
        </is>
      </c>
      <c r="AN28"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28" s="7" t="inlineStr">
        <is>
          <t>RULED, NOT CODED (Q-NW-2 — one question, one function)</t>
        </is>
      </c>
    </row>
    <row r="29" ht="60" customHeight="1">
      <c r="A29" s="3" t="inlineStr">
        <is>
          <t>MK-NW-M-019</t>
        </is>
      </c>
      <c r="B29" s="3" t="inlineStr">
        <is>
          <t>Networth</t>
        </is>
      </c>
      <c r="C29" s="3" t="inlineStr">
        <is>
          <t>/account-detail</t>
        </is>
      </c>
      <c r="D29" s="3" t="inlineStr">
        <is>
          <t>Income</t>
        </is>
      </c>
      <c r="E29" s="3" t="inlineStr">
        <is>
          <t>income</t>
        </is>
      </c>
      <c r="F29" s="3" t="inlineStr">
        <is>
          <t>theAccount</t>
        </is>
      </c>
      <c r="G29" s="3" t="inlineStr">
        <is>
          <t>MK-NW-O-002</t>
        </is>
      </c>
      <c r="H29" s="3" t="inlineStr">
        <is>
          <t>the sum of the dividend and interest rows the ledger holds for this account</t>
        </is>
      </c>
      <c r="I29" s="3" t="inlineStr">
        <is>
          <t>the sum of the dividend and interest rows the ledger holds for this account</t>
        </is>
      </c>
      <c r="J29" s="3" t="inlineStr">
        <is>
          <t>MK-NW-I-001 your accounts
MK-NW-I-004 the activity records</t>
        </is>
      </c>
      <c r="K29" s="3" t="inlineStr">
        <is>
          <t>dollars, whole</t>
        </is>
      </c>
      <c r="L29" s="3" t="inlineStr">
        <is>
          <t>$0, and under it the one line "Nothing entered yet. Add your income ›" (mock approved 2026-09-12). A real zero that was entered shows a plain $0 with no line.</t>
        </is>
      </c>
      <c r="M29" s="3" t="inlineStr">
        <is>
          <t>one account</t>
        </is>
      </c>
      <c r="N29" s="3" t="inlineStr">
        <is>
          <t>as of today</t>
        </is>
      </c>
      <c r="O29"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9" s="3" t="inlineStr">
        <is>
          <t>Declared by MK-NW-O-002 theAccount</t>
        </is>
      </c>
      <c r="Q29" s="3" t="inlineStr">
        <is>
          <t>Never estimated. A broker that shares no income records leaves this blank rather than showing a made-up $0.</t>
        </is>
      </c>
      <c r="R29" s="3" t="inlineStr">
        <is>
          <t>Never estimated. A broker that shares no income records leaves this blank rather than showing a made-up $0.</t>
        </is>
      </c>
      <c r="S29" s="3" t="inlineStr"/>
      <c r="T29" s="3" t="inlineStr">
        <is>
          <t>Never estimated. A broker that shares no income records leaves this blank rather than showing a made-up $0.</t>
        </is>
      </c>
      <c r="U29" s="3" t="inlineStr"/>
      <c r="V29" s="9" t="inlineStr">
        <is>
          <t>Q15 — An institution word we do not recognise: refuse the line and ask you, or book it as unclassified with no direction? The old sign-guess is what minted the $1.4 million.</t>
        </is>
      </c>
      <c r="W29" s="9" t="inlineStr"/>
      <c r="X29" s="3" t="inlineStr"/>
      <c r="Y29" s="3" t="inlineStr"/>
      <c r="Z29" s="3" t="inlineStr">
        <is>
          <t>DECLARED IN THE CODE (rule 11) — printed from the door, not typed. RULED 2026-09-27</t>
        </is>
      </c>
      <c r="AA29" s="3" t="inlineStr"/>
      <c r="AB29" s="3" t="inlineStr"/>
      <c r="AC29" s="3" t="inlineStr"/>
      <c r="AD29" s="3" t="inlineStr"/>
      <c r="AE29" s="3" t="inlineStr">
        <is>
          <t>G32 / Q48 — RULED 2026-09-09: $0 stays, with the sentence '$0 — nothing entered yet.' and this row's door ('Add your income ›'). File written; the screen follows the approved empty-state mock (one pattern, one screen), then every screen.</t>
        </is>
      </c>
      <c r="AF29" s="3" t="inlineStr">
        <is>
          <t>ACTIVE</t>
        </is>
      </c>
      <c r="AG29" s="3" t="inlineStr">
        <is>
          <t>2026-10-11</t>
        </is>
      </c>
      <c r="AH29" s="3" t="inlineStr"/>
      <c r="AI29" s="3" t="inlineStr"/>
      <c r="AJ29"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MK-NW-O-002 theAccount</t>
        </is>
      </c>
      <c r="AN29" s="3" t="inlineStr">
        <is>
          <t>A linked Fidelity brokerage worth $46,600: $6,000 in cash and 140 shares of VTI marked at $290 ($40,600). Its records: dividends of $420 and $405, a buy of 20 shares at $200, a sell of 20 at $285.
GIVES: $825
(the test re-runs this through MK-NW-O-002 theAccount on every build)</t>
        </is>
      </c>
      <c r="AO29" s="9" t="inlineStr">
        <is>
          <t>WAITING ON YOU — question Q15 · RULED, NOT CODED (Q-NW-2 — one question, one function)</t>
        </is>
      </c>
    </row>
    <row r="30" ht="60" customHeight="1">
      <c r="A30" s="3" t="inlineStr">
        <is>
          <t>MK-NW-M-020</t>
        </is>
      </c>
      <c r="B30" s="3" t="inlineStr">
        <is>
          <t>Networth</t>
        </is>
      </c>
      <c r="C30" s="3" t="inlineStr">
        <is>
          <t>/account-detail</t>
        </is>
      </c>
      <c r="D30" s="3" t="inlineStr">
        <is>
          <t>each asset class inside the account</t>
        </is>
      </c>
      <c r="E30" s="3" t="inlineStr">
        <is>
          <t>each_asset_class_inside_the_account</t>
        </is>
      </c>
      <c r="F30" s="3" t="inlineStr">
        <is>
          <t>theAccount</t>
        </is>
      </c>
      <c r="G30" s="3" t="inlineStr">
        <is>
          <t>MK-NW-O-002</t>
        </is>
      </c>
      <c r="H30" s="3" t="inlineStr">
        <is>
          <t>the cash sleeve, plus each holding’s shares × its last price, added up by class</t>
        </is>
      </c>
      <c r="I30" s="3" t="inlineStr">
        <is>
          <t>the cash sleeve, plus each holding’s shares × its last price, added up by class</t>
        </is>
      </c>
      <c r="J30" s="3" t="inlineStr">
        <is>
          <t>MK-NW-I-001 your accounts</t>
        </is>
      </c>
      <c r="K30" s="3" t="inlineStr">
        <is>
          <t>dollars, whole</t>
        </is>
      </c>
      <c r="L30" s="3" t="inlineStr">
        <is>
          <t>$0, and under it the one line "Nothing entered yet. Add a holding ›" (mock approved 2026-09-12). A real zero that was entered shows a plain $0 with no line.</t>
        </is>
      </c>
      <c r="M30" s="3" t="inlineStr">
        <is>
          <t>one class in one account</t>
        </is>
      </c>
      <c r="N30" s="3" t="inlineStr">
        <is>
          <t>as of today</t>
        </is>
      </c>
      <c r="O30"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30" s="3" t="inlineStr">
        <is>
          <t>Declared by MK-NW-O-002 theAccount</t>
        </is>
      </c>
      <c r="Q30" s="3" t="inlineStr">
        <is>
          <t>Only a LINKED account has an inside to read. A hand-entered lump has none until someone itemises it.</t>
        </is>
      </c>
      <c r="R30" s="3" t="inlineStr">
        <is>
          <t>Only a LINKED account has an inside to read. A hand-entered lump has none until someone itemises it.</t>
        </is>
      </c>
      <c r="S30" s="3" t="inlineStr"/>
      <c r="T30" s="3" t="inlineStr">
        <is>
          <t>Only a LINKED account has an inside to read. A hand-entered lump has none until someone itemises it.</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G32 / Q48 — RULED 2026-09-09: $0 stays, with the sentence '$0 — nothing entered yet.' and this row's door ('Add a holding ›'). File written; the screen follows the approved empty-state mock (one pattern, one screen), then every screen.</t>
        </is>
      </c>
      <c r="AF30" s="3" t="inlineStr">
        <is>
          <t>ACTIVE</t>
        </is>
      </c>
      <c r="AG30" s="3" t="inlineStr">
        <is>
          <t>2026-10-11</t>
        </is>
      </c>
      <c r="AH30" s="3" t="inlineStr"/>
      <c r="AI30" s="3" t="inlineStr"/>
      <c r="AJ30"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MK-NW-O-002 theAccount</t>
        </is>
      </c>
      <c r="AN30"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30" s="7" t="inlineStr">
        <is>
          <t>RULED, NOT CODED (Q-NW-2 — one question, one function)</t>
        </is>
      </c>
    </row>
    <row r="31" ht="60" customHeight="1">
      <c r="A31" s="3" t="inlineStr">
        <is>
          <t>MK-NW-M-021</t>
        </is>
      </c>
      <c r="B31" s="3" t="inlineStr">
        <is>
          <t>Networth</t>
        </is>
      </c>
      <c r="C31" s="3" t="inlineStr">
        <is>
          <t>/account-detail</t>
        </is>
      </c>
      <c r="D31" s="3" t="inlineStr">
        <is>
          <t>Income: &lt;amount&gt; on a holding row</t>
        </is>
      </c>
      <c r="E31" s="3" t="inlineStr">
        <is>
          <t>income_amount_on_a_holding_row</t>
        </is>
      </c>
      <c r="F31" s="3" t="inlineStr">
        <is>
          <t>theAccount</t>
        </is>
      </c>
      <c r="G31" s="3" t="inlineStr">
        <is>
          <t>MK-NW-O-002</t>
        </is>
      </c>
      <c r="H31" s="3" t="inlineStr">
        <is>
          <t>the dividend and interest rows whose ticker IS this holding’s ticker; nothing when the record names no holding</t>
        </is>
      </c>
      <c r="I31" s="3" t="inlineStr">
        <is>
          <t>the dividend and interest rows whose ticker IS this holding’s ticker; nothing when the record names no holding</t>
        </is>
      </c>
      <c r="J31" s="3" t="inlineStr">
        <is>
          <t>MK-NW-I-004 the activity records</t>
        </is>
      </c>
      <c r="K31" s="3" t="inlineStr">
        <is>
          <t>a sentence</t>
        </is>
      </c>
      <c r="L31" s="3" t="inlineStr">
        <is>
          <t>$0, and under it the one line "Nothing entered yet. Add your income ›" (mock approved 2026-09-12). A real zero that was entered shows a plain $0 with no line.</t>
        </is>
      </c>
      <c r="M31" s="3" t="inlineStr">
        <is>
          <t>one holding</t>
        </is>
      </c>
      <c r="N31" s="3" t="inlineStr">
        <is>
          <t>as of today</t>
        </is>
      </c>
      <c r="O31"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31" s="3" t="inlineStr">
        <is>
          <t>Declared by MK-NW-O-002 theAccount</t>
        </is>
      </c>
      <c r="Q31"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R31"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S31" s="3" t="inlineStr"/>
      <c r="T31"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U31" s="3" t="inlineStr">
        <is>
          <t>WHAT THE WORKED EXAMPLE SHOWED UP (2026-09-28): the door hands back "825 dividends" with no dollar sign, and AccountDetailScreen puts one on afterwards with a regular expression. The composing is split across two places, which is what rule 11 exists to stop. The example states the door's own output, not the screen's, so the row does not claim more than the door does. Not fixed here: moving the writing into the door changes what a screen prints, which is a caller move and needs its own step.</t>
        </is>
      </c>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RULED 2026-09-09: $0 stays, with the sentence '$0 — nothing entered yet.' and this row's door ('Add your income ›'). File written; the screen follows the approved empty-state mock (one pattern, one screen), then every screen.</t>
        </is>
      </c>
      <c r="AF31" s="3" t="inlineStr">
        <is>
          <t>ACTIVE</t>
        </is>
      </c>
      <c r="AG31" s="3" t="inlineStr">
        <is>
          <t>2026-10-11</t>
        </is>
      </c>
      <c r="AH31" s="3" t="inlineStr"/>
      <c r="AI31" s="3" t="inlineStr"/>
      <c r="AJ31"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MK-NW-O-002 theAccount</t>
        </is>
      </c>
      <c r="AN31" s="3" t="inlineStr">
        <is>
          <t>A linked Fidelity brokerage worth $46,600: $6,000 in cash and 140 shares of VTI marked at $290 ($40,600). Its records: dividends of $420 and $405, a buy of 20 shares at $200, a sell of 20 at $285.
GIVES: 825 dividends
(the test re-runs this through MK-NW-O-002 theAccount on every build)</t>
        </is>
      </c>
      <c r="AO31" s="7" t="inlineStr">
        <is>
          <t>RULED, NOT CODED (Q-NW-2 — one question, one function)</t>
        </is>
      </c>
    </row>
    <row r="32" ht="60" customHeight="1">
      <c r="A32" s="3" t="inlineStr">
        <is>
          <t>MK-NW-M-022</t>
        </is>
      </c>
      <c r="B32" s="3" t="inlineStr">
        <is>
          <t>Networth</t>
        </is>
      </c>
      <c r="C32" s="3" t="inlineStr">
        <is>
          <t>/account-detail</t>
        </is>
      </c>
      <c r="D32" s="3" t="inlineStr">
        <is>
          <t>ACTIVITY — n records</t>
        </is>
      </c>
      <c r="E32" s="3" t="inlineStr">
        <is>
          <t>activity__n_records</t>
        </is>
      </c>
      <c r="F32" s="3" t="inlineStr">
        <is>
          <t>theAccount</t>
        </is>
      </c>
      <c r="G32" s="3" t="inlineStr"/>
      <c r="H32" s="3" t="inlineStr">
        <is>
          <t>the count of ledger rows for this account</t>
        </is>
      </c>
      <c r="I32" s="3" t="inlineStr">
        <is>
          <t>The number of activity records held for this account — a count, no arithmetic. The "since" date beside it is the earliest record date (MK-XS-F-111).</t>
        </is>
      </c>
      <c r="J32" s="3" t="inlineStr">
        <is>
          <t>MK-NW-I-004 the activity records</t>
        </is>
      </c>
      <c r="K32" s="3" t="inlineStr">
        <is>
          <t>a count</t>
        </is>
      </c>
      <c r="L32" s="3" t="inlineStr">
        <is>
          <t>None yet — the section keeps its heading and says so.</t>
        </is>
      </c>
      <c r="M32" s="3" t="inlineStr">
        <is>
          <t>one account</t>
        </is>
      </c>
      <c r="N32" s="3" t="inlineStr">
        <is>
          <t>as of today</t>
        </is>
      </c>
      <c r="O32" s="3" t="inlineStr">
        <is>
          <t>No function on record — nothing to chain</t>
        </is>
      </c>
      <c r="P32" s="3" t="inlineStr">
        <is>
          <t>Declared by MK-NW-O-002 theAccount</t>
        </is>
      </c>
      <c r="Q32" s="3" t="inlineStr">
        <is>
          <t>NONE RECORDED — the declaration names none.</t>
        </is>
      </c>
      <c r="R32" s="3" t="inlineStr">
        <is>
          <t>NONE RECORDED — the declaration names none.</t>
        </is>
      </c>
      <c r="S32" s="3" t="inlineStr"/>
      <c r="T32" s="3" t="inlineStr">
        <is>
          <t>NONE RECORDED — the declaration names none.</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2026-10-11</t>
        </is>
      </c>
      <c r="AH32" s="3" t="inlineStr"/>
      <c r="AI32" s="3" t="inlineStr"/>
      <c r="AJ32" s="3" t="inlineStr">
        <is>
          <t>No function on record — nothing to read from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MK-NW-O-002 theAccount</t>
        </is>
      </c>
      <c r="AN32" s="3" t="inlineStr">
        <is>
          <t>A linked Fidelity brokerage worth $46,600: $6,000 in cash and 140 shares of VTI marked at $290 ($40,600). Its records: dividends of $420 and $405, a buy of 20 shares at $200, a sell of 20 at $285.
GIVES: 4
(the test re-runs this through MK-NW-O-002 theAccount on every build)</t>
        </is>
      </c>
      <c r="AO32" s="7" t="inlineStr">
        <is>
          <t>RULED, NOT CODED (Q-NW-2 — one question, one function)</t>
        </is>
      </c>
    </row>
    <row r="33" ht="60" customHeight="1">
      <c r="A33" s="3" t="inlineStr">
        <is>
          <t>MK-NW-M-023</t>
        </is>
      </c>
      <c r="B33" s="3" t="inlineStr">
        <is>
          <t>Networth</t>
        </is>
      </c>
      <c r="C33" s="3" t="inlineStr">
        <is>
          <t>/account-detail</t>
        </is>
      </c>
      <c r="D33" s="3" t="inlineStr">
        <is>
          <t>Face value</t>
        </is>
      </c>
      <c r="E33" s="3" t="inlineStr">
        <is>
          <t>face_value</t>
        </is>
      </c>
      <c r="F33" s="3" t="inlineStr">
        <is>
          <t>theBonds</t>
        </is>
      </c>
      <c r="G33" s="3" t="inlineStr">
        <is>
          <t>MK-NW-O-001</t>
        </is>
      </c>
      <c r="H33" s="3" t="inlineStr">
        <is>
          <t>the face value you entered</t>
        </is>
      </c>
      <c r="I33" s="3" t="inlineStr">
        <is>
          <t>the face value you entered</t>
        </is>
      </c>
      <c r="J33" s="3" t="inlineStr">
        <is>
          <t>MK-NW-I-001 your accounts</t>
        </is>
      </c>
      <c r="K33" s="3" t="inlineStr">
        <is>
          <t>dollars, whole</t>
        </is>
      </c>
      <c r="L33" s="3" t="inlineStr">
        <is>
          <t>$0, and under it the one line "Nothing entered yet. Add a bond ›" (mock approved 2026-09-12). A real zero that was entered shows a plain $0 with no line.</t>
        </is>
      </c>
      <c r="M33" s="3" t="inlineStr">
        <is>
          <t>one bond</t>
        </is>
      </c>
      <c r="N33" s="3" t="inlineStr">
        <is>
          <t>as of today</t>
        </is>
      </c>
      <c r="O3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33" s="3" t="inlineStr">
        <is>
          <t>Declared by MK-NW-O-001 theBonds</t>
        </is>
      </c>
      <c r="Q33" s="3" t="inlineStr">
        <is>
          <t>NONE RECORDED — the declaration names none.</t>
        </is>
      </c>
      <c r="R33" s="3" t="inlineStr">
        <is>
          <t>NONE RECORDED — the declaration names none.</t>
        </is>
      </c>
      <c r="S33" s="3" t="inlineStr"/>
      <c r="T33" s="3" t="inlineStr">
        <is>
          <t>NONE RECORDED — the declaration names none.</t>
        </is>
      </c>
      <c r="U33" s="3" t="inlineStr"/>
      <c r="V33" s="9" t="inlineStr">
        <is>
          <t>Q01 — Is Quantity for a bond the FACE amount (e.g. 227,000) with the price quoted per $100 of face, or the number of bonds? It decides how value and gain are worked out.</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is>
          <t>G32 / Q48 — RULED 2026-09-09: $0 stays, with the sentence '$0 — nothing entered yet.' and this row's door ('Add a bond ›'). File written; the screen follows the approved empty-state mock (one pattern, one screen), then every screen.</t>
        </is>
      </c>
      <c r="AF33" s="3" t="inlineStr">
        <is>
          <t>ACTIVE</t>
        </is>
      </c>
      <c r="AG33" s="3" t="inlineStr">
        <is>
          <t>2026-10-11</t>
        </is>
      </c>
      <c r="AH33" s="3" t="inlineStr"/>
      <c r="AI33" s="3" t="inlineStr"/>
      <c r="AJ33"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MK-NW-O-001 theBonds</t>
        </is>
      </c>
      <c r="AN33" s="3" t="inlineStr">
        <is>
          <t>Two bonds on 28 Sep 2026: a $25,000-face Treasury paying 4.5%, maturing 30 Sep 2029, worth $24,200 today; and a $10,000 Ally CD paying 5.05%, maturing 15 Mar 2027, worth its $10,000.
GIVES: $25,000
(the test re-runs this through MK-NW-O-001 theBonds on every build)</t>
        </is>
      </c>
      <c r="AO33" s="9" t="inlineStr">
        <is>
          <t>WAITING ON YOU — question Q01 · RULED, NOT CODED (Q-NW-4 — one question, one function)</t>
        </is>
      </c>
    </row>
    <row r="34" ht="60" customHeight="1">
      <c r="A34" s="3" t="inlineStr">
        <is>
          <t>MK-NW-M-024</t>
        </is>
      </c>
      <c r="B34" s="3" t="inlineStr">
        <is>
          <t>Networth</t>
        </is>
      </c>
      <c r="C34" s="3" t="inlineStr">
        <is>
          <t>/account-detail</t>
        </is>
      </c>
      <c r="D34" s="3" t="inlineStr">
        <is>
          <t>Interest payments</t>
        </is>
      </c>
      <c r="E34" s="3" t="inlineStr">
        <is>
          <t>interest_payments</t>
        </is>
      </c>
      <c r="F34" s="3" t="inlineStr">
        <is>
          <t>theBonds</t>
        </is>
      </c>
      <c r="G34" s="3" t="inlineStr">
        <is>
          <t>MK-NW-O-001</t>
        </is>
      </c>
      <c r="H34" s="3" t="inlineStr">
        <is>
          <t>coupon rate, and face value × coupon rate</t>
        </is>
      </c>
      <c r="I34" s="3" t="inlineStr">
        <is>
          <t>coupon rate, and face value × coupon rate</t>
        </is>
      </c>
      <c r="J34" s="3" t="inlineStr">
        <is>
          <t>MK-NW-I-001 your accounts</t>
        </is>
      </c>
      <c r="K34" s="3" t="inlineStr">
        <is>
          <t>a sentence</t>
        </is>
      </c>
      <c r="L34" s="3" t="inlineStr">
        <is>
          <t>No coupon rate entered.</t>
        </is>
      </c>
      <c r="M34" s="3" t="inlineStr">
        <is>
          <t>one bond</t>
        </is>
      </c>
      <c r="N34" s="3" t="inlineStr">
        <is>
          <t>as of today</t>
        </is>
      </c>
      <c r="O3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34" s="3" t="inlineStr">
        <is>
          <t>Declared by MK-NW-O-001 theBonds</t>
        </is>
      </c>
      <c r="Q34" s="3" t="inlineStr">
        <is>
          <t>NONE RECORDED — the declaration names none.</t>
        </is>
      </c>
      <c r="R34" s="3" t="inlineStr">
        <is>
          <t>NONE RECORDED — the declaration names none.</t>
        </is>
      </c>
      <c r="S34" s="3" t="inlineStr"/>
      <c r="T34" s="3" t="inlineStr">
        <is>
          <t>NONE RECORDED — the declaration names none.</t>
        </is>
      </c>
      <c r="U34" s="3" t="inlineStr"/>
      <c r="V34" s="9" t="inlineStr">
        <is>
          <t>Q04 — "Annual income" on a bond: the last twelve months actually received, or the forward estimate from today\'s coupon? Both are defensible and they differ.</t>
        </is>
      </c>
      <c r="W34" s="9"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2026-10-11</t>
        </is>
      </c>
      <c r="AH34" s="3" t="inlineStr"/>
      <c r="AI34" s="3" t="inlineStr"/>
      <c r="AJ34"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MK-NW-O-001 theBonds</t>
        </is>
      </c>
      <c r="AN34" s="3" t="inlineStr">
        <is>
          <t>Two bonds on 28 Sep 2026: a $25,000-face Treasury paying 4.5%, maturing 30 Sep 2029, worth $24,200 today; and a $10,000 Ally CD paying 5.05%, maturing 15 Mar 2027, worth its $10,000.
GIVES: $1,125/year — 4.50% of $25,000 face
(the test re-runs this through MK-NW-O-001 theBonds on every build)</t>
        </is>
      </c>
      <c r="AO34" s="9" t="inlineStr">
        <is>
          <t>WAITING ON YOU — question Q04 · RULED, NOT CODED (Q-NW-4 — one question, one function)</t>
        </is>
      </c>
    </row>
    <row r="35" ht="60" customHeight="1">
      <c r="A35" s="3" t="inlineStr">
        <is>
          <t>MK-NW-M-025</t>
        </is>
      </c>
      <c r="B35" s="3" t="inlineStr">
        <is>
          <t>Networth</t>
        </is>
      </c>
      <c r="C35" s="3" t="inlineStr">
        <is>
          <t>/account-detail</t>
        </is>
      </c>
      <c r="D35" s="3" t="inlineStr">
        <is>
          <t>Matures</t>
        </is>
      </c>
      <c r="E35" s="3" t="inlineStr">
        <is>
          <t>matures</t>
        </is>
      </c>
      <c r="F35" s="3" t="inlineStr">
        <is>
          <t>theBonds</t>
        </is>
      </c>
      <c r="G35" s="3" t="inlineStr">
        <is>
          <t>MK-NW-O-001</t>
        </is>
      </c>
      <c r="H35" s="3" t="inlineStr">
        <is>
          <t>years to maturity = (maturity date − today) ÷ 365.25 days;  already past → 0;  NO maturity date, or an unreadable one → no answer (nothing is invented)</t>
        </is>
      </c>
      <c r="I35" s="3" t="inlineStr">
        <is>
          <t>Maturity date minus today, in years (365.25 days to the year). Anything already past → 0. No maturity date, or one that cannot be read → NO answer: the years, the yield to maturity and the rate sensitivity all refuse, and the screen asks for the date.</t>
        </is>
      </c>
      <c r="J35" s="3" t="inlineStr">
        <is>
          <t>MK-NW-I-001 your accounts</t>
        </is>
      </c>
      <c r="K35" s="3" t="inlineStr">
        <is>
          <t>a sentence</t>
        </is>
      </c>
      <c r="L35" s="3" t="inlineStr">
        <is>
          <t>No maturity date → the 'Matures' line is not shown; a matured bond shows '(matured)'.</t>
        </is>
      </c>
      <c r="M35" s="3" t="inlineStr">
        <is>
          <t>one bond</t>
        </is>
      </c>
      <c r="N35" s="3" t="inlineStr">
        <is>
          <t>as of today</t>
        </is>
      </c>
      <c r="O35"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35" s="3" t="inlineStr">
        <is>
          <t>Declared by MK-NW-O-001 theBonds</t>
        </is>
      </c>
      <c r="Q35" s="3" t="inlineStr">
        <is>
          <t>NONE RECORDED — the declaration names none.</t>
        </is>
      </c>
      <c r="R35" s="3" t="inlineStr">
        <is>
          <t>NONE RECORDED — the declaration names none.</t>
        </is>
      </c>
      <c r="S35" s="3" t="inlineStr"/>
      <c r="T35" s="3" t="inlineStr">
        <is>
          <t>NONE RECORDED — the declaration names none.</t>
        </is>
      </c>
      <c r="U35" s="3" t="inlineStr"/>
      <c r="V35" s="3" t="inlineStr"/>
      <c r="W35" s="3" t="inlineStr"/>
      <c r="X35" s="3" t="inlineStr"/>
      <c r="Y35" s="3" t="inlineStr"/>
      <c r="Z35" s="3" t="inlineStr">
        <is>
          <t>DECLARED IN THE CODE (rule 11) — printed from the door, not typed. RULED 2026-09-27</t>
        </is>
      </c>
      <c r="AA35" s="3" t="inlineStr"/>
      <c r="AB35" s="3" t="inlineStr"/>
      <c r="AC35" s="3" t="inlineStr"/>
      <c r="AD35" s="3" t="inlineStr"/>
      <c r="AE35" s="3" t="inlineStr">
        <is>
          <t>G32 / Q48 — 2026-09-09: the 'division with nothing on the bottom' boilerplate is gone; this cell now states the row's real refusal. Where it says 'built', the screen already does it; the rest follow the empty-state mock.</t>
        </is>
      </c>
      <c r="AF35" s="3" t="inlineStr">
        <is>
          <t>ACTIVE</t>
        </is>
      </c>
      <c r="AG35" s="3" t="inlineStr">
        <is>
          <t>2026-10-11</t>
        </is>
      </c>
      <c r="AH35" s="3" t="inlineStr"/>
      <c r="AI35" s="3" t="inlineStr"/>
      <c r="AJ35"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MK-NW-O-001 theBonds</t>
        </is>
      </c>
      <c r="AN35" s="3" t="inlineStr">
        <is>
          <t>Two bonds on 28 Sep 2026: a $25,000-face Treasury paying 4.5%, maturing 30 Sep 2029, worth $24,200 today; and a $10,000 Ally CD paying 5.05%, maturing 15 Mar 2027, worth its $10,000.
GIVES: 2029-09-30 — 3.0 years away
(the test re-runs this through MK-NW-O-001 theBonds on every build)</t>
        </is>
      </c>
      <c r="AO35" s="7" t="inlineStr">
        <is>
          <t>RULED, NOT CODED (Q-NW-4 — one question, one function)</t>
        </is>
      </c>
    </row>
    <row r="36" ht="60" customHeight="1">
      <c r="A36" s="3" t="inlineStr">
        <is>
          <t>MK-NW-M-026</t>
        </is>
      </c>
      <c r="B36" s="3" t="inlineStr">
        <is>
          <t>Networth</t>
        </is>
      </c>
      <c r="C36" s="3" t="inlineStr">
        <is>
          <t>/account-detail</t>
        </is>
      </c>
      <c r="D36" s="3" t="inlineStr">
        <is>
          <t>Yield if held to maturity</t>
        </is>
      </c>
      <c r="E36" s="3" t="inlineStr">
        <is>
          <t>yield_if_held_to_maturity</t>
        </is>
      </c>
      <c r="F36" s="3" t="inlineStr">
        <is>
          <t>theBonds</t>
        </is>
      </c>
      <c r="G36" s="3" t="inlineStr">
        <is>
          <t>MK-NW-O-001</t>
        </is>
      </c>
      <c r="H36" s="3" t="inlineStr">
        <is>
          <t>yield to maturity ≈ (annual coupon + (face − value) ÷ years left) ÷ ((face + value) ÷ 2)   — the straight-line approximation, rounded to 4 decimal places; value = the bond's current value as entered (the balance), on the same total basis as face</t>
        </is>
      </c>
      <c r="I36"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36" s="3" t="inlineStr">
        <is>
          <t>MK-NW-I-001 your accounts</t>
        </is>
      </c>
      <c r="K36" s="3" t="inlineStr">
        <is>
          <t>a percentage, two decimals</t>
        </is>
      </c>
      <c r="L36" s="3" t="inlineStr">
        <is>
          <t>Matured, or no maturity date — it refuses rather than divide by nothing.</t>
        </is>
      </c>
      <c r="M36" s="3" t="inlineStr">
        <is>
          <t>one bond</t>
        </is>
      </c>
      <c r="N36" s="3" t="inlineStr">
        <is>
          <t>as of today</t>
        </is>
      </c>
      <c r="O36"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36" s="3" t="inlineStr">
        <is>
          <t>Declared by MK-NW-O-001 theBonds</t>
        </is>
      </c>
      <c r="Q36" s="3" t="inlineStr">
        <is>
          <t>An approximation, and labelled an estimate on screen.</t>
        </is>
      </c>
      <c r="R36" s="3" t="inlineStr">
        <is>
          <t>An approximation, and labelled an estimate on screen.</t>
        </is>
      </c>
      <c r="S36" s="3" t="inlineStr"/>
      <c r="T36" s="3" t="inlineStr">
        <is>
          <t>An approximation, and labelled an estimate on screen.</t>
        </is>
      </c>
      <c r="U36" s="3" t="inlineStr"/>
      <c r="V36" s="9" t="inlineStr">
        <is>
          <t>Q05 — Accrued interest: do we work it out ourselves — which needs a day-count rule per bond type — or only show what the institution gives us?</t>
        </is>
      </c>
      <c r="W36" s="9" t="inlineStr"/>
      <c r="X36" s="3" t="inlineStr"/>
      <c r="Y36" s="3" t="inlineStr"/>
      <c r="Z36" s="3" t="inlineStr">
        <is>
          <t>DECLARED IN THE CODE (rule 11) — printed from the door, not typed. RULED 2026-09-27</t>
        </is>
      </c>
      <c r="AA36" s="3" t="inlineStr"/>
      <c r="AB36" s="3" t="inlineStr"/>
      <c r="AC36" s="3" t="inlineStr"/>
      <c r="AD36" s="3" t="inlineStr"/>
      <c r="AE36" s="3" t="inlineStr">
        <is>
          <t>G20 — CLOSED 2026-09-08: the math column claimed the exact root-solve; the code (MK-NW-F-060) is the approximation, now stated in both columns and labelled; the function header's rounding line corrected (4 decimals). No code change.</t>
        </is>
      </c>
      <c r="AF36" s="3" t="inlineStr">
        <is>
          <t>ACTIVE</t>
        </is>
      </c>
      <c r="AG36" s="3" t="inlineStr">
        <is>
          <t>2026-10-11</t>
        </is>
      </c>
      <c r="AH36" s="3" t="inlineStr"/>
      <c r="AI36" s="3" t="inlineStr"/>
      <c r="AJ36"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MK-NW-O-001 theBonds</t>
        </is>
      </c>
      <c r="AN36" s="3" t="inlineStr">
        <is>
          <t>Two bonds on 28 Sep 2026: a $25,000-face Treasury paying 4.5%, maturing 30 Sep 2029, worth $24,200 today; and a $10,000 Ally CD paying 5.05%, maturing 15 Mar 2027, worth its $10,000.
GIVES: 5.69%
(the test re-runs this through MK-NW-O-001 theBonds on every build)</t>
        </is>
      </c>
      <c r="AO36" s="9" t="inlineStr">
        <is>
          <t>WAITING ON YOU — question Q05 · RULED, NOT CODED (Q-NW-4 — one question, one function)</t>
        </is>
      </c>
    </row>
    <row r="37" ht="60" customHeight="1">
      <c r="A37" s="3" t="inlineStr">
        <is>
          <t>MK-NW-M-027</t>
        </is>
      </c>
      <c r="B37" s="3" t="inlineStr">
        <is>
          <t>Networth</t>
        </is>
      </c>
      <c r="C37" s="3" t="inlineStr">
        <is>
          <t>/account-detail</t>
        </is>
      </c>
      <c r="D37" s="3" t="inlineStr">
        <is>
          <t>Yield on today's value</t>
        </is>
      </c>
      <c r="E37" s="3" t="inlineStr">
        <is>
          <t>yield_on_todays_value</t>
        </is>
      </c>
      <c r="F37" s="3" t="inlineStr">
        <is>
          <t>theBonds</t>
        </is>
      </c>
      <c r="G37" s="3" t="inlineStr">
        <is>
          <t>MK-NW-O-001</t>
        </is>
      </c>
      <c r="H37" s="3" t="inlineStr">
        <is>
          <t>coupon ÷ today’s value</t>
        </is>
      </c>
      <c r="I37" s="3" t="inlineStr">
        <is>
          <t>coupon ÷ today’s value</t>
        </is>
      </c>
      <c r="J37" s="3" t="inlineStr">
        <is>
          <t>MK-NW-I-001 your accounts</t>
        </is>
      </c>
      <c r="K37" s="3" t="inlineStr">
        <is>
          <t>a percentage, two decimals</t>
        </is>
      </c>
      <c r="L37" s="3" t="inlineStr">
        <is>
          <t>No value today.</t>
        </is>
      </c>
      <c r="M37" s="3" t="inlineStr">
        <is>
          <t>one bond</t>
        </is>
      </c>
      <c r="N37" s="3" t="inlineStr">
        <is>
          <t>as of today</t>
        </is>
      </c>
      <c r="O37"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37" s="3" t="inlineStr">
        <is>
          <t>Declared by MK-NW-O-001 theBonds</t>
        </is>
      </c>
      <c r="Q37" s="3" t="inlineStr">
        <is>
          <t>NONE RECORDED — the declaration names none.</t>
        </is>
      </c>
      <c r="R37" s="3" t="inlineStr">
        <is>
          <t>NONE RECORDED — the declaration names none.</t>
        </is>
      </c>
      <c r="S37" s="3" t="inlineStr"/>
      <c r="T37" s="3" t="inlineStr">
        <is>
          <t>NONE RECORDED — the declaration names none.</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c r="AF37" s="3" t="inlineStr">
        <is>
          <t>ACTIVE</t>
        </is>
      </c>
      <c r="AG37" s="3" t="inlineStr">
        <is>
          <t>2026-10-11</t>
        </is>
      </c>
      <c r="AH37" s="3" t="inlineStr"/>
      <c r="AI37" s="3" t="inlineStr"/>
      <c r="AJ37"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MK-NW-O-001 theBonds</t>
        </is>
      </c>
      <c r="AN37" s="3" t="inlineStr">
        <is>
          <t>Two bonds on 28 Sep 2026: a $25,000-face Treasury paying 4.5%, maturing 30 Sep 2029, worth $24,200 today; and a $10,000 Ally CD paying 5.05%, maturing 15 Mar 2027, worth its $10,000.
GIVES: 4.65%
(the test re-runs this through MK-NW-O-001 theBonds on every build)</t>
        </is>
      </c>
      <c r="AO37" s="7" t="inlineStr">
        <is>
          <t>RULED, NOT CODED (Q-NW-4 — one question, one function)</t>
        </is>
      </c>
    </row>
    <row r="38" ht="60" customHeight="1">
      <c r="A38" s="3" t="inlineStr">
        <is>
          <t>MK-NW-M-028</t>
        </is>
      </c>
      <c r="B38" s="3" t="inlineStr">
        <is>
          <t>Networth</t>
        </is>
      </c>
      <c r="C38" s="3" t="inlineStr">
        <is>
          <t>/account-detail</t>
        </is>
      </c>
      <c r="D38" s="3" t="inlineStr">
        <is>
          <t>Rates rise 1% → value roughly $X–$Y</t>
        </is>
      </c>
      <c r="E38" s="3" t="inlineStr">
        <is>
          <t>rates_rise_1__value_roughly_xy</t>
        </is>
      </c>
      <c r="F38" s="3" t="inlineStr">
        <is>
          <t>theBonds</t>
        </is>
      </c>
      <c r="G38" s="3" t="inlineStr">
        <is>
          <t>MK-NW-F-064</t>
        </is>
      </c>
      <c r="H38" s="3" t="inlineStr">
        <is>
          <t>value at (yield − 1%) and value at (yield + 1%), each = Σ coupon ÷ (1 + y)^t + face ÷ (1 + y)^n over the whole remaining years;  shown as the range between the two</t>
        </is>
      </c>
      <c r="I38" s="3" t="inlineStr">
        <is>
          <t>price it again at (yield to maturity ± 1%), and show a band of ±1% around that</t>
        </is>
      </c>
      <c r="J38" s="3" t="inlineStr">
        <is>
          <t>MK-NW-I-001 your accounts</t>
        </is>
      </c>
      <c r="K38" s="3" t="inlineStr">
        <is>
          <t>a sentence</t>
        </is>
      </c>
      <c r="L38" s="3" t="inlineStr">
        <is>
          <t>Refused for a CD bought from the bank, for a matured bond, and for anything with no coupon or no maturity — and for a bank CD it says plainly why nothing happens.</t>
        </is>
      </c>
      <c r="M38" s="3" t="inlineStr">
        <is>
          <t>one bond</t>
        </is>
      </c>
      <c r="N38" s="3" t="inlineStr">
        <is>
          <t>as of today</t>
        </is>
      </c>
      <c r="O38" s="3" t="inlineStr">
        <is>
          <t>1. MK-NW-F-060 (approxYTM) → number | null
2. MK-NW-F-069 (priceAtYield) → number | null
3. MK-NW-F-131 (pricedLikeBond) → boolean</t>
        </is>
      </c>
      <c r="P38" s="3" t="inlineStr">
        <is>
          <t>Declared by MK-NW-O-001 theBonds</t>
        </is>
      </c>
      <c r="Q38" s="3" t="inlineStr">
        <is>
          <t>An estimate, and it wears the estimate label.
FOUNDER 2026-09-27: a CD bought from the bank gets no estimate. It is not traded, so its value does not move with rates; the screen says that instead.
DEC-3837, 2026-10-10: a CD bought through a broker trades, so it gets the estimate like a bond. A CD whose answer was never given is read as bought from the bank.</t>
        </is>
      </c>
      <c r="R38" s="3" t="inlineStr">
        <is>
          <t>An estimate, and it wears the estimate label.
FOUNDER 2026-09-27: a CD bought from the bank gets no estimate. It is not traded, so its value does not move with rates; the screen says that instead.
DEC-3837, 2026-10-10: a CD bought through a broker trades, so it gets the estimate like a bond. A CD whose answer was never given is read as bought from the bank.</t>
        </is>
      </c>
      <c r="S38" s="3" t="inlineStr"/>
      <c r="T38" s="3" t="inlineStr">
        <is>
          <t>An estimate, and it wears the estimate label.
FOUNDER 2026-09-27: a CD bought from the bank gets no estimate. It is not traded, so its value does not move with rates; the screen says that instead.
DEC-3837, 2026-10-10: a CD bought through a broker trades, so it gets the estimate like a bond. A CD whose answer was never given is read as bought from the bank.</t>
        </is>
      </c>
      <c r="U38" s="3" t="inlineStr"/>
      <c r="V38" s="3" t="inlineStr"/>
      <c r="W38" s="3" t="inlineStr"/>
      <c r="X38" s="3" t="inlineStr"/>
      <c r="Y38" s="3" t="inlineStr"/>
      <c r="Z38" s="3" t="inlineStr">
        <is>
          <t>DECLARED IN THE CODE (rule 11) — printed from the door, not typed. RULED 2026-09-27</t>
        </is>
      </c>
      <c r="AA38" s="3" t="inlineStr"/>
      <c r="AB38" s="3" t="inlineStr"/>
      <c r="AC38" s="3" t="inlineStr"/>
      <c r="AD38" s="3" t="inlineStr"/>
      <c r="AE38" s="3" t="inlineStr"/>
      <c r="AF38" s="3" t="inlineStr">
        <is>
          <t>ACTIVE</t>
        </is>
      </c>
      <c r="AG38" s="3" t="inlineStr">
        <is>
          <t>2026-10-11</t>
        </is>
      </c>
      <c r="AH38" s="3" t="inlineStr"/>
      <c r="AI38" s="3" t="inlineStr"/>
      <c r="AJ38" s="3" t="inlineStr">
        <is>
          <t>1. MK-XS-I-011 bond face value — read by MK-NW-F-057, MK-NW-F-060, MK-NW-F-064, MK-NW-F-069, MK-NW-F-119
2. MK-XS-I-012 bond coupon rate — read by MK-NW-F-057, MK-NW-F-060, MK-NW-F-064, MK-NW-F-119
3. MK-XS-I-013 bond maturity date — read by MK-NW-F-058, MK-NW-F-060, MK-NW-F-069, MK-NW-F-119, MK-NW-F-124
4. MK-XS-I-049 bond price — what the bond is worth today — read by MK-NW-F-057, MK-NW-F-060, MK-NW-F-064, MK-NW-F-069, MK-NW-F-119, MK-NW-F-131
5. MK-XS-I-065 accrued interest on a bond — interest earned since the last coupon — read by MK-NW-F-060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MK-NW-O-001 theBonds</t>
        </is>
      </c>
      <c r="AN38" s="3" t="inlineStr">
        <is>
          <t>Two bonds on 28 Sep 2026: a $25,000-face Treasury paying 4.5%, maturing 30 Sep 2029, worth $24,200 today; and a $10,000 Ally CD paying 5.05%, maturing 15 Mar 2027, worth its $10,000.
GIVES: $23,300–$23,800
(the test re-runs this through MK-NW-O-001 theBonds on every build)</t>
        </is>
      </c>
      <c r="AO38" s="7" t="inlineStr">
        <is>
          <t>RULED, NOT CODED (Q-NW-4 — one question, one function)</t>
        </is>
      </c>
    </row>
    <row r="39" ht="60" customHeight="1">
      <c r="A39" s="3" t="inlineStr">
        <is>
          <t>MK-NW-M-029</t>
        </is>
      </c>
      <c r="B39" s="3" t="inlineStr">
        <is>
          <t>Networth</t>
        </is>
      </c>
      <c r="C39" s="3" t="inlineStr">
        <is>
          <t>/holding-detail</t>
        </is>
      </c>
      <c r="D39" s="3" t="inlineStr">
        <is>
          <t>CURRENT PRICE · LIVE</t>
        </is>
      </c>
      <c r="E39" s="3" t="inlineStr">
        <is>
          <t>current_price__live</t>
        </is>
      </c>
      <c r="F39" s="3" t="inlineStr">
        <is>
          <t>theHolding</t>
        </is>
      </c>
      <c r="G39" s="3" t="inlineStr">
        <is>
          <t>MK-NW-O-006</t>
        </is>
      </c>
      <c r="H39" s="3" t="inlineStr">
        <is>
          <t>the last close the price feed holds for this ticker</t>
        </is>
      </c>
      <c r="I39" s="3" t="inlineStr">
        <is>
          <t>the last close the price feed holds for this ticker</t>
        </is>
      </c>
      <c r="J39" s="3" t="inlineStr">
        <is>
          <t>MK-NW-I-005 the price feed</t>
        </is>
      </c>
      <c r="K39" s="3" t="inlineStr">
        <is>
          <t>dollars, two decimals</t>
        </is>
      </c>
      <c r="L39" s="3" t="inlineStr">
        <is>
          <t>No price — the screen shows what you paid instead, and says so.</t>
        </is>
      </c>
      <c r="M39" s="3" t="inlineStr">
        <is>
          <t>one holding</t>
        </is>
      </c>
      <c r="N39" s="3" t="inlineStr">
        <is>
          <t>as of today</t>
        </is>
      </c>
      <c r="O39"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9" s="3" t="inlineStr">
        <is>
          <t>Declared by MK-NW-O-006 theHolding</t>
        </is>
      </c>
      <c r="Q39" s="3" t="inlineStr">
        <is>
          <t>A price that has gone stale says its age rather than passing as today’s.</t>
        </is>
      </c>
      <c r="R39" s="3" t="inlineStr">
        <is>
          <t>A price that has gone stale says its age rather than passing as today’s.</t>
        </is>
      </c>
      <c r="S39" s="3" t="inlineStr"/>
      <c r="T39" s="3" t="inlineStr">
        <is>
          <t>A price that has gone stale says its age rather than passing as today’s.</t>
        </is>
      </c>
      <c r="U39" s="3" t="inlineStr"/>
      <c r="V39" s="3" t="inlineStr"/>
      <c r="W39" s="3" t="inlineStr"/>
      <c r="X39" s="3" t="inlineStr"/>
      <c r="Y39" s="3" t="inlineStr"/>
      <c r="Z39" s="3" t="inlineStr">
        <is>
          <t>DECLARED IN THE CODE (rule 11) — printed from the door, not typed. RULED 2026-09-28</t>
        </is>
      </c>
      <c r="AA39" s="3" t="inlineStr"/>
      <c r="AB39" s="3" t="inlineStr"/>
      <c r="AC39" s="3" t="inlineStr"/>
      <c r="AD39" s="3" t="inlineStr"/>
      <c r="AE39" s="3" t="inlineStr"/>
      <c r="AF39" s="3" t="inlineStr">
        <is>
          <t>ACTIVE</t>
        </is>
      </c>
      <c r="AG39" s="3" t="inlineStr">
        <is>
          <t>2026-10-11</t>
        </is>
      </c>
      <c r="AH39" s="3" t="inlineStr">
        <is>
          <t>[Formula (mathematical)] Is the formula embedded directly in the code and not as a separate function? Live price was to be sourced from Yahoo or similar engine.</t>
        </is>
      </c>
      <c r="AI39"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9"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2026-09-28; the figure, its formula, inputs and refusal live in MK-NW-O-006 theHolding</t>
        </is>
      </c>
      <c r="AN39" s="3" t="inlineStr">
        <is>
          <t>140 shares of VTI on 28 Sep 2026, priced at $290: 100 bought at $210 in Mar 2023 and 40 at $265 in Jun 2026. Dividends of $420 and $405 this year; 20 shares bought at $200 were sold at $285.
GIVES: $290.00
(the test re-runs this through MK-NW-O-006 theHolding on every build)</t>
        </is>
      </c>
      <c r="AO39" s="8" t="inlineStr">
        <is>
          <t>VERIFIED — TESTED, NOT VERIFIED — you ruled on this row 2026-09-28; the</t>
        </is>
      </c>
    </row>
    <row r="40" ht="60" customHeight="1">
      <c r="A40" s="3" t="inlineStr">
        <is>
          <t>MK-NW-M-030</t>
        </is>
      </c>
      <c r="B40" s="3" t="inlineStr">
        <is>
          <t>Networth</t>
        </is>
      </c>
      <c r="C40" s="3" t="inlineStr">
        <is>
          <t>/holding-detail</t>
        </is>
      </c>
      <c r="D40" s="3" t="inlineStr">
        <is>
          <t>Current value</t>
        </is>
      </c>
      <c r="E40" s="3" t="inlineStr">
        <is>
          <t>current_value</t>
        </is>
      </c>
      <c r="F40" s="3" t="inlineStr">
        <is>
          <t>theHolding</t>
        </is>
      </c>
      <c r="G40" s="3" t="inlineStr">
        <is>
          <t>MK-NW-O-006</t>
        </is>
      </c>
      <c r="H40" s="3" t="inlineStr">
        <is>
          <t>shares × today’s price</t>
        </is>
      </c>
      <c r="I40" s="3" t="inlineStr">
        <is>
          <t>shares × today’s price</t>
        </is>
      </c>
      <c r="J40" s="3" t="inlineStr">
        <is>
          <t>MK-NW-I-001 your accounts
MK-NW-I-005 the price feed</t>
        </is>
      </c>
      <c r="K40" s="3" t="inlineStr">
        <is>
          <t>dollars, whole</t>
        </is>
      </c>
      <c r="L40" s="3" t="inlineStr">
        <is>
          <t>No price — it shows what you paid, labelled as that.</t>
        </is>
      </c>
      <c r="M40" s="3" t="inlineStr">
        <is>
          <t>one holding</t>
        </is>
      </c>
      <c r="N40" s="3" t="inlineStr">
        <is>
          <t>as of today</t>
        </is>
      </c>
      <c r="O40"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0" s="3" t="inlineStr">
        <is>
          <t>Declared by MK-NW-O-006 theHolding</t>
        </is>
      </c>
      <c r="Q40" s="3" t="inlineStr">
        <is>
          <t>r30: with NO price it shows what you paid, never a zero — a holding priced at zero would quietly shrink your whole portfolio.</t>
        </is>
      </c>
      <c r="R40" s="3" t="inlineStr">
        <is>
          <t>r30: with NO price it shows what you paid, never a zero — a holding priced at zero would quietly shrink your whole portfolio.</t>
        </is>
      </c>
      <c r="S40" s="3" t="inlineStr"/>
      <c r="T40" s="3" t="inlineStr">
        <is>
          <t>r30: with NO price it shows what you paid, never a zero — a holding priced at zero would quietly shrink your whole portfolio.</t>
        </is>
      </c>
      <c r="U40" s="3" t="inlineStr"/>
      <c r="V40" s="9" t="inlineStr">
        <is>
          <t>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40" s="9"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40" s="3" t="inlineStr"/>
      <c r="Y40" s="3" t="inlineStr"/>
      <c r="Z40" s="3" t="inlineStr">
        <is>
          <t>DECLARED IN THE CODE (rule 11) — printed from the door, not typed. RULED 2026-09-28</t>
        </is>
      </c>
      <c r="AA40" s="3" t="inlineStr"/>
      <c r="AB40" s="3" t="inlineStr"/>
      <c r="AC40" s="3" t="inlineStr"/>
      <c r="AD40" s="3" t="inlineStr"/>
      <c r="AE40" s="3" t="inlineStr">
        <is>
          <t>Q06 / Q07 / Q08 — ANSWERED 2026-08-26 (see column W), NOT YET IN CODE: no contract multiplier, no quantity rounding, no currency conversion. Open.</t>
        </is>
      </c>
      <c r="AF40" s="3" t="inlineStr">
        <is>
          <t>ACTIVE</t>
        </is>
      </c>
      <c r="AG40" s="3" t="inlineStr">
        <is>
          <t>2026-10-11</t>
        </is>
      </c>
      <c r="AH40" s="3" t="inlineStr">
        <is>
          <t>[Dependency — function ID → the output it uses] why dependency on engine and not function?</t>
        </is>
      </c>
      <c r="AI40"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40"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2026-09-28; the figure, its formula, inputs and refusal live in MK-NW-O-006 theHolding</t>
        </is>
      </c>
      <c r="AN40" s="3" t="inlineStr">
        <is>
          <t>140 shares of VTI on 28 Sep 2026, priced at $290: 100 bought at $210 in Mar 2023 and 40 at $265 in Jun 2026. Dividends of $420 and $405 this year; 20 shares bought at $200 were sold at $285.
GIVES: $40,600
(the test re-runs this through MK-NW-O-006 theHolding on every build)</t>
        </is>
      </c>
      <c r="AO40" s="9" t="inlineStr">
        <is>
          <t>WAITING ON YOU — question Q42, Q43, Q44 · TESTED, NOT VERIFIED (Q06, Q08)</t>
        </is>
      </c>
    </row>
    <row r="41" ht="60" customHeight="1">
      <c r="A41" s="3" t="inlineStr">
        <is>
          <t>MK-NW-M-031</t>
        </is>
      </c>
      <c r="B41" s="3" t="inlineStr">
        <is>
          <t>Networth</t>
        </is>
      </c>
      <c r="C41" s="3" t="inlineStr">
        <is>
          <t>/holding-detail</t>
        </is>
      </c>
      <c r="D41" s="3" t="inlineStr">
        <is>
          <t>Quantity — n shares</t>
        </is>
      </c>
      <c r="E41" s="3" t="inlineStr">
        <is>
          <t>quantity__n_shares</t>
        </is>
      </c>
      <c r="F41" s="3" t="inlineStr">
        <is>
          <t>theHolding</t>
        </is>
      </c>
      <c r="G41" s="3" t="inlineStr">
        <is>
          <t>MK-NW-O-006</t>
        </is>
      </c>
      <c r="H41" s="3" t="inlineStr">
        <is>
          <t>quantity = Σ(shares on each lot);  a sale of shares REMOVES them from the lots (never a negative lot);  a sale entered as a dollar amount with no shares lowers the account balance instead</t>
        </is>
      </c>
      <c r="I41" s="3" t="inlineStr">
        <is>
          <t>the shares of every lot still held, added up</t>
        </is>
      </c>
      <c r="J41" s="3" t="inlineStr">
        <is>
          <t>MK-NW-I-001 your accounts</t>
        </is>
      </c>
      <c r="K41" s="3" t="inlineStr">
        <is>
          <t>a count</t>
        </is>
      </c>
      <c r="L41" s="3" t="inlineStr">
        <is>
          <t>$0, and under it the one line "Nothing entered yet. Add a holding ›" (mock approved 2026-09-12). A real zero that was entered shows a plain $0 with no line.</t>
        </is>
      </c>
      <c r="M41" s="3" t="inlineStr">
        <is>
          <t>one holding</t>
        </is>
      </c>
      <c r="N41" s="3" t="inlineStr">
        <is>
          <t>as of today</t>
        </is>
      </c>
      <c r="O41"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1" s="3" t="inlineStr">
        <is>
          <t>Declared by MK-NW-O-006 theHolding</t>
        </is>
      </c>
      <c r="Q41" s="3" t="inlineStr">
        <is>
          <t>NONE RECORDED — the declaration names none.</t>
        </is>
      </c>
      <c r="R41" s="3" t="inlineStr">
        <is>
          <t>NONE RECORDED — the declaration names none.</t>
        </is>
      </c>
      <c r="S41" s="3" t="inlineStr"/>
      <c r="T41" s="3" t="inlineStr">
        <is>
          <t>NONE RECORDED — the declaration names none.</t>
        </is>
      </c>
      <c r="U41" s="3" t="inlineStr"/>
      <c r="V41" s="3" t="inlineStr"/>
      <c r="W41" s="3" t="inlineStr">
        <is>
          <t>Q09: Yes, we should always capture units. Worth checking is CHF is held in account, is value displayed in CHF or USD? If USD, we need to make sure to capture Foreign exchange rate to do the conversion.
(typed 2026-08-26)</t>
        </is>
      </c>
      <c r="X41" s="3" t="inlineStr"/>
      <c r="Y41" s="3" t="inlineStr"/>
      <c r="Z41" s="3" t="inlineStr">
        <is>
          <t>DECLARED IN THE CODE (rule 11) — printed from the door, not typed. RULED 2026-09-28</t>
        </is>
      </c>
      <c r="AA41" s="3" t="inlineStr"/>
      <c r="AB41" s="3" t="inlineStr"/>
      <c r="AC41" s="3" t="inlineStr"/>
      <c r="AD41" s="3" t="inlineStr"/>
      <c r="AE41" s="3" t="inlineStr">
        <is>
          <t>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41" s="3" t="inlineStr">
        <is>
          <t>ACTIVE</t>
        </is>
      </c>
      <c r="AG41" s="3" t="inlineStr">
        <is>
          <t>2026-10-11</t>
        </is>
      </c>
      <c r="AH41" s="3" t="inlineStr">
        <is>
          <t>[YOUR ANSWER, column W] Q09 typed 2026-08-26 — see W on this row.</t>
        </is>
      </c>
      <c r="AI41"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41"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2026-09-28; the figure, its formula, inputs and refusal live in MK-NW-O-006 theHolding</t>
        </is>
      </c>
      <c r="AN41" s="3" t="inlineStr">
        <is>
          <t>140 shares of VTI on 28 Sep 2026, priced at $290: 100 bought at $210 in Mar 2023 and 40 at $265 in Jun 2026. Dividends of $420 and $405 this year; 20 shares bought at $200 were sold at $285.
GIVES: 140
(the test re-runs this through MK-NW-O-006 theHolding on every build)</t>
        </is>
      </c>
      <c r="AO41" s="8" t="inlineStr">
        <is>
          <t>VERIFIED — TESTED, NOT VERIFIED — you ruled on this row 2026-09-28; the</t>
        </is>
      </c>
    </row>
    <row r="42" ht="60" customHeight="1">
      <c r="A42" s="3" t="inlineStr">
        <is>
          <t>MK-NW-M-032</t>
        </is>
      </c>
      <c r="B42" s="3" t="inlineStr">
        <is>
          <t>Networth</t>
        </is>
      </c>
      <c r="C42" s="3" t="inlineStr">
        <is>
          <t>/holding-detail</t>
        </is>
      </c>
      <c r="D42" s="3" t="inlineStr">
        <is>
          <t>Price paid (average)</t>
        </is>
      </c>
      <c r="E42" s="3" t="inlineStr">
        <is>
          <t>price_paid_average</t>
        </is>
      </c>
      <c r="F42" s="3" t="inlineStr">
        <is>
          <t>theHolding</t>
        </is>
      </c>
      <c r="G42" s="3" t="inlineStr">
        <is>
          <t>MK-PF-F-003</t>
        </is>
      </c>
      <c r="H42" s="3" t="inlineStr">
        <is>
          <t>average price paid = cost basis ÷ shares held  (cost basis = Σ shares × cost per share across the lots)</t>
        </is>
      </c>
      <c r="I42" s="3" t="inlineStr">
        <is>
          <t>Cost basis divided by the shares held across every lot — the average price paid per share.</t>
        </is>
      </c>
      <c r="J42" s="3" t="inlineStr">
        <is>
          <t>MK-NW-I-001 your accounts</t>
        </is>
      </c>
      <c r="K42" s="3" t="inlineStr">
        <is>
          <t>dollars, two decimals</t>
        </is>
      </c>
      <c r="L42" s="3" t="inlineStr">
        <is>
          <t>$0, and under it the one line "Nothing entered yet. Add a holding ›" (mock approved 2026-09-12). A real zero that was entered shows a plain $0 with no line.</t>
        </is>
      </c>
      <c r="M42" s="3" t="inlineStr">
        <is>
          <t>one holding</t>
        </is>
      </c>
      <c r="N42" s="3" t="inlineStr">
        <is>
          <t>as of today</t>
        </is>
      </c>
      <c r="O42" s="3" t="inlineStr">
        <is>
          <t>1. MK-PF-F-031 (contractMultiplier) → number
2. MK-PF-F-002 (costBasis) → number
3. MK-PF-F-001 (totalShares) → number</t>
        </is>
      </c>
      <c r="P42" s="3" t="inlineStr">
        <is>
          <t>Declared by MK-NW-O-006 theHolding</t>
        </is>
      </c>
      <c r="Q42" s="3" t="inlineStr">
        <is>
          <t>Kept unrounded inside, rounded once at display (Q49) — rounding it early moved the total it multiplies back into.</t>
        </is>
      </c>
      <c r="R42" s="3" t="inlineStr">
        <is>
          <t>Kept unrounded inside, rounded once at display (Q49) — rounding it early moved the total it multiplies back into.</t>
        </is>
      </c>
      <c r="S42" s="3" t="inlineStr"/>
      <c r="T42" s="3" t="inlineStr">
        <is>
          <t>Kept unrounded inside, rounded once at display (Q49) — rounding it early moved the total it multiplies back into.</t>
        </is>
      </c>
      <c r="U42" s="3" t="inlineStr"/>
      <c r="V42" s="9"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42" s="9" t="inlineStr"/>
      <c r="X42" s="3" t="inlineStr"/>
      <c r="Y42" s="3" t="inlineStr"/>
      <c r="Z42" s="3" t="inlineStr">
        <is>
          <t>DECLARED IN THE CODE (rule 11) — printed from the door, not typed. RULED 2026-09-28</t>
        </is>
      </c>
      <c r="AA42" s="3" t="inlineStr"/>
      <c r="AB42" s="3" t="inlineStr"/>
      <c r="AC42" s="3" t="inlineStr"/>
      <c r="AD42" s="3" t="inlineStr"/>
      <c r="AE42" s="3" t="inlineStr">
        <is>
          <t>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42" s="3" t="inlineStr">
        <is>
          <t>ACTIVE</t>
        </is>
      </c>
      <c r="AG42" s="3" t="inlineStr">
        <is>
          <t>2026-10-11</t>
        </is>
      </c>
      <c r="AH42" s="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42"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42" s="3" t="inlineStr">
        <is>
          <t>1. MK-XS-I-004 holding quantity (shares) — read by MK-PF-F-001, MK-PF-F-002, MK-PF-F-003
2. MK-XS-I-007 purchase price and date (per lot) — read by MK-PF-F-002, MK-PF-F-003
3. MK-XS-I-055 the wrapper an account sits in — ISA, 401(k), IRA and the rest — read by MK-PF-F-031
4. MK-XS-I-063 option contract multiplier — 100 unless the broker or the person states otherwise — read by MK-PF-F-002, MK-PF-F-003, MK-PF-F-031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2026-09-28; the figure, its formula, inputs and refusal live in MK-NW-O-006 theHolding</t>
        </is>
      </c>
      <c r="AN42" s="3" t="inlineStr">
        <is>
          <t>140 shares of VTI on 28 Sep 2026, priced at $290: 100 bought at $210 in Mar 2023 and 40 at $265 in Jun 2026. Dividends of $420 and $405 this year; 20 shares bought at $200 were sold at $285.
GIVES: $225.71
(the test re-runs this through MK-NW-O-006 theHolding on every build)</t>
        </is>
      </c>
      <c r="AO42" s="9" t="inlineStr">
        <is>
          <t>WAITING ON YOU — question Q34</t>
        </is>
      </c>
    </row>
    <row r="43" ht="60" customHeight="1">
      <c r="A43" s="3" t="inlineStr">
        <is>
          <t>MK-NW-M-033</t>
        </is>
      </c>
      <c r="B43" s="3" t="inlineStr">
        <is>
          <t>Networth</t>
        </is>
      </c>
      <c r="C43" s="3" t="inlineStr">
        <is>
          <t>/holding-detail · /invest</t>
        </is>
      </c>
      <c r="D43" s="3" t="inlineStr">
        <is>
          <t>Total paid</t>
        </is>
      </c>
      <c r="E43" s="3" t="inlineStr">
        <is>
          <t>total_paid</t>
        </is>
      </c>
      <c r="F43" s="3" t="inlineStr">
        <is>
          <t>theHolding</t>
        </is>
      </c>
      <c r="G43" s="3" t="inlineStr">
        <is>
          <t>MK-NW-O-006</t>
        </is>
      </c>
      <c r="H43" s="3" t="inlineStr">
        <is>
          <t>the cost of every lot still held, added up</t>
        </is>
      </c>
      <c r="I43" s="3" t="inlineStr">
        <is>
          <t>the cost of every lot still held, added up</t>
        </is>
      </c>
      <c r="J43" s="3" t="inlineStr">
        <is>
          <t>MK-NW-I-001 your accounts</t>
        </is>
      </c>
      <c r="K43" s="3" t="inlineStr">
        <is>
          <t>dollars, whole</t>
        </is>
      </c>
      <c r="L43" s="3" t="inlineStr">
        <is>
          <t>$0, and under it the one line "Nothing entered yet. Add a holding ›" (mock approved 2026-09-12). A real zero that was entered shows a plain $0 with no line.</t>
        </is>
      </c>
      <c r="M43" s="3" t="inlineStr">
        <is>
          <t>one holding</t>
        </is>
      </c>
      <c r="N43" s="3" t="inlineStr">
        <is>
          <t>as of today</t>
        </is>
      </c>
      <c r="O43"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3" s="3" t="inlineStr">
        <is>
          <t>Declared by MK-NW-O-006 theHolding</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2026-09-28</t>
        </is>
      </c>
      <c r="AA43" s="3" t="inlineStr"/>
      <c r="AB43" s="3" t="inlineStr"/>
      <c r="AC43" s="3" t="inlineStr"/>
      <c r="AD43" s="3" t="inlineStr"/>
      <c r="AE43" s="3" t="inlineStr">
        <is>
          <t>G32 / Q48 — RULED 2026-09-09: $0 stays, with the sentence '$0 — nothing entered yet.' and this row's door ('Add a holding ›'). File written; the screen follows the approved empty-state mock (one pattern, one screen), then every screen.</t>
        </is>
      </c>
      <c r="AF43" s="3" t="inlineStr">
        <is>
          <t>ACTIVE</t>
        </is>
      </c>
      <c r="AG43" s="3" t="inlineStr">
        <is>
          <t>2026-10-11</t>
        </is>
      </c>
      <c r="AH43" s="3" t="inlineStr">
        <is>
          <t>[Formula audit (B16)] Where is Total Price versus Price Paid (Average) displayed in the app? Are we trying to tell two different things to user and need to fix formulas or are we saying same thing and calling it differently?</t>
        </is>
      </c>
      <c r="AI43"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43"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2026-09-28; the figure, its formula, inputs and refusal live in MK-NW-O-006 theHolding</t>
        </is>
      </c>
      <c r="AN43" s="3" t="inlineStr">
        <is>
          <t>140 shares of VTI on 28 Sep 2026, priced at $290: 100 bought at $210 in Mar 2023 and 40 at $265 in Jun 2026. Dividends of $420 and $405 this year; 20 shares bought at $200 were sold at $285.
GIVES: $31,600
(the test re-runs this through MK-NW-O-006 theHolding on every build)</t>
        </is>
      </c>
      <c r="AO43" s="8" t="inlineStr">
        <is>
          <t>VERIFIED — TESTED, NOT VERIFIED — you ruled on this row 2026-09-28; the</t>
        </is>
      </c>
    </row>
    <row r="44" ht="60" customHeight="1">
      <c r="A44" s="3" t="inlineStr">
        <is>
          <t>MK-NW-M-034</t>
        </is>
      </c>
      <c r="B44" s="3" t="inlineStr">
        <is>
          <t>Networth</t>
        </is>
      </c>
      <c r="C44" s="3" t="inlineStr">
        <is>
          <t>/holding-detail</t>
        </is>
      </c>
      <c r="D44" s="3" t="inlineStr">
        <is>
          <t>Dividends received (12 mo)</t>
        </is>
      </c>
      <c r="E44" s="3" t="inlineStr">
        <is>
          <t>dividends_received_12_mo</t>
        </is>
      </c>
      <c r="F44" s="3" t="inlineStr">
        <is>
          <t>theHolding</t>
        </is>
      </c>
      <c r="G44" s="3" t="inlineStr">
        <is>
          <t>MK-NW-O-006</t>
        </is>
      </c>
      <c r="H44" s="3" t="inlineStr">
        <is>
          <t>the DIVIDEND records naming this ticker, dated within the last year</t>
        </is>
      </c>
      <c r="I44" s="3" t="inlineStr">
        <is>
          <t>the DIVIDEND records naming this ticker, dated within the last year</t>
        </is>
      </c>
      <c r="J44" s="3" t="inlineStr">
        <is>
          <t>MK-NW-I-004 the activity records</t>
        </is>
      </c>
      <c r="K44" s="3" t="inlineStr">
        <is>
          <t>dollars, whole</t>
        </is>
      </c>
      <c r="L44" s="3" t="inlineStr">
        <is>
          <t>$0, and under it the one line "Nothing entered yet. Add your income ›" (mock approved 2026-09-12). A real zero that was entered shows a plain $0 with no line.</t>
        </is>
      </c>
      <c r="M44" s="3" t="inlineStr">
        <is>
          <t>one holding</t>
        </is>
      </c>
      <c r="N44" s="3" t="inlineStr">
        <is>
          <t>as of today</t>
        </is>
      </c>
      <c r="O44"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4" s="3" t="inlineStr">
        <is>
          <t>Declared by MK-NW-O-006 theHolding</t>
        </is>
      </c>
      <c r="Q44" s="3" t="inlineStr">
        <is>
          <t>A record that names no ticker belongs to no holding — the same rule the account page carries.</t>
        </is>
      </c>
      <c r="R44" s="3" t="inlineStr">
        <is>
          <t>A record that names no ticker belongs to no holding — the same rule the account page carries.</t>
        </is>
      </c>
      <c r="S44" s="3" t="inlineStr"/>
      <c r="T44" s="3" t="inlineStr">
        <is>
          <t>A record that names no ticker belongs to no holding — the same rule the account page carries.</t>
        </is>
      </c>
      <c r="U44" s="3" t="inlineStr"/>
      <c r="V44" s="9"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44" s="9" t="inlineStr"/>
      <c r="X44" s="3" t="inlineStr"/>
      <c r="Y44" s="3" t="inlineStr"/>
      <c r="Z44" s="3" t="inlineStr">
        <is>
          <t>DECLARED IN THE CODE (rule 11) — printed from the door, not typed. RULED 2026-09-28</t>
        </is>
      </c>
      <c r="AA44" s="3" t="inlineStr"/>
      <c r="AB44" s="3" t="inlineStr"/>
      <c r="AC44" s="3" t="inlineStr"/>
      <c r="AD44" s="3" t="inlineStr"/>
      <c r="AE44" s="3" t="inlineStr">
        <is>
          <t>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44" s="3" t="inlineStr">
        <is>
          <t>ACTIVE</t>
        </is>
      </c>
      <c r="AG44" s="3" t="inlineStr">
        <is>
          <t>2026-10-11</t>
        </is>
      </c>
      <c r="AH44" s="3" t="inlineStr">
        <is>
          <t>1. [Name on Screen] Screen should say Trailing Twelve Months and not just 12 months.
2. [Formula audit (B24)] Is it calculated directly in the code without any function?</t>
        </is>
      </c>
      <c r="AI44"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44"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2026-09-28; the figure, its formula, inputs and refusal live in MK-NW-O-006 theHolding</t>
        </is>
      </c>
      <c r="AN44" s="3" t="inlineStr">
        <is>
          <t>140 shares of VTI on 28 Sep 2026, priced at $290: 100 bought at $210 in Mar 2023 and 40 at $265 in Jun 2026. Dividends of $420 and $405 this year; 20 shares bought at $200 were sold at $285.
GIVES: $825
(the test re-runs this through MK-NW-O-006 theHolding on every build)</t>
        </is>
      </c>
      <c r="AO44" s="9" t="inlineStr">
        <is>
          <t>WAITING ON YOU — question Q35, Q36</t>
        </is>
      </c>
    </row>
    <row r="45" ht="60" customHeight="1">
      <c r="A45" s="3" t="inlineStr">
        <is>
          <t>MK-NW-M-035</t>
        </is>
      </c>
      <c r="B45" s="3" t="inlineStr">
        <is>
          <t>Networth</t>
        </is>
      </c>
      <c r="C45" s="3" t="inlineStr">
        <is>
          <t>/holding-detail</t>
        </is>
      </c>
      <c r="D45" s="3" t="inlineStr">
        <is>
          <t>Realized gain from your buys and sells</t>
        </is>
      </c>
      <c r="E45" s="3" t="inlineStr">
        <is>
          <t>realized_gain_from_your_buys_and_sells</t>
        </is>
      </c>
      <c r="F45" s="3" t="inlineStr">
        <is>
          <t>theHolding</t>
        </is>
      </c>
      <c r="G45" s="3" t="inlineStr">
        <is>
          <t>MK-NW-O-006</t>
        </is>
      </c>
      <c r="H45" s="3" t="inlineStr">
        <is>
          <t>for each sale: what it sold for, less what those shares cost</t>
        </is>
      </c>
      <c r="I45" s="3" t="inlineStr">
        <is>
          <t>for each sale: what it sold for, less what those shares cost</t>
        </is>
      </c>
      <c r="J45" s="3" t="inlineStr">
        <is>
          <t>MK-NW-I-004 the activity records</t>
        </is>
      </c>
      <c r="K45" s="3" t="inlineStr">
        <is>
          <t>dollars, whole</t>
        </is>
      </c>
      <c r="L45" s="3" t="inlineStr">
        <is>
          <t>Nothing sold yet.</t>
        </is>
      </c>
      <c r="M45" s="3" t="inlineStr">
        <is>
          <t>one holding</t>
        </is>
      </c>
      <c r="N45" s="3" t="inlineStr">
        <is>
          <t>as of today</t>
        </is>
      </c>
      <c r="O45"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5" s="3" t="inlineStr">
        <is>
          <t>Declared by MK-NW-O-006 theHolding</t>
        </is>
      </c>
      <c r="Q45" s="3" t="inlineStr">
        <is>
          <t>NONE RECORDED — the declaration names none.</t>
        </is>
      </c>
      <c r="R45" s="3" t="inlineStr">
        <is>
          <t>NONE RECORDED — the declaration names none.</t>
        </is>
      </c>
      <c r="S45" s="3" t="inlineStr"/>
      <c r="T45" s="3" t="inlineStr">
        <is>
          <t>NONE RECORDED — the declaration names none.</t>
        </is>
      </c>
      <c r="U45" s="3" t="inlineStr"/>
      <c r="V45" s="9" t="inlineStr">
        <is>
          <t>Q37 — For a connected account: log an 'Opening holding' row per broker lot at first sync (dated the lot's purchase date, at the broker's cost) so every later sale is covered — recommended — or keep 'not counted + say so' for pre-history purchases?</t>
        </is>
      </c>
      <c r="W45" s="9" t="inlineStr"/>
      <c r="X45" s="3" t="inlineStr"/>
      <c r="Y45" s="3" t="inlineStr"/>
      <c r="Z45" s="3" t="inlineStr">
        <is>
          <t>DECLARED IN THE CODE (rule 11) — printed from the door, not typed. RULED 2026-09-28</t>
        </is>
      </c>
      <c r="AA45" s="3" t="inlineStr"/>
      <c r="AB45" s="3" t="inlineStr"/>
      <c r="AC45" s="3" t="inlineStr"/>
      <c r="AD45" s="3" t="inlineStr"/>
      <c r="AE45" s="3" t="inlineStr"/>
      <c r="AF45" s="3" t="inlineStr">
        <is>
          <t>ACTIVE</t>
        </is>
      </c>
      <c r="AG45" s="3" t="inlineStr">
        <is>
          <t>2026-10-11</t>
        </is>
      </c>
      <c r="AH45" s="3" t="inlineStr">
        <is>
          <t>[Formula (mathematical)] The feed from an institution is likely to show quantity held net of sales. So, how do you determine the total quantity before sale?</t>
        </is>
      </c>
      <c r="AI45"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4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2026-09-28; the figure, its formula, inputs and refusal live in MK-NW-O-006 theHolding</t>
        </is>
      </c>
      <c r="AN45" s="3" t="inlineStr">
        <is>
          <t>140 shares of VTI on 28 Sep 2026, priced at $290: 100 bought at $210 in Mar 2023 and 40 at $265 in Jun 2026. Dividends of $420 and $405 this year; 20 shares bought at $200 were sold at $285.
GIVES: $1,700
(the test re-runs this through MK-NW-O-006 theHolding on every build)</t>
        </is>
      </c>
      <c r="AO45" s="9" t="inlineStr">
        <is>
          <t>WAITING ON YOU — question Q37</t>
        </is>
      </c>
    </row>
    <row r="46" ht="60" customHeight="1">
      <c r="A46" s="3" t="inlineStr">
        <is>
          <t>MK-NW-M-036</t>
        </is>
      </c>
      <c r="B46" s="3" t="inlineStr">
        <is>
          <t>Networth</t>
        </is>
      </c>
      <c r="C46" s="3" t="inlineStr">
        <is>
          <t>/holding-detail</t>
        </is>
      </c>
      <c r="D46" s="3" t="inlineStr">
        <is>
          <t>Gain — long-term (held over 1 yr)</t>
        </is>
      </c>
      <c r="E46" s="3" t="inlineStr">
        <is>
          <t>gain__longterm_held_over_1_yr</t>
        </is>
      </c>
      <c r="F46" s="3" t="inlineStr">
        <is>
          <t>theHolding</t>
        </is>
      </c>
      <c r="G46" s="3" t="inlineStr">
        <is>
          <t>MK-NW-O-006</t>
        </is>
      </c>
      <c r="H46" s="3" t="inlineStr">
        <is>
          <t>per lot: gain = shares × (price − cost per share);  long-term if the lot was held MORE than one year — from the day after the first anniversary of purchase — otherwise short-term;  a lot with no cost recorded is skipped</t>
        </is>
      </c>
      <c r="I46"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6" s="3" t="inlineStr">
        <is>
          <t>MK-NW-I-001 your accounts
MK-NW-I-005 the price feed</t>
        </is>
      </c>
      <c r="K46" s="3" t="inlineStr">
        <is>
          <t>dollars, whole</t>
        </is>
      </c>
      <c r="L46" s="3" t="inlineStr">
        <is>
          <t>No price today — no gain is stated at all.</t>
        </is>
      </c>
      <c r="M46" s="3" t="inlineStr">
        <is>
          <t>one holding</t>
        </is>
      </c>
      <c r="N46" s="3" t="inlineStr">
        <is>
          <t>as of today</t>
        </is>
      </c>
      <c r="O46"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6" s="3" t="inlineStr">
        <is>
          <t>Declared by MK-NW-O-006 theHolding</t>
        </is>
      </c>
      <c r="Q46" s="3" t="inlineStr">
        <is>
          <t>NONE RECORDED — the declaration names none.</t>
        </is>
      </c>
      <c r="R46" s="3" t="inlineStr">
        <is>
          <t>NONE RECORDED — the declaration names none.</t>
        </is>
      </c>
      <c r="S46" s="3" t="inlineStr"/>
      <c r="T46" s="3" t="inlineStr">
        <is>
          <t>NONE RECORDED — the declaration names none.</t>
        </is>
      </c>
      <c r="U46" s="3" t="inlineStr"/>
      <c r="V46" s="9" t="inlineStr">
        <is>
          <t>Q20 — A lot with no recorded purchase price is skipped, so its gain is simply absent. Should the screen SAY so — "gain not counted for N shares, no purchase price on record" — rather than quietly reporting less?</t>
        </is>
      </c>
      <c r="W46" s="9" t="inlineStr"/>
      <c r="X46" s="3" t="inlineStr"/>
      <c r="Y46" s="3" t="inlineStr"/>
      <c r="Z46" s="3" t="inlineStr">
        <is>
          <t>DECLARED IN THE CODE (rule 11) — printed from the door, not typed. RULED 2026-09-28</t>
        </is>
      </c>
      <c r="AA46" s="3" t="inlineStr"/>
      <c r="AB46" s="3" t="inlineStr"/>
      <c r="AC46" s="3" t="inlineStr"/>
      <c r="AD46" s="3" t="inlineStr"/>
      <c r="AE46" s="3" t="inlineStr"/>
      <c r="AF46" s="3" t="inlineStr">
        <is>
          <t>ACTIVE</t>
        </is>
      </c>
      <c r="AG46" s="3" t="inlineStr">
        <is>
          <t>2026-10-11</t>
        </is>
      </c>
      <c r="AH46" s="3" t="inlineStr"/>
      <c r="AI46" s="3" t="inlineStr"/>
      <c r="AJ4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2026-09-28; the figure, its formula, inputs and refusal live in MK-NW-O-006 theHolding</t>
        </is>
      </c>
      <c r="AN46" s="3" t="inlineStr">
        <is>
          <t>140 shares of VTI on 28 Sep 2026, priced at $290: 100 bought at $210 in Mar 2023 and 40 at $265 in Jun 2026. Dividends of $420 and $405 this year; 20 shares bought at $200 were sold at $285.
GIVES: $8,000
(the test re-runs this through MK-NW-O-006 theHolding on every build)</t>
        </is>
      </c>
      <c r="AO46" s="9" t="inlineStr">
        <is>
          <t>WAITING ON YOU — question Q20 · RULED, NOT CODED (Brief E1)</t>
        </is>
      </c>
    </row>
    <row r="47" ht="60" customHeight="1">
      <c r="A47" s="3" t="inlineStr">
        <is>
          <t>MK-NW-M-037</t>
        </is>
      </c>
      <c r="B47" s="3" t="inlineStr">
        <is>
          <t>Networth</t>
        </is>
      </c>
      <c r="C47" s="3" t="inlineStr">
        <is>
          <t>/holding-detail</t>
        </is>
      </c>
      <c r="D47" s="3" t="inlineStr">
        <is>
          <t>Gain — short-term (held 1 yr or less)</t>
        </is>
      </c>
      <c r="E47" s="3" t="inlineStr">
        <is>
          <t>gain__shortterm_held_1_yr_or_less</t>
        </is>
      </c>
      <c r="F47" s="3" t="inlineStr">
        <is>
          <t>theHolding</t>
        </is>
      </c>
      <c r="G47" s="3" t="inlineStr">
        <is>
          <t>MK-NW-O-006</t>
        </is>
      </c>
      <c r="H47" s="3" t="inlineStr">
        <is>
          <t>per lot: gain = shares × (price − cost per share);  long-term if the lot was held MORE than one year — from the day after the first anniversary of purchase — otherwise short-term;  a lot with no cost recorded is skipped</t>
        </is>
      </c>
      <c r="I47"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7" s="3" t="inlineStr">
        <is>
          <t>MK-NW-I-001 your accounts
MK-NW-I-005 the price feed</t>
        </is>
      </c>
      <c r="K47" s="3" t="inlineStr">
        <is>
          <t>dollars, whole</t>
        </is>
      </c>
      <c r="L47" s="3" t="inlineStr">
        <is>
          <t>No price today — no gain is stated at all.</t>
        </is>
      </c>
      <c r="M47" s="3" t="inlineStr">
        <is>
          <t>one holding</t>
        </is>
      </c>
      <c r="N47" s="3" t="inlineStr">
        <is>
          <t>as of today</t>
        </is>
      </c>
      <c r="O47"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7" s="3" t="inlineStr">
        <is>
          <t>Declared by MK-NW-O-006 theHolding</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2026-09-28</t>
        </is>
      </c>
      <c r="AA47" s="3" t="inlineStr"/>
      <c r="AB47" s="3" t="inlineStr"/>
      <c r="AC47" s="3" t="inlineStr"/>
      <c r="AD47" s="3" t="inlineStr"/>
      <c r="AE47" s="3" t="inlineStr"/>
      <c r="AF47" s="3" t="inlineStr">
        <is>
          <t>ACTIVE</t>
        </is>
      </c>
      <c r="AG47" s="3" t="inlineStr">
        <is>
          <t>2026-10-11</t>
        </is>
      </c>
      <c r="AH47" s="3" t="inlineStr"/>
      <c r="AI47" s="3" t="inlineStr"/>
      <c r="AJ4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2026-09-28; the figure, its formula, inputs and refusal live in MK-NW-O-006 theHolding</t>
        </is>
      </c>
      <c r="AN47" s="3" t="inlineStr">
        <is>
          <t>140 shares of VTI on 28 Sep 2026, priced at $290: 100 bought at $210 in Mar 2023 and 40 at $265 in Jun 2026. Dividends of $420 and $405 this year; 20 shares bought at $200 were sold at $285.
GIVES: $1,000
(the test re-runs this through MK-NW-O-006 theHolding on every build)</t>
        </is>
      </c>
      <c r="AO47" s="8" t="inlineStr">
        <is>
          <t>VERIFIED — TESTED, NOT VERIFIED — you ruled on this row 2026-09-28; the</t>
        </is>
      </c>
    </row>
    <row r="48" ht="60" customHeight="1">
      <c r="A48" s="3" t="inlineStr">
        <is>
          <t>MK-NW-M-038</t>
        </is>
      </c>
      <c r="B48" s="3" t="inlineStr">
        <is>
          <t>Networth</t>
        </is>
      </c>
      <c r="C48" s="3" t="inlineStr">
        <is>
          <t>/itemize</t>
        </is>
      </c>
      <c r="D48" s="3" t="inlineStr">
        <is>
          <t>We keep the total at $X</t>
        </is>
      </c>
      <c r="E48" s="3" t="inlineStr">
        <is>
          <t>we_keep_the_total_at_x</t>
        </is>
      </c>
      <c r="F48" s="3" t="inlineStr">
        <is>
          <t>theAccount</t>
        </is>
      </c>
      <c r="G48" s="3" t="inlineStr">
        <is>
          <t>MK-NW-O-002</t>
        </is>
      </c>
      <c r="H48" s="3" t="inlineStr">
        <is>
          <t>the lump account’s balance, unchanged by itemising</t>
        </is>
      </c>
      <c r="I48" s="3" t="inlineStr">
        <is>
          <t>the lump account’s balance, unchanged by itemising</t>
        </is>
      </c>
      <c r="J48" s="3" t="inlineStr">
        <is>
          <t>MK-NW-I-001 your accounts</t>
        </is>
      </c>
      <c r="K48" s="3" t="inlineStr">
        <is>
          <t>dollars, whole</t>
        </is>
      </c>
      <c r="L48" s="3" t="inlineStr">
        <is>
          <t>Nothing to itemise.</t>
        </is>
      </c>
      <c r="M48" s="3" t="inlineStr">
        <is>
          <t>one account</t>
        </is>
      </c>
      <c r="N48" s="3" t="inlineStr">
        <is>
          <t>as of today</t>
        </is>
      </c>
      <c r="O48"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8" s="3" t="inlineStr">
        <is>
          <t>Declared by MK-NW-O-002 theAccount</t>
        </is>
      </c>
      <c r="Q48" s="3" t="inlineStr">
        <is>
          <t>Itemising describes what is inside an account; it never changes what the account is worth.</t>
        </is>
      </c>
      <c r="R48" s="3" t="inlineStr">
        <is>
          <t>Itemising describes what is inside an account; it never changes what the account is worth.</t>
        </is>
      </c>
      <c r="S48" s="3" t="inlineStr"/>
      <c r="T48" s="3" t="inlineStr">
        <is>
          <t>Itemising describes what is inside an account; it never changes what the account is worth.</t>
        </is>
      </c>
      <c r="U48" s="3" t="inlineStr"/>
      <c r="V48" s="3" t="inlineStr"/>
      <c r="W48" s="3" t="inlineStr"/>
      <c r="X48" s="3" t="inlineStr"/>
      <c r="Y48" s="3" t="inlineStr"/>
      <c r="Z48" s="3" t="inlineStr">
        <is>
          <t>DECLARED IN THE CODE (rule 11) — printed from the door, not typed. RULED 2026-09-27</t>
        </is>
      </c>
      <c r="AA48" s="3" t="inlineStr"/>
      <c r="AB48" s="3" t="inlineStr"/>
      <c r="AC48" s="3" t="inlineStr"/>
      <c r="AD48" s="3" t="inlineStr"/>
      <c r="AE48" s="3" t="inlineStr"/>
      <c r="AF48" s="3" t="inlineStr">
        <is>
          <t>ACTIVE</t>
        </is>
      </c>
      <c r="AG48" s="3" t="inlineStr">
        <is>
          <t>2026-10-11</t>
        </is>
      </c>
      <c r="AH48" s="3" t="inlineStr"/>
      <c r="AI48" s="3" t="inlineStr"/>
      <c r="AJ48"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2026-09-27; the figure, its formula, inputs and refusal live in MK-NW-O-002 theAccount</t>
        </is>
      </c>
      <c r="AN48"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48" s="7" t="inlineStr">
        <is>
          <t>RULED, NOT CODED (Q-NW-2 — one question, one function)</t>
        </is>
      </c>
    </row>
    <row r="49" ht="60" customHeight="1">
      <c r="A49" s="3" t="inlineStr">
        <is>
          <t>MK-NW-M-039</t>
        </is>
      </c>
      <c r="B49" s="3" t="inlineStr">
        <is>
          <t>Networth</t>
        </is>
      </c>
      <c r="C49" s="3" t="inlineStr">
        <is>
          <t>/itemize</t>
        </is>
      </c>
      <c r="D49" s="3" t="inlineStr">
        <is>
          <t>$X of $Y itemized · remainder</t>
        </is>
      </c>
      <c r="E49" s="3" t="inlineStr">
        <is>
          <t>x_of_y_itemized__remainder</t>
        </is>
      </c>
      <c r="F49" s="3" t="inlineStr">
        <is>
          <t>theAccount</t>
        </is>
      </c>
      <c r="G49" s="3" t="inlineStr">
        <is>
          <t>MK-NW-O-002</t>
        </is>
      </c>
      <c r="H49" s="3" t="inlineStr">
        <is>
          <t>the sum of the items entered; the remainder is the balance minus that sum</t>
        </is>
      </c>
      <c r="I49" s="3" t="inlineStr">
        <is>
          <t>the sum of the items entered; the remainder is the balance minus that sum</t>
        </is>
      </c>
      <c r="J49" s="3" t="inlineStr">
        <is>
          <t>MK-NW-I-001 your accounts</t>
        </is>
      </c>
      <c r="K49" s="3" t="inlineStr">
        <is>
          <t>dollars, whole</t>
        </is>
      </c>
      <c r="L49" s="3" t="inlineStr">
        <is>
          <t>Nothing entered yet — it reads $0 of the balance.</t>
        </is>
      </c>
      <c r="M49" s="3" t="inlineStr">
        <is>
          <t>one account</t>
        </is>
      </c>
      <c r="N49" s="3" t="inlineStr">
        <is>
          <t>as of today</t>
        </is>
      </c>
      <c r="O49"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9" s="3" t="inlineStr">
        <is>
          <t>Declared by MK-NW-O-002 theAccount</t>
        </is>
      </c>
      <c r="Q49" s="3" t="inlineStr">
        <is>
          <t>NONE RECORDED — the declaration names none.</t>
        </is>
      </c>
      <c r="R49" s="3" t="inlineStr">
        <is>
          <t>NONE RECORDED — the declaration names none.</t>
        </is>
      </c>
      <c r="S49" s="3" t="inlineStr"/>
      <c r="T49" s="3" t="inlineStr">
        <is>
          <t>NONE RECORDED — the declaration names none.</t>
        </is>
      </c>
      <c r="U49" s="3" t="inlineStr"/>
      <c r="V49" s="3" t="inlineStr"/>
      <c r="W49" s="3" t="inlineStr"/>
      <c r="X49" s="3" t="inlineStr"/>
      <c r="Y49" s="3" t="inlineStr"/>
      <c r="Z49" s="3" t="inlineStr">
        <is>
          <t>DECLARED IN THE CODE (rule 11) — printed from the door, not typed. RULED 2026-09-27</t>
        </is>
      </c>
      <c r="AA49" s="3" t="inlineStr"/>
      <c r="AB49" s="3" t="inlineStr"/>
      <c r="AC49" s="3" t="inlineStr"/>
      <c r="AD49" s="3" t="inlineStr"/>
      <c r="AE49" s="3" t="inlineStr"/>
      <c r="AF49" s="3" t="inlineStr">
        <is>
          <t>ACTIVE</t>
        </is>
      </c>
      <c r="AG49" s="3" t="inlineStr">
        <is>
          <t>2026-10-11</t>
        </is>
      </c>
      <c r="AH49" s="3" t="inlineStr"/>
      <c r="AI49" s="3" t="inlineStr"/>
      <c r="AJ49"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2026-09-27; the figure, its formula, inputs and refusal live in MK-NW-O-002 theAccount</t>
        </is>
      </c>
      <c r="AN49"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9" s="7" t="inlineStr">
        <is>
          <t>RULED, NOT CODED (Q-NW-2 — one question, one function)</t>
        </is>
      </c>
    </row>
    <row r="50" ht="60" customHeight="1">
      <c r="A50" s="3" t="inlineStr">
        <is>
          <t>MK-NW-M-040</t>
        </is>
      </c>
      <c r="B50" s="3" t="inlineStr">
        <is>
          <t>Networth</t>
        </is>
      </c>
      <c r="C50" s="3" t="inlineStr">
        <is>
          <t>/itemize</t>
        </is>
      </c>
      <c r="D50" s="3" t="inlineStr">
        <is>
          <t>each holding and its value</t>
        </is>
      </c>
      <c r="E50" s="3" t="inlineStr">
        <is>
          <t>each_holding_and_its_value</t>
        </is>
      </c>
      <c r="F50" s="3" t="inlineStr">
        <is>
          <t>theAccount</t>
        </is>
      </c>
      <c r="G50" s="3" t="inlineStr">
        <is>
          <t>MK-NW-O-002</t>
        </is>
      </c>
      <c r="H50" s="3" t="inlineStr">
        <is>
          <t>the value of each thing inside the account, listed under the class it belongs to</t>
        </is>
      </c>
      <c r="I50" s="3" t="inlineStr">
        <is>
          <t>the value of each thing inside the account, listed under the class it belongs to</t>
        </is>
      </c>
      <c r="J50" s="3" t="inlineStr">
        <is>
          <t>MK-NW-I-001 your accounts
MK-XS-I-004 holding quantity (shares)
MK-XS-I-005 holding price</t>
        </is>
      </c>
      <c r="K50" s="3" t="inlineStr">
        <is>
          <t>dollars, whole</t>
        </is>
      </c>
      <c r="L50" s="3" t="inlineStr">
        <is>
          <t>Nothing entered yet.</t>
        </is>
      </c>
      <c r="M50" s="3" t="inlineStr">
        <is>
          <t>one holding</t>
        </is>
      </c>
      <c r="N50" s="3" t="inlineStr">
        <is>
          <t>as of today</t>
        </is>
      </c>
      <c r="O50"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50" s="3" t="inlineStr">
        <is>
          <t>Declared by MK-NW-O-002 theAccount</t>
        </is>
      </c>
      <c r="Q50" s="3" t="inlineStr">
        <is>
          <t>A CLASS HOLDING NOTHING IS NOT LISTED — a $0 line reads as "we checked and it is empty", which is a different claim from "there is none".
Uninvested money in the account is one of the lines, under the words he ruled on 2026-08-11: cash in this account.</t>
        </is>
      </c>
      <c r="R50" s="3" t="inlineStr">
        <is>
          <t>A CLASS HOLDING NOTHING IS NOT LISTED — a $0 line reads as "we checked and it is empty", which is a different claim from "there is none".
Uninvested money in the account is one of the lines, under the words he ruled on 2026-08-11: cash in this account.</t>
        </is>
      </c>
      <c r="S50" s="3" t="inlineStr"/>
      <c r="T50" s="3" t="inlineStr">
        <is>
          <t>A CLASS HOLDING NOTHING IS NOT LISTED — a $0 line reads as "we checked and it is empty", which is a different claim from "there is none".
Uninvested money in the account is one of the lines, under the words he ruled on 2026-08-11: cash in this account.</t>
        </is>
      </c>
      <c r="U50" s="3" t="inlineStr">
        <is>
          <t>THE LAST NET WORTH FIGURE WITHOUT A WORKED EXAMPLE, given one 2026-09-30. Its two lines add to the account’s own total — $6,000 of cash plus $40,600 of fund is the $46,600 the header shows — which is what makes the itemising checkable rather than asserted.</t>
        </is>
      </c>
      <c r="V50" s="3" t="inlineStr"/>
      <c r="W50" s="3" t="inlineStr"/>
      <c r="X50" s="3" t="inlineStr"/>
      <c r="Y50" s="3" t="inlineStr"/>
      <c r="Z50" s="3" t="inlineStr">
        <is>
          <t>DECLARED IN THE CODE (rule 11) — printed from the door, not typed. RULED 2026-09-27</t>
        </is>
      </c>
      <c r="AA50" s="3" t="inlineStr"/>
      <c r="AB50" s="3" t="inlineStr"/>
      <c r="AC50" s="3" t="inlineStr"/>
      <c r="AD50" s="3" t="inlineStr"/>
      <c r="AE50" s="3" t="inlineStr"/>
      <c r="AF50" s="3" t="inlineStr">
        <is>
          <t>ACTIVE</t>
        </is>
      </c>
      <c r="AG50" s="3" t="inlineStr">
        <is>
          <t>2026-10-11</t>
        </is>
      </c>
      <c r="AH50" s="3" t="inlineStr"/>
      <c r="AI50" s="3" t="inlineStr"/>
      <c r="AJ50"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2026-09-27; the figure, its formula, inputs and refusal live in MK-NW-O-002 theAccount</t>
        </is>
      </c>
      <c r="AN50"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50" s="7" t="inlineStr">
        <is>
          <t>RULED, NOT CODED (Q-NW-2 — one question, one function)</t>
        </is>
      </c>
    </row>
    <row r="51" ht="60" customHeight="1">
      <c r="A51" s="3" t="inlineStr">
        <is>
          <t>MK-NW-M-041</t>
        </is>
      </c>
      <c r="B51" s="3" t="inlineStr">
        <is>
          <t>Networth</t>
        </is>
      </c>
      <c r="C51" s="3" t="inlineStr">
        <is>
          <t>/bonds</t>
        </is>
      </c>
      <c r="D51" s="3" t="inlineStr">
        <is>
          <t>total value of your bonds</t>
        </is>
      </c>
      <c r="E51" s="3" t="inlineStr">
        <is>
          <t>total_value_of_your_bonds</t>
        </is>
      </c>
      <c r="F51" s="3" t="inlineStr">
        <is>
          <t>theBonds</t>
        </is>
      </c>
      <c r="G51" s="3" t="inlineStr">
        <is>
          <t>MK-NW-O-001</t>
        </is>
      </c>
      <c r="H51" s="3" t="inlineStr">
        <is>
          <t>the sum of each bond account’s balance</t>
        </is>
      </c>
      <c r="I51" s="3" t="inlineStr">
        <is>
          <t>the sum of each bond account’s balance</t>
        </is>
      </c>
      <c r="J51" s="3" t="inlineStr">
        <is>
          <t>MK-NW-I-001 your accounts</t>
        </is>
      </c>
      <c r="K51" s="3" t="inlineStr">
        <is>
          <t>dollars, whole</t>
        </is>
      </c>
      <c r="L51" s="3" t="inlineStr">
        <is>
          <t>$0, and under it the one line "Nothing entered yet. Add a bond ›" (mock approved 2026-09-12). A real zero that was entered shows a plain $0 with no line.</t>
        </is>
      </c>
      <c r="M51" s="3" t="inlineStr">
        <is>
          <t>one figure per household</t>
        </is>
      </c>
      <c r="N51" s="3" t="inlineStr">
        <is>
          <t>as of today</t>
        </is>
      </c>
      <c r="O51"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51" s="3" t="inlineStr">
        <is>
          <t>Declared by MK-NW-O-001 theBonds</t>
        </is>
      </c>
      <c r="Q51" s="3" t="inlineStr">
        <is>
          <t>NONE RECORDED — the declaration names none.</t>
        </is>
      </c>
      <c r="R51" s="3" t="inlineStr">
        <is>
          <t>NONE RECORDED — the declaration names none.</t>
        </is>
      </c>
      <c r="S51" s="3" t="inlineStr"/>
      <c r="T51" s="3" t="inlineStr">
        <is>
          <t>NONE RECORDED — the declaration names none.</t>
        </is>
      </c>
      <c r="U51" s="3" t="inlineStr"/>
      <c r="V51" s="9" t="inlineStr">
        <is>
          <t>Q03 — Certificates of deposit: under Fixed Income, or their own class? They carry a term, a rate and an early-withdrawal penalty that a bond does not.
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51" s="9" t="inlineStr"/>
      <c r="X51" s="3" t="inlineStr"/>
      <c r="Y51" s="3" t="inlineStr"/>
      <c r="Z51" s="3" t="inlineStr">
        <is>
          <t>DECLARED IN THE CODE (rule 11) — printed from the door, not typed. RULED 2026-09-27</t>
        </is>
      </c>
      <c r="AA51" s="3" t="inlineStr"/>
      <c r="AB51" s="3" t="inlineStr"/>
      <c r="AC51" s="3" t="inlineStr"/>
      <c r="AD51" s="3" t="inlineStr"/>
      <c r="AE51" s="3" t="inlineStr">
        <is>
          <t>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51" s="3" t="inlineStr">
        <is>
          <t>ACTIVE</t>
        </is>
      </c>
      <c r="AG51" s="3" t="inlineStr">
        <is>
          <t>2026-10-11</t>
        </is>
      </c>
      <c r="AH51" s="3"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51"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51"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2026-09-27; the figure, its formula, inputs and refusal live in MK-NW-O-001 theBonds</t>
        </is>
      </c>
      <c r="AN51" s="3" t="inlineStr">
        <is>
          <t>Two bonds on 28 Sep 2026: a $25,000-face Treasury paying 4.5%, maturing 30 Sep 2029, worth $24,200 today; and a $10,000 Ally CD paying 5.05%, maturing 15 Mar 2027, worth its $10,000.
GIVES: $34,200
(the test re-runs this through MK-NW-O-001 theBonds on every build)</t>
        </is>
      </c>
      <c r="AO51" s="9" t="inlineStr">
        <is>
          <t>WAITING ON YOU — question Q03, Q38 · WAITING ON YOU — answer to read · RULED, NOT CODED (Bond display rule, Q-NW-4 — one question, one function)</t>
        </is>
      </c>
    </row>
    <row r="52" ht="60" customHeight="1">
      <c r="A52" s="3" t="inlineStr">
        <is>
          <t>MK-NW-M-042</t>
        </is>
      </c>
      <c r="B52" s="3" t="inlineStr">
        <is>
          <t>Networth</t>
        </is>
      </c>
      <c r="C52" s="3" t="inlineStr">
        <is>
          <t>/bonds</t>
        </is>
      </c>
      <c r="D52" s="3" t="inlineStr">
        <is>
          <t>n bonds · face $X</t>
        </is>
      </c>
      <c r="E52" s="3" t="inlineStr">
        <is>
          <t>n_bonds__face_x</t>
        </is>
      </c>
      <c r="F52" s="3" t="inlineStr">
        <is>
          <t>theBonds</t>
        </is>
      </c>
      <c r="G52" s="3" t="inlineStr">
        <is>
          <t>MK-NW-O-001</t>
        </is>
      </c>
      <c r="H52" s="3" t="inlineStr">
        <is>
          <t>count of bond accounts, and the sum of their face values</t>
        </is>
      </c>
      <c r="I52" s="3" t="inlineStr">
        <is>
          <t>count of bond accounts, and the sum of their face values</t>
        </is>
      </c>
      <c r="J52" s="3" t="inlineStr">
        <is>
          <t>MK-NW-I-001 your accounts</t>
        </is>
      </c>
      <c r="K52" s="3" t="inlineStr">
        <is>
          <t>a sentence</t>
        </is>
      </c>
      <c r="L52" s="3" t="inlineStr">
        <is>
          <t>$0, and under it the one line "Nothing entered yet. Add a bond ›" (mock approved 2026-09-12). A real zero that was entered shows a plain $0 with no line.</t>
        </is>
      </c>
      <c r="M52" s="3" t="inlineStr">
        <is>
          <t>one figure per household</t>
        </is>
      </c>
      <c r="N52" s="3" t="inlineStr">
        <is>
          <t>as of today</t>
        </is>
      </c>
      <c r="O52"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52" s="3" t="inlineStr">
        <is>
          <t>Declared by MK-NW-O-001 theBonds</t>
        </is>
      </c>
      <c r="Q52" s="3" t="inlineStr">
        <is>
          <t>NONE RECORDED — the declaration names none.</t>
        </is>
      </c>
      <c r="R52" s="3" t="inlineStr">
        <is>
          <t>NONE RECORDED — the declaration names none.</t>
        </is>
      </c>
      <c r="S52" s="3" t="inlineStr"/>
      <c r="T52" s="3" t="inlineStr">
        <is>
          <t>NONE RECORDED — the declaration names none.</t>
        </is>
      </c>
      <c r="U52" s="3" t="inlineStr"/>
      <c r="V52" s="3" t="inlineStr"/>
      <c r="W52" s="3" t="inlineStr"/>
      <c r="X52" s="3" t="inlineStr"/>
      <c r="Y52" s="3" t="inlineStr"/>
      <c r="Z52" s="3" t="inlineStr">
        <is>
          <t>DECLARED IN THE CODE (rule 11) — printed from the door, not typed. RULED 2026-09-27</t>
        </is>
      </c>
      <c r="AA52" s="3" t="inlineStr"/>
      <c r="AB52" s="3" t="inlineStr"/>
      <c r="AC52" s="3" t="inlineStr"/>
      <c r="AD52" s="3" t="inlineStr"/>
      <c r="AE52" s="3" t="inlineStr">
        <is>
          <t>G32 / Q48 — RULED 2026-09-09: $0 stays, with the sentence '$0 — nothing entered yet.' and this row's door ('Add a bond ›'). File written; the screen follows the approved empty-state mock (one pattern, one screen), then every screen.</t>
        </is>
      </c>
      <c r="AF52" s="3" t="inlineStr">
        <is>
          <t>ACTIVE</t>
        </is>
      </c>
      <c r="AG52" s="3" t="inlineStr">
        <is>
          <t>2026-10-11</t>
        </is>
      </c>
      <c r="AH52"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52"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52"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2026-09-27; the figure, its formula, inputs and refusal live in MK-NW-O-001 theBonds</t>
        </is>
      </c>
      <c r="AN52" s="3" t="inlineStr">
        <is>
          <t>Two bonds on 28 Sep 2026: a $25,000-face Treasury paying 4.5%, maturing 30 Sep 2029, worth $24,200 today; and a $10,000 Ally CD paying 5.05%, maturing 15 Mar 2027, worth its $10,000.
GIVES: 2 bonds · face $35,000
(the test re-runs this through MK-NW-O-001 theBonds on every build)</t>
        </is>
      </c>
      <c r="AO52" s="6" t="inlineStr">
        <is>
          <t>WAITING ON YOU — answer to read · RULED, NOT CODED (Bond display rule, Q-NW-4 — one question, one function)</t>
        </is>
      </c>
    </row>
    <row r="53" ht="60" customHeight="1">
      <c r="A53" s="3" t="inlineStr">
        <is>
          <t>MK-NW-M-043</t>
        </is>
      </c>
      <c r="B53" s="3" t="inlineStr">
        <is>
          <t>Networth</t>
        </is>
      </c>
      <c r="C53" s="3" t="inlineStr">
        <is>
          <t>/bonds</t>
        </is>
      </c>
      <c r="D53" s="3" t="inlineStr">
        <is>
          <t>COUPON</t>
        </is>
      </c>
      <c r="E53" s="3" t="inlineStr">
        <is>
          <t>coupon</t>
        </is>
      </c>
      <c r="F53" s="3" t="inlineStr">
        <is>
          <t>theBonds</t>
        </is>
      </c>
      <c r="G53" s="3" t="inlineStr">
        <is>
          <t>MK-NW-O-001</t>
        </is>
      </c>
      <c r="H53" s="3" t="inlineStr">
        <is>
          <t>for each bond: face value × coupon rate, and $0 once past its maturity date; then added up</t>
        </is>
      </c>
      <c r="I53" s="3" t="inlineStr">
        <is>
          <t>for each bond: face value × coupon rate, and $0 once past its maturity date; then added up</t>
        </is>
      </c>
      <c r="J53" s="3" t="inlineStr">
        <is>
          <t>MK-NW-I-001 your accounts</t>
        </is>
      </c>
      <c r="K53" s="3" t="inlineStr">
        <is>
          <t>dollars, whole a year</t>
        </is>
      </c>
      <c r="L53" s="3" t="inlineStr">
        <is>
          <t>Nothing entered yet.</t>
        </is>
      </c>
      <c r="M53" s="3" t="inlineStr">
        <is>
          <t>one figure per household</t>
        </is>
      </c>
      <c r="N53" s="3" t="inlineStr">
        <is>
          <t>a year</t>
        </is>
      </c>
      <c r="O5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53" s="3" t="inlineStr">
        <is>
          <t>Declared by MK-NW-O-001 theBonds</t>
        </is>
      </c>
      <c r="Q53" s="3" t="inlineStr">
        <is>
          <t>NONE RECORDED — the declaration names none.</t>
        </is>
      </c>
      <c r="R53" s="3" t="inlineStr">
        <is>
          <t>NONE RECORDED — the declaration names none.</t>
        </is>
      </c>
      <c r="S53" s="3" t="inlineStr"/>
      <c r="T53" s="3" t="inlineStr">
        <is>
          <t>NONE RECORDED — the declaration names none.</t>
        </is>
      </c>
      <c r="U53" s="3" t="inlineStr"/>
      <c r="V53" s="9"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53" s="9" t="inlineStr">
        <is>
          <t>A15 - What the function is currently used as? Function to round off to 2 decimal? If yes, fix it. Column H and M on the functions tab are saying two different things none of which is making sense.
A46:If coupon rate is not available use 0.
(typed 2026-08-26)</t>
        </is>
      </c>
      <c r="X53" s="3" t="inlineStr"/>
      <c r="Y53" s="3" t="inlineStr"/>
      <c r="Z53" s="3" t="inlineStr">
        <is>
          <t>DECLARED IN THE CODE (rule 11) — printed from the door, not typed. RULED 2026-09-27</t>
        </is>
      </c>
      <c r="AA53" s="3" t="inlineStr"/>
      <c r="AB53" s="3" t="inlineStr"/>
      <c r="AC53" s="3" t="inlineStr"/>
      <c r="AD53" s="3" t="inlineStr"/>
      <c r="AE53" s="3" t="inlineStr">
        <is>
          <t>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53" s="3" t="inlineStr">
        <is>
          <t>ACTIVE</t>
        </is>
      </c>
      <c r="AG53" s="3" t="inlineStr">
        <is>
          <t>2026-10-11</t>
        </is>
      </c>
      <c r="AH53" s="3"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53"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53"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2026-09-27; the figure, its formula, inputs and refusal live in MK-NW-O-001 theBonds</t>
        </is>
      </c>
      <c r="AN53" s="3" t="inlineStr">
        <is>
          <t>Two bonds on 28 Sep 2026: a $25,000-face Treasury paying 4.5%, maturing 30 Sep 2029, worth $24,200 today; and a $10,000 Ally CD paying 5.05%, maturing 15 Mar 2027, worth its $10,000.
GIVES: $1,630/year
(the test re-runs this through MK-NW-O-001 theBonds on every build)</t>
        </is>
      </c>
      <c r="AO53" s="9" t="inlineStr">
        <is>
          <t>WAITING ON YOU — question Q39, Q40 · WAITING ON YOU — answer to read · RULED, NOT CODED (Q-NW-4 — one question, one function)</t>
        </is>
      </c>
    </row>
    <row r="54" ht="60" customHeight="1">
      <c r="A54" s="3" t="inlineStr">
        <is>
          <t>MK-NW-M-044</t>
        </is>
      </c>
      <c r="B54" s="3" t="inlineStr">
        <is>
          <t>Networth</t>
        </is>
      </c>
      <c r="C54" s="3" t="inlineStr">
        <is>
          <t>/bonds</t>
        </is>
      </c>
      <c r="D54" s="3" t="inlineStr">
        <is>
          <t>AVG YIELD</t>
        </is>
      </c>
      <c r="E54" s="3" t="inlineStr">
        <is>
          <t>avg_yield</t>
        </is>
      </c>
      <c r="F54" s="3" t="inlineStr">
        <is>
          <t>theBonds</t>
        </is>
      </c>
      <c r="G54" s="3" t="inlineStr">
        <is>
          <t>MK-NW-O-001</t>
        </is>
      </c>
      <c r="H54" s="3" t="inlineStr">
        <is>
          <t>the coupon each pays ÷ what each is worth today, weighted by value</t>
        </is>
      </c>
      <c r="I54" s="3" t="inlineStr">
        <is>
          <t>the coupon each pays ÷ what each is worth today, weighted by value</t>
        </is>
      </c>
      <c r="J54" s="3" t="inlineStr">
        <is>
          <t>MK-NW-I-001 your accounts</t>
        </is>
      </c>
      <c r="K54" s="3" t="inlineStr">
        <is>
          <t>a percentage, two decimals</t>
        </is>
      </c>
      <c r="L54" s="3" t="inlineStr">
        <is>
          <t>A bond with no price today is left out rather than counted at zero.</t>
        </is>
      </c>
      <c r="M54" s="3" t="inlineStr">
        <is>
          <t>one figure per household</t>
        </is>
      </c>
      <c r="N54" s="3" t="inlineStr">
        <is>
          <t>as of today</t>
        </is>
      </c>
      <c r="O5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54" s="3" t="inlineStr">
        <is>
          <t>Declared by MK-NW-O-001 theBonds</t>
        </is>
      </c>
      <c r="Q54" s="3" t="inlineStr">
        <is>
          <t>NONE RECORDED — the declaration names none.</t>
        </is>
      </c>
      <c r="R54" s="3" t="inlineStr">
        <is>
          <t>NONE RECORDED — the declaration names none.</t>
        </is>
      </c>
      <c r="S54" s="3" t="inlineStr"/>
      <c r="T54" s="3" t="inlineStr">
        <is>
          <t>NONE RECORDED — the declaration names none.</t>
        </is>
      </c>
      <c r="U54" s="3" t="inlineStr"/>
      <c r="V54" s="9" t="inlineStr">
        <is>
          <t>Q45 — Approve the caveat when accrued interest is not recorded: 'Yield uses the value you entered. If that value includes accrued interest, the true yield is slightly higher.'</t>
        </is>
      </c>
      <c r="W54" s="9"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54" s="3" t="inlineStr"/>
      <c r="Y54" s="3" t="inlineStr"/>
      <c r="Z54" s="3" t="inlineStr">
        <is>
          <t>DECLARED IN THE CODE (rule 11) — printed from the door, not typed. RULED 2026-09-27</t>
        </is>
      </c>
      <c r="AA54" s="3" t="inlineStr"/>
      <c r="AB54" s="3" t="inlineStr"/>
      <c r="AC54" s="3" t="inlineStr"/>
      <c r="AD54" s="3" t="inlineStr"/>
      <c r="AE54" s="3" t="inlineStr">
        <is>
          <t>A47 — RULED 2026-08-26 (subtract accrued interest when recorded; caveat when not), NOT YET IN CODE: no accrued-interest field exists. Open, sequenced after the bond fields (brief Q-38 (2026-08-20)).</t>
        </is>
      </c>
      <c r="AF54" s="3" t="inlineStr">
        <is>
          <t>ACTIVE</t>
        </is>
      </c>
      <c r="AG54" s="3" t="inlineStr">
        <is>
          <t>2026-10-11</t>
        </is>
      </c>
      <c r="AH54" s="3" t="inlineStr">
        <is>
          <t>[What comes out — unit and rounding] yield should always be two decimal digits</t>
        </is>
      </c>
      <c r="AI54"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54"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2026-09-27; the figure, its formula, inputs and refusal live in MK-NW-O-001 theBonds</t>
        </is>
      </c>
      <c r="AN54" s="3" t="inlineStr">
        <is>
          <t>Two bonds on 28 Sep 2026: a $25,000-face Treasury paying 4.5%, maturing 30 Sep 2029, worth $24,200 today; and a $10,000 Ally CD paying 5.05%, maturing 15 Mar 2027, worth its $10,000.
GIVES: 4.77%
(the test re-runs this through MK-NW-O-001 theBonds on every build)</t>
        </is>
      </c>
      <c r="AO54" s="9" t="inlineStr">
        <is>
          <t>WAITING ON YOU — question Q45 · WAITING ON YOU — answer to read · RULED, NOT CODED (Q-NW-4 — one question, one function)</t>
        </is>
      </c>
    </row>
    <row r="55" ht="60" customHeight="1">
      <c r="A55" s="3" t="inlineStr">
        <is>
          <t>MK-NW-M-045</t>
        </is>
      </c>
      <c r="B55" s="3" t="inlineStr">
        <is>
          <t>Networth</t>
        </is>
      </c>
      <c r="C55" s="3" t="inlineStr">
        <is>
          <t>/bonds</t>
        </is>
      </c>
      <c r="D55" s="3" t="inlineStr">
        <is>
          <t>each bond — face, coupon, yield</t>
        </is>
      </c>
      <c r="E55" s="3" t="inlineStr">
        <is>
          <t>each_bond__face_coupon_yield</t>
        </is>
      </c>
      <c r="F55" s="3" t="inlineStr">
        <is>
          <t>theBonds</t>
        </is>
      </c>
      <c r="G55" s="3" t="inlineStr">
        <is>
          <t>MK-NW-O-001</t>
        </is>
      </c>
      <c r="H55" s="3" t="inlineStr">
        <is>
          <t>face value · coupon rate · coupon ÷ today’s value</t>
        </is>
      </c>
      <c r="I55" s="3" t="inlineStr">
        <is>
          <t>face value · coupon rate · coupon ÷ today’s value</t>
        </is>
      </c>
      <c r="J55" s="3" t="inlineStr">
        <is>
          <t>MK-NW-I-001 your accounts</t>
        </is>
      </c>
      <c r="K55" s="3" t="inlineStr">
        <is>
          <t>a sentence</t>
        </is>
      </c>
      <c r="L55" s="3" t="inlineStr">
        <is>
          <t>A bond fund has no face value or maturity, so it shows none.</t>
        </is>
      </c>
      <c r="M55" s="3" t="inlineStr">
        <is>
          <t>one bond</t>
        </is>
      </c>
      <c r="N55" s="3" t="inlineStr">
        <is>
          <t>as of today</t>
        </is>
      </c>
      <c r="O55"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55" s="3" t="inlineStr">
        <is>
          <t>Declared by MK-NW-O-001 theBonds</t>
        </is>
      </c>
      <c r="Q55" s="3" t="inlineStr">
        <is>
          <t>NONE RECORDED — the declaration names none.</t>
        </is>
      </c>
      <c r="R55" s="3" t="inlineStr">
        <is>
          <t>NONE RECORDED — the declaration names none.</t>
        </is>
      </c>
      <c r="S55" s="3" t="inlineStr"/>
      <c r="T55" s="3" t="inlineStr">
        <is>
          <t>NONE RECORDED — the declaration names none.</t>
        </is>
      </c>
      <c r="U55" s="3" t="inlineStr"/>
      <c r="V55" s="9" t="inlineStr">
        <is>
          <t>Q02 — How should a bond be NAMED on screen? Draft: "US Treasury 4.25% Nov 2029", with the identifying number shown as a detail rather than the headline. Approve or rewrite.
Q41 — One date format for maturity everywhere: 'Jan 15, 2030' (recommended) or '2030-01-15'? And NEXT MATURITY on the summary: full date, or year only as today?</t>
        </is>
      </c>
      <c r="W55" s="9" t="inlineStr">
        <is>
          <t>A46:If coupon rate is not available use 0.
(typed 2026-08-26)</t>
        </is>
      </c>
      <c r="X55" s="3" t="inlineStr"/>
      <c r="Y55" s="3" t="inlineStr"/>
      <c r="Z55" s="3" t="inlineStr">
        <is>
          <t>DECLARED IN THE CODE (rule 11) — printed from the door, not typed. RULED 2026-09-27</t>
        </is>
      </c>
      <c r="AA55" s="3" t="inlineStr"/>
      <c r="AB55" s="3" t="inlineStr"/>
      <c r="AC55" s="3" t="inlineStr"/>
      <c r="AD55" s="3" t="inlineStr"/>
      <c r="AE55" s="3" t="inlineStr">
        <is>
          <t>A46 — RULED 2026-08-26, NOT YET IN CODE (JJ-4). Open.</t>
        </is>
      </c>
      <c r="AF55" s="3" t="inlineStr">
        <is>
          <t>ACTIVE</t>
        </is>
      </c>
      <c r="AG55" s="3" t="inlineStr">
        <is>
          <t>2026-10-11</t>
        </is>
      </c>
      <c r="AH55"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55"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55"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2026-09-27; the figure, its formula, inputs and refusal live in MK-NW-O-001 theBonds</t>
        </is>
      </c>
      <c r="AN55" s="3" t="inlineStr">
        <is>
          <t>Two bonds on 28 Sep 2026: a $25,000-face Treasury paying 4.5%, maturing 30 Sep 2029, worth $24,200 today; and a $10,000 Ally CD paying 5.05%, maturing 15 Mar 2027, worth its $10,000.
GIVES: Ally 12-month CD — face $10,000, $505/year, 5.05%
(the test re-runs this through MK-NW-O-001 theBonds on every build)</t>
        </is>
      </c>
      <c r="AO55" s="9" t="inlineStr">
        <is>
          <t>WAITING ON YOU — question Q02, Q41 · WAITING ON YOU — answer to read · RULED, NOT CODED (Bond display rule, Q-NW-4 — one question, one function)</t>
        </is>
      </c>
    </row>
    <row r="56" ht="60" customHeight="1">
      <c r="A56" s="3" t="inlineStr">
        <is>
          <t>MK-NW-M-046</t>
        </is>
      </c>
      <c r="B56" s="3" t="inlineStr">
        <is>
          <t>Networth</t>
        </is>
      </c>
      <c r="C56" s="3" t="inlineStr">
        <is>
          <t>/analytics</t>
        </is>
      </c>
      <c r="D56" s="3" t="inlineStr">
        <is>
          <t>at your planned spend</t>
        </is>
      </c>
      <c r="E56" s="3" t="inlineStr">
        <is>
          <t>at_your_planned_spend</t>
        </is>
      </c>
      <c r="F56" s="3" t="inlineStr">
        <is>
          <t>theEmergencyFund</t>
        </is>
      </c>
      <c r="G56" s="3" t="inlineStr">
        <is>
          <t>MK-NW-O-004</t>
        </is>
      </c>
      <c r="H56" s="3" t="inlineStr">
        <is>
          <t>your cash ÷ (everything you budget for a month + the debt payments you cannot stop − the rent from a property that keeps arriving)</t>
        </is>
      </c>
      <c r="I56" s="3" t="inlineStr">
        <is>
          <t>your cash ÷ (everything you budget for a month + the debt payments you cannot stop − the rent from a property that keeps arriving)</t>
        </is>
      </c>
      <c r="J56" s="3" t="inlineStr">
        <is>
          <t>MK-NW-I-001 your accounts
MK-NW-I-002 your debts
MK-CF-I-001 your logged expenses</t>
        </is>
      </c>
      <c r="K56" s="3" t="inlineStr">
        <is>
          <t>a number of months</t>
        </is>
      </c>
      <c r="L56" s="3" t="inlineStr">
        <is>
          <t>No expense figure yet — it shows nothing rather than dividing by nothing.</t>
        </is>
      </c>
      <c r="M56" s="3" t="inlineStr">
        <is>
          <t>the household</t>
        </is>
      </c>
      <c r="N56" s="3" t="inlineStr">
        <is>
          <t>as of today</t>
        </is>
      </c>
      <c r="O56"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56" s="3" t="inlineStr">
        <is>
          <t>Declared by MK-NW-O-004 theEmergencyFund</t>
        </is>
      </c>
      <c r="Q56" s="3" t="inlineStr">
        <is>
          <t>FOUNDER 2026-09-28: "give both numbers." The figure above it is what you could not stop paying; this one is the life you plan to live. Neither is the whole truth alone, so the screen shows both.</t>
        </is>
      </c>
      <c r="R56" s="3" t="inlineStr">
        <is>
          <t>FOUNDER 2026-09-28: "give both numbers." The figure above it is what you could not stop paying; this one is the life you plan to live. Neither is the whole truth alone, so the screen shows both.</t>
        </is>
      </c>
      <c r="S56" s="3" t="inlineStr"/>
      <c r="T56" s="3" t="inlineStr">
        <is>
          <t>FOUNDER 2026-09-28: "give both numbers." The figure above it is what you could not stop paying; this one is the life you plan to live. Neither is the whole truth alone, so the screen shows both.</t>
        </is>
      </c>
      <c r="U56" s="3" t="inlineStr"/>
      <c r="V56" s="3" t="inlineStr"/>
      <c r="W56" s="3" t="inlineStr"/>
      <c r="X56" s="3" t="inlineStr"/>
      <c r="Y56" s="3" t="inlineStr"/>
      <c r="Z56" s="3" t="inlineStr">
        <is>
          <t>DECLARED IN THE CODE (rule 11) — printed from the door, not typed. RULED 2026-09-28</t>
        </is>
      </c>
      <c r="AA56" s="3" t="inlineStr"/>
      <c r="AB56" s="3" t="inlineStr"/>
      <c r="AC56" s="3" t="inlineStr"/>
      <c r="AD56" s="3" t="inlineStr"/>
      <c r="AE56" s="3" t="inlineStr"/>
      <c r="AF56" s="3" t="inlineStr">
        <is>
          <t>ACTIVE</t>
        </is>
      </c>
      <c r="AG56" s="3" t="inlineStr">
        <is>
          <t>2026-10-11</t>
        </is>
      </c>
      <c r="AH56" s="3" t="inlineStr"/>
      <c r="AI56" s="3" t="inlineStr"/>
      <c r="AJ56"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TESTED, NOT VERIFIED — you ruled on this row 2026-09-28; the figure, its formula, inputs and refusal live in MK-NW-O-004 theEmergencyFund</t>
        </is>
      </c>
      <c r="AN56"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4.7 months
(the test re-runs this through MK-NW-O-004 theEmergencyFund on every build)</t>
        </is>
      </c>
      <c r="AO56" s="3" t="inlineStr">
        <is>
          <t>NOTHING OPEN</t>
        </is>
      </c>
    </row>
    <row r="57" ht="60" customHeight="1">
      <c r="A57" s="3" t="inlineStr">
        <is>
          <t>MK-NW-M-047</t>
        </is>
      </c>
      <c r="B57" s="3" t="inlineStr">
        <is>
          <t>Networth</t>
        </is>
      </c>
      <c r="C57" s="3" t="inlineStr">
        <is>
          <t>/analytics · /insights</t>
        </is>
      </c>
      <c r="D57" s="3" t="inlineStr">
        <is>
          <t>Both include $X/month of debt payments you cannot stop</t>
        </is>
      </c>
      <c r="E57" s="3" t="inlineStr">
        <is>
          <t>both_include_xmonth_of_debt_payments_you</t>
        </is>
      </c>
      <c r="F57" s="3" t="inlineStr">
        <is>
          <t>theEmergencyFund</t>
        </is>
      </c>
      <c r="G57" s="3" t="inlineStr">
        <is>
          <t>MK-NW-O-004</t>
        </is>
      </c>
      <c r="H57" s="3" t="inlineStr">
        <is>
          <t>the minimum monthly payment of every debt, the home’s mortgage included; a balance due in one lump has none</t>
        </is>
      </c>
      <c r="I57" s="3" t="inlineStr">
        <is>
          <t>the minimum monthly payment of every debt, the home’s mortgage included; a balance due in one lump has none</t>
        </is>
      </c>
      <c r="J57" s="3" t="inlineStr">
        <is>
          <t>MK-NW-I-002 your debts</t>
        </is>
      </c>
      <c r="K57" s="3" t="inlineStr">
        <is>
          <t>dollars, whole a month</t>
        </is>
      </c>
      <c r="L57" s="3" t="inlineStr">
        <is>
          <t>No debts entered — the line does not appear at all.</t>
        </is>
      </c>
      <c r="M57" s="3" t="inlineStr">
        <is>
          <t>one figure per household</t>
        </is>
      </c>
      <c r="N57" s="3" t="inlineStr">
        <is>
          <t>a month</t>
        </is>
      </c>
      <c r="O57"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57" s="3" t="inlineStr">
        <is>
          <t>Declared by MK-NW-O-004 theEmergencyFund</t>
        </is>
      </c>
      <c r="Q57"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R57"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S57" s="3" t="inlineStr"/>
      <c r="T57"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U57" s="3" t="inlineStr"/>
      <c r="V57" s="3" t="inlineStr"/>
      <c r="W57" s="3" t="inlineStr"/>
      <c r="X57" s="3" t="inlineStr"/>
      <c r="Y57" s="3" t="inlineStr"/>
      <c r="Z57" s="3" t="inlineStr">
        <is>
          <t>DECLARED IN THE CODE (rule 11) — printed from the door, not typed. RULED 2026-10-04</t>
        </is>
      </c>
      <c r="AA57" s="3" t="inlineStr"/>
      <c r="AB57" s="3" t="inlineStr"/>
      <c r="AC57" s="3" t="inlineStr"/>
      <c r="AD57" s="3" t="inlineStr"/>
      <c r="AE57" s="3" t="inlineStr"/>
      <c r="AF57" s="3" t="inlineStr">
        <is>
          <t>ACTIVE</t>
        </is>
      </c>
      <c r="AG57" s="3" t="inlineStr">
        <is>
          <t>2026-10-11</t>
        </is>
      </c>
      <c r="AH57" s="3" t="inlineStr"/>
      <c r="AI57" s="3" t="inlineStr"/>
      <c r="AJ57"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TESTED, NOT VERIFIED — you ruled on this row 2026-09-28; the figure, its formula, inputs and refusal live in MK-NW-O-004 theEmergencyFund</t>
        </is>
      </c>
      <c r="AN57"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$2,770/month
(the test re-runs this through MK-NW-O-004 theEmergencyFund on every build)</t>
        </is>
      </c>
      <c r="AO57" s="3" t="inlineStr">
        <is>
          <t>NOTHING OPEN</t>
        </is>
      </c>
    </row>
    <row r="58" ht="60" customHeight="1">
      <c r="A58" s="3" t="inlineStr">
        <is>
          <t>MK-NW-M-048</t>
        </is>
      </c>
      <c r="B58" s="3" t="inlineStr">
        <is>
          <t>Networth</t>
        </is>
      </c>
      <c r="C58" s="3" t="inlineStr">
        <is>
          <t>/analytics · /insights</t>
        </is>
      </c>
      <c r="D58" s="3" t="inlineStr">
        <is>
          <t>cash ÷ planned spend</t>
        </is>
      </c>
      <c r="E58" s="3" t="inlineStr">
        <is>
          <t>cash__planned_spend</t>
        </is>
      </c>
      <c r="F58" s="3" t="inlineStr">
        <is>
          <t>theEmergencyFund</t>
        </is>
      </c>
      <c r="G58" s="3" t="inlineStr">
        <is>
          <t>MK-NW-O-004</t>
        </is>
      </c>
      <c r="H58" s="3" t="inlineStr">
        <is>
          <t>everything you budget for a month + the debt payments you cannot stop</t>
        </is>
      </c>
      <c r="I58" s="3" t="inlineStr">
        <is>
          <t>everything you budget for a month + the debt payments you cannot stop</t>
        </is>
      </c>
      <c r="J58" s="3" t="inlineStr">
        <is>
          <t>MK-NW-I-002 your debts
MK-CF-I-001 your logged expenses</t>
        </is>
      </c>
      <c r="K58" s="3" t="inlineStr">
        <is>
          <t>dollars, whole a month</t>
        </is>
      </c>
      <c r="L58" s="3" t="inlineStr">
        <is>
          <t>No expense figure yet.</t>
        </is>
      </c>
      <c r="M58" s="3" t="inlineStr">
        <is>
          <t>the household</t>
        </is>
      </c>
      <c r="N58" s="3" t="inlineStr">
        <is>
          <t>a month</t>
        </is>
      </c>
      <c r="O58"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58" s="3" t="inlineStr">
        <is>
          <t>Declared by MK-NW-O-004 theEmergencyFund</t>
        </is>
      </c>
      <c r="Q58" s="3" t="inlineStr">
        <is>
          <t>NONE RECORDED — the declaration names none.</t>
        </is>
      </c>
      <c r="R58" s="3" t="inlineStr">
        <is>
          <t>NONE RECORDED — the declaration names none.</t>
        </is>
      </c>
      <c r="S58" s="3" t="inlineStr"/>
      <c r="T58" s="3" t="inlineStr">
        <is>
          <t>NONE RECORDED — the declaration names none.</t>
        </is>
      </c>
      <c r="U58" s="3" t="inlineStr"/>
      <c r="V58" s="3" t="inlineStr"/>
      <c r="W58" s="3" t="inlineStr"/>
      <c r="X58" s="3" t="inlineStr"/>
      <c r="Y58" s="3" t="inlineStr"/>
      <c r="Z58" s="3" t="inlineStr">
        <is>
          <t>DECLARED IN THE CODE (rule 11) — printed from the door, not typed. RULED 2026-09-28</t>
        </is>
      </c>
      <c r="AA58" s="3" t="inlineStr"/>
      <c r="AB58" s="3" t="inlineStr"/>
      <c r="AC58" s="3" t="inlineStr"/>
      <c r="AD58" s="3" t="inlineStr"/>
      <c r="AE58" s="3" t="inlineStr"/>
      <c r="AF58" s="3" t="inlineStr">
        <is>
          <t>ACTIVE</t>
        </is>
      </c>
      <c r="AG58" s="3" t="inlineStr">
        <is>
          <t>2026-10-11</t>
        </is>
      </c>
      <c r="AH58" s="3" t="inlineStr"/>
      <c r="AI58" s="3" t="inlineStr"/>
      <c r="AJ58"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TESTED, NOT VERIFIED — you ruled on this row 2026-09-28; the figure, its formula, inputs and refusal live in MK-NW-O-004 theEmergencyFund</t>
        </is>
      </c>
      <c r="AN58"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$3,870/month
(the test re-runs this through MK-NW-O-004 theEmergencyFund on every build)</t>
        </is>
      </c>
      <c r="AO58" s="3" t="inlineStr">
        <is>
          <t>NOTHING OPEN</t>
        </is>
      </c>
    </row>
    <row r="59" ht="60" customHeight="1">
      <c r="A59" s="3" t="inlineStr">
        <is>
          <t>MK-NW-M-049</t>
        </is>
      </c>
      <c r="B59" s="3" t="inlineStr">
        <is>
          <t>Networth</t>
        </is>
      </c>
      <c r="C59" s="3" t="inlineStr">
        <is>
          <t>/other-investments</t>
        </is>
      </c>
      <c r="D59" s="3" t="inlineStr">
        <is>
          <t>Total value</t>
        </is>
      </c>
      <c r="E59" s="3" t="inlineStr">
        <is>
          <t>total_value</t>
        </is>
      </c>
      <c r="F59" s="3" t="inlineStr">
        <is>
          <t>theNetWorth</t>
        </is>
      </c>
      <c r="G59" s="3" t="inlineStr">
        <is>
          <t>MK-NW-O-003</t>
        </is>
      </c>
      <c r="H59" s="3" t="inlineStr">
        <is>
          <t>the sum of every account whose class is alternatives</t>
        </is>
      </c>
      <c r="I59" s="3" t="inlineStr">
        <is>
          <t>the sum of every account whose class is alternatives</t>
        </is>
      </c>
      <c r="J59" s="3" t="inlineStr">
        <is>
          <t>MK-NW-I-001 your accounts</t>
        </is>
      </c>
      <c r="K59" s="3" t="inlineStr">
        <is>
          <t>dollars, whole</t>
        </is>
      </c>
      <c r="L59" s="3" t="inlineStr">
        <is>
          <t>None entered yet.</t>
        </is>
      </c>
      <c r="M59" s="3" t="inlineStr">
        <is>
          <t>one figure per household</t>
        </is>
      </c>
      <c r="N59" s="3" t="inlineStr">
        <is>
          <t>as of today</t>
        </is>
      </c>
      <c r="O5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59" s="3" t="inlineStr">
        <is>
          <t>Declared by MK-NW-O-003 theNetWorth</t>
        </is>
      </c>
      <c r="Q59" s="3" t="inlineStr">
        <is>
          <t>It is the Alternatives SLICE of net worth and must equal what the Net worth tab shows for that class — which is why it sits behind this door (founder, 2026-09-27: "ok").</t>
        </is>
      </c>
      <c r="R59" s="3" t="inlineStr">
        <is>
          <t>It is the Alternatives SLICE of net worth and must equal what the Net worth tab shows for that class — which is why it sits behind this door (founder, 2026-09-27: "ok").</t>
        </is>
      </c>
      <c r="S59" s="3" t="inlineStr"/>
      <c r="T59" s="3" t="inlineStr">
        <is>
          <t>It is the Alternatives SLICE of net worth and must equal what the Net worth tab shows for that class — which is why it sits behind this door (founder, 2026-09-27: "ok").</t>
        </is>
      </c>
      <c r="U59" s="3" t="inlineStr"/>
      <c r="V59" s="3" t="inlineStr"/>
      <c r="W59" s="3" t="inlineStr"/>
      <c r="X59" s="3" t="inlineStr"/>
      <c r="Y59" s="3" t="inlineStr"/>
      <c r="Z59" s="3" t="inlineStr">
        <is>
          <t>DECLARED IN THE CODE (rule 11) — printed from the door, not typed. RULED 2026-09-27</t>
        </is>
      </c>
      <c r="AA59" s="3" t="inlineStr"/>
      <c r="AB59" s="3" t="inlineStr"/>
      <c r="AC59" s="3" t="inlineStr"/>
      <c r="AD59" s="3" t="inlineStr"/>
      <c r="AE59" s="3" t="inlineStr"/>
      <c r="AF59" s="3" t="inlineStr">
        <is>
          <t>ACTIVE</t>
        </is>
      </c>
      <c r="AG59" s="3" t="inlineStr">
        <is>
          <t>2026-10-11</t>
        </is>
      </c>
      <c r="AH59" s="3" t="inlineStr"/>
      <c r="AI59" s="3" t="inlineStr"/>
      <c r="AJ59"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TESTED, NOT VERIFIED — you ruled on this row 2026-09-27; the figure, its formula, inputs and refusal live in MK-NW-O-003 theNetWorth</t>
        </is>
      </c>
      <c r="AN59"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$9,000
(the test re-runs this through MK-NW-O-003 theNetWorth on every build)</t>
        </is>
      </c>
      <c r="AO59" s="3" t="inlineStr">
        <is>
          <t>NOTHING OPEN</t>
        </is>
      </c>
    </row>
    <row r="60" ht="60" customHeight="1">
      <c r="A60" s="3" t="inlineStr">
        <is>
          <t>MK-NW-M-050</t>
        </is>
      </c>
      <c r="B60" s="3" t="inlineStr">
        <is>
          <t>Networth</t>
        </is>
      </c>
      <c r="C60" s="3" t="inlineStr">
        <is>
          <t>/other-investments</t>
        </is>
      </c>
      <c r="D60" s="3" t="inlineStr">
        <is>
          <t>EST. GROWTH /year</t>
        </is>
      </c>
      <c r="E60" s="3" t="inlineStr">
        <is>
          <t>est_growth_year</t>
        </is>
      </c>
      <c r="F60" s="3" t="inlineStr">
        <is>
          <t>theAlternativesOutlook</t>
        </is>
      </c>
      <c r="G60" s="3" t="inlineStr">
        <is>
          <t>MK-NW-O-005</t>
        </is>
      </c>
      <c r="H60" s="3" t="inlineStr">
        <is>
          <t>each holding’s value × the historical benchmark for its kind, added up</t>
        </is>
      </c>
      <c r="I60" s="3" t="inlineStr">
        <is>
          <t>each holding’s value × the historical benchmark for its kind, added up</t>
        </is>
      </c>
      <c r="J60" s="3" t="inlineStr">
        <is>
          <t>MK-NW-I-001 your accounts</t>
        </is>
      </c>
      <c r="K60" s="3" t="inlineStr">
        <is>
          <t>dollars, whole a year</t>
        </is>
      </c>
      <c r="L60" s="3" t="inlineStr">
        <is>
          <t>Nothing held — no figure at all, because a $0 forecast reads as a forecast.</t>
        </is>
      </c>
      <c r="M60" s="3" t="inlineStr">
        <is>
          <t>one figure per household</t>
        </is>
      </c>
      <c r="N60" s="3" t="inlineStr">
        <is>
          <t>a year</t>
        </is>
      </c>
      <c r="O60" s="3" t="inlineStr">
        <is>
          <t>1. MK-NW-F-113 (altPartsOf) → AltPart[]
2. MK-NW-F-002 (alternativesSummary) → AltSummary
3. MK-NW-F-034 (benchmarkReturn) → number
4. MK-NW-F-037 (blendedReturn) → number | null
5. MK-NW-F-028 (classPortionLabel) → string
6. MK-NW-F-001 (isAlternative) → boolean
7. MK-CF-F-132 (map) → NOT DECLARED — the code does not say what it gives back
8. MK-NW-F-132 (notClassifiedWords) → string</t>
        </is>
      </c>
      <c r="P60" s="3" t="inlineStr">
        <is>
          <t>Declared by MK-NW-O-005 theAlternativesOutlook</t>
        </is>
      </c>
      <c r="Q60"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R60"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S60" s="3" t="inlineStr"/>
      <c r="T60"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U60" s="3" t="inlineStr"/>
      <c r="V60" s="3" t="inlineStr"/>
      <c r="W60" s="3" t="inlineStr"/>
      <c r="X60" s="3" t="inlineStr"/>
      <c r="Y60" s="3" t="inlineStr"/>
      <c r="Z60" s="3" t="inlineStr">
        <is>
          <t>DECLARED IN THE CODE (rule 11) — printed from the door, not typed. RULED 2026-09-27</t>
        </is>
      </c>
      <c r="AA60" s="3" t="inlineStr"/>
      <c r="AB60" s="3" t="inlineStr"/>
      <c r="AC60" s="3" t="inlineStr"/>
      <c r="AD60" s="3" t="inlineStr"/>
      <c r="AE60" s="3" t="inlineStr"/>
      <c r="AF60" s="3" t="inlineStr">
        <is>
          <t>ACTIVE</t>
        </is>
      </c>
      <c r="AG60" s="3" t="inlineStr">
        <is>
          <t>2026-10-11</t>
        </is>
      </c>
      <c r="AH60" s="3" t="inlineStr"/>
      <c r="AI60" s="3" t="inlineStr"/>
      <c r="AJ60" s="3" t="inlineStr">
        <is>
          <t>1. MK-XS-I-001 account balance — read by MK-CF-F-031, MK-CF-F-200, MK-CF-O-006, MK-NW-F-027, MK-NW-F-031, MK-NW-F-032, MK
2. MK-XS-I-002 account type (taxable, pre-tax, Roth) — read by MK-NW-F-011, MK-NW-F-027, MK-NW-F-054, MK-NW-F-120, MK-NW-F-132, MK-NW-O-001
3. MK-XS-I-003 institution name — read by MK-NW-F-072, MK-NW-F-134,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MK-NW-F-132, MK-NW-O-001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MK-NW-F-053, MK-NW-F-054, MK-NW-F-109, MK-NW-F-132,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MK-NW-F-001, MK-NW-F-002, MK-NW-F-011, MK
39. MK-XS-I-056 how a holding was classified, and by whom — read by MK-NW-F-053, MK-NW-F-054,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2026-09-27; the figure, its formula, inputs and refusal live in MK-NW-O-005 theAlternativesOutlook</t>
        </is>
      </c>
      <c r="AN60" s="3" t="inlineStr">
        <is>
          <t>$9,000 of gold and $6,000 of bitcoin — $15,000 of other investments, at their kinds' own benchmark rates.
GIVES: $1,218/year
(the test re-runs this through MK-NW-O-005 theAlternativesOutlook on every build)</t>
        </is>
      </c>
      <c r="AO60" s="3" t="inlineStr">
        <is>
          <t>NOTHING OPEN</t>
        </is>
      </c>
    </row>
    <row r="61" ht="60" customHeight="1">
      <c r="A61" s="3" t="inlineStr">
        <is>
          <t>MK-NW-M-051</t>
        </is>
      </c>
      <c r="B61" s="3" t="inlineStr">
        <is>
          <t>Networth</t>
        </is>
      </c>
      <c r="C61" s="3" t="inlineStr">
        <is>
          <t>/other-investments</t>
        </is>
      </c>
      <c r="D61" s="3" t="inlineStr">
        <is>
          <t>EXP. RETURN</t>
        </is>
      </c>
      <c r="E61" s="3" t="inlineStr">
        <is>
          <t>exp_return</t>
        </is>
      </c>
      <c r="F61" s="3" t="inlineStr">
        <is>
          <t>theAlternativesOutlook</t>
        </is>
      </c>
      <c r="G61" s="3" t="inlineStr">
        <is>
          <t>MK-NW-O-005</t>
        </is>
      </c>
      <c r="H61" s="3" t="inlineStr">
        <is>
          <t>each holding's value × the benchmark for its kind, added up, ÷ the total value</t>
        </is>
      </c>
      <c r="I61" s="3" t="inlineStr">
        <is>
          <t>each holding's value × the benchmark for its kind, added up, ÷ the total value</t>
        </is>
      </c>
      <c r="J61" s="3" t="inlineStr">
        <is>
          <t>MK-XS-I-001 account balance</t>
        </is>
      </c>
      <c r="K61" s="3" t="inlineStr">
        <is>
          <t>a percentage, two decimals</t>
        </is>
      </c>
      <c r="L61" s="3" t="inlineStr">
        <is>
          <t>Nothing held — no figure at all, because a 0.00% expected return reads as a forecast of nothing rather than an absence of holdings.</t>
        </is>
      </c>
      <c r="M61" s="3" t="inlineStr">
        <is>
          <t>the household</t>
        </is>
      </c>
      <c r="N61" s="3" t="inlineStr">
        <is>
          <t>as of today</t>
        </is>
      </c>
      <c r="O61" s="3" t="inlineStr">
        <is>
          <t>1. MK-NW-F-113 (altPartsOf) → AltPart[]
2. MK-NW-F-002 (alternativesSummary) → AltSummary
3. MK-NW-F-034 (benchmarkReturn) → number
4. MK-NW-F-037 (blendedReturn) → number | null
5. MK-NW-F-028 (classPortionLabel) → string
6. MK-NW-F-001 (isAlternative) → boolean
7. MK-CF-F-132 (map) → NOT DECLARED — the code does not say what it gives back
8. MK-NW-F-132 (notClassifiedWords) → string</t>
        </is>
      </c>
      <c r="P61" s="3" t="inlineStr">
        <is>
          <t>Declared by MK-NW-O-005 theAlternativesOutlook</t>
        </is>
      </c>
      <c r="Q61"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R61"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S61" s="3" t="inlineStr"/>
      <c r="T61"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U61" s="3" t="inlineStr"/>
      <c r="V61" s="3" t="inlineStr"/>
      <c r="W61" s="3" t="inlineStr"/>
      <c r="X61" s="3" t="inlineStr"/>
      <c r="Y61" s="3" t="inlineStr"/>
      <c r="Z61" s="3" t="inlineStr">
        <is>
          <t>DECLARED IN THE CODE (rule 11) — printed from the door, not typed. RULED 2026-10-01</t>
        </is>
      </c>
      <c r="AA61" s="3" t="inlineStr"/>
      <c r="AB61" s="3" t="inlineStr"/>
      <c r="AC61" s="3" t="inlineStr"/>
      <c r="AD61" s="3" t="inlineStr"/>
      <c r="AE61" s="3" t="inlineStr"/>
      <c r="AF61" s="3" t="inlineStr">
        <is>
          <t>ACTIVE</t>
        </is>
      </c>
      <c r="AG61" s="3" t="inlineStr">
        <is>
          <t>2026-10-11</t>
        </is>
      </c>
      <c r="AH61" s="3" t="inlineStr"/>
      <c r="AI61" s="3" t="inlineStr"/>
      <c r="AJ61" s="3" t="inlineStr">
        <is>
          <t>1. MK-XS-I-001 account balance — read by MK-CF-F-031, MK-CF-F-200, MK-CF-O-006, MK-NW-F-027, MK-NW-F-031, MK-NW-F-032, MK
2. MK-XS-I-002 account type (taxable, pre-tax, Roth) — read by MK-NW-F-011, MK-NW-F-027, MK-NW-F-054, MK-NW-F-120, MK-NW-F-132, MK-NW-O-001
3. MK-XS-I-003 institution name — read by MK-NW-F-072, MK-NW-F-134,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MK-NW-F-132, MK-NW-O-001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MK-NW-F-053, MK-NW-F-054, MK-NW-F-109, MK-NW-F-132,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MK-NW-F-001, MK-NW-F-002, MK-NW-F-011, MK
39. MK-XS-I-056 how a holding was classified, and by whom — read by MK-NW-F-053, MK-NW-F-054,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2026-10-01; the figure, its formula, inputs and refusal live in MK-NW-O-005 theAlternativesOutlook</t>
        </is>
      </c>
      <c r="AN61" s="3" t="inlineStr">
        <is>
          <t>$9,000 of gold and $6,000 of bitcoin — $15,000 of other investments, at their kinds' own benchmark rates.
GIVES: 8.12%
(the test re-runs this through MK-NW-O-005 theAlternativesOutlook on every build)</t>
        </is>
      </c>
      <c r="AO61" s="3" t="inlineStr">
        <is>
          <t>NOTHING OPEN</t>
        </is>
      </c>
    </row>
    <row r="62" ht="60" customHeight="1">
      <c r="A62" s="3" t="inlineStr">
        <is>
          <t>MK-NW-M-052</t>
        </is>
      </c>
      <c r="B62" s="3" t="inlineStr">
        <is>
          <t>Networth</t>
        </is>
      </c>
      <c r="C62" s="3" t="inlineStr">
        <is>
          <t>/other-investments</t>
        </is>
      </c>
      <c r="D62" s="3" t="inlineStr">
        <is>
          <t>each alternative and what it is worth</t>
        </is>
      </c>
      <c r="E62" s="3" t="inlineStr">
        <is>
          <t>each_alternative_and_what_it_is_worth</t>
        </is>
      </c>
      <c r="F62" s="3" t="inlineStr">
        <is>
          <t>theAlternativesOutlook</t>
        </is>
      </c>
      <c r="G62" s="3" t="inlineStr">
        <is>
          <t>MK-NW-O-005</t>
        </is>
      </c>
      <c r="H62" s="3" t="inlineStr">
        <is>
          <t>one row per account whose class is alternatives, its own balance beside it</t>
        </is>
      </c>
      <c r="I62" s="3" t="inlineStr">
        <is>
          <t>one row per account whose class is alternatives, its own balance beside it</t>
        </is>
      </c>
      <c r="J62" s="3" t="inlineStr">
        <is>
          <t>MK-XS-I-001 account balance</t>
        </is>
      </c>
      <c r="K62" s="3" t="inlineStr">
        <is>
          <t>dollars, whole</t>
        </is>
      </c>
      <c r="L62" s="3" t="inlineStr">
        <is>
          <t>No rows, and the screen shows the sentence that says what belongs here instead.</t>
        </is>
      </c>
      <c r="M62" s="3" t="inlineStr">
        <is>
          <t>one alternative holding</t>
        </is>
      </c>
      <c r="N62" s="3" t="inlineStr">
        <is>
          <t>as of today</t>
        </is>
      </c>
      <c r="O62" s="3" t="inlineStr">
        <is>
          <t>1. MK-NW-F-113 (altPartsOf) → AltPart[]
2. MK-NW-F-002 (alternativesSummary) → AltSummary
3. MK-NW-F-034 (benchmarkReturn) → number
4. MK-NW-F-037 (blendedReturn) → number | null
5. MK-NW-F-028 (classPortionLabel) → string
6. MK-NW-F-001 (isAlternative) → boolean
7. MK-CF-F-132 (map) → NOT DECLARED — the code does not say what it gives back
8. MK-NW-F-132 (notClassifiedWords) → string</t>
        </is>
      </c>
      <c r="P62" s="3" t="inlineStr">
        <is>
          <t>Declared by MK-NW-O-005 theAlternativesOutlook</t>
        </is>
      </c>
      <c r="Q62" s="3" t="inlineStr">
        <is>
          <t>THE ROWS MUST ADD TO THE TOTAL ABOVE THEM. That is the whole reason the rows exist: a total nobody can take apart is a number you have to trust rather than check.</t>
        </is>
      </c>
      <c r="R62" s="3" t="inlineStr">
        <is>
          <t>THE ROWS MUST ADD TO THE TOTAL ABOVE THEM. That is the whole reason the rows exist: a total nobody can take apart is a number you have to trust rather than check.</t>
        </is>
      </c>
      <c r="S62" s="3" t="inlineStr"/>
      <c r="T62" s="3" t="inlineStr">
        <is>
          <t>THE ROWS MUST ADD TO THE TOTAL ABOVE THEM. That is the whole reason the rows exist: a total nobody can take apart is a number you have to trust rather than check.</t>
        </is>
      </c>
      <c r="U62" s="3" t="inlineStr"/>
      <c r="V62" s="3" t="inlineStr"/>
      <c r="W62" s="3" t="inlineStr"/>
      <c r="X62" s="3" t="inlineStr"/>
      <c r="Y62" s="3" t="inlineStr"/>
      <c r="Z62" s="3" t="inlineStr">
        <is>
          <t>DECLARED IN THE CODE (rule 11) — printed from the door, not typed. RULED 2026-10-01</t>
        </is>
      </c>
      <c r="AA62" s="3" t="inlineStr"/>
      <c r="AB62" s="3" t="inlineStr"/>
      <c r="AC62" s="3" t="inlineStr"/>
      <c r="AD62" s="3" t="inlineStr"/>
      <c r="AE62" s="3" t="inlineStr"/>
      <c r="AF62" s="3" t="inlineStr">
        <is>
          <t>ACTIVE</t>
        </is>
      </c>
      <c r="AG62" s="3" t="inlineStr">
        <is>
          <t>2026-10-11</t>
        </is>
      </c>
      <c r="AH62" s="3" t="inlineStr"/>
      <c r="AI62" s="3" t="inlineStr"/>
      <c r="AJ62" s="3" t="inlineStr">
        <is>
          <t>1. MK-XS-I-001 account balance — read by MK-CF-F-031, MK-CF-F-200, MK-CF-O-006, MK-NW-F-027, MK-NW-F-031, MK-NW-F-032, MK
2. MK-XS-I-002 account type (taxable, pre-tax, Roth) — read by MK-NW-F-011, MK-NW-F-027, MK-NW-F-054, MK-NW-F-120, MK-NW-F-132, MK-NW-O-001
3. MK-XS-I-003 institution name — read by MK-NW-F-072, MK-NW-F-134,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MK-NW-F-132, MK-NW-O-001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MK-NW-F-053, MK-NW-F-054, MK-NW-F-109, MK-NW-F-132,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MK-NW-F-001, MK-NW-F-002, MK-NW-F-011, MK
39. MK-XS-I-056 how a holding was classified, and by whom — read by MK-NW-F-053, MK-NW-F-054,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2026-10-01; the figure, its formula, inputs and refusal live in MK-NW-O-005 theAlternativesOutlook</t>
        </is>
      </c>
      <c r="AN62" s="3" t="inlineStr">
        <is>
          <t>$9,000 of gold and $6,000 of bitcoin — $15,000 of other investments, at their kinds' own benchmark rates.
GIVES: $9,000
(the test re-runs this through MK-NW-O-005 theAlternativesOutlook on every build)</t>
        </is>
      </c>
      <c r="AO62" s="3" t="inlineStr">
        <is>
          <t>NOTHING OPEN</t>
        </is>
      </c>
    </row>
    <row r="63" ht="60" customHeight="1">
      <c r="A63" s="3" t="inlineStr">
        <is>
          <t>MK-NW-M-053</t>
        </is>
      </c>
      <c r="B63" s="3" t="inlineStr">
        <is>
          <t>Networth</t>
        </is>
      </c>
      <c r="C63" s="3" t="inlineStr">
        <is>
          <t>/bonds</t>
        </is>
      </c>
      <c r="D63" s="3" t="inlineStr">
        <is>
          <t>face</t>
        </is>
      </c>
      <c r="E63" s="3" t="inlineStr">
        <is>
          <t>face</t>
        </is>
      </c>
      <c r="F63" s="3" t="inlineStr">
        <is>
          <t>theBonds</t>
        </is>
      </c>
      <c r="G63" s="3" t="inlineStr">
        <is>
          <t>MK-NW-O-001</t>
        </is>
      </c>
      <c r="H63" s="3" t="inlineStr">
        <is>
          <t>the sum of each bond’s face value</t>
        </is>
      </c>
      <c r="I63" s="3" t="inlineStr">
        <is>
          <t>the sum of each bond’s face value</t>
        </is>
      </c>
      <c r="J63" s="3" t="inlineStr">
        <is>
          <t>MK-XS-I-001 account balance</t>
        </is>
      </c>
      <c r="K63" s="3" t="inlineStr">
        <is>
          <t>dollars, whole</t>
        </is>
      </c>
      <c r="L63" s="3" t="inlineStr">
        <is>
          <t>No bonds entered yet, so no face total either.</t>
        </is>
      </c>
      <c r="M63" s="3" t="inlineStr">
        <is>
          <t>the household</t>
        </is>
      </c>
      <c r="N63" s="3" t="inlineStr">
        <is>
          <t>as of today</t>
        </is>
      </c>
      <c r="O6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3" s="3" t="inlineStr">
        <is>
          <t>Declared by MK-NW-O-001 theBonds</t>
        </is>
      </c>
      <c r="Q63" s="3" t="inlineStr">
        <is>
          <t>FACE AND VALUE ARE SHOWN SIDE BY SIDE because they differ, and the difference is the whole point: a bond bought below face pays back more than it is worth today.</t>
        </is>
      </c>
      <c r="R63" s="3" t="inlineStr">
        <is>
          <t>FACE AND VALUE ARE SHOWN SIDE BY SIDE because they differ, and the difference is the whole point: a bond bought below face pays back more than it is worth today.</t>
        </is>
      </c>
      <c r="S63" s="3" t="inlineStr"/>
      <c r="T63" s="3" t="inlineStr">
        <is>
          <t>FACE AND VALUE ARE SHOWN SIDE BY SIDE because they differ, and the difference is the whole point: a bond bought below face pays back more than it is worth today.</t>
        </is>
      </c>
      <c r="U63" s="3" t="inlineStr"/>
      <c r="V63" s="3" t="inlineStr"/>
      <c r="W63" s="3" t="inlineStr"/>
      <c r="X63" s="3" t="inlineStr"/>
      <c r="Y63" s="3" t="inlineStr"/>
      <c r="Z63" s="3" t="inlineStr">
        <is>
          <t>DECLARED IN THE CODE (rule 11) — printed from the door, not typed. RULED 2026-10-01</t>
        </is>
      </c>
      <c r="AA63" s="3" t="inlineStr"/>
      <c r="AB63" s="3" t="inlineStr"/>
      <c r="AC63" s="3" t="inlineStr"/>
      <c r="AD63" s="3" t="inlineStr"/>
      <c r="AE63" s="3" t="inlineStr"/>
      <c r="AF63" s="3" t="inlineStr">
        <is>
          <t>ACTIVE</t>
        </is>
      </c>
      <c r="AG63" s="3" t="inlineStr">
        <is>
          <t>2026-10-11</t>
        </is>
      </c>
      <c r="AH63" s="3" t="inlineStr"/>
      <c r="AI63" s="3" t="inlineStr"/>
      <c r="AJ63"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2026-10-01; the figure, its formula, inputs and refusal live in MK-NW-O-001 theBonds</t>
        </is>
      </c>
      <c r="AN63" s="3" t="inlineStr">
        <is>
          <t>Two bonds on 28 Sep 2026: a $25,000-face Treasury paying 4.5%, maturing 30 Sep 2029, worth $24,200 today; and a $10,000 Ally CD paying 5.05%, maturing 15 Mar 2027, worth its $10,000.
GIVES: $35,000
(the test re-runs this through MK-NW-O-001 theBonds on every build)</t>
        </is>
      </c>
      <c r="AO63" s="3" t="inlineStr">
        <is>
          <t>NOTHING OPEN</t>
        </is>
      </c>
    </row>
    <row r="64" ht="60" customHeight="1">
      <c r="A64" s="3" t="inlineStr">
        <is>
          <t>MK-NW-M-054</t>
        </is>
      </c>
      <c r="B64" s="3" t="inlineStr">
        <is>
          <t>Networth</t>
        </is>
      </c>
      <c r="C64" s="3" t="inlineStr">
        <is>
          <t>/bonds</t>
        </is>
      </c>
      <c r="D64" s="3" t="inlineStr">
        <is>
          <t>one bond’s value</t>
        </is>
      </c>
      <c r="E64" s="3" t="inlineStr">
        <is>
          <t>one_bonds_value</t>
        </is>
      </c>
      <c r="F64" s="3" t="inlineStr">
        <is>
          <t>theBonds</t>
        </is>
      </c>
      <c r="G64" s="3" t="inlineStr">
        <is>
          <t>MK-NW-O-001</t>
        </is>
      </c>
      <c r="H64" s="3" t="inlineStr">
        <is>
          <t>the bond account’s own balance</t>
        </is>
      </c>
      <c r="I64" s="3" t="inlineStr">
        <is>
          <t>the bond account’s own balance</t>
        </is>
      </c>
      <c r="J64" s="3" t="inlineStr">
        <is>
          <t>MK-XS-I-001 account balance</t>
        </is>
      </c>
      <c r="K64" s="3" t="inlineStr">
        <is>
          <t>dollars, whole</t>
        </is>
      </c>
      <c r="L64" s="3" t="inlineStr">
        <is>
          <t>— the row is not drawn at all when there is no bond.</t>
        </is>
      </c>
      <c r="M64" s="3" t="inlineStr">
        <is>
          <t>one bond</t>
        </is>
      </c>
      <c r="N64" s="3" t="inlineStr">
        <is>
          <t>as of today</t>
        </is>
      </c>
      <c r="O6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4" s="3" t="inlineStr">
        <is>
          <t>Declared by MK-NW-O-001 theBonds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2026-10-01</t>
        </is>
      </c>
      <c r="AA64" s="3" t="inlineStr"/>
      <c r="AB64" s="3" t="inlineStr"/>
      <c r="AC64" s="3" t="inlineStr"/>
      <c r="AD64" s="3" t="inlineStr"/>
      <c r="AE64" s="3" t="inlineStr"/>
      <c r="AF64" s="3" t="inlineStr">
        <is>
          <t>ACTIVE</t>
        </is>
      </c>
      <c r="AG64" s="3" t="inlineStr">
        <is>
          <t>2026-10-11</t>
        </is>
      </c>
      <c r="AH64" s="3" t="inlineStr"/>
      <c r="AI64" s="3" t="inlineStr"/>
      <c r="AJ64"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2026-10-01; the figure, its formula, inputs and refusal live in MK-NW-O-001 theBonds</t>
        </is>
      </c>
      <c r="AN64" s="3" t="inlineStr">
        <is>
          <t>Two bonds on 28 Sep 2026: a $25,000-face Treasury paying 4.5%, maturing 30 Sep 2029, worth $24,200 today; and a $10,000 Ally CD paying 5.05%, maturing 15 Mar 2027, worth its $10,000.
GIVES: $10,000
(the test re-runs this through MK-NW-O-001 theBonds on every build)</t>
        </is>
      </c>
      <c r="AO64" s="3" t="inlineStr">
        <is>
          <t>NOTHING OPEN</t>
        </is>
      </c>
    </row>
    <row r="65" ht="60" customHeight="1">
      <c r="A65" s="3" t="inlineStr">
        <is>
          <t>MK-NW-M-055</t>
        </is>
      </c>
      <c r="B65" s="3" t="inlineStr">
        <is>
          <t>Networth</t>
        </is>
      </c>
      <c r="C65" s="3" t="inlineStr">
        <is>
          <t>/bonds</t>
        </is>
      </c>
      <c r="D65" s="3" t="inlineStr">
        <is>
          <t>one bond’s face</t>
        </is>
      </c>
      <c r="E65" s="3" t="inlineStr">
        <is>
          <t>one_bonds_face</t>
        </is>
      </c>
      <c r="F65" s="3" t="inlineStr">
        <is>
          <t>theBonds</t>
        </is>
      </c>
      <c r="G65" s="3" t="inlineStr">
        <is>
          <t>MK-NW-O-001</t>
        </is>
      </c>
      <c r="H65" s="3" t="inlineStr">
        <is>
          <t>the face value as entered; a face never entered stays blank, never the balance and never $0</t>
        </is>
      </c>
      <c r="I65" s="3" t="inlineStr">
        <is>
          <t>the face value as entered; a face never entered stays blank, never the balance and never $0</t>
        </is>
      </c>
      <c r="J65" s="3" t="inlineStr">
        <is>
          <t>MK-XS-I-011 bond face value</t>
        </is>
      </c>
      <c r="K65" s="3" t="inlineStr">
        <is>
          <t>dollars, whole</t>
        </is>
      </c>
      <c r="L65" s="3" t="inlineStr">
        <is>
          <t>No face value entered — the row says “face value not entered”.</t>
        </is>
      </c>
      <c r="M65" s="3" t="inlineStr">
        <is>
          <t>one bond</t>
        </is>
      </c>
      <c r="N65" s="3" t="inlineStr">
        <is>
          <t>as of today</t>
        </is>
      </c>
      <c r="O65"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5" s="3" t="inlineStr">
        <is>
          <t>Declared by MK-NW-O-001 theBonds</t>
        </is>
      </c>
      <c r="Q65" s="3" t="inlineStr">
        <is>
          <t>NONE RECORDED — the declaration names none.</t>
        </is>
      </c>
      <c r="R65" s="3" t="inlineStr">
        <is>
          <t>NONE RECORDED — the declaration names none.</t>
        </is>
      </c>
      <c r="S65" s="3" t="inlineStr"/>
      <c r="T65" s="3" t="inlineStr">
        <is>
          <t>NONE RECORDED — the declaration names none.</t>
        </is>
      </c>
      <c r="U65" s="3" t="inlineStr"/>
      <c r="V65" s="3" t="inlineStr"/>
      <c r="W65" s="3" t="inlineStr"/>
      <c r="X65" s="3" t="inlineStr"/>
      <c r="Y65" s="3" t="inlineStr"/>
      <c r="Z65" s="3" t="inlineStr">
        <is>
          <t>DECLARED IN THE CODE (rule 11) — printed from the door, not typed. RULED 2026-10-01</t>
        </is>
      </c>
      <c r="AA65" s="3" t="inlineStr"/>
      <c r="AB65" s="3" t="inlineStr"/>
      <c r="AC65" s="3" t="inlineStr"/>
      <c r="AD65" s="3" t="inlineStr"/>
      <c r="AE65" s="3" t="inlineStr"/>
      <c r="AF65" s="3" t="inlineStr">
        <is>
          <t>ACTIVE</t>
        </is>
      </c>
      <c r="AG65" s="3" t="inlineStr">
        <is>
          <t>2026-10-11</t>
        </is>
      </c>
      <c r="AH65" s="3" t="inlineStr"/>
      <c r="AI65" s="3" t="inlineStr"/>
      <c r="AJ65"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2026-10-01; the figure, its formula, inputs and refusal live in MK-NW-O-001 theBonds</t>
        </is>
      </c>
      <c r="AN65" s="3" t="inlineStr">
        <is>
          <t>Two bonds on 28 Sep 2026: a $25,000-face Treasury paying 4.5%, maturing 30 Sep 2029, worth $24,200 today; and a $10,000 Ally CD paying 5.05%, maturing 15 Mar 2027, worth its $10,000.
GIVES: $10,000
(the test re-runs this through MK-NW-O-001 theBonds on every build)</t>
        </is>
      </c>
      <c r="AO65" s="3" t="inlineStr">
        <is>
          <t>NOTHING OPEN</t>
        </is>
      </c>
    </row>
    <row r="66" ht="60" customHeight="1">
      <c r="A66" s="3" t="inlineStr">
        <is>
          <t>MK-NW-M-056</t>
        </is>
      </c>
      <c r="B66" s="3" t="inlineStr">
        <is>
          <t>Networth</t>
        </is>
      </c>
      <c r="C66" s="3" t="inlineStr">
        <is>
          <t>/bonds</t>
        </is>
      </c>
      <c r="D66" s="3" t="inlineStr">
        <is>
          <t>coupon</t>
        </is>
      </c>
      <c r="E66" s="3" t="inlineStr">
        <is>
          <t>coupon</t>
        </is>
      </c>
      <c r="F66" s="3" t="inlineStr">
        <is>
          <t>theBonds</t>
        </is>
      </c>
      <c r="G66" s="3" t="inlineStr">
        <is>
          <t>MK-NW-O-001</t>
        </is>
      </c>
      <c r="H66" s="3" t="inlineStr">
        <is>
          <t>its face value × its coupon rate</t>
        </is>
      </c>
      <c r="I66" s="3" t="inlineStr">
        <is>
          <t>its face value × its coupon rate</t>
        </is>
      </c>
      <c r="J66" s="3" t="inlineStr">
        <is>
          <t>MK-XS-I-001 account balance</t>
        </is>
      </c>
      <c r="K66" s="3" t="inlineStr">
        <is>
          <t>dollars, whole a year</t>
        </is>
      </c>
      <c r="L66" s="3" t="inlineStr">
        <is>
          <t>No coupon rate entered — the figure is left out rather than shown as $0.</t>
        </is>
      </c>
      <c r="M66" s="3" t="inlineStr">
        <is>
          <t>one bond</t>
        </is>
      </c>
      <c r="N66" s="3" t="inlineStr">
        <is>
          <t>a year</t>
        </is>
      </c>
      <c r="O66"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6" s="3" t="inlineStr">
        <is>
          <t>Declared by MK-NW-O-001 theBonds</t>
        </is>
      </c>
      <c r="Q66" s="3" t="inlineStr">
        <is>
          <t>IT IS PAID ON FACE, NOT ON VALUE. A $25,000 bond worth $24,200 still pays 4.5% of $25,000 — computing it on the market value understates the income.</t>
        </is>
      </c>
      <c r="R66" s="3" t="inlineStr">
        <is>
          <t>IT IS PAID ON FACE, NOT ON VALUE. A $25,000 bond worth $24,200 still pays 4.5% of $25,000 — computing it on the market value understates the income.</t>
        </is>
      </c>
      <c r="S66" s="3" t="inlineStr"/>
      <c r="T66" s="3" t="inlineStr">
        <is>
          <t>IT IS PAID ON FACE, NOT ON VALUE. A $25,000 bond worth $24,200 still pays 4.5% of $25,000 — computing it on the market value understates the income.</t>
        </is>
      </c>
      <c r="U66" s="3" t="inlineStr"/>
      <c r="V66" s="3" t="inlineStr"/>
      <c r="W66" s="3" t="inlineStr"/>
      <c r="X66" s="3" t="inlineStr"/>
      <c r="Y66" s="3" t="inlineStr"/>
      <c r="Z66" s="3" t="inlineStr">
        <is>
          <t>DECLARED IN THE CODE (rule 11) — printed from the door, not typed. RULED 2026-10-01</t>
        </is>
      </c>
      <c r="AA66" s="3" t="inlineStr"/>
      <c r="AB66" s="3" t="inlineStr"/>
      <c r="AC66" s="3" t="inlineStr"/>
      <c r="AD66" s="3" t="inlineStr"/>
      <c r="AE66" s="3" t="inlineStr"/>
      <c r="AF66" s="3" t="inlineStr">
        <is>
          <t>ACTIVE</t>
        </is>
      </c>
      <c r="AG66" s="3" t="inlineStr">
        <is>
          <t>2026-10-11</t>
        </is>
      </c>
      <c r="AH66" s="3" t="inlineStr"/>
      <c r="AI66" s="3" t="inlineStr"/>
      <c r="AJ66"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2026-10-01; the figure, its formula, inputs and refusal live in MK-NW-O-001 theBonds</t>
        </is>
      </c>
      <c r="AN66" s="3" t="inlineStr">
        <is>
          <t>Two bonds on 28 Sep 2026: a $25,000-face Treasury paying 4.5%, maturing 30 Sep 2029, worth $24,200 today; and a $10,000 Ally CD paying 5.05%, maturing 15 Mar 2027, worth its $10,000.
GIVES: $505/year
(the test re-runs this through MK-NW-O-001 theBonds on every build)</t>
        </is>
      </c>
      <c r="AO66" s="3" t="inlineStr">
        <is>
          <t>NOTHING OPEN</t>
        </is>
      </c>
    </row>
    <row r="67" ht="60" customHeight="1">
      <c r="A67" s="3" t="inlineStr">
        <is>
          <t>MK-NW-M-057</t>
        </is>
      </c>
      <c r="B67" s="3" t="inlineStr">
        <is>
          <t>Networth</t>
        </is>
      </c>
      <c r="C67" s="3" t="inlineStr">
        <is>
          <t>/bonds</t>
        </is>
      </c>
      <c r="D67" s="3" t="inlineStr">
        <is>
          <t>yield</t>
        </is>
      </c>
      <c r="E67" s="3" t="inlineStr">
        <is>
          <t>yield</t>
        </is>
      </c>
      <c r="F67" s="3" t="inlineStr">
        <is>
          <t>theBonds</t>
        </is>
      </c>
      <c r="G67" s="3" t="inlineStr">
        <is>
          <t>MK-NW-O-001</t>
        </is>
      </c>
      <c r="H67" s="3" t="inlineStr">
        <is>
          <t>its coupon a year ÷ its value today, less accrued interest where that was entered</t>
        </is>
      </c>
      <c r="I67" s="3" t="inlineStr">
        <is>
          <t>its coupon a year ÷ its value today, less accrued interest where that was entered</t>
        </is>
      </c>
      <c r="J67" s="3" t="inlineStr">
        <is>
          <t>MK-XS-I-001 account balance
MK-XS-I-065 accrued interest</t>
        </is>
      </c>
      <c r="K67" s="3" t="inlineStr">
        <is>
          <t>a percentage, two decimals</t>
        </is>
      </c>
      <c r="L67" s="3" t="inlineStr">
        <is>
          <t>— when there is no coupon rate or no value to divide by.</t>
        </is>
      </c>
      <c r="M67" s="3" t="inlineStr">
        <is>
          <t>one bond</t>
        </is>
      </c>
      <c r="N67" s="3" t="inlineStr">
        <is>
          <t>as of today</t>
        </is>
      </c>
      <c r="O67"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7" s="3" t="inlineStr">
        <is>
          <t>Declared by MK-NW-O-001 theBonds</t>
        </is>
      </c>
      <c r="Q67" s="3" t="inlineStr">
        <is>
          <t>WHERE ACCRUED INTEREST WAS NOT ENTERED the row says so beneath the figures rather than quietly leaving it in the price (his ruling, DEC-0280).</t>
        </is>
      </c>
      <c r="R67" s="3" t="inlineStr">
        <is>
          <t>WHERE ACCRUED INTEREST WAS NOT ENTERED the row says so beneath the figures rather than quietly leaving it in the price (his ruling, DEC-0280).</t>
        </is>
      </c>
      <c r="S67" s="3" t="inlineStr"/>
      <c r="T67" s="3" t="inlineStr">
        <is>
          <t>WHERE ACCRUED INTEREST WAS NOT ENTERED the row says so beneath the figures rather than quietly leaving it in the price (his ruling, DEC-0280).</t>
        </is>
      </c>
      <c r="U67" s="3" t="inlineStr"/>
      <c r="V67" s="3" t="inlineStr"/>
      <c r="W67" s="3" t="inlineStr"/>
      <c r="X67" s="3" t="inlineStr"/>
      <c r="Y67" s="3" t="inlineStr"/>
      <c r="Z67" s="3" t="inlineStr">
        <is>
          <t>DECLARED IN THE CODE (rule 11) — printed from the door, not typed. RULED 2026-10-01</t>
        </is>
      </c>
      <c r="AA67" s="3" t="inlineStr"/>
      <c r="AB67" s="3" t="inlineStr"/>
      <c r="AC67" s="3" t="inlineStr"/>
      <c r="AD67" s="3" t="inlineStr"/>
      <c r="AE67" s="3" t="inlineStr"/>
      <c r="AF67" s="3" t="inlineStr">
        <is>
          <t>ACTIVE</t>
        </is>
      </c>
      <c r="AG67" s="3" t="inlineStr">
        <is>
          <t>2026-10-11</t>
        </is>
      </c>
      <c r="AH67" s="3" t="inlineStr"/>
      <c r="AI67" s="3" t="inlineStr"/>
      <c r="AJ67"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2026-10-01; the figure, its formula, inputs and refusal live in MK-NW-O-001 theBonds</t>
        </is>
      </c>
      <c r="AN67" s="3" t="inlineStr">
        <is>
          <t>Two bonds on 28 Sep 2026: a $25,000-face Treasury paying 4.5%, maturing 30 Sep 2029, worth $24,200 today; and a $10,000 Ally CD paying 5.05%, maturing 15 Mar 2027, worth its $10,000.
GIVES: 5.05%
(the test re-runs this through MK-NW-O-001 theBonds on every build)</t>
        </is>
      </c>
      <c r="AO67" s="3" t="inlineStr">
        <is>
          <t>NOTHING OPEN</t>
        </is>
      </c>
    </row>
    <row r="68" ht="60" customHeight="1">
      <c r="A68" s="3" t="inlineStr">
        <is>
          <t>MK-NW-M-058</t>
        </is>
      </c>
      <c r="B68" s="3" t="inlineStr">
        <is>
          <t>Networth</t>
        </is>
      </c>
      <c r="C68" s="3" t="inlineStr">
        <is>
          <t>/bonds</t>
        </is>
      </c>
      <c r="D68" s="3" t="inlineStr">
        <is>
          <t>Yield to maturity</t>
        </is>
      </c>
      <c r="E68" s="3" t="inlineStr">
        <is>
          <t>yield_to_maturity</t>
        </is>
      </c>
      <c r="F68" s="3" t="inlineStr">
        <is>
          <t>theBonds</t>
        </is>
      </c>
      <c r="G68" s="3" t="inlineStr">
        <is>
          <t>MK-NW-O-001</t>
        </is>
      </c>
      <c r="H68" s="3" t="inlineStr">
        <is>
          <t>the coupon a year plus (face − value) spread over the years left, ÷ the value today</t>
        </is>
      </c>
      <c r="I68" s="3" t="inlineStr">
        <is>
          <t>the coupon a year plus (face − value) spread over the years left, ÷ the value today</t>
        </is>
      </c>
      <c r="J68" s="3" t="inlineStr">
        <is>
          <t>MK-XS-I-001 account balance</t>
        </is>
      </c>
      <c r="K68" s="3" t="inlineStr">
        <is>
          <t>a percentage, two decimals</t>
        </is>
      </c>
      <c r="L68" s="3" t="inlineStr">
        <is>
          <t>— with no maturity date there are no years to spread the difference over.</t>
        </is>
      </c>
      <c r="M68" s="3" t="inlineStr">
        <is>
          <t>one bond</t>
        </is>
      </c>
      <c r="N68" s="3" t="inlineStr">
        <is>
          <t>as of today</t>
        </is>
      </c>
      <c r="O68"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8" s="3" t="inlineStr">
        <is>
          <t>Declared by MK-NW-O-001 theBonds</t>
        </is>
      </c>
      <c r="Q68" s="3" t="inlineStr">
        <is>
          <t>AN ESTIMATE, and the foot of the screen says so in those words.
DEC-3837, 2026-10-10: a CD bought from the bank yields its interest rate; a CD bought through a broker is priced like a bond, its yield solved from its face value, rate, value and maturity date. A CD whose answer was never given is read as bought from the bank.</t>
        </is>
      </c>
      <c r="R68" s="3" t="inlineStr">
        <is>
          <t>AN ESTIMATE, and the foot of the screen says so in those words.
DEC-3837, 2026-10-10: a CD bought from the bank yields its interest rate; a CD bought through a broker is priced like a bond, its yield solved from its face value, rate, value and maturity date. A CD whose answer was never given is read as bought from the bank.</t>
        </is>
      </c>
      <c r="S68" s="3" t="inlineStr"/>
      <c r="T68" s="3" t="inlineStr">
        <is>
          <t>AN ESTIMATE, and the foot of the screen says so in those words.
DEC-3837, 2026-10-10: a CD bought from the bank yields its interest rate; a CD bought through a broker is priced like a bond, its yield solved from its face value, rate, value and maturity date. A CD whose answer was never given is read as bought from the bank.</t>
        </is>
      </c>
      <c r="U68" s="3" t="inlineStr"/>
      <c r="V68" s="3" t="inlineStr"/>
      <c r="W68" s="3" t="inlineStr"/>
      <c r="X68" s="3" t="inlineStr"/>
      <c r="Y68" s="3" t="inlineStr"/>
      <c r="Z68" s="3" t="inlineStr">
        <is>
          <t>DECLARED IN THE CODE (rule 11) — printed from the door, not typed. RULED 2026-10-01</t>
        </is>
      </c>
      <c r="AA68" s="3" t="inlineStr"/>
      <c r="AB68" s="3" t="inlineStr"/>
      <c r="AC68" s="3" t="inlineStr"/>
      <c r="AD68" s="3" t="inlineStr"/>
      <c r="AE68" s="3" t="inlineStr"/>
      <c r="AF68" s="3" t="inlineStr">
        <is>
          <t>ACTIVE</t>
        </is>
      </c>
      <c r="AG68" s="3" t="inlineStr">
        <is>
          <t>2026-10-11</t>
        </is>
      </c>
      <c r="AH68" s="3" t="inlineStr"/>
      <c r="AI68" s="3" t="inlineStr"/>
      <c r="AJ68"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2026-10-01; the figure, its formula, inputs and refusal live in MK-NW-O-001 theBonds</t>
        </is>
      </c>
      <c r="AN68" s="3" t="inlineStr">
        <is>
          <t>Two bonds on 28 Sep 2026: a $25,000-face Treasury paying 4.5%, maturing 30 Sep 2029, worth $24,200 today; and a $10,000 Ally CD paying 5.05%, maturing 15 Mar 2027, worth its $10,000.
GIVES: 5.05%
(the test re-runs this through MK-NW-O-001 theBonds on every build)</t>
        </is>
      </c>
      <c r="AO68" s="3" t="inlineStr">
        <is>
          <t>NOTHING OPEN</t>
        </is>
      </c>
    </row>
    <row r="69" ht="60" customHeight="1">
      <c r="A69" s="3" t="inlineStr">
        <is>
          <t>MK-NW-M-059</t>
        </is>
      </c>
      <c r="B69" s="3" t="inlineStr">
        <is>
          <t>Networth</t>
        </is>
      </c>
      <c r="C69" s="3" t="inlineStr">
        <is>
          <t>/holding-detail</t>
        </is>
      </c>
      <c r="D69" s="3" t="inlineStr">
        <is>
          <t>Change since purchase</t>
        </is>
      </c>
      <c r="E69" s="3" t="inlineStr">
        <is>
          <t>change_since_purchase</t>
        </is>
      </c>
      <c r="F69" s="3" t="inlineStr">
        <is>
          <t>theHolding</t>
        </is>
      </c>
      <c r="G69" s="3" t="inlineStr">
        <is>
          <t>MK-NW-O-006</t>
        </is>
      </c>
      <c r="H69" s="3" t="inlineStr">
        <is>
          <t>what it is worth today − what was paid for it</t>
        </is>
      </c>
      <c r="I69" s="3" t="inlineStr">
        <is>
          <t>what it is worth today − what was paid for it</t>
        </is>
      </c>
      <c r="J69" s="3" t="inlineStr">
        <is>
          <t>MK-XS-I-001 account balance</t>
        </is>
      </c>
      <c r="K69" s="3" t="inlineStr">
        <is>
          <t>dollars, whole</t>
        </is>
      </c>
      <c r="L69" s="3" t="inlineStr">
        <is>
          <t>No price — the row is left out, and the screen says what was paid instead.</t>
        </is>
      </c>
      <c r="M69" s="3" t="inlineStr">
        <is>
          <t>one holding</t>
        </is>
      </c>
      <c r="N69" s="3" t="inlineStr">
        <is>
          <t>as of today</t>
        </is>
      </c>
      <c r="O69"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9" s="3" t="inlineStr">
        <is>
          <t>Declared by MK-NW-O-006 theHolding</t>
        </is>
      </c>
      <c r="Q69"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R69"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S69" s="3" t="inlineStr"/>
      <c r="T69"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U69" s="3" t="inlineStr"/>
      <c r="V69" s="3" t="inlineStr"/>
      <c r="W69" s="3" t="inlineStr"/>
      <c r="X69" s="3" t="inlineStr"/>
      <c r="Y69" s="3" t="inlineStr"/>
      <c r="Z69" s="3" t="inlineStr">
        <is>
          <t>DECLARED IN THE CODE (rule 11) — printed from the door, not typed. RULED 2026-10-01</t>
        </is>
      </c>
      <c r="AA69" s="3" t="inlineStr"/>
      <c r="AB69" s="3" t="inlineStr"/>
      <c r="AC69" s="3" t="inlineStr"/>
      <c r="AD69" s="3" t="inlineStr"/>
      <c r="AE69" s="3" t="inlineStr"/>
      <c r="AF69" s="3" t="inlineStr">
        <is>
          <t>ACTIVE</t>
        </is>
      </c>
      <c r="AG69" s="3" t="inlineStr">
        <is>
          <t>2026-10-11</t>
        </is>
      </c>
      <c r="AH69" s="3" t="inlineStr"/>
      <c r="AI69" s="3" t="inlineStr"/>
      <c r="AJ69"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2026-10-01; the figure, its formula, inputs and refusal live in MK-NW-O-006 theHolding</t>
        </is>
      </c>
      <c r="AN69" s="3" t="inlineStr">
        <is>
          <t>140 shares of VTI on 28 Sep 2026, priced at $290: 100 bought at $210 in Mar 2023 and 40 at $265 in Jun 2026. Dividends of $420 and $405 this year; 20 shares bought at $200 were sold at $285.
GIVES: $9,000
(the test re-runs this through MK-NW-O-006 theHolding on every build)</t>
        </is>
      </c>
      <c r="AO69" s="3" t="inlineStr">
        <is>
          <t>NOTHING OPEN</t>
        </is>
      </c>
    </row>
    <row r="70" ht="60" customHeight="1">
      <c r="A70" s="3" t="inlineStr">
        <is>
          <t>MK-NW-M-060</t>
        </is>
      </c>
      <c r="B70" s="3" t="inlineStr">
        <is>
          <t>Networth</t>
        </is>
      </c>
      <c r="C70" s="3" t="inlineStr">
        <is>
          <t>/holding-detail</t>
        </is>
      </c>
      <c r="D70" s="3" t="inlineStr">
        <is>
          <t>up</t>
        </is>
      </c>
      <c r="E70" s="3" t="inlineStr">
        <is>
          <t>up</t>
        </is>
      </c>
      <c r="F70" s="3" t="inlineStr">
        <is>
          <t>theHolding</t>
        </is>
      </c>
      <c r="G70" s="3" t="inlineStr">
        <is>
          <t>MK-NW-O-006</t>
        </is>
      </c>
      <c r="H70" s="3" t="inlineStr">
        <is>
          <t>the last close − the close before it</t>
        </is>
      </c>
      <c r="I70" s="3" t="inlineStr">
        <is>
          <t>the last close − the close before it</t>
        </is>
      </c>
      <c r="J70" s="3" t="inlineStr">
        <is>
          <t>MK-XS-I-006 price fetched at</t>
        </is>
      </c>
      <c r="K70" s="3" t="inlineStr">
        <is>
          <t>dollars, two decimals</t>
        </is>
      </c>
      <c r="L70" s="3" t="inlineStr">
        <is>
          <t>Fewer than two closes known, or a previous close of zero — the line is not drawn.</t>
        </is>
      </c>
      <c r="M70" s="3" t="inlineStr">
        <is>
          <t>one holding</t>
        </is>
      </c>
      <c r="N70" s="3" t="inlineStr">
        <is>
          <t>as of today</t>
        </is>
      </c>
      <c r="O70"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70" s="3" t="inlineStr">
        <is>
          <t>Declared by MK-NW-O-006 theHolding</t>
        </is>
      </c>
      <c r="Q70"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R70"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S70" s="3" t="inlineStr"/>
      <c r="T70"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U70" s="3" t="inlineStr"/>
      <c r="V70" s="3" t="inlineStr"/>
      <c r="W70" s="3" t="inlineStr"/>
      <c r="X70" s="3" t="inlineStr"/>
      <c r="Y70" s="3" t="inlineStr"/>
      <c r="Z70" s="3" t="inlineStr">
        <is>
          <t>DECLARED IN THE CODE (rule 11) — printed from the door, not typed. RULED 2026-10-01</t>
        </is>
      </c>
      <c r="AA70" s="3" t="inlineStr"/>
      <c r="AB70" s="3" t="inlineStr"/>
      <c r="AC70" s="3" t="inlineStr"/>
      <c r="AD70" s="3" t="inlineStr"/>
      <c r="AE70" s="3" t="inlineStr"/>
      <c r="AF70" s="3" t="inlineStr">
        <is>
          <t>ACTIVE</t>
        </is>
      </c>
      <c r="AG70" s="3" t="inlineStr">
        <is>
          <t>2026-10-11</t>
        </is>
      </c>
      <c r="AH70" s="3" t="inlineStr"/>
      <c r="AI70" s="3" t="inlineStr"/>
      <c r="AJ70"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2026-10-01; the figure, its formula, inputs and refusal live in MK-NW-O-006 theHolding</t>
        </is>
      </c>
      <c r="AN70" s="3" t="inlineStr">
        <is>
          <t>140 shares of VTI on 28 Sep 2026, priced at $290: 100 bought at $210 in Mar 2023 and 40 at $265 in Jun 2026. Dividends of $420 and $405 this year; 20 shares bought at $200 were sold at $285.
GIVES: $2.31
(the test re-runs this through MK-NW-O-006 theHolding on every build)</t>
        </is>
      </c>
      <c r="AO70" s="3" t="inlineStr">
        <is>
          <t>NOTHING OPEN</t>
        </is>
      </c>
    </row>
    <row r="71" ht="60" customHeight="1">
      <c r="A71" s="3" t="inlineStr">
        <is>
          <t>MK-NW-M-061</t>
        </is>
      </c>
      <c r="B71" s="3" t="inlineStr">
        <is>
          <t>Networth</t>
        </is>
      </c>
      <c r="C71" s="3" t="inlineStr">
        <is>
          <t>/holding-detail · /invest</t>
        </is>
      </c>
      <c r="D71" s="3" t="inlineStr">
        <is>
          <t>sh @</t>
        </is>
      </c>
      <c r="E71" s="3" t="inlineStr">
        <is>
          <t>sh</t>
        </is>
      </c>
      <c r="F71" s="3" t="inlineStr">
        <is>
          <t>theHolding</t>
        </is>
      </c>
      <c r="G71" s="3" t="inlineStr">
        <is>
          <t>MK-NW-O-006</t>
        </is>
      </c>
      <c r="H71" s="3" t="inlineStr">
        <is>
          <t>the cost per share as recorded on that purchase</t>
        </is>
      </c>
      <c r="I71" s="3" t="inlineStr">
        <is>
          <t>the cost per share as recorded on that purchase</t>
        </is>
      </c>
      <c r="J71" s="3" t="inlineStr">
        <is>
          <t>MK-XS-I-001 account balance</t>
        </is>
      </c>
      <c r="K71" s="3" t="inlineStr">
        <is>
          <t>dollars, two decimals</t>
        </is>
      </c>
      <c r="L71" s="3" t="inlineStr">
        <is>
          <t>No purchases recorded — the section is not drawn.</t>
        </is>
      </c>
      <c r="M71" s="3" t="inlineStr">
        <is>
          <t>one purchase</t>
        </is>
      </c>
      <c r="N71" s="3" t="inlineStr">
        <is>
          <t>as of today</t>
        </is>
      </c>
      <c r="O71"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71" s="3" t="inlineStr">
        <is>
          <t>Declared by MK-NW-O-006 theHolding</t>
        </is>
      </c>
      <c r="Q71" s="3" t="inlineStr">
        <is>
          <t>EACH PURCHASE KEEPS ITS OWN PRICE. They are what the average above them is made of, so a person can check the average rather than having to trust it.</t>
        </is>
      </c>
      <c r="R71" s="3" t="inlineStr">
        <is>
          <t>EACH PURCHASE KEEPS ITS OWN PRICE. They are what the average above them is made of, so a person can check the average rather than having to trust it.</t>
        </is>
      </c>
      <c r="S71" s="3" t="inlineStr"/>
      <c r="T71" s="3" t="inlineStr">
        <is>
          <t>EACH PURCHASE KEEPS ITS OWN PRICE. They are what the average above them is made of, so a person can check the average rather than having to trust it.</t>
        </is>
      </c>
      <c r="U71" s="3" t="inlineStr"/>
      <c r="V71" s="3" t="inlineStr"/>
      <c r="W71" s="3" t="inlineStr"/>
      <c r="X71" s="3" t="inlineStr"/>
      <c r="Y71" s="3" t="inlineStr"/>
      <c r="Z71" s="3" t="inlineStr">
        <is>
          <t>DECLARED IN THE CODE (rule 11) — printed from the door, not typed. RULED 2026-10-01</t>
        </is>
      </c>
      <c r="AA71" s="3" t="inlineStr"/>
      <c r="AB71" s="3" t="inlineStr"/>
      <c r="AC71" s="3" t="inlineStr"/>
      <c r="AD71" s="3" t="inlineStr"/>
      <c r="AE71" s="3" t="inlineStr"/>
      <c r="AF71" s="3" t="inlineStr">
        <is>
          <t>ACTIVE</t>
        </is>
      </c>
      <c r="AG71" s="3" t="inlineStr">
        <is>
          <t>2026-10-11</t>
        </is>
      </c>
      <c r="AH71" s="3" t="inlineStr"/>
      <c r="AI71" s="3" t="inlineStr"/>
      <c r="AJ71"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2026-10-01; the figure, its formula, inputs and refusal live in MK-NW-O-006 theHolding</t>
        </is>
      </c>
      <c r="AN71" s="3" t="inlineStr">
        <is>
          <t>140 shares of VTI on 28 Sep 2026, priced at $290: 100 bought at $210 in Mar 2023 and 40 at $265 in Jun 2026. Dividends of $420 and $405 this year; 20 shares bought at $200 were sold at $285.
GIVES: $210.00
(the test re-runs this through MK-NW-O-006 theHolding on every build)</t>
        </is>
      </c>
      <c r="AO71" s="3" t="inlineStr">
        <is>
          <t>NOTHING OPEN</t>
        </is>
      </c>
    </row>
    <row r="72" ht="60" customHeight="1">
      <c r="A72" s="3" t="inlineStr">
        <is>
          <t>MK-NW-M-062</t>
        </is>
      </c>
      <c r="B72" s="3" t="inlineStr">
        <is>
          <t>Networth</t>
        </is>
      </c>
      <c r="C72" s="3" t="inlineStr">
        <is>
          <t>/account-detail · /invest</t>
        </is>
      </c>
      <c r="D72" s="3" t="inlineStr">
        <is>
          <t>what one record moved</t>
        </is>
      </c>
      <c r="E72" s="3" t="inlineStr">
        <is>
          <t>what_one_record_moved</t>
        </is>
      </c>
      <c r="F72" s="3" t="inlineStr">
        <is>
          <t>theAccount</t>
        </is>
      </c>
      <c r="G72" s="3" t="inlineStr">
        <is>
          <t>MK-NW-O-002</t>
        </is>
      </c>
      <c r="H72" s="3" t="inlineStr">
        <is>
          <t>the amount on the record, positive where it came in and negative where it went out</t>
        </is>
      </c>
      <c r="I72" s="3" t="inlineStr">
        <is>
          <t>the amount on the record, positive where it came in and negative where it went out</t>
        </is>
      </c>
      <c r="J72" s="3" t="inlineStr">
        <is>
          <t>MK-NW-I-004 the activity records</t>
        </is>
      </c>
      <c r="K72" s="3" t="inlineStr">
        <is>
          <t>dollars, whole</t>
        </is>
      </c>
      <c r="L72" s="3" t="inlineStr">
        <is>
          <t>No records yet — the section keeps its heading and says so.</t>
        </is>
      </c>
      <c r="M72" s="3" t="inlineStr">
        <is>
          <t>one record</t>
        </is>
      </c>
      <c r="N72" s="3" t="inlineStr">
        <is>
          <t>as of today</t>
        </is>
      </c>
      <c r="O72"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72" s="3" t="inlineStr">
        <is>
          <t>Declared by MK-NW-O-002 theAccount</t>
        </is>
      </c>
      <c r="Q72"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R72"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S72" s="3" t="inlineStr"/>
      <c r="T72"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U72" s="3" t="inlineStr"/>
      <c r="V72" s="3" t="inlineStr"/>
      <c r="W72" s="3" t="inlineStr"/>
      <c r="X72" s="3" t="inlineStr"/>
      <c r="Y72" s="3" t="inlineStr"/>
      <c r="Z72" s="3" t="inlineStr">
        <is>
          <t>DECLARED IN THE CODE (rule 11) — printed from the door, not typed. RULED 2026-10-01</t>
        </is>
      </c>
      <c r="AA72" s="3" t="inlineStr"/>
      <c r="AB72" s="3" t="inlineStr"/>
      <c r="AC72" s="3" t="inlineStr"/>
      <c r="AD72" s="3" t="inlineStr"/>
      <c r="AE72" s="3" t="inlineStr"/>
      <c r="AF72" s="3" t="inlineStr">
        <is>
          <t>ACTIVE</t>
        </is>
      </c>
      <c r="AG72" s="3" t="inlineStr">
        <is>
          <t>2026-10-11</t>
        </is>
      </c>
      <c r="AH72" s="3" t="inlineStr"/>
      <c r="AI72" s="3" t="inlineStr"/>
      <c r="AJ72"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2026-10-01; the figure, its formula, inputs and refusal live in MK-NW-O-002 theAccount</t>
        </is>
      </c>
      <c r="AN72" s="3" t="inlineStr">
        <is>
          <t>A linked Fidelity brokerage worth $46,600: $6,000 in cash and 140 shares of VTI marked at $290 ($40,600). Its records: dividends of $420 and $405, a buy of 20 shares at $200, a sell of 20 at $285.
GIVES: $420
(the test re-runs this through MK-NW-O-002 theAccount on every build)</t>
        </is>
      </c>
      <c r="AO72" s="3" t="inlineStr">
        <is>
          <t>NOTHING OPEN</t>
        </is>
      </c>
    </row>
    <row r="73" ht="60" customHeight="1">
      <c r="A73" s="3" t="inlineStr">
        <is>
          <t>MK-NW-M-063</t>
        </is>
      </c>
      <c r="B73" s="3" t="inlineStr">
        <is>
          <t>Networth</t>
        </is>
      </c>
      <c r="C73" s="3" t="inlineStr">
        <is>
          <t>/analytics</t>
        </is>
      </c>
      <c r="D73" s="3" t="inlineStr">
        <is>
          <t>what is inside this institution</t>
        </is>
      </c>
      <c r="E73" s="3" t="inlineStr">
        <is>
          <t>what_is_inside_this_institution</t>
        </is>
      </c>
      <c r="F73" s="3" t="inlineStr">
        <is>
          <t>theNetWorth</t>
        </is>
      </c>
      <c r="G73" s="3" t="inlineStr">
        <is>
          <t>MK-NW-O-003</t>
        </is>
      </c>
      <c r="H73" s="3" t="inlineStr">
        <is>
          <t>the accounts at this institution, added up within each kind</t>
        </is>
      </c>
      <c r="I73" s="3" t="inlineStr">
        <is>
          <t>the accounts at this institution, added up within each kind</t>
        </is>
      </c>
      <c r="J73" s="3" t="inlineStr">
        <is>
          <t>MK-XS-I-001 account balance</t>
        </is>
      </c>
      <c r="K73" s="3" t="inlineStr">
        <is>
          <t>money-compact</t>
        </is>
      </c>
      <c r="L73" s="3" t="inlineStr">
        <is>
          <t>One kind only — the line is left out, because a roll-up of one thing is just the thing.</t>
        </is>
      </c>
      <c r="M73" s="3" t="inlineStr">
        <is>
          <t>one class in one institution</t>
        </is>
      </c>
      <c r="N73" s="3" t="inlineStr">
        <is>
          <t>as of today</t>
        </is>
      </c>
      <c r="O7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73" s="3" t="inlineStr">
        <is>
          <t>Declared by MK-NW-O-003 theNetWorth</t>
        </is>
      </c>
      <c r="Q73"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R73"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S73" s="3" t="inlineStr"/>
      <c r="T73"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U73" s="3" t="inlineStr"/>
      <c r="V73" s="3" t="inlineStr"/>
      <c r="W73" s="3" t="inlineStr"/>
      <c r="X73" s="3" t="inlineStr"/>
      <c r="Y73" s="3" t="inlineStr"/>
      <c r="Z73" s="3" t="inlineStr">
        <is>
          <t>DECLARED IN THE CODE (rule 11) — printed from the door, not typed. RULED 2026-10-01</t>
        </is>
      </c>
      <c r="AA73" s="3" t="inlineStr"/>
      <c r="AB73" s="3" t="inlineStr"/>
      <c r="AC73" s="3" t="inlineStr"/>
      <c r="AD73" s="3" t="inlineStr"/>
      <c r="AE73" s="3" t="inlineStr"/>
      <c r="AF73" s="3" t="inlineStr">
        <is>
          <t>ACTIVE</t>
        </is>
      </c>
      <c r="AG73" s="3" t="inlineStr">
        <is>
          <t>2026-10-11</t>
        </is>
      </c>
      <c r="AH73" s="3" t="inlineStr"/>
      <c r="AI73" s="3" t="inlineStr"/>
      <c r="AJ73"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2026-10-01; the figure, its formula, inputs and refusal live in MK-NW-O-003 theNetWorth</t>
        </is>
      </c>
      <c r="AN73"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$18K
(the test re-runs this through MK-NW-O-003 theNetWorth on every build)</t>
        </is>
      </c>
      <c r="AO73" s="3" t="inlineStr">
        <is>
          <t>NOTHING OPEN</t>
        </is>
      </c>
    </row>
    <row r="74" ht="60" customHeight="1">
      <c r="A74" s="3" t="inlineStr">
        <is>
          <t>MK-NW-M-064</t>
        </is>
      </c>
      <c r="B74" s="3" t="inlineStr">
        <is>
          <t>Networth</t>
        </is>
      </c>
      <c r="C74" s="3" t="inlineStr">
        <is>
          <t>/analytics · /insights · /stress-test · /jobsafety</t>
        </is>
      </c>
      <c r="D74" s="3" t="inlineStr">
        <is>
          <t>rent from your property, which keeps arriving</t>
        </is>
      </c>
      <c r="E74" s="3" t="inlineStr">
        <is>
          <t>rent_from_your_property_which_keeps_arri</t>
        </is>
      </c>
      <c r="F74" s="3" t="inlineStr">
        <is>
          <t>theEmergencyFund</t>
        </is>
      </c>
      <c r="G74" s="3" t="inlineStr">
        <is>
          <t>MK-NW-O-004</t>
        </is>
      </c>
      <c r="H74" s="3" t="inlineStr">
        <is>
          <t>the Rent row of your Income summary: rent less what the property costs to run, less the calculated tax when the tax rate is calculated</t>
        </is>
      </c>
      <c r="I74" s="3" t="inlineStr">
        <is>
          <t>the Rent row of your Income summary: rent less what the property costs to run, less the calculated tax when the tax rate is calculated</t>
        </is>
      </c>
      <c r="J74" s="3" t="inlineStr">
        <is>
          <t>MK-CF-I-007 rental income</t>
        </is>
      </c>
      <c r="K74" s="3" t="inlineStr">
        <is>
          <t>dollars, whole a month</t>
        </is>
      </c>
      <c r="L74" s="3" t="inlineStr">
        <is>
          <t>No rental entered — the line does not appear at all.</t>
        </is>
      </c>
      <c r="M74" s="3" t="inlineStr">
        <is>
          <t>the household</t>
        </is>
      </c>
      <c r="N74" s="3" t="inlineStr">
        <is>
          <t>a month</t>
        </is>
      </c>
      <c r="O74"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74" s="3" t="inlineStr">
        <is>
          <t>Declared by MK-NW-O-004 theEmergencyFund</t>
        </is>
      </c>
      <c r="Q74" s="3" t="inlineStr">
        <is>
          <t>FOUNDER 2026-10-04: "add it to the cash as losing job does not mean loosing rental income too."
It is the same figure as the Income summary's Rent row, read from that function, so the two screens cannot show two rents.</t>
        </is>
      </c>
      <c r="R74" s="3" t="inlineStr">
        <is>
          <t>FOUNDER 2026-10-04: "add it to the cash as losing job does not mean loosing rental income too."
It is the same figure as the Income summary's Rent row, read from that function, so the two screens cannot show two rents.</t>
        </is>
      </c>
      <c r="S74" s="3" t="inlineStr"/>
      <c r="T74" s="3" t="inlineStr">
        <is>
          <t>FOUNDER 2026-10-04: "add it to the cash as losing job does not mean loosing rental income too."
It is the same figure as the Income summary's Rent row, read from that function, so the two screens cannot show two rents.</t>
        </is>
      </c>
      <c r="U74" s="3" t="inlineStr"/>
      <c r="V74" s="3" t="inlineStr"/>
      <c r="W74" s="3" t="inlineStr"/>
      <c r="X74" s="3" t="inlineStr"/>
      <c r="Y74" s="3" t="inlineStr"/>
      <c r="Z74" s="3" t="inlineStr">
        <is>
          <t>DECLARED IN THE CODE (rule 11) — printed from the door, not typed. RULED 2026-10-04</t>
        </is>
      </c>
      <c r="AA74" s="3" t="inlineStr"/>
      <c r="AB74" s="3" t="inlineStr"/>
      <c r="AC74" s="3" t="inlineStr"/>
      <c r="AD74" s="3" t="inlineStr"/>
      <c r="AE74" s="3" t="inlineStr"/>
      <c r="AF74" s="3" t="inlineStr">
        <is>
          <t>ACTIVE</t>
        </is>
      </c>
      <c r="AG74" s="3" t="inlineStr">
        <is>
          <t>2026-10-11</t>
        </is>
      </c>
      <c r="AH74" s="3" t="inlineStr"/>
      <c r="AI74" s="3" t="inlineStr"/>
      <c r="AJ74"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4" s="3" t="inlineStr">
        <is>
          <t>(the claim now stands in 'Inputs it needs' until the row is approved)</t>
        </is>
      </c>
      <c r="AL74" s="3" t="inlineStr"/>
      <c r="AM74" s="3" t="inlineStr">
        <is>
          <t>TESTED, NOT VERIFIED — you ruled on this row 2026-10-04; the figure, its formula, inputs and refusal live in MK-NW-O-004 theEmergencyFund</t>
        </is>
      </c>
      <c r="AN7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And a rental house: $2,000/month of rent, $500/month to run, less $190/year of calculated tax on it, which is $15.83/month.
GIVES: $1,484/month
(the test re-runs this through MK-NW-O-004 theEmergencyFund on every build)</t>
        </is>
      </c>
      <c r="AO74" s="3" t="inlineStr">
        <is>
          <t>NOTHING OPEN</t>
        </is>
      </c>
    </row>
  </sheetData>
  <autoFilter ref="A1:AO7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2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Performance</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Performance</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Performance</t>
        </is>
      </c>
      <c r="C4" s="3" t="inlineStr">
        <is>
          <t>/bonds</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Performance</t>
        </is>
      </c>
      <c r="C5" s="3" t="inlineStr">
        <is>
          <t>/holding-detail</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Performance</t>
        </is>
      </c>
      <c r="C6" s="3" t="inlineStr">
        <is>
          <t>/itemize</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Performance</t>
        </is>
      </c>
      <c r="C7" s="3" t="inlineStr">
        <is>
          <t>/look-back</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60" customHeight="1">
      <c r="A8" s="3" t="inlineStr">
        <is>
          <t>MK-PF-M-001</t>
        </is>
      </c>
      <c r="B8" s="3" t="inlineStr">
        <is>
          <t>Performance</t>
        </is>
      </c>
      <c r="C8" s="3" t="inlineStr">
        <is>
          <t>/invest</t>
        </is>
      </c>
      <c r="D8" s="3" t="inlineStr">
        <is>
          <t>Ending value</t>
        </is>
      </c>
      <c r="E8" s="3" t="inlineStr">
        <is>
          <t>ending_value</t>
        </is>
      </c>
      <c r="F8" s="3" t="inlineStr">
        <is>
          <t>thePerformance</t>
        </is>
      </c>
      <c r="G8" s="3" t="inlineStr">
        <is>
          <t>MK-ST-F-031</t>
        </is>
      </c>
      <c r="H8" s="3" t="inlineStr">
        <is>
          <t>ending value = Σ over the accounts in scope of (snapshot value on the end date)</t>
        </is>
      </c>
      <c r="I8" s="3" t="inlineStr">
        <is>
          <t>the sum of every investment account’s value today</t>
        </is>
      </c>
      <c r="J8" s="3" t="inlineStr">
        <is>
          <t>MK-NW-I-001 your accounts
MK-NW-I-005 the price feed</t>
        </is>
      </c>
      <c r="K8" s="3" t="inlineStr">
        <is>
          <t>dollars, whole</t>
        </is>
      </c>
      <c r="L8" s="3" t="inlineStr">
        <is>
          <t>Nothing invested yet.</t>
        </is>
      </c>
      <c r="M8" s="3" t="inlineStr">
        <is>
          <t>one figure per household</t>
        </is>
      </c>
      <c r="N8" s="3" t="inlineStr">
        <is>
          <t>as of today</t>
        </is>
      </c>
      <c r="O8" s="3" t="inlineStr">
        <is>
          <t>1. MK-ST-F-083 (accountValuesOn) → Map&lt;string, number&gt;
2. MK-ST-F-056 (has) → NOT DECLARED — the code does not say what it gives back
3. MK-ST-F-033 (onOrBefore) → T | null</t>
        </is>
      </c>
      <c r="P8" s="3" t="inlineStr">
        <is>
          <t>Declared by MK-NW-O-008 thePerformance</t>
        </is>
      </c>
      <c r="Q8" s="3" t="inlineStr">
        <is>
          <t>NONE RECORDED — the declaration names none.</t>
        </is>
      </c>
      <c r="R8" s="3" t="inlineStr">
        <is>
          <t>NONE RECORDED — the declaration names none.</t>
        </is>
      </c>
      <c r="S8" s="3" t="inlineStr"/>
      <c r="T8" s="3" t="inlineStr">
        <is>
          <t>NONE RECORDED — the declaration names none.</t>
        </is>
      </c>
      <c r="U8" s="3" t="inlineStr"/>
      <c r="V8" s="3" t="inlineStr"/>
      <c r="W8" s="3" t="inlineStr"/>
      <c r="X8" s="3" t="inlineStr"/>
      <c r="Y8" s="3" t="inlineStr"/>
      <c r="Z8" s="3" t="inlineStr">
        <is>
          <t>DECLARED IN THE CODE (rule 11) — printed from the door, not typed. RULED 2026-09-27</t>
        </is>
      </c>
      <c r="AA8" s="3" t="inlineStr"/>
      <c r="AB8" s="3" t="inlineStr"/>
      <c r="AC8" s="3" t="inlineStr"/>
      <c r="AD8" s="3" t="inlineStr"/>
      <c r="AE8" s="3" t="inlineStr"/>
      <c r="AF8" s="3" t="inlineStr">
        <is>
          <t>ACTIVE</t>
        </is>
      </c>
      <c r="AG8" s="3" t="inlineStr">
        <is>
          <t>2026-10-11</t>
        </is>
      </c>
      <c r="AH8" s="3" t="inlineStr"/>
      <c r="AI8" s="3" t="inlineStr"/>
      <c r="AJ8"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MK-NW-O-008 thePerformance</t>
        </is>
      </c>
      <c r="AN8" s="3" t="inlineStr">
        <is>
          <t>An account worth $30,000 on 31 Dec 2025 (100 VTI at $260 plus $4,000 cash), $38,400 at the close of 1 Apr — the day $6,000 was paid in — and $46,600 on 28 Sep 2026, with $825 of dividends received.
GIVES: $46,600
(the test re-runs this through MK-NW-O-008 thePerformance on every build)</t>
        </is>
      </c>
      <c r="AO8" s="7" t="inlineStr">
        <is>
          <t>RULED, NOT CODED (Q-PF-1 — one question, one function)</t>
        </is>
      </c>
    </row>
    <row r="9" ht="60" customHeight="1">
      <c r="A9" s="3" t="inlineStr">
        <is>
          <t>MK-PF-M-002</t>
        </is>
      </c>
      <c r="B9" s="3" t="inlineStr">
        <is>
          <t>Performance</t>
        </is>
      </c>
      <c r="C9" s="3" t="inlineStr">
        <is>
          <t>/invest</t>
        </is>
      </c>
      <c r="D9" s="3" t="inlineStr">
        <is>
          <t>Wealth generated</t>
        </is>
      </c>
      <c r="E9" s="3" t="inlineStr">
        <is>
          <t>wealth_generated</t>
        </is>
      </c>
      <c r="F9" s="3" t="inlineStr">
        <is>
          <t>thePerformance</t>
        </is>
      </c>
      <c r="G9" s="3" t="inlineStr">
        <is>
          <t>MK-NW-O-008</t>
        </is>
      </c>
      <c r="H9" s="3" t="inlineStr">
        <is>
          <t>wealth generated = ending value − beginning value − net money in  (money in = deposits and transfers in − withdrawals and transfers out over the window)</t>
        </is>
      </c>
      <c r="I9" s="3" t="inlineStr">
        <is>
          <t>ending − beginning − what you put in + what you took out</t>
        </is>
      </c>
      <c r="J9" s="3" t="inlineStr">
        <is>
          <t>MK-NW-I-001 your accounts
MK-NW-I-004 the activity records
MK-NW-I-003 the recorded history</t>
        </is>
      </c>
      <c r="K9" s="3" t="inlineStr">
        <is>
          <t>dollars, whole</t>
        </is>
      </c>
      <c r="L9" s="3" t="inlineStr">
        <is>
          <t>The record cannot reach the start of this window, so there is nothing honest to subtract from.</t>
        </is>
      </c>
      <c r="M9" s="3" t="inlineStr">
        <is>
          <t>one figure per household</t>
        </is>
      </c>
      <c r="N9" s="3" t="inlineStr">
        <is>
          <t>as of today</t>
        </is>
      </c>
      <c r="O9"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t>
        </is>
      </c>
      <c r="P9" s="3" t="inlineStr">
        <is>
          <t>Declared by MK-NW-O-008 thePerformance</t>
        </is>
      </c>
      <c r="Q9" s="3" t="inlineStr">
        <is>
          <t>ONE MEANING OF RETURN (B-97, 2026-09-25): dividends and interest are part of this, so the return beside it counts them too.</t>
        </is>
      </c>
      <c r="R9" s="3" t="inlineStr">
        <is>
          <t>ONE MEANING OF RETURN (B-97, 2026-09-25): dividends and interest are part of this, so the return beside it counts them too.</t>
        </is>
      </c>
      <c r="S9" s="3" t="inlineStr"/>
      <c r="T9" s="3" t="inlineStr">
        <is>
          <t>ONE MEANING OF RETURN (B-97, 2026-09-25): dividends and interest are part of this, so the return beside it counts them too.</t>
        </is>
      </c>
      <c r="U9" s="3" t="inlineStr"/>
      <c r="V9" s="3" t="inlineStr"/>
      <c r="W9" s="3" t="inlineStr"/>
      <c r="X9" s="3" t="inlineStr"/>
      <c r="Y9" s="3" t="inlineStr"/>
      <c r="Z9" s="3" t="inlineStr">
        <is>
          <t>DECLARED IN THE CODE (rule 11) — printed from the door, not typed. RULED 2026-09-27</t>
        </is>
      </c>
      <c r="AA9" s="3" t="inlineStr"/>
      <c r="AB9" s="3" t="inlineStr"/>
      <c r="AC9" s="3" t="inlineStr"/>
      <c r="AD9" s="3" t="inlineStr"/>
      <c r="AE9" s="3" t="inlineStr"/>
      <c r="AF9" s="3" t="inlineStr">
        <is>
          <t>ACTIVE</t>
        </is>
      </c>
      <c r="AG9" s="3" t="inlineStr">
        <is>
          <t>2026-10-11</t>
        </is>
      </c>
      <c r="AH9" s="3" t="inlineStr"/>
      <c r="AI9" s="3" t="inlineStr"/>
      <c r="AJ9"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MK-PF-F-010, MK-PF-F-011, MK-PF-F-014, MK
6. MK-XS-I-007 purchase price and date (per lot) — read by MK-PF-F-002, MK-PF-F-005, MK-PF-F-007, MK-PF-F-012, MK-PF-F-013, MK-PF-F-014, MK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MK-NW-F-071, MK
11. MK-XS-I-013 bond maturity date — read by MK-NW-F-056, MK-NW-F-058, MK-NW-F-060, MK-NW-F-061, MK-NW-F-069, MK-NW-F-071,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MK-NW-F-023, MK
39. MK-XS-I-059 the month a bonus lands — read by MK-CF-F-088, MK-CF-F-092
40. MK-XS-I-060 how a person is paid — weekly, fortnightly, monthly — read by MK-CF-F-130
41. MK-XS-I-063 option contract multiplier — 100 unless the broker or the person states otherwise — read by MK-PF-F-002, MK-PF-F-004, MK-PF-F-031
42. MK-XS-I-064 the unit beside a quantity — shares, coins, contracts, ounces or units — read by MK-CF-F-003, MK-CF-F-008,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TESTED, NOT VERIFIED — you ruled on this row 2026-09-27; the figure, its formula, inputs and refusal live in MK-NW-O-008 thePerformance</t>
        </is>
      </c>
      <c r="AN9"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9" s="7" t="inlineStr">
        <is>
          <t>RULED, NOT CODED (Q-PF-1 — one question, one function)</t>
        </is>
      </c>
    </row>
    <row r="10" ht="60" customHeight="1">
      <c r="A10" s="3" t="inlineStr">
        <is>
          <t>MK-PF-M-003</t>
        </is>
      </c>
      <c r="B10" s="3" t="inlineStr">
        <is>
          <t>Performance</t>
        </is>
      </c>
      <c r="C10" s="3" t="inlineStr">
        <is>
          <t>/invest</t>
        </is>
      </c>
      <c r="D10" s="3" t="inlineStr">
        <is>
          <t>HOW $X BECAME $Y · ALL ACCOUNTS</t>
        </is>
      </c>
      <c r="E10" s="3" t="inlineStr">
        <is>
          <t>how_x_became_y__all_accounts</t>
        </is>
      </c>
      <c r="F10" s="3" t="inlineStr">
        <is>
          <t>thePerformance</t>
        </is>
      </c>
      <c r="G10" s="3" t="inlineStr">
        <is>
          <t>MK-NW-O-008</t>
        </is>
      </c>
      <c r="H10" s="3" t="inlineStr">
        <is>
          <t>beginning + contributions − withdrawals + wealth generated = ending, by construction</t>
        </is>
      </c>
      <c r="I10" s="3" t="inlineStr">
        <is>
          <t>beginning + contributions − withdrawals + wealth generated = ending, by construction</t>
        </is>
      </c>
      <c r="J10" s="3" t="inlineStr">
        <is>
          <t>MK-NW-I-003 the recorded history
MK-NW-I-004 the activity records</t>
        </is>
      </c>
      <c r="K10" s="3" t="inlineStr">
        <is>
          <t>a sentence</t>
        </is>
      </c>
      <c r="L10" s="3" t="inlineStr">
        <is>
          <t>No beginning to walk from.</t>
        </is>
      </c>
      <c r="M10" s="3" t="inlineStr">
        <is>
          <t>one figure per household</t>
        </is>
      </c>
      <c r="N10" s="3" t="inlineStr">
        <is>
          <t>as of today</t>
        </is>
      </c>
      <c r="O10"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t>
        </is>
      </c>
      <c r="P10" s="3" t="inlineStr">
        <is>
          <t>Declared by MK-NW-O-008 thePerformance</t>
        </is>
      </c>
      <c r="Q10" s="3" t="inlineStr">
        <is>
          <t>Whatever the records cannot explain lands in the change-in-value line rather than being silently dropped.</t>
        </is>
      </c>
      <c r="R10" s="3" t="inlineStr">
        <is>
          <t>Whatever the records cannot explain lands in the change-in-value line rather than being silently dropped.</t>
        </is>
      </c>
      <c r="S10" s="3" t="inlineStr"/>
      <c r="T10" s="3" t="inlineStr">
        <is>
          <t>Whatever the records cannot explain lands in the change-in-value line rather than being silently dropped.</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c r="AF10" s="3" t="inlineStr">
        <is>
          <t>ACTIVE</t>
        </is>
      </c>
      <c r="AG10" s="3" t="inlineStr">
        <is>
          <t>2026-10-11</t>
        </is>
      </c>
      <c r="AH10" s="3" t="inlineStr"/>
      <c r="AI10" s="3" t="inlineStr"/>
      <c r="AJ10"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MK-PF-F-010, MK-PF-F-011, MK-PF-F-014, MK
6. MK-XS-I-007 purchase price and date (per lot) — read by MK-PF-F-002, MK-PF-F-005, MK-PF-F-007, MK-PF-F-012, MK-PF-F-013, MK-PF-F-014, MK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MK-NW-F-071, MK
11. MK-XS-I-013 bond maturity date — read by MK-NW-F-056, MK-NW-F-058, MK-NW-F-060, MK-NW-F-061, MK-NW-F-069, MK-NW-F-071,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MK-NW-F-023, MK
39. MK-XS-I-059 the month a bonus lands — read by MK-CF-F-088, MK-CF-F-092
40. MK-XS-I-060 how a person is paid — weekly, fortnightly, monthly — read by MK-CF-F-130
41. MK-XS-I-063 option contract multiplier — 100 unless the broker or the person states otherwise — read by MK-PF-F-002, MK-PF-F-004, MK-PF-F-031
42. MK-XS-I-064 the unit beside a quantity — shares, coins, contracts, ounces or units — read by MK-CF-F-003, MK-CF-F-008,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MK-NW-O-008 thePerformance</t>
        </is>
      </c>
      <c r="AN10" s="3" t="inlineStr">
        <is>
          <t>An account worth $30,000 on 31 Dec 2025 (100 VTI at $260 plus $4,000 cash), $38,400 at the close of 1 Apr — the day $6,000 was paid in — and $46,600 on 28 Sep 2026, with $825 of dividends received.
GIVES: HOW $30,000 BECAME $46,600 · ALL ACCOUNTS
(the test re-runs this through MK-NW-O-008 thePerformance on every build)</t>
        </is>
      </c>
      <c r="AO10" s="7" t="inlineStr">
        <is>
          <t>RULED, NOT CODED (Q-PF-1 — one question, one function)</t>
        </is>
      </c>
    </row>
    <row r="11" ht="60" customHeight="1">
      <c r="A11" s="3" t="inlineStr">
        <is>
          <t>MK-PF-M-004</t>
        </is>
      </c>
      <c r="B11" s="3" t="inlineStr">
        <is>
          <t>Performance</t>
        </is>
      </c>
      <c r="C11" s="3" t="inlineStr">
        <is>
          <t>/invest · /account-detail</t>
        </is>
      </c>
      <c r="D11" s="3" t="inlineStr">
        <is>
          <t>Ending market value (per account)</t>
        </is>
      </c>
      <c r="E11" s="3" t="inlineStr">
        <is>
          <t>ending_market_value_per_account</t>
        </is>
      </c>
      <c r="F11" s="3" t="inlineStr">
        <is>
          <t>thePerformance</t>
        </is>
      </c>
      <c r="G11" s="3" t="inlineStr">
        <is>
          <t>MK-ST-F-031</t>
        </is>
      </c>
      <c r="H11" s="3" t="inlineStr">
        <is>
          <t>ending market value (this account) = snapshot value of the account on the end date</t>
        </is>
      </c>
      <c r="I11" s="3" t="inlineStr">
        <is>
          <t>the sum of that account’s holdings, at today’s prices, plus its cash</t>
        </is>
      </c>
      <c r="J11" s="3" t="inlineStr">
        <is>
          <t>MK-NW-I-001 your accounts
MK-NW-I-005 the price feed</t>
        </is>
      </c>
      <c r="K11" s="3" t="inlineStr">
        <is>
          <t>dollars, whole</t>
        </is>
      </c>
      <c r="L11" s="3" t="inlineStr">
        <is>
          <t>Nothing in it.</t>
        </is>
      </c>
      <c r="M11" s="3" t="inlineStr">
        <is>
          <t>one account</t>
        </is>
      </c>
      <c r="N11" s="3" t="inlineStr">
        <is>
          <t>as of today</t>
        </is>
      </c>
      <c r="O11" s="3" t="inlineStr">
        <is>
          <t>1. MK-ST-F-083 (accountValuesOn) → Map&lt;string, number&gt;
2. MK-ST-F-056 (has) → NOT DECLARED — the code does not say what it gives back
3. MK-ST-F-033 (onOrBefore) → T | null</t>
        </is>
      </c>
      <c r="P11" s="3" t="inlineStr">
        <is>
          <t>Declared by MK-NW-O-008 thePerformance</t>
        </is>
      </c>
      <c r="Q11" s="3" t="inlineStr">
        <is>
          <t>NONE RECORDED — the declaration names none.</t>
        </is>
      </c>
      <c r="R11" s="3" t="inlineStr">
        <is>
          <t>NONE RECORDED — the declaration names none.</t>
        </is>
      </c>
      <c r="S11" s="3" t="inlineStr"/>
      <c r="T11" s="3" t="inlineStr">
        <is>
          <t>NONE RECORDED — the declaration names none.</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c r="AF11" s="3" t="inlineStr">
        <is>
          <t>ACTIVE</t>
        </is>
      </c>
      <c r="AG11" s="3" t="inlineStr">
        <is>
          <t>2026-10-11</t>
        </is>
      </c>
      <c r="AH11" s="3" t="inlineStr"/>
      <c r="AI11" s="3" t="inlineStr"/>
      <c r="AJ11"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MK-NW-O-008 thePerformance</t>
        </is>
      </c>
      <c r="AN11" s="3" t="inlineStr">
        <is>
          <t>An account worth $30,000 on 31 Dec 2025 (100 VTI at $260 plus $4,000 cash), $38,400 at the close of 1 Apr — the day $6,000 was paid in — and $46,600 on 28 Sep 2026, with $825 of dividends received. Asked of that one account.
GIVES: $46,600
(the test re-runs this through MK-NW-O-008 thePerformance on every build)</t>
        </is>
      </c>
      <c r="AO11" s="7" t="inlineStr">
        <is>
          <t>RULED, NOT CODED (Q-PF-1 — one question, one function)</t>
        </is>
      </c>
    </row>
    <row r="12" ht="60" customHeight="1">
      <c r="A12" s="3" t="inlineStr">
        <is>
          <t>MK-PF-M-005</t>
        </is>
      </c>
      <c r="B12" s="3" t="inlineStr">
        <is>
          <t>Performance</t>
        </is>
      </c>
      <c r="C12" s="3" t="inlineStr">
        <is>
          <t>/invest</t>
        </is>
      </c>
      <c r="D12" s="3" t="inlineStr">
        <is>
          <t>each account and its ending value</t>
        </is>
      </c>
      <c r="E12" s="3" t="inlineStr">
        <is>
          <t>each_account_and_its_ending_value</t>
        </is>
      </c>
      <c r="F12" s="3" t="inlineStr">
        <is>
          <t>thePerformance</t>
        </is>
      </c>
      <c r="G12" s="3" t="inlineStr">
        <is>
          <t>MK-NW-O-008</t>
        </is>
      </c>
      <c r="H12" s="3" t="inlineStr">
        <is>
          <t>each investment account’s value, named by the account</t>
        </is>
      </c>
      <c r="I12" s="3" t="inlineStr">
        <is>
          <t>each investment account’s value, named by the account</t>
        </is>
      </c>
      <c r="J12" s="3" t="inlineStr">
        <is>
          <t>MK-NW-I-001 your accounts</t>
        </is>
      </c>
      <c r="K12" s="3" t="inlineStr">
        <is>
          <t>dollars, whole</t>
        </is>
      </c>
      <c r="L12" s="3" t="inlineStr">
        <is>
          <t>$0, and under it the one line "Nothing entered yet. Add your accounts ›" (mock approved 2026-09-12). A real zero that was entered shows a plain $0 with no line.</t>
        </is>
      </c>
      <c r="M12" s="3" t="inlineStr">
        <is>
          <t>one account</t>
        </is>
      </c>
      <c r="N12" s="3" t="inlineStr">
        <is>
          <t>as of today</t>
        </is>
      </c>
      <c r="O12"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t>
        </is>
      </c>
      <c r="P12" s="3" t="inlineStr">
        <is>
          <t>Declared by MK-NW-O-008 thePerformance</t>
        </is>
      </c>
      <c r="Q12" s="3" t="inlineStr">
        <is>
          <t>Named by ACCOUNT, not by institution — two accounts at one broker must be tellable apart (founder screenshot, 2026-08-17).</t>
        </is>
      </c>
      <c r="R12" s="3" t="inlineStr">
        <is>
          <t>Named by ACCOUNT, not by institution — two accounts at one broker must be tellable apart (founder screenshot, 2026-08-17).</t>
        </is>
      </c>
      <c r="S12" s="3" t="inlineStr"/>
      <c r="T12" s="3" t="inlineStr">
        <is>
          <t>Named by ACCOUNT, not by institution — two accounts at one broker must be tellable apart (founder screenshot, 2026-08-17).</t>
        </is>
      </c>
      <c r="U12" s="3" t="inlineStr"/>
      <c r="V12" s="3" t="inlineStr"/>
      <c r="W12" s="3" t="inlineStr"/>
      <c r="X12" s="3" t="inlineStr"/>
      <c r="Y12" s="3" t="inlineStr"/>
      <c r="Z12" s="3" t="inlineStr">
        <is>
          <t>DECLARED IN THE CODE (rule 11) — printed from the door, not typed. RULED 2026-09-27</t>
        </is>
      </c>
      <c r="AA12" s="3" t="inlineStr"/>
      <c r="AB12" s="3" t="inlineStr"/>
      <c r="AC12" s="3" t="inlineStr"/>
      <c r="AD12" s="3" t="inlineStr"/>
      <c r="AE12" s="3" t="inlineStr">
        <is>
          <t>G32 / Q48 — RULED 2026-09-09: $0 stays, with the sentence '$0 — nothing entered yet.' and this row's door ('Add your accounts ›'). File written; the screen follows the approved empty-state mock (one pattern, one screen), then every screen.</t>
        </is>
      </c>
      <c r="AF12" s="3" t="inlineStr">
        <is>
          <t>ACTIVE</t>
        </is>
      </c>
      <c r="AG12" s="3" t="inlineStr">
        <is>
          <t>2026-10-11</t>
        </is>
      </c>
      <c r="AH12" s="3" t="inlineStr"/>
      <c r="AI12" s="3" t="inlineStr"/>
      <c r="AJ12"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MK-PF-F-010, MK-PF-F-011, MK-PF-F-014, MK
6. MK-XS-I-007 purchase price and date (per lot) — read by MK-PF-F-002, MK-PF-F-005, MK-PF-F-007, MK-PF-F-012, MK-PF-F-013, MK-PF-F-014, MK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MK-NW-F-071, MK
11. MK-XS-I-013 bond maturity date — read by MK-NW-F-056, MK-NW-F-058, MK-NW-F-060, MK-NW-F-061, MK-NW-F-069, MK-NW-F-071,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MK-NW-F-023, MK
39. MK-XS-I-059 the month a bonus lands — read by MK-CF-F-088, MK-CF-F-092
40. MK-XS-I-060 how a person is paid — weekly, fortnightly, monthly — read by MK-CF-F-130
41. MK-XS-I-063 option contract multiplier — 100 unless the broker or the person states otherwise — read by MK-PF-F-002, MK-PF-F-004, MK-PF-F-031
42. MK-XS-I-064 the unit beside a quantity — shares, coins, contracts, ounces or units — read by MK-CF-F-003, MK-CF-F-008,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2026-09-27; the figure, its formula, inputs and refusal live in MK-NW-O-008 thePerformance</t>
        </is>
      </c>
      <c r="AN12" s="3" t="inlineStr">
        <is>
          <t>An account worth $30,000 on 31 Dec 2025 (100 VTI at $260 plus $4,000 cash), $38,400 at the close of 1 Apr — the day $6,000 was paid in — and $46,600 on 28 Sep 2026, with $825 of dividends received. Each account is asked separately, from the same door as the total.
GIVES: $46,600
(the test re-runs this through MK-NW-O-008 thePerformance on every build)</t>
        </is>
      </c>
      <c r="AO12" s="7" t="inlineStr">
        <is>
          <t>RULED, NOT CODED (Q-PF-1 — one question, one function)</t>
        </is>
      </c>
    </row>
    <row r="13" ht="60" customHeight="1">
      <c r="A13" s="3" t="inlineStr">
        <is>
          <t>MK-PF-M-006</t>
        </is>
      </c>
      <c r="B13" s="3" t="inlineStr">
        <is>
          <t>Performance</t>
        </is>
      </c>
      <c r="C13" s="3" t="inlineStr">
        <is>
          <t>/invest</t>
        </is>
      </c>
      <c r="D13" s="3" t="inlineStr">
        <is>
          <t>WHAT EACH CATEGORY EARNED — RETURN</t>
        </is>
      </c>
      <c r="E13" s="3" t="inlineStr">
        <is>
          <t>what_each_category_earned__return</t>
        </is>
      </c>
      <c r="F13" s="3" t="inlineStr">
        <is>
          <t>thePerformance</t>
        </is>
      </c>
      <c r="G13" s="3" t="inlineStr">
        <is>
          <t>MK-NW-O-008</t>
        </is>
      </c>
      <c r="H13" s="3" t="inlineStr">
        <is>
          <t>each class's own return, weighted by what each holding in it is worth</t>
        </is>
      </c>
      <c r="I13" s="3" t="inlineStr">
        <is>
          <t>each class's own return, weighted by what each holding in it is worth</t>
        </is>
      </c>
      <c r="J13" s="3" t="inlineStr">
        <is>
          <t>MK-NW-I-001 your accounts
MK-XS-I-006 the price fetched at</t>
        </is>
      </c>
      <c r="K13" s="3" t="inlineStr">
        <is>
          <t>a return with its sign, two decimals</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t>
        </is>
      </c>
      <c r="P13" s="3" t="inlineStr">
        <is>
          <t>Declared by MK-NW-O-008 thePerformance</t>
        </is>
      </c>
      <c r="Q13"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R13"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S13" s="3" t="inlineStr"/>
      <c r="T13"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U13" s="3" t="inlineStr"/>
      <c r="V13" s="3" t="inlineStr"/>
      <c r="W13" s="3" t="inlineStr"/>
      <c r="X13" s="3" t="inlineStr"/>
      <c r="Y13" s="3" t="inlineStr"/>
      <c r="Z13" s="3" t="inlineStr">
        <is>
          <t>DECLARED IN THE CODE (rule 11) — printed from the door, not typed. RULED 2026-09-03</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2026-10-11</t>
        </is>
      </c>
      <c r="AH13" s="3" t="inlineStr"/>
      <c r="AI13" s="3" t="inlineStr"/>
      <c r="AJ13"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MK-PF-F-010, MK-PF-F-011, MK-PF-F-014, MK
6. MK-XS-I-007 purchase price and date (per lot) — read by MK-PF-F-002, MK-PF-F-005, MK-PF-F-007, MK-PF-F-012, MK-PF-F-013, MK-PF-F-014, MK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MK-NW-F-071, MK
11. MK-XS-I-013 bond maturity date — read by MK-NW-F-056, MK-NW-F-058, MK-NW-F-060, MK-NW-F-061, MK-NW-F-069, MK-NW-F-071,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MK-NW-F-023, MK
39. MK-XS-I-059 the month a bonus lands — read by MK-CF-F-088, MK-CF-F-092
40. MK-XS-I-060 how a person is paid — weekly, fortnightly, monthly — read by MK-CF-F-130
41. MK-XS-I-063 option contract multiplier — 100 unless the broker or the person states otherwise — read by MK-PF-F-002, MK-PF-F-004, MK-PF-F-031
42. MK-XS-I-064 the unit beside a quantity — shares, coins, contracts, ounces or units — read by MK-CF-F-003, MK-CF-F-008,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2026-09-03; the figure, its formula, inputs and refusal live in MK-NW-O-008 thePerformance</t>
        </is>
      </c>
      <c r="AN13" s="3" t="inlineStr">
        <is>
          <t>Since 1 Jan 2026: dividends of $420 and $405 on VTI, $505 of interest on an Ally CD, and one dividend of $40 with no ticker on it. A $900 dividend from Nov 2025 is outside the window. Holdings: $40,600 of VTI up 12%, $10,000 of CD up 5%.
GIVES: +12.00%
(the test re-runs this through MK-NW-O-008 thePerformance on every build)</t>
        </is>
      </c>
      <c r="AO13" s="7" t="inlineStr">
        <is>
          <t>RULED, NOT CODED (Q-PF-1 — one question, one function)</t>
        </is>
      </c>
    </row>
    <row r="14" ht="60" customHeight="1">
      <c r="A14" s="3" t="inlineStr">
        <is>
          <t>MK-PF-M-007</t>
        </is>
      </c>
      <c r="B14" s="3" t="inlineStr">
        <is>
          <t>Performance</t>
        </is>
      </c>
      <c r="C14" s="3" t="inlineStr">
        <is>
          <t>/invest</t>
        </is>
      </c>
      <c r="D14" s="3" t="inlineStr">
        <is>
          <t>All categories</t>
        </is>
      </c>
      <c r="E14" s="3" t="inlineStr">
        <is>
          <t>all_categories</t>
        </is>
      </c>
      <c r="F14" s="3" t="inlineStr">
        <is>
          <t>thePerformance</t>
        </is>
      </c>
      <c r="G14" s="3" t="inlineStr">
        <is>
          <t>MK-NW-O-008</t>
        </is>
      </c>
      <c r="H14" s="3" t="inlineStr">
        <is>
          <t>every dividend and interest record inside the window, added up by the class of the holding that paid it</t>
        </is>
      </c>
      <c r="I14" s="3" t="inlineStr">
        <is>
          <t>every dividend and interest record inside the window, added up by the class of the holding that paid it</t>
        </is>
      </c>
      <c r="J14" s="3" t="inlineStr">
        <is>
          <t>MK-XS-I-020 the records of money movements</t>
        </is>
      </c>
      <c r="K14" s="3" t="inlineStr">
        <is>
          <t>dollars, whole</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t>
        </is>
      </c>
      <c r="P14" s="3" t="inlineStr">
        <is>
          <t>Declared by MK-NW-O-008 thePerformance</t>
        </is>
      </c>
      <c r="Q14"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R14"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S14" s="3" t="inlineStr"/>
      <c r="T14"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U14" s="3" t="inlineStr"/>
      <c r="V14" s="3" t="inlineStr"/>
      <c r="W14" s="3" t="inlineStr"/>
      <c r="X14" s="3" t="inlineStr"/>
      <c r="Y14" s="3" t="inlineStr"/>
      <c r="Z14" s="3" t="inlineStr">
        <is>
          <t>DECLARED IN THE CODE (rule 11) — printed from the door, not typed. RULED 2026-09-03</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2026-10-11</t>
        </is>
      </c>
      <c r="AH14" s="3" t="inlineStr"/>
      <c r="AI14" s="3" t="inlineStr"/>
      <c r="AJ14"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MK-PF-F-010, MK-PF-F-011, MK-PF-F-014, MK
6. MK-XS-I-007 purchase price and date (per lot) — read by MK-PF-F-002, MK-PF-F-005, MK-PF-F-007, MK-PF-F-012, MK-PF-F-013, MK-PF-F-014, MK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MK-NW-F-071, MK
11. MK-XS-I-013 bond maturity date — read by MK-NW-F-056, MK-NW-F-058, MK-NW-F-060, MK-NW-F-061, MK-NW-F-069, MK-NW-F-071,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MK-NW-F-023, MK
39. MK-XS-I-059 the month a bonus lands — read by MK-CF-F-088, MK-CF-F-092
40. MK-XS-I-060 how a person is paid — weekly, fortnightly, monthly — read by MK-CF-F-130
41. MK-XS-I-063 option contract multiplier — 100 unless the broker or the person states otherwise — read by MK-PF-F-002, MK-PF-F-004, MK-PF-F-031
42. MK-XS-I-064 the unit beside a quantity — shares, coins, contracts, ounces or units — read by MK-CF-F-003, MK-CF-F-008,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2026-09-03; the figure, its formula, inputs and refusal live in MK-NW-O-008 thePerformance</t>
        </is>
      </c>
      <c r="AN14" s="3" t="inlineStr">
        <is>
          <t>Since 1 Jan 2026: dividends of $420 and $405 on VTI, $505 of interest on an Ally CD, and one dividend of $40 with no ticker on it. A $900 dividend from Nov 2025 is outside the window. Holdings: $40,600 of VTI up 12%, $10,000 of CD up 5%.
GIVES: $865
(the test re-runs this through MK-NW-O-008 thePerformance on every build)</t>
        </is>
      </c>
      <c r="AO14" s="7" t="inlineStr">
        <is>
          <t>RULED, NOT CODED (Q-PF-1 — one question, one function)</t>
        </is>
      </c>
    </row>
    <row r="15" ht="60" customHeight="1">
      <c r="A15" s="3" t="inlineStr">
        <is>
          <t>MK-PF-M-008</t>
        </is>
      </c>
      <c r="B15" s="3" t="inlineStr">
        <is>
          <t>Performance</t>
        </is>
      </c>
      <c r="C15" s="3" t="inlineStr">
        <is>
          <t>/home</t>
        </is>
      </c>
      <c r="D15" s="3" t="inlineStr">
        <is>
          <t>market +X%</t>
        </is>
      </c>
      <c r="E15" s="3" t="inlineStr">
        <is>
          <t>market_x</t>
        </is>
      </c>
      <c r="F15" s="3" t="inlineStr">
        <is>
          <t>thePerformance</t>
        </is>
      </c>
      <c r="G15" s="3" t="inlineStr">
        <is>
          <t>MK-NW-O-008</t>
        </is>
      </c>
      <c r="H15" s="3" t="inlineStr">
        <is>
          <t>each holding's own benchmark return over the same dates, weighted by what that holding is worth</t>
        </is>
      </c>
      <c r="I15" s="3" t="inlineStr">
        <is>
          <t>each holding's own benchmark return over the same dates, weighted by what that holding is worth</t>
        </is>
      </c>
      <c r="J15" s="3" t="inlineStr">
        <is>
          <t>MK-NW-I-001 your accounts
MK-XS-I-006 the price fetched at</t>
        </is>
      </c>
      <c r="K15" s="3" t="inlineStr">
        <is>
          <t>a percentage, two decimals</t>
        </is>
      </c>
      <c r="L15" s="3" t="inlineStr">
        <is>
          <t>$0, and under it the one line "Nothing entered yet. Add your accounts ›" (mock approved 2026-09-12). A real zero that was entered shows a plain $0 with no line.</t>
        </is>
      </c>
      <c r="M15" s="3" t="inlineStr">
        <is>
          <t>one figure per household</t>
        </is>
      </c>
      <c r="N15" s="3" t="inlineStr">
        <is>
          <t>as of today</t>
        </is>
      </c>
      <c r="O15"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t>
        </is>
      </c>
      <c r="P15" s="3" t="inlineStr">
        <is>
          <t>Declared by MK-NW-O-008 thePerformance</t>
        </is>
      </c>
      <c r="Q15"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R15"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S15" s="3" t="inlineStr"/>
      <c r="T15"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U15" s="3" t="inlineStr">
        <is>
          <t>ITS SCREEN WAS WRONG UNTIL 2026-09-30. The row said /invest and called it HONEST COMPARISON — the name of a card the approved mock v14 removed on 2026-09-25 ("not in this design, so they go"). The figure itself is alive, on HOME, inside the glance line "you +3.69% · market +2.83% · ahead by 0.85%". Nothing showed it on Performance. Declared 2026-09-30; hand-typed before that, so nothing compared the row with the code. STILL OPEN FOR HIM: the market side counts PRICE CHANGE ONLY (we hold no dividend record for an index), while the "you" side beside it counts dividends and interest — so the "ahead by" is not a like-for-like gap.</t>
        </is>
      </c>
      <c r="V15" s="9" t="inlineStr">
        <is>
          <t>Q33 — Which index should each asset class be compared against, and should the person be able to change it?
Q51 — Home reads "you +3.69% · market +2.83% · ahead by 0.85%". The two sides are not measured the same way: YOUR figure counts the dividends and interest you received (your ruling of 2026-09-25, one meaning of return), while the MARKET figure is the index's PRICE only, because no price feed we have gives an index's dividends. So "ahead by" flatters you by roughly the dividend yield. Three ways out: (a) leave it and say underneath that the market figure is price only; (b) compare price against price, which means Home shows a return that disagrees with Performance again; (c) buy a total-return index feed. Which?</t>
        </is>
      </c>
      <c r="W15" s="9" t="inlineStr">
        <is>
          <t>Q51 — ANSWERED 2026-09-30: Q51 - make it "you +3.69% (including dividend), market + 2.83%, ahead by 0.85%." … Q51 - including dividend and interest. … Q51 -approved.
BUILT: The Home glance line reads: you +3.69% (including dividends and interest) · market +2.83% · ahead by 0.85%. Built and pinned by guard_d3_screens_agree MK-PF-M-008. Written 'dividends' plural — the word the change walk, the category table and the glossary already use; he approved it knowing so.</t>
        </is>
      </c>
      <c r="X15" s="3" t="inlineStr"/>
      <c r="Y15" s="3" t="inlineStr"/>
      <c r="Z15" s="3" t="inlineStr">
        <is>
          <t>DRAFT — declared in the code and printed here, WAITING FOR YOUR VERDICT before the screens move behind the door (rule 10)</t>
        </is>
      </c>
      <c r="AA15" s="3" t="inlineStr"/>
      <c r="AB15" s="3" t="inlineStr"/>
      <c r="AC15" s="3" t="inlineStr"/>
      <c r="AD15" s="3" t="inlineStr"/>
      <c r="AE15" s="3" t="inlineStr">
        <is>
          <t>G32 / Q48 — RULED 2026-09-09: $0 stays, with the sentence '$0 — nothing entered yet.' and this row's door ('Add your accounts ›'). File written; the screen follows the approved empty-state mock (one pattern, one screen), then every screen.</t>
        </is>
      </c>
      <c r="AF15" s="3" t="inlineStr">
        <is>
          <t>ACTIVE</t>
        </is>
      </c>
      <c r="AG15" s="3" t="inlineStr">
        <is>
          <t>2026-10-11</t>
        </is>
      </c>
      <c r="AH15" s="3" t="inlineStr"/>
      <c r="AI15" s="3" t="inlineStr"/>
      <c r="AJ15"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MK-PF-F-010, MK-PF-F-011, MK-PF-F-014, MK
6. MK-XS-I-007 purchase price and date (per lot) — read by MK-PF-F-002, MK-PF-F-005, MK-PF-F-007, MK-PF-F-012, MK-PF-F-013, MK-PF-F-014, MK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MK-NW-F-071, MK
11. MK-XS-I-013 bond maturity date — read by MK-NW-F-056, MK-NW-F-058, MK-NW-F-060, MK-NW-F-061, MK-NW-F-069, MK-NW-F-071,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MK-NW-F-023, MK
39. MK-XS-I-059 the month a bonus lands — read by MK-CF-F-088, MK-CF-F-092
40. MK-XS-I-060 how a person is paid — weekly, fortnightly, monthly — read by MK-CF-F-130
41. MK-XS-I-063 option contract multiplier — 100 unless the broker or the person states otherwise — read by MK-PF-F-002, MK-PF-F-004, MK-PF-F-031
42. MK-XS-I-064 the unit beside a quantity — shares, coins, contracts, ounces or units — read by MK-CF-F-003, MK-CF-F-008,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RULED? NOT YET — read this row and say yes, or say what changes. Nothing moves behind MK-NW-O-008 thePerformance until you do.</t>
        </is>
      </c>
      <c r="AN15" s="3" t="inlineStr">
        <is>
          <t>$40,000 of shares against a benchmark up 10% over the window, and $10,000 of bonds against one up 4% over the same days.
GIVES: 8.80%
(the test re-runs this through MK-NW-O-008 thePerformance on every build)</t>
        </is>
      </c>
      <c r="AO15" s="9" t="inlineStr">
        <is>
          <t>WAITING ON YOU — question Q33 · WAITING ON YOU — row to approve: say yes in YOUR ANSWER, or say what changes · RULED, NOT CODED (Q-PF-1 — one question, one function)</t>
        </is>
      </c>
    </row>
    <row r="16" ht="60" customHeight="1">
      <c r="A16" s="3" t="inlineStr">
        <is>
          <t>MK-PF-M-010</t>
        </is>
      </c>
      <c r="B16" s="3" t="inlineStr">
        <is>
          <t>Performance</t>
        </is>
      </c>
      <c r="C16" s="3" t="inlineStr">
        <is>
          <t>/look-back</t>
        </is>
      </c>
      <c r="D16" s="3" t="inlineStr">
        <is>
          <t>Left in &lt;fund&gt; it became $X (up/down $Y, Z%)</t>
        </is>
      </c>
      <c r="E16" s="3" t="inlineStr">
        <is>
          <t>left_in_fund_it_became_x_updown_y_z</t>
        </is>
      </c>
      <c r="F16" s="3" t="inlineStr">
        <is>
          <t>theLookBack</t>
        </is>
      </c>
      <c r="G16" s="3" t="inlineStr">
        <is>
          <t>MK-NW-O-007</t>
        </is>
      </c>
      <c r="H16" s="3" t="inlineStr">
        <is>
          <t>the amount × (the fund’s price today ÷ its price at the start of the window)</t>
        </is>
      </c>
      <c r="I16" s="3" t="inlineStr">
        <is>
          <t>the amount × (the fund’s price today ÷ its price at the start of the window)</t>
        </is>
      </c>
      <c r="J16" s="3" t="inlineStr">
        <is>
          <t>MK-NW-I-005 the price feed</t>
        </is>
      </c>
      <c r="K16" s="3" t="inlineStr">
        <is>
          <t>dollars, whole</t>
        </is>
      </c>
      <c r="L16" s="3" t="inlineStr">
        <is>
          <t>No price history over the whole window — the screen shows nothing rather than a shortened one.</t>
        </is>
      </c>
      <c r="M16" s="3" t="inlineStr">
        <is>
          <t>one figure per household</t>
        </is>
      </c>
      <c r="N16" s="3" t="inlineStr">
        <is>
          <t>as of today</t>
        </is>
      </c>
      <c r="O16" s="3" t="inlineStr">
        <is>
          <t>MK-PF-F-023 (lookBack) → LookBackResult | null</t>
        </is>
      </c>
      <c r="P16" s="3" t="inlineStr">
        <is>
          <t>Declared by MK-NW-O-007 theLookBack</t>
        </is>
      </c>
      <c r="Q16" s="3" t="inlineStr">
        <is>
          <t>Price changes only — dividends are not in it, and the screen says so.</t>
        </is>
      </c>
      <c r="R16" s="3" t="inlineStr">
        <is>
          <t>Price changes only — dividends are not in it, and the screen says so.</t>
        </is>
      </c>
      <c r="S16" s="3" t="inlineStr"/>
      <c r="T16" s="3" t="inlineStr">
        <is>
          <t>Price changes only — dividends are not in it, and the screen says so.</t>
        </is>
      </c>
      <c r="U16" s="3" t="inlineStr"/>
      <c r="V16" s="3" t="inlineStr"/>
      <c r="W16" s="3" t="inlineStr"/>
      <c r="X16" s="3" t="inlineStr"/>
      <c r="Y16" s="3" t="inlineStr"/>
      <c r="Z16" s="3" t="inlineStr">
        <is>
          <t>DECLARED IN THE CODE (rule 11) — printed from the door, not typed. RULED 2026-09-28</t>
        </is>
      </c>
      <c r="AA16" s="3" t="inlineStr"/>
      <c r="AB16" s="3" t="inlineStr"/>
      <c r="AC16" s="3" t="inlineStr"/>
      <c r="AD16" s="3" t="inlineStr"/>
      <c r="AE16" s="3" t="inlineStr"/>
      <c r="AF16" s="3" t="inlineStr">
        <is>
          <t>ACTIVE</t>
        </is>
      </c>
      <c r="AG16" s="3" t="inlineStr">
        <is>
          <t>2026-10-11</t>
        </is>
      </c>
      <c r="AH16" s="3" t="inlineStr"/>
      <c r="AI16" s="3" t="inlineStr"/>
      <c r="AJ16" s="3" t="inlineStr">
        <is>
          <t>MK-XS-I-005 holding price — read by MK-NW-O-007, MK-PF-F-022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2026-09-28; the figure, its formula, inputs and refusal live in MK-NW-O-007 theLookBack</t>
        </is>
      </c>
      <c r="AN16" s="3" t="inlineStr">
        <is>
          <t>$10,000 left in BND for 12 months, against moving it to VTI. BND closed $72.00 a year ago and $73.80 now; VTI closed $250.00 and $290.00.
GIVES: $10,250
(the test re-runs this through MK-NW-O-007 theLookBack on every build)</t>
        </is>
      </c>
      <c r="AO16" s="3" t="inlineStr">
        <is>
          <t>NOTHING OPEN</t>
        </is>
      </c>
    </row>
    <row r="17" ht="60" customHeight="1">
      <c r="A17" s="3" t="inlineStr">
        <is>
          <t>MK-PF-M-011</t>
        </is>
      </c>
      <c r="B17" s="3" t="inlineStr">
        <is>
          <t>Performance</t>
        </is>
      </c>
      <c r="C17" s="3" t="inlineStr">
        <is>
          <t>/look-back</t>
        </is>
      </c>
      <c r="D17" s="3" t="inlineStr">
        <is>
          <t>Moved to &lt;fund&gt; it would be $X</t>
        </is>
      </c>
      <c r="E17" s="3" t="inlineStr">
        <is>
          <t>moved_to_fund_it_would_be_x</t>
        </is>
      </c>
      <c r="F17" s="3" t="inlineStr">
        <is>
          <t>theLookBack</t>
        </is>
      </c>
      <c r="G17" s="3" t="inlineStr">
        <is>
          <t>MK-NW-O-007</t>
        </is>
      </c>
      <c r="H17" s="3" t="inlineStr">
        <is>
          <t>the amount × (the other fund’s price today ÷ its price at the start of the window)</t>
        </is>
      </c>
      <c r="I17" s="3" t="inlineStr">
        <is>
          <t>the amount × (the other fund’s price today ÷ its price at the start of the window)</t>
        </is>
      </c>
      <c r="J17" s="3" t="inlineStr">
        <is>
          <t>MK-NW-I-005 the price feed</t>
        </is>
      </c>
      <c r="K17" s="3" t="inlineStr">
        <is>
          <t>dollars, whole</t>
        </is>
      </c>
      <c r="L17" s="3" t="inlineStr">
        <is>
          <t>No price history for the other fund over the whole window.</t>
        </is>
      </c>
      <c r="M17" s="3" t="inlineStr">
        <is>
          <t>one figure per household</t>
        </is>
      </c>
      <c r="N17" s="3" t="inlineStr">
        <is>
          <t>as of today</t>
        </is>
      </c>
      <c r="O17" s="3" t="inlineStr">
        <is>
          <t>MK-PF-F-023 (lookBack) → LookBackResult | null</t>
        </is>
      </c>
      <c r="P17" s="3" t="inlineStr">
        <is>
          <t>Declared by MK-NW-O-007 theLookBack</t>
        </is>
      </c>
      <c r="Q17" s="3" t="inlineStr">
        <is>
          <t>A road not taken, priced from real history — never a projection forward.</t>
        </is>
      </c>
      <c r="R17" s="3" t="inlineStr">
        <is>
          <t>A road not taken, priced from real history — never a projection forward.</t>
        </is>
      </c>
      <c r="S17" s="3" t="inlineStr"/>
      <c r="T17" s="3" t="inlineStr">
        <is>
          <t>A road not taken, priced from real history — never a projection forward.</t>
        </is>
      </c>
      <c r="U17" s="3" t="inlineStr"/>
      <c r="V17" s="3" t="inlineStr"/>
      <c r="W17" s="3" t="inlineStr"/>
      <c r="X17" s="3" t="inlineStr"/>
      <c r="Y17" s="3" t="inlineStr"/>
      <c r="Z17" s="3" t="inlineStr">
        <is>
          <t>DECLARED IN THE CODE (rule 11) — printed from the door, not typed. RULED 2026-09-28</t>
        </is>
      </c>
      <c r="AA17" s="3" t="inlineStr"/>
      <c r="AB17" s="3" t="inlineStr"/>
      <c r="AC17" s="3" t="inlineStr"/>
      <c r="AD17" s="3" t="inlineStr"/>
      <c r="AE17" s="3" t="inlineStr"/>
      <c r="AF17" s="3" t="inlineStr">
        <is>
          <t>ACTIVE</t>
        </is>
      </c>
      <c r="AG17" s="3" t="inlineStr">
        <is>
          <t>2026-10-11</t>
        </is>
      </c>
      <c r="AH17" s="3" t="inlineStr"/>
      <c r="AI17" s="3" t="inlineStr"/>
      <c r="AJ17" s="3" t="inlineStr">
        <is>
          <t>MK-XS-I-005 holding price — read by MK-NW-O-007, MK-PF-F-022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2026-09-28; the figure, its formula, inputs and refusal live in MK-NW-O-007 theLookBack</t>
        </is>
      </c>
      <c r="AN17" s="3" t="inlineStr">
        <is>
          <t>$10,000 left in BND for 12 months, against moving it to VTI. BND closed $72.00 a year ago and $73.80 now; VTI closed $250.00 and $290.00.
GIVES: $11,600
(the test re-runs this through MK-NW-O-007 theLookBack on every build)</t>
        </is>
      </c>
      <c r="AO17" s="3" t="inlineStr">
        <is>
          <t>NOTHING OPEN</t>
        </is>
      </c>
    </row>
    <row r="18" ht="60" customHeight="1">
      <c r="A18" s="3" t="inlineStr">
        <is>
          <t>MK-PF-M-012</t>
        </is>
      </c>
      <c r="B18" s="3" t="inlineStr">
        <is>
          <t>Performance</t>
        </is>
      </c>
      <c r="C18" s="3" t="inlineStr">
        <is>
          <t>/look-back</t>
        </is>
      </c>
      <c r="D18" s="3" t="inlineStr">
        <is>
          <t>Difference: $X more/less if you had moved</t>
        </is>
      </c>
      <c r="E18" s="3" t="inlineStr">
        <is>
          <t>difference_x_moreless_if_you_had_moved</t>
        </is>
      </c>
      <c r="F18" s="3" t="inlineStr">
        <is>
          <t>theLookBack</t>
        </is>
      </c>
      <c r="G18" s="3" t="inlineStr">
        <is>
          <t>MK-NW-O-007</t>
        </is>
      </c>
      <c r="H18" s="3" t="inlineStr">
        <is>
          <t>what it would have become, less what it did become</t>
        </is>
      </c>
      <c r="I18" s="3" t="inlineStr">
        <is>
          <t>what it would have become, less what it did become</t>
        </is>
      </c>
      <c r="J18" s="3" t="inlineStr">
        <is>
          <t>MK-NW-I-005 the price feed</t>
        </is>
      </c>
      <c r="K18" s="3" t="inlineStr">
        <is>
          <t>dollars, whole</t>
        </is>
      </c>
      <c r="L18" s="3" t="inlineStr">
        <is>
          <t>Either fund missing its history means no difference is stated.</t>
        </is>
      </c>
      <c r="M18" s="3" t="inlineStr">
        <is>
          <t>one figure per household</t>
        </is>
      </c>
      <c r="N18" s="3" t="inlineStr">
        <is>
          <t>as of today</t>
        </is>
      </c>
      <c r="O18" s="3" t="inlineStr">
        <is>
          <t>MK-PF-F-023 (lookBack) → LookBackResult | null</t>
        </is>
      </c>
      <c r="P18" s="3" t="inlineStr">
        <is>
          <t>Declared by MK-NW-O-007 theLookBack</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2026-09-28</t>
        </is>
      </c>
      <c r="AA18" s="3" t="inlineStr"/>
      <c r="AB18" s="3" t="inlineStr"/>
      <c r="AC18" s="3" t="inlineStr"/>
      <c r="AD18" s="3" t="inlineStr"/>
      <c r="AE18" s="3" t="inlineStr"/>
      <c r="AF18" s="3" t="inlineStr">
        <is>
          <t>ACTIVE</t>
        </is>
      </c>
      <c r="AG18" s="3" t="inlineStr">
        <is>
          <t>2026-10-11</t>
        </is>
      </c>
      <c r="AH18" s="3" t="inlineStr"/>
      <c r="AI18" s="3" t="inlineStr"/>
      <c r="AJ18" s="3" t="inlineStr">
        <is>
          <t>MK-XS-I-005 holding price — read by MK-NW-O-007, MK-PF-F-022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2026-09-28; the figure, its formula, inputs and refusal live in MK-NW-O-007 theLookBack</t>
        </is>
      </c>
      <c r="AN18" s="3" t="inlineStr">
        <is>
          <t>$10,000 left in BND for 12 months, against moving it to VTI. BND closed $72.00 a year ago and $73.80 now; VTI closed $250.00 and $290.00.
GIVES: $1,350
(the test re-runs this through MK-NW-O-007 theLookBack on every build)</t>
        </is>
      </c>
      <c r="AO18" s="3" t="inlineStr">
        <is>
          <t>NOTHING OPEN</t>
        </is>
      </c>
    </row>
    <row r="19" ht="60" customHeight="1">
      <c r="A19" s="3" t="inlineStr">
        <is>
          <t>MK-PF-M-013</t>
        </is>
      </c>
      <c r="B19" s="3" t="inlineStr">
        <is>
          <t>Performance</t>
        </is>
      </c>
      <c r="C19" s="3" t="inlineStr">
        <is>
          <t>/account-detail · /invest</t>
        </is>
      </c>
      <c r="D19" s="3" t="inlineStr">
        <is>
          <t>Beginning market value</t>
        </is>
      </c>
      <c r="E19" s="3" t="inlineStr">
        <is>
          <t>beginning_market_value</t>
        </is>
      </c>
      <c r="F19" s="3" t="inlineStr">
        <is>
          <t>thePerformance</t>
        </is>
      </c>
      <c r="G19" s="3" t="inlineStr">
        <is>
          <t>MK-NW-O-008</t>
        </is>
      </c>
      <c r="H19" s="3" t="inlineStr">
        <is>
          <t>the account’s value on the day before the window opens, as recorded</t>
        </is>
      </c>
      <c r="I19" s="3" t="inlineStr">
        <is>
          <t>the account’s value on the day before the window opens, as recorded</t>
        </is>
      </c>
      <c r="J19" s="3" t="inlineStr">
        <is>
          <t>MK-NW-I-003 the recorded history</t>
        </is>
      </c>
      <c r="K19" s="3" t="inlineStr">
        <is>
          <t>dollars, whole</t>
        </is>
      </c>
      <c r="L19" s="3" t="inlineStr">
        <is>
          <t>The record does not reach back that far, so the walk is not drawn at all rather than started from a guess.</t>
        </is>
      </c>
      <c r="M19" s="3" t="inlineStr">
        <is>
          <t>one account</t>
        </is>
      </c>
      <c r="N19" s="3" t="inlineStr">
        <is>
          <t>as of today</t>
        </is>
      </c>
      <c r="O19"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t>
        </is>
      </c>
      <c r="P19" s="3" t="inlineStr">
        <is>
          <t>Declared by MK-NW-O-008 thePerformance</t>
        </is>
      </c>
      <c r="Q19" s="3" t="inlineStr">
        <is>
          <t>IT IS READ, NOT BACK-SOLVED. Working it out from today’s value less the flows would make the walk add up by construction and prove nothing (his ruling behind MK-NW-F-090).
THE DAY BEFORE THE WINDOW OPENS, not the day it opens — B-115, found 2026-09-30.</t>
        </is>
      </c>
      <c r="R19" s="3" t="inlineStr">
        <is>
          <t>IT IS READ, NOT BACK-SOLVED. Working it out from today’s value less the flows would make the walk add up by construction and prove nothing (his ruling behind MK-NW-F-090).
THE DAY BEFORE THE WINDOW OPENS, not the day it opens — B-115, found 2026-09-30.</t>
        </is>
      </c>
      <c r="S19" s="3" t="inlineStr"/>
      <c r="T19" s="3" t="inlineStr">
        <is>
          <t>IT IS READ, NOT BACK-SOLVED. Working it out from today’s value less the flows would make the walk add up by construction and prove nothing (his ruling behind MK-NW-F-090).
THE DAY BEFORE THE WINDOW OPENS, not the day it opens — B-115, found 2026-09-30.</t>
        </is>
      </c>
      <c r="U19" s="3" t="inlineStr"/>
      <c r="V19" s="3" t="inlineStr"/>
      <c r="W19" s="3" t="inlineStr"/>
      <c r="X19" s="3" t="inlineStr"/>
      <c r="Y19" s="3" t="inlineStr"/>
      <c r="Z19" s="3" t="inlineStr">
        <is>
          <t>DECLARED IN THE CODE (rule 11) — printed from the door, not typed. RULED 2026-10-01</t>
        </is>
      </c>
      <c r="AA19" s="3" t="inlineStr"/>
      <c r="AB19" s="3" t="inlineStr"/>
      <c r="AC19" s="3" t="inlineStr"/>
      <c r="AD19" s="3" t="inlineStr"/>
      <c r="AE19" s="3" t="inlineStr"/>
      <c r="AF19" s="3" t="inlineStr">
        <is>
          <t>ACTIVE</t>
        </is>
      </c>
      <c r="AG19" s="3" t="inlineStr">
        <is>
          <t>2026-10-11</t>
        </is>
      </c>
      <c r="AH19" s="3" t="inlineStr"/>
      <c r="AI19" s="3" t="inlineStr"/>
      <c r="AJ19"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MK-PF-F-010, MK-PF-F-011, MK-PF-F-014, MK
6. MK-XS-I-007 purchase price and date (per lot) — read by MK-PF-F-002, MK-PF-F-005, MK-PF-F-007, MK-PF-F-012, MK-PF-F-013, MK-PF-F-014, MK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MK-NW-F-071, MK
11. MK-XS-I-013 bond maturity date — read by MK-NW-F-056, MK-NW-F-058, MK-NW-F-060, MK-NW-F-061, MK-NW-F-069, MK-NW-F-071,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MK-NW-F-023, MK
39. MK-XS-I-059 the month a bonus lands — read by MK-CF-F-088, MK-CF-F-092
40. MK-XS-I-060 how a person is paid — weekly, fortnightly, monthly — read by MK-CF-F-130
41. MK-XS-I-063 option contract multiplier — 100 unless the broker or the person states otherwise — read by MK-PF-F-002, MK-PF-F-004, MK-PF-F-031
42. MK-XS-I-064 the unit beside a quantity — shares, coins, contracts, ounces or units — read by MK-CF-F-003, MK-CF-F-008,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2026-10-01; the figure, its formula, inputs and refusal live in MK-NW-O-008 thePerformance</t>
        </is>
      </c>
      <c r="AN19"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19" s="3" t="inlineStr">
        <is>
          <t>NOTHING OPEN</t>
        </is>
      </c>
    </row>
    <row r="20" ht="60" customHeight="1">
      <c r="A20" s="3" t="inlineStr">
        <is>
          <t>MK-PF-M-014</t>
        </is>
      </c>
      <c r="B20" s="3" t="inlineStr">
        <is>
          <t>Performance</t>
        </is>
      </c>
      <c r="C20" s="3" t="inlineStr">
        <is>
          <t>/account-detail</t>
        </is>
      </c>
      <c r="D20" s="3" t="inlineStr">
        <is>
          <t>Wealth generated</t>
        </is>
      </c>
      <c r="E20" s="3" t="inlineStr">
        <is>
          <t>wealth_generated</t>
        </is>
      </c>
      <c r="F20" s="3" t="inlineStr">
        <is>
          <t>thePerformance</t>
        </is>
      </c>
      <c r="G20" s="3" t="inlineStr">
        <is>
          <t>MK-NW-O-008</t>
        </is>
      </c>
      <c r="H20" s="3" t="inlineStr">
        <is>
          <t>ending − beginning − contributions + withdrawals</t>
        </is>
      </c>
      <c r="I20" s="3" t="inlineStr">
        <is>
          <t>ending − beginning − contributions + withdrawals</t>
        </is>
      </c>
      <c r="J20" s="3" t="inlineStr">
        <is>
          <t>MK-NW-I-003 the recorded history
MK-NW-I-004 the activity records</t>
        </is>
      </c>
      <c r="K20" s="3" t="inlineStr">
        <is>
          <t>dollars, whole</t>
        </is>
      </c>
      <c r="L20" s="3" t="inlineStr">
        <is>
          <t>No beginning to measure from — the line shows nothing rather than a change.</t>
        </is>
      </c>
      <c r="M20" s="3" t="inlineStr">
        <is>
          <t>one account</t>
        </is>
      </c>
      <c r="N20" s="3" t="inlineStr">
        <is>
          <t>as of today</t>
        </is>
      </c>
      <c r="O20"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t>
        </is>
      </c>
      <c r="P20" s="3" t="inlineStr">
        <is>
          <t>Declared by MK-NW-O-008 thePerformance</t>
        </is>
      </c>
      <c r="Q20"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R20"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S20" s="3" t="inlineStr"/>
      <c r="T20"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U20" s="3" t="inlineStr"/>
      <c r="V20" s="3" t="inlineStr"/>
      <c r="W20" s="3" t="inlineStr"/>
      <c r="X20" s="3" t="inlineStr"/>
      <c r="Y20" s="3" t="inlineStr"/>
      <c r="Z20" s="3" t="inlineStr">
        <is>
          <t>DECLARED IN THE CODE (rule 11) — printed from the door, not typed. RULED 2026-10-01</t>
        </is>
      </c>
      <c r="AA20" s="3" t="inlineStr"/>
      <c r="AB20" s="3" t="inlineStr"/>
      <c r="AC20" s="3" t="inlineStr"/>
      <c r="AD20" s="3" t="inlineStr"/>
      <c r="AE20" s="3" t="inlineStr"/>
      <c r="AF20" s="3" t="inlineStr">
        <is>
          <t>ACTIVE</t>
        </is>
      </c>
      <c r="AG20" s="3" t="inlineStr">
        <is>
          <t>2026-10-11</t>
        </is>
      </c>
      <c r="AH20" s="3" t="inlineStr"/>
      <c r="AI20" s="3" t="inlineStr"/>
      <c r="AJ20"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MK-PF-F-010, MK-PF-F-011, MK-PF-F-014, MK
6. MK-XS-I-007 purchase price and date (per lot) — read by MK-PF-F-002, MK-PF-F-005, MK-PF-F-007, MK-PF-F-012, MK-PF-F-013, MK-PF-F-014, MK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MK-NW-F-071, MK
11. MK-XS-I-013 bond maturity date — read by MK-NW-F-056, MK-NW-F-058, MK-NW-F-060, MK-NW-F-061, MK-NW-F-069, MK-NW-F-071,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MK-NW-F-023, MK
39. MK-XS-I-059 the month a bonus lands — read by MK-CF-F-088, MK-CF-F-092
40. MK-XS-I-060 how a person is paid — weekly, fortnightly, monthly — read by MK-CF-F-130
41. MK-XS-I-063 option contract multiplier — 100 unless the broker or the person states otherwise — read by MK-PF-F-002, MK-PF-F-004, MK-PF-F-031
42. MK-XS-I-064 the unit beside a quantity — shares, coins, contracts, ounces or units — read by MK-CF-F-003, MK-CF-F-008,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2026-10-01; the figure, its formula, inputs and refusal live in MK-NW-O-008 thePerformance</t>
        </is>
      </c>
      <c r="AN20"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20" s="3" t="inlineStr">
        <is>
          <t>NOTHING OPEN</t>
        </is>
      </c>
    </row>
    <row r="21" ht="60" customHeight="1">
      <c r="A21" s="3" t="inlineStr">
        <is>
          <t>MK-PF-M-015</t>
        </is>
      </c>
      <c r="B21" s="3" t="inlineStr">
        <is>
          <t>Performance</t>
        </is>
      </c>
      <c r="C21" s="3" t="inlineStr">
        <is>
          <t>/account-detail · /invest</t>
        </is>
      </c>
      <c r="D21" s="3" t="inlineStr">
        <is>
          <t>one line of the walk</t>
        </is>
      </c>
      <c r="E21" s="3" t="inlineStr">
        <is>
          <t>one_line_of_the_walk</t>
        </is>
      </c>
      <c r="F21" s="3" t="inlineStr">
        <is>
          <t>thePerformance</t>
        </is>
      </c>
      <c r="G21" s="3" t="inlineStr">
        <is>
          <t>MK-NW-O-008</t>
        </is>
      </c>
      <c r="H21" s="3" t="inlineStr">
        <is>
          <t>each recorded flow over the window, and the remainder as the change in value</t>
        </is>
      </c>
      <c r="I21" s="3" t="inlineStr">
        <is>
          <t>each recorded flow over the window, and the remainder as the change in value</t>
        </is>
      </c>
      <c r="J21" s="3" t="inlineStr">
        <is>
          <t>MK-NW-I-004 the activity records</t>
        </is>
      </c>
      <c r="K21" s="3" t="inlineStr">
        <is>
          <t>dollars, whole</t>
        </is>
      </c>
      <c r="L21" s="3" t="inlineStr">
        <is>
          <t>No flows recorded — the line is not drawn.</t>
        </is>
      </c>
      <c r="M21" s="3" t="inlineStr">
        <is>
          <t>one line of one account’s walk</t>
        </is>
      </c>
      <c r="N21" s="3" t="inlineStr">
        <is>
          <t>as of today</t>
        </is>
      </c>
      <c r="O21"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t>
        </is>
      </c>
      <c r="P21" s="3" t="inlineStr">
        <is>
          <t>Declared by MK-NW-O-008 thePerformance</t>
        </is>
      </c>
      <c r="Q21" s="3" t="inlineStr">
        <is>
          <t>THE LINES ALWAYS SUM TO THE ENDING, by construction. Whatever the records cannot explain lands in the change-in-value line rather than being silently dropped — a walk that does not add up is worse than no walk.</t>
        </is>
      </c>
      <c r="R21" s="3" t="inlineStr">
        <is>
          <t>THE LINES ALWAYS SUM TO THE ENDING, by construction. Whatever the records cannot explain lands in the change-in-value line rather than being silently dropped — a walk that does not add up is worse than no walk.</t>
        </is>
      </c>
      <c r="S21" s="3" t="inlineStr"/>
      <c r="T21" s="3" t="inlineStr">
        <is>
          <t>THE LINES ALWAYS SUM TO THE ENDING, by construction. Whatever the records cannot explain lands in the change-in-value line rather than being silently dropped — a walk that does not add up is worse than no walk.</t>
        </is>
      </c>
      <c r="U21" s="3" t="inlineStr"/>
      <c r="V21" s="3" t="inlineStr"/>
      <c r="W21" s="3" t="inlineStr"/>
      <c r="X21" s="3" t="inlineStr"/>
      <c r="Y21" s="3" t="inlineStr"/>
      <c r="Z21" s="3" t="inlineStr">
        <is>
          <t>DECLARED IN THE CODE (rule 11) — printed from the door, not typed. RULED 2026-10-01</t>
        </is>
      </c>
      <c r="AA21" s="3" t="inlineStr"/>
      <c r="AB21" s="3" t="inlineStr"/>
      <c r="AC21" s="3" t="inlineStr"/>
      <c r="AD21" s="3" t="inlineStr"/>
      <c r="AE21" s="3" t="inlineStr"/>
      <c r="AF21" s="3" t="inlineStr">
        <is>
          <t>ACTIVE</t>
        </is>
      </c>
      <c r="AG21" s="3" t="inlineStr">
        <is>
          <t>2026-10-11</t>
        </is>
      </c>
      <c r="AH21" s="3" t="inlineStr"/>
      <c r="AI21" s="3" t="inlineStr"/>
      <c r="AJ21"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MK-PF-F-010, MK-PF-F-011, MK-PF-F-014, MK
6. MK-XS-I-007 purchase price and date (per lot) — read by MK-PF-F-002, MK-PF-F-005, MK-PF-F-007, MK-PF-F-012, MK-PF-F-013, MK-PF-F-014, MK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MK-NW-F-071, MK
11. MK-XS-I-013 bond maturity date — read by MK-NW-F-056, MK-NW-F-058, MK-NW-F-060, MK-NW-F-061, MK-NW-F-069, MK-NW-F-071,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MK-NW-F-023, MK
39. MK-XS-I-059 the month a bonus lands — read by MK-CF-F-088, MK-CF-F-092
40. MK-XS-I-060 how a person is paid — weekly, fortnightly, monthly — read by MK-CF-F-130
41. MK-XS-I-063 option contract multiplier — 100 unless the broker or the person states otherwise — read by MK-PF-F-002, MK-PF-F-004, MK-PF-F-031
42. MK-XS-I-064 the unit beside a quantity — shares, coins, contracts, ounces or units — read by MK-CF-F-003, MK-CF-F-008,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2026-10-01; the figure, its formula, inputs and refusal live in MK-NW-O-008 thePerformance</t>
        </is>
      </c>
      <c r="AN21"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1" s="3" t="inlineStr">
        <is>
          <t>NOTHING OPEN</t>
        </is>
      </c>
    </row>
    <row r="22" ht="60" customHeight="1">
      <c r="A22" s="3" t="inlineStr">
        <is>
          <t>MK-PF-M-016</t>
        </is>
      </c>
      <c r="B22" s="3" t="inlineStr">
        <is>
          <t>Performance</t>
        </is>
      </c>
      <c r="C22" s="3" t="inlineStr">
        <is>
          <t>/account-detail · /invest</t>
        </is>
      </c>
      <c r="D22" s="3" t="inlineStr">
        <is>
          <t>Return</t>
        </is>
      </c>
      <c r="E22" s="3" t="inlineStr">
        <is>
          <t>return</t>
        </is>
      </c>
      <c r="F22" s="3" t="inlineStr">
        <is>
          <t>thePerformance</t>
        </is>
      </c>
      <c r="G22" s="3" t="inlineStr">
        <is>
          <t>MK-NW-O-008</t>
        </is>
      </c>
      <c r="H22" s="3" t="inlineStr">
        <is>
          <t>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I22" s="3" t="inlineStr">
        <is>
          <t>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J22" s="3" t="inlineStr">
        <is>
          <t>MK-NW-I-003 the recorded history
MK-NW-I-004 the activity records</t>
        </is>
      </c>
      <c r="K22" s="3" t="inlineStr">
        <is>
          <t>a return with its sign, two decimals</t>
        </is>
      </c>
      <c r="L22" s="3" t="inlineStr">
        <is>
          <t>No percent, and a sentence saying why: the record does not reach the start, money moved on a day with no recorded value, shares were moved in or out, or the value that day is less than the money added. It never shows another kind of figure in its place.</t>
        </is>
      </c>
      <c r="M22" s="3" t="inlineStr">
        <is>
          <t>one account</t>
        </is>
      </c>
      <c r="N22" s="3" t="inlineStr">
        <is>
          <t>as of today</t>
        </is>
      </c>
      <c r="O22"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t>
        </is>
      </c>
      <c r="P22" s="3" t="inlineStr">
        <is>
          <t>Declared by MK-NW-O-008 thePerformance</t>
        </is>
      </c>
      <c r="Q22"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R22"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S22" s="3" t="inlineStr"/>
      <c r="T22"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U22" s="3" t="inlineStr"/>
      <c r="V22" s="3" t="inlineStr"/>
      <c r="W22" s="3" t="inlineStr"/>
      <c r="X22" s="3" t="inlineStr"/>
      <c r="Y22" s="3" t="inlineStr"/>
      <c r="Z22" s="3" t="inlineStr">
        <is>
          <t>DECLARED IN THE CODE (rule 11) — printed from the door, not typed. RULED 2026-10-04</t>
        </is>
      </c>
      <c r="AA22" s="3" t="inlineStr"/>
      <c r="AB22" s="3" t="inlineStr"/>
      <c r="AC22" s="3" t="inlineStr"/>
      <c r="AD22" s="3" t="inlineStr"/>
      <c r="AE22" s="3" t="inlineStr"/>
      <c r="AF22" s="3" t="inlineStr">
        <is>
          <t>ACTIVE</t>
        </is>
      </c>
      <c r="AG22" s="3" t="inlineStr">
        <is>
          <t>2026-10-11</t>
        </is>
      </c>
      <c r="AH22" s="3" t="inlineStr"/>
      <c r="AI22" s="3" t="inlineStr"/>
      <c r="AJ22"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MK-PF-F-010, MK-PF-F-011, MK-PF-F-014, MK
6. MK-XS-I-007 purchase price and date (per lot) — read by MK-PF-F-002, MK-PF-F-005, MK-PF-F-007, MK-PF-F-012, MK-PF-F-013, MK-PF-F-014, MK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MK-NW-F-071, MK
11. MK-XS-I-013 bond maturity date — read by MK-NW-F-056, MK-NW-F-058, MK-NW-F-060, MK-NW-F-061, MK-NW-F-069, MK-NW-F-071,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MK-NW-F-023, MK
39. MK-XS-I-059 the month a bonus lands — read by MK-CF-F-088, MK-CF-F-092
40. MK-XS-I-060 how a person is paid — weekly, fortnightly, monthly — read by MK-CF-F-130
41. MK-XS-I-063 option contract multiplier — 100 unless the broker or the person states otherwise — read by MK-PF-F-002, MK-PF-F-004, MK-PF-F-031
42. MK-XS-I-064 the unit beside a quantity — shares, coins, contracts, ounces or units — read by MK-CF-F-003, MK-CF-F-008,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2026-10-01; the figure, its formula, inputs and refusal live in MK-NW-O-008 thePerformance</t>
        </is>
      </c>
      <c r="AN22" s="3" t="inlineStr">
        <is>
          <t>An account worth $30,000 on 31 Dec 2025 (100 VTI at $260 plus $4,000 cash) and $32,000 on 28 Sep 2026, with nothing paid in or taken out and $825 of it arriving as dividends.
GIVES: +6.67%
(the test re-runs this through MK-NW-O-008 thePerformance on every build)</t>
        </is>
      </c>
      <c r="AO22" s="3" t="inlineStr">
        <is>
          <t>NOTHING OPEN</t>
        </is>
      </c>
    </row>
    <row r="23" ht="60" customHeight="1">
      <c r="A23" s="3" t="inlineStr">
        <is>
          <t>MK-PF-M-017</t>
        </is>
      </c>
      <c r="B23" s="3" t="inlineStr">
        <is>
          <t>Performance</t>
        </is>
      </c>
      <c r="C23" s="3" t="inlineStr">
        <is>
          <t>/invest</t>
        </is>
      </c>
      <c r="D23" s="3" t="inlineStr">
        <is>
          <t>Return</t>
        </is>
      </c>
      <c r="E23" s="3" t="inlineStr">
        <is>
          <t>return</t>
        </is>
      </c>
      <c r="F23" s="3" t="inlineStr">
        <is>
          <t>thePerformance</t>
        </is>
      </c>
      <c r="G23" s="3" t="inlineStr">
        <is>
          <t>MK-NW-O-008</t>
        </is>
      </c>
      <c r="H23" s="3" t="inlineStr">
        <is>
          <t>over every investment account together: 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I23" s="3" t="inlineStr">
        <is>
          <t>over every investment account together: 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J23" s="3" t="inlineStr">
        <is>
          <t>MK-NW-I-003 the recorded history
MK-NW-I-004 the activity records</t>
        </is>
      </c>
      <c r="K23" s="3" t="inlineStr">
        <is>
          <t>a return with its sign, two decimals</t>
        </is>
      </c>
      <c r="L23" s="3" t="inlineStr">
        <is>
          <t>No percent, and a sentence saying why: the record does not reach the start, money moved on a day with no recorded value, shares were moved in or out, or the value that day is less than the money added. It never shows another kind of figure in its place.</t>
        </is>
      </c>
      <c r="M23" s="3" t="inlineStr">
        <is>
          <t>every account together</t>
        </is>
      </c>
      <c r="N23" s="3" t="inlineStr">
        <is>
          <t>as of today</t>
        </is>
      </c>
      <c r="O23"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t>
        </is>
      </c>
      <c r="P23" s="3" t="inlineStr">
        <is>
          <t>Declared by MK-NW-O-008 thePerformance</t>
        </is>
      </c>
      <c r="Q23"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R23"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S23" s="3" t="inlineStr"/>
      <c r="T23"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U23" s="3" t="inlineStr"/>
      <c r="V23" s="3" t="inlineStr"/>
      <c r="W23" s="3" t="inlineStr"/>
      <c r="X23" s="3" t="inlineStr"/>
      <c r="Y23" s="3" t="inlineStr"/>
      <c r="Z23" s="3" t="inlineStr">
        <is>
          <t>DECLARED IN THE CODE (rule 11) — printed from the door, not typed. RULED 2026-10-04</t>
        </is>
      </c>
      <c r="AA23" s="3" t="inlineStr"/>
      <c r="AB23" s="3" t="inlineStr"/>
      <c r="AC23" s="3" t="inlineStr"/>
      <c r="AD23" s="3" t="inlineStr"/>
      <c r="AE23" s="3" t="inlineStr"/>
      <c r="AF23" s="3" t="inlineStr">
        <is>
          <t>ACTIVE</t>
        </is>
      </c>
      <c r="AG23" s="3" t="inlineStr">
        <is>
          <t>2026-10-11</t>
        </is>
      </c>
      <c r="AH23" s="3" t="inlineStr"/>
      <c r="AI23" s="3" t="inlineStr"/>
      <c r="AJ23"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MK-PF-F-010, MK-PF-F-011, MK-PF-F-014, MK
6. MK-XS-I-007 purchase price and date (per lot) — read by MK-PF-F-002, MK-PF-F-005, MK-PF-F-007, MK-PF-F-012, MK-PF-F-013, MK-PF-F-014, MK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MK-NW-F-071, MK
11. MK-XS-I-013 bond maturity date — read by MK-NW-F-056, MK-NW-F-058, MK-NW-F-060, MK-NW-F-061, MK-NW-F-069, MK-NW-F-071,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MK-NW-F-023, MK
39. MK-XS-I-059 the month a bonus lands — read by MK-CF-F-088, MK-CF-F-092
40. MK-XS-I-060 how a person is paid — weekly, fortnightly, monthly — read by MK-CF-F-130
41. MK-XS-I-063 option contract multiplier — 100 unless the broker or the person states otherwise — read by MK-PF-F-002, MK-PF-F-004, MK-PF-F-031
42. MK-XS-I-064 the unit beside a quantity — shares, coins, contracts, ounces or units — read by MK-CF-F-003, MK-CF-F-008,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2026-10-01; the figure, its formula, inputs and refusal live in MK-NW-O-008 thePerformance</t>
        </is>
      </c>
      <c r="AN23" s="3" t="inlineStr">
        <is>
          <t>An account worth $30,000 on 31 Dec 2025 (100 VTI at $260 plus $4,000 cash) and $32,000 on 28 Sep 2026, with nothing paid in or taken out and $825 of it arriving as dividends.
GIVES: +6.67%
(the test re-runs this through MK-NW-O-008 thePerformance on every build)</t>
        </is>
      </c>
      <c r="AO23" s="3" t="inlineStr">
        <is>
          <t>NOTHING OPEN</t>
        </is>
      </c>
    </row>
    <row r="24" ht="60" customHeight="1">
      <c r="A24" s="3" t="inlineStr">
        <is>
          <t>MK-PF-M-018</t>
        </is>
      </c>
      <c r="B24" s="3" t="inlineStr">
        <is>
          <t>Performance</t>
        </is>
      </c>
      <c r="C24" s="3" t="inlineStr">
        <is>
          <t>/invest</t>
        </is>
      </c>
      <c r="D24" s="3" t="inlineStr">
        <is>
          <t>Beginning market value</t>
        </is>
      </c>
      <c r="E24" s="3" t="inlineStr">
        <is>
          <t>beginning_market_value</t>
        </is>
      </c>
      <c r="F24" s="3" t="inlineStr">
        <is>
          <t>thePerformance</t>
        </is>
      </c>
      <c r="G24" s="3" t="inlineStr">
        <is>
          <t>MK-NW-O-008</t>
        </is>
      </c>
      <c r="H24" s="3" t="inlineStr">
        <is>
          <t>the recorded value of every investment account at the close of the day before the window opens</t>
        </is>
      </c>
      <c r="I24" s="3" t="inlineStr">
        <is>
          <t>the recorded value of every investment account at the close of the day before the window opens</t>
        </is>
      </c>
      <c r="J24" s="3" t="inlineStr">
        <is>
          <t>MK-NW-I-003 the recorded history</t>
        </is>
      </c>
      <c r="K24" s="3" t="inlineStr">
        <is>
          <t>dollars, whole</t>
        </is>
      </c>
      <c r="L24" s="3" t="inlineStr">
        <is>
          <t>No recorded value that far back — the walk starts the day the record does, and says so.</t>
        </is>
      </c>
      <c r="M24" s="3" t="inlineStr">
        <is>
          <t>every account together</t>
        </is>
      </c>
      <c r="N24" s="3" t="inlineStr">
        <is>
          <t>as of today</t>
        </is>
      </c>
      <c r="O24"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t>
        </is>
      </c>
      <c r="P24" s="3" t="inlineStr">
        <is>
          <t>Declared by MK-NW-O-008 thePerformance</t>
        </is>
      </c>
      <c r="Q24" s="3" t="inlineStr">
        <is>
          <t>READ, NEVER BACK-SOLVED: with no recorded value the walk says so instead of inventing a start.</t>
        </is>
      </c>
      <c r="R24" s="3" t="inlineStr">
        <is>
          <t>READ, NEVER BACK-SOLVED: with no recorded value the walk says so instead of inventing a start.</t>
        </is>
      </c>
      <c r="S24" s="3" t="inlineStr"/>
      <c r="T24" s="3" t="inlineStr">
        <is>
          <t>READ, NEVER BACK-SOLVED: with no recorded value the walk says so instead of inventing a start.</t>
        </is>
      </c>
      <c r="U24" s="3" t="inlineStr"/>
      <c r="V24" s="3" t="inlineStr"/>
      <c r="W24" s="3" t="inlineStr"/>
      <c r="X24" s="3" t="inlineStr"/>
      <c r="Y24" s="3" t="inlineStr"/>
      <c r="Z24" s="3" t="inlineStr">
        <is>
          <t>DECLARED IN THE CODE (rule 11) — printed from the door, not typed. RULED 2026-10-01</t>
        </is>
      </c>
      <c r="AA24" s="3" t="inlineStr"/>
      <c r="AB24" s="3" t="inlineStr"/>
      <c r="AC24" s="3" t="inlineStr"/>
      <c r="AD24" s="3" t="inlineStr"/>
      <c r="AE24" s="3" t="inlineStr"/>
      <c r="AF24" s="3" t="inlineStr">
        <is>
          <t>ACTIVE</t>
        </is>
      </c>
      <c r="AG24" s="3" t="inlineStr">
        <is>
          <t>2026-10-11</t>
        </is>
      </c>
      <c r="AH24" s="3" t="inlineStr"/>
      <c r="AI24" s="3" t="inlineStr"/>
      <c r="AJ24"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MK-PF-F-010, MK-PF-F-011, MK-PF-F-014, MK
6. MK-XS-I-007 purchase price and date (per lot) — read by MK-PF-F-002, MK-PF-F-005, MK-PF-F-007, MK-PF-F-012, MK-PF-F-013, MK-PF-F-014, MK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MK-NW-F-071, MK
11. MK-XS-I-013 bond maturity date — read by MK-NW-F-056, MK-NW-F-058, MK-NW-F-060, MK-NW-F-061, MK-NW-F-069, MK-NW-F-071,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MK-NW-F-023, MK
39. MK-XS-I-059 the month a bonus lands — read by MK-CF-F-088, MK-CF-F-092
40. MK-XS-I-060 how a person is paid — weekly, fortnightly, monthly — read by MK-CF-F-130
41. MK-XS-I-063 option contract multiplier — 100 unless the broker or the person states otherwise — read by MK-PF-F-002, MK-PF-F-004, MK-PF-F-031
42. MK-XS-I-064 the unit beside a quantity — shares, coins, contracts, ounces or units — read by MK-CF-F-003, MK-CF-F-008,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2026-10-01; the figure, its formula, inputs and refusal live in MK-NW-O-008 thePerformance</t>
        </is>
      </c>
      <c r="AN24"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24" s="3" t="inlineStr">
        <is>
          <t>NOTHING OPEN</t>
        </is>
      </c>
    </row>
    <row r="25" ht="60" customHeight="1">
      <c r="A25" s="3" t="inlineStr">
        <is>
          <t>MK-PF-M-019</t>
        </is>
      </c>
      <c r="B25" s="3" t="inlineStr">
        <is>
          <t>Performance</t>
        </is>
      </c>
      <c r="C25" s="3" t="inlineStr">
        <is>
          <t>/invest</t>
        </is>
      </c>
      <c r="D25" s="3" t="inlineStr">
        <is>
          <t>one line of the walk</t>
        </is>
      </c>
      <c r="E25" s="3" t="inlineStr">
        <is>
          <t>one_line_of_the_walk</t>
        </is>
      </c>
      <c r="F25" s="3" t="inlineStr">
        <is>
          <t>thePerformance</t>
        </is>
      </c>
      <c r="G25" s="3" t="inlineStr">
        <is>
          <t>MK-NW-O-008</t>
        </is>
      </c>
      <c r="H25" s="3" t="inlineStr">
        <is>
          <t>contributions and withdrawals from the records inside the window; dividends and interest received; change in value = ending − beginning − contributions + withdrawals − dividends − interest</t>
        </is>
      </c>
      <c r="I25" s="3" t="inlineStr">
        <is>
          <t>contributions and withdrawals from the records inside the window; dividends and interest received; change in value = ending − beginning − contributions + withdrawals − dividends − interest</t>
        </is>
      </c>
      <c r="J25" s="3" t="inlineStr">
        <is>
          <t>MK-NW-I-003 the recorded history
MK-NW-I-004 the activity records</t>
        </is>
      </c>
      <c r="K25" s="3" t="inlineStr">
        <is>
          <t>dollars, whole</t>
        </is>
      </c>
      <c r="L25" s="3" t="inlineStr">
        <is>
          <t>A real $0 — a line with nothing in it still prints, so the structure never changes.</t>
        </is>
      </c>
      <c r="M25" s="3" t="inlineStr">
        <is>
          <t>every account together</t>
        </is>
      </c>
      <c r="N25" s="3" t="inlineStr">
        <is>
          <t>as of today</t>
        </is>
      </c>
      <c r="O25"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t>
        </is>
      </c>
      <c r="P25" s="3" t="inlineStr">
        <is>
          <t>Declared by MK-NW-O-008 thePerformance</t>
        </is>
      </c>
      <c r="Q25" s="3" t="inlineStr">
        <is>
          <t>THE LINES ALWAYS ADD UP TO THE ENDING — the change in investment value is what is left, so nothing is lost between the lines.</t>
        </is>
      </c>
      <c r="R25" s="3" t="inlineStr">
        <is>
          <t>THE LINES ALWAYS ADD UP TO THE ENDING — the change in investment value is what is left, so nothing is lost between the lines.</t>
        </is>
      </c>
      <c r="S25" s="3" t="inlineStr"/>
      <c r="T25" s="3" t="inlineStr">
        <is>
          <t>THE LINES ALWAYS ADD UP TO THE ENDING — the change in investment value is what is left, so nothing is lost between the lines.</t>
        </is>
      </c>
      <c r="U25" s="3" t="inlineStr"/>
      <c r="V25" s="3" t="inlineStr"/>
      <c r="W25" s="3" t="inlineStr"/>
      <c r="X25" s="3" t="inlineStr"/>
      <c r="Y25" s="3" t="inlineStr"/>
      <c r="Z25" s="3" t="inlineStr">
        <is>
          <t>DECLARED IN THE CODE (rule 11) — printed from the door, not typed. RULED 2026-10-01</t>
        </is>
      </c>
      <c r="AA25" s="3" t="inlineStr"/>
      <c r="AB25" s="3" t="inlineStr"/>
      <c r="AC25" s="3" t="inlineStr"/>
      <c r="AD25" s="3" t="inlineStr"/>
      <c r="AE25" s="3" t="inlineStr"/>
      <c r="AF25" s="3" t="inlineStr">
        <is>
          <t>ACTIVE</t>
        </is>
      </c>
      <c r="AG25" s="3" t="inlineStr">
        <is>
          <t>2026-10-11</t>
        </is>
      </c>
      <c r="AH25" s="3" t="inlineStr"/>
      <c r="AI25" s="3" t="inlineStr"/>
      <c r="AJ25"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MK-PF-F-010, MK-PF-F-011, MK-PF-F-014, MK
6. MK-XS-I-007 purchase price and date (per lot) — read by MK-PF-F-002, MK-PF-F-005, MK-PF-F-007, MK-PF-F-012, MK-PF-F-013, MK-PF-F-014, MK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MK-NW-F-071, MK
11. MK-XS-I-013 bond maturity date — read by MK-NW-F-056, MK-NW-F-058, MK-NW-F-060, MK-NW-F-061, MK-NW-F-069, MK-NW-F-071,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MK-NW-F-023, MK
39. MK-XS-I-059 the month a bonus lands — read by MK-CF-F-088, MK-CF-F-092
40. MK-XS-I-060 how a person is paid — weekly, fortnightly, monthly — read by MK-CF-F-130
41. MK-XS-I-063 option contract multiplier — 100 unless the broker or the person states otherwise — read by MK-PF-F-002, MK-PF-F-004, MK-PF-F-031
42. MK-XS-I-064 the unit beside a quantity — shares, coins, contracts, ounces or units — read by MK-CF-F-003, MK-CF-F-008,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2026-10-01; the figure, its formula, inputs and refusal live in MK-NW-O-008 thePerformance</t>
        </is>
      </c>
      <c r="AN25"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5" s="3" t="inlineStr">
        <is>
          <t>NOTHING OPEN</t>
        </is>
      </c>
    </row>
    <row r="26" ht="60" customHeight="1">
      <c r="A26" s="3" t="inlineStr">
        <is>
          <t>MK-PF-M-020</t>
        </is>
      </c>
      <c r="B26" s="3" t="inlineStr">
        <is>
          <t>Performance</t>
        </is>
      </c>
      <c r="C26" s="3" t="inlineStr">
        <is>
          <t>/invest</t>
        </is>
      </c>
      <c r="D26" s="3" t="inlineStr">
        <is>
          <t>Available cash</t>
        </is>
      </c>
      <c r="E26" s="3" t="inlineStr">
        <is>
          <t>available_cash</t>
        </is>
      </c>
      <c r="F26" s="3" t="inlineStr">
        <is>
          <t>thePerformance</t>
        </is>
      </c>
      <c r="G26" s="3" t="inlineStr">
        <is>
          <t>MK-NW-O-008</t>
        </is>
      </c>
      <c r="H26" s="3" t="inlineStr">
        <is>
          <t>the cash sleeve of a brokerage account; the whole balance of a cash account</t>
        </is>
      </c>
      <c r="I26" s="3" t="inlineStr">
        <is>
          <t>the cash sleeve of a brokerage account; the whole balance of a cash account</t>
        </is>
      </c>
      <c r="J26" s="3" t="inlineStr">
        <is>
          <t>MK-NW-I-001 your accounts</t>
        </is>
      </c>
      <c r="K26" s="3" t="inlineStr">
        <is>
          <t>dollars, whole</t>
        </is>
      </c>
      <c r="L26" s="3" t="inlineStr">
        <is>
          <t>No account picked — the line is not shown.</t>
        </is>
      </c>
      <c r="M26" s="3" t="inlineStr">
        <is>
          <t>one account</t>
        </is>
      </c>
      <c r="N26" s="3" t="inlineStr">
        <is>
          <t>as of today</t>
        </is>
      </c>
      <c r="O26"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t>
        </is>
      </c>
      <c r="P26" s="3" t="inlineStr">
        <is>
          <t>Declared by MK-NW-O-008 thePerformance</t>
        </is>
      </c>
      <c r="Q26" s="3" t="inlineStr">
        <is>
          <t>A BUY OR WITHDRAWAL BIGGER THAN THIS IS REFUSED on the sheet, with the words to deposit or transfer cash in first.</t>
        </is>
      </c>
      <c r="R26" s="3" t="inlineStr">
        <is>
          <t>A BUY OR WITHDRAWAL BIGGER THAN THIS IS REFUSED on the sheet, with the words to deposit or transfer cash in first.</t>
        </is>
      </c>
      <c r="S26" s="3" t="inlineStr"/>
      <c r="T26" s="3" t="inlineStr">
        <is>
          <t>A BUY OR WITHDRAWAL BIGGER THAN THIS IS REFUSED on the sheet, with the words to deposit or transfer cash in first.</t>
        </is>
      </c>
      <c r="U26" s="3" t="inlineStr"/>
      <c r="V26" s="3" t="inlineStr"/>
      <c r="W26" s="3" t="inlineStr"/>
      <c r="X26" s="3" t="inlineStr"/>
      <c r="Y26" s="3" t="inlineStr"/>
      <c r="Z26" s="3" t="inlineStr">
        <is>
          <t>DECLARED IN THE CODE (rule 11) — printed from the door, not typed. RULED 2026-10-01</t>
        </is>
      </c>
      <c r="AA26" s="3" t="inlineStr"/>
      <c r="AB26" s="3" t="inlineStr"/>
      <c r="AC26" s="3" t="inlineStr"/>
      <c r="AD26" s="3" t="inlineStr"/>
      <c r="AE26" s="3" t="inlineStr"/>
      <c r="AF26" s="3" t="inlineStr">
        <is>
          <t>ACTIVE</t>
        </is>
      </c>
      <c r="AG26" s="3" t="inlineStr">
        <is>
          <t>2026-10-11</t>
        </is>
      </c>
      <c r="AH26" s="3" t="inlineStr"/>
      <c r="AI26" s="3" t="inlineStr"/>
      <c r="AJ26"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MK-PF-F-010, MK-PF-F-011, MK-PF-F-014, MK
6. MK-XS-I-007 purchase price and date (per lot) — read by MK-PF-F-002, MK-PF-F-005, MK-PF-F-007, MK-PF-F-012, MK-PF-F-013, MK-PF-F-014, MK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MK-NW-F-071, MK
11. MK-XS-I-013 bond maturity date — read by MK-NW-F-056, MK-NW-F-058, MK-NW-F-060, MK-NW-F-061, MK-NW-F-069, MK-NW-F-071,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MK-NW-F-023, MK
39. MK-XS-I-059 the month a bonus lands — read by MK-CF-F-088, MK-CF-F-092
40. MK-XS-I-060 how a person is paid — weekly, fortnightly, monthly — read by MK-CF-F-130
41. MK-XS-I-063 option contract multiplier — 100 unless the broker or the person states otherwise — read by MK-PF-F-002, MK-PF-F-004, MK-PF-F-031
42. MK-XS-I-064 the unit beside a quantity — shares, coins, contracts, ounces or units — read by MK-CF-F-003, MK-CF-F-008,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2026-10-01; the figure, its formula, inputs and refusal live in MK-NW-O-008 thePerformance</t>
        </is>
      </c>
      <c r="AN26" s="3" t="inlineStr">
        <is>
          <t>A savings account holding $5,000 and nothing else.
GIVES: $5,000
(the test re-runs this through MK-NW-O-008 thePerformance on every build)</t>
        </is>
      </c>
      <c r="AO26" s="3" t="inlineStr">
        <is>
          <t>NOTHING OPEN</t>
        </is>
      </c>
    </row>
  </sheetData>
  <autoFilter ref="A1:AO2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47"/>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MK-PL-M-001</t>
        </is>
      </c>
      <c r="B2" s="3" t="inlineStr">
        <is>
          <t>Plan</t>
        </is>
      </c>
      <c r="C2" s="3" t="inlineStr">
        <is>
          <t>NA</t>
        </is>
      </c>
      <c r="D2" s="3" t="inlineStr">
        <is>
          <t>✓ What you have — already in: N accounts, $X counted</t>
        </is>
      </c>
      <c r="E2" s="3" t="inlineStr">
        <is>
          <t>door.credit.total</t>
        </is>
      </c>
      <c r="F2" s="3" t="inlineStr">
        <is>
          <t>planDoor</t>
        </is>
      </c>
      <c r="G2" s="3" t="inlineStr">
        <is>
          <t>MK-PL-F-026</t>
        </is>
      </c>
      <c r="H2" s="3" t="inlineStr">
        <is>
          <t>missing = the inputs with no answer;  counted = Σ(balances already in)</t>
        </is>
      </c>
      <c r="I2"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s="3" t="inlineStr">
        <is>
          <t>1. their age → birthYear or age  [MK-XS-I-017]
2. what they spend → monthlySpending  [MK-XS-I-024]
3. money that counts toward retirement → NEST_EGG  [NOT AN INPUT — another function’s answer; see the dependency column]</t>
        </is>
      </c>
      <c r="K2" s="3" t="inlineStr">
        <is>
          <t>A count · whole units, except crypto which keeps its fractions  [derived by rule — confirm]</t>
        </is>
      </c>
      <c r="L2" s="3" t="inlineStr">
        <is>
          <t>This function IS the refusal: it names what is missing and what is already counted.</t>
        </is>
      </c>
      <c r="M2" s="3" t="inlineStr">
        <is>
          <t>One figure per account  [derived by rule — confirm]</t>
        </is>
      </c>
      <c r="N2" s="3" t="inlineStr">
        <is>
          <t>As of today, from the latest figures held  [derived by rule — confirm]</t>
        </is>
      </c>
      <c r="O2" s="3" t="inlineStr">
        <is>
          <t>MK-NW-F-033 (retirementEarmarkedValue) → number</t>
        </is>
      </c>
      <c r="P2" s="3" t="inlineStr">
        <is>
          <t>1. MK-NW-F-120 classEvidenceOf → MK-NW-F-011 assetClassOf → MK-NW-F-030 earmarkDefault → MK-NW-F-032 earmarkedAmount → MK-NW-F-033 retirementEarmarkedValue → MK-PL-F-026 planDoor
2. MK-CF-F-132 map → MK-NW-F-134 carValueNotEnteredNotes → MK-NW-F-031 primaryCarIdOf → MK-NW-F-033 retirementEarmarkedValue → MK-PL-F-026 planDoor
3. MK-ST-F-049 formatMoney → MK-ST-F-053 money → MK-NW-F-134 carValueNotEnteredNotes → MK-NW-F-031 primaryCarIdOf → MK-NW-F-033 retirementEarmarkedValue → MK-PL-F-026 planDoor
4. MK-XS-F-122 n → MK-ST-F-053 money → MK-NW-F-134 carValueNotEnteredNotes → MK-NW-F-031 primaryCarIdOf → MK-NW-F-033 retirementEarmarkedValue → MK-PL-F-026 planDoor
5. primaryCarIdOf (already above — a loop) → MK-NW-F-134 carValueNotEnteredNotes → MK-NW-F-031 primaryCarIdOf → MK-NW-F-033 retirementEarmarkedValue → MK-PL-F-026 planDoor
6. retirementEarmarkedValue (already above — a loop) → MK-NW-F-134 carValueNotEnteredNotes → MK-NW-F-031 primaryCarIdOf → MK-NW-F-033 retirementEarmarkedValue → MK-PL-F-026 planDoor
7. MK-NW-F-133 valueEntered → MK-NW-F-134 carValueNotEnteredNotes → MK-NW-F-031 primaryCarIdOf → MK-NW-F-033 retirementEarmarkedValue → MK-PL-F-026 planDoor
8. MK-NW-F-133 valueEntered → MK-NW-F-031 primaryCarIdOf → MK-NW-F-033 retirementEarmarkedValue → MK-PL-F-026 planDoor
9. … and 4 more paths</t>
        </is>
      </c>
      <c r="Q2"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
5. MK-ST-F-049 — Rounds the answer to a whole number.
6. MK-CF-F-150 — Uses a built-in s h o w f i r s t of 5.
7. MK-CF-F-023 — If monthly payment is missing it uses 0.</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2026-09-27</t>
        </is>
      </c>
      <c r="AH2" s="3" t="n"/>
      <c r="AI2" s="3" t="n"/>
      <c r="AJ2" s="3" t="inlineStr">
        <is>
          <t>1. MK-XS-I-001 account balance — read by MK-NW-F-031, MK-NW-F-032, MK-NW-F-133, MK-PL-F-026, MK-ST-F-027
2. MK-XS-I-002 account type (taxable, pre-tax, Roth) — read by MK-NW-F-011, MK-NW-F-120
3. MK-XS-I-003 institution name — read by MK-NW-F-134
4. MK-XS-I-004 holding quantity (shares) — read by MK-ST-F-027
5. MK-XS-I-005 holding price — read by MK-ST-F-027
6. MK-XS-I-007 purchase price and date (per lot) — read by MK-ST-F-027
7. MK-XS-I-013 bond maturity date — read by MK-NW-F-120, MK-ST-F-010
8. MK-XS-I-016 debt minimum payment — read by MK-CF-F-023
9. MK-XS-I-017 birth year — read by MK-PL-F-026
10. MK-XS-I-024 logged expenses — read by MK-CF-F-150, MK-CF-F-151, MK-CF-F-153, MK-CF-O-002, MK-NW-F-115
11. MK-XS-I-041 the payment the person chose to make on a debt — read by MK-CF-F-023
12. MK-XS-I-042 how a stream is paid — monthly, yearly or one lump — read by MK-CF-F-021, MK-CF-F-022, MK-CF-F-023, MK-CF-F-149, MK-CF-F-150, MK-CF-F-152
13. MK-XS-I-048 the person’s own asset-class answer — read by MK-NW-F-011, MK-ST-F-027
14. MK-XS-I-050 the share of an account earmarked for retirement — read by MK-NW-F-032
15. MK-XS-I-055 the wrapper an account sits in — ISA, 401(k), IRA and the rest — read by MK-NW-F-011, MK-NW-F-030, MK-NW-F-031, MK-NW-F-120, MK-NW-F-134, MK-PL-F-026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MK-PL-M-002</t>
        </is>
      </c>
      <c r="B3" s="3" t="inlineStr">
        <is>
          <t>Plan</t>
        </is>
      </c>
      <c r="C3" s="3" t="inlineStr">
        <is>
          <t>NA</t>
        </is>
      </c>
      <c r="D3" s="3" t="inlineStr">
        <is>
          <t>Your odds — can't work them out yet. Add &lt;what&gt; below.</t>
        </is>
      </c>
      <c r="E3" s="3" t="inlineStr">
        <is>
          <t>door.missing</t>
        </is>
      </c>
      <c r="F3" s="3" t="inlineStr">
        <is>
          <t>planDoor</t>
        </is>
      </c>
      <c r="G3" s="3" t="inlineStr">
        <is>
          <t>MK-PL-F-026</t>
        </is>
      </c>
      <c r="H3" s="3" t="inlineStr">
        <is>
          <t>missing = the inputs with no answer;  counted = Σ(balances already in)</t>
        </is>
      </c>
      <c r="I3"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s="3" t="inlineStr">
        <is>
          <t>1. their age → birthYear or age  [MK-XS-I-017]
2. what they spend → monthlySpending  [MK-XS-I-024]
3. money that counts toward retirement → NEST_EGG  [NOT AN INPUT — another function’s answer; see the dependency column]</t>
        </is>
      </c>
      <c r="K3" s="3" t="inlineStr">
        <is>
          <t>Percent · exact, no rounding — 1,000 futures give it to a tenth (founder, 2026-09-14)  [derived by rule — confirm]</t>
        </is>
      </c>
      <c r="L3" s="3" t="inlineStr">
        <is>
          <t>This function IS the refusal: it names what is missing and what is already counted.</t>
        </is>
      </c>
      <c r="M3" s="3" t="inlineStr">
        <is>
          <t>One figure per person — or per household when two people share one record  [derived by rule — confirm]</t>
        </is>
      </c>
      <c r="N3" s="3" t="inlineStr">
        <is>
          <t>As of today, from the latest figures held  [derived by rule — confirm]</t>
        </is>
      </c>
      <c r="O3" s="3" t="inlineStr">
        <is>
          <t>MK-NW-F-033 (retirementEarmarkedValue) → number</t>
        </is>
      </c>
      <c r="P3" s="3" t="inlineStr">
        <is>
          <t>1. MK-NW-F-120 classEvidenceOf → MK-NW-F-011 assetClassOf → MK-NW-F-030 earmarkDefault → MK-NW-F-032 earmarkedAmount → MK-NW-F-033 retirementEarmarkedValue → MK-PL-F-026 planDoor
2. MK-CF-F-132 map → MK-NW-F-134 carValueNotEnteredNotes → MK-NW-F-031 primaryCarIdOf → MK-NW-F-033 retirementEarmarkedValue → MK-PL-F-026 planDoor
3. MK-ST-F-049 formatMoney → MK-ST-F-053 money → MK-NW-F-134 carValueNotEnteredNotes → MK-NW-F-031 primaryCarIdOf → MK-NW-F-033 retirementEarmarkedValue → MK-PL-F-026 planDoor
4. MK-XS-F-122 n → MK-ST-F-053 money → MK-NW-F-134 carValueNotEnteredNotes → MK-NW-F-031 primaryCarIdOf → MK-NW-F-033 retirementEarmarkedValue → MK-PL-F-026 planDoor
5. primaryCarIdOf (already above — a loop) → MK-NW-F-134 carValueNotEnteredNotes → MK-NW-F-031 primaryCarIdOf → MK-NW-F-033 retirementEarmarkedValue → MK-PL-F-026 planDoor
6. retirementEarmarkedValue (already above — a loop) → MK-NW-F-134 carValueNotEnteredNotes → MK-NW-F-031 primaryCarIdOf → MK-NW-F-033 retirementEarmarkedValue → MK-PL-F-026 planDoor
7. MK-NW-F-133 valueEntered → MK-NW-F-134 carValueNotEnteredNotes → MK-NW-F-031 primaryCarIdOf → MK-NW-F-033 retirementEarmarkedValue → MK-PL-F-026 planDoor
8. MK-NW-F-133 valueEntered → MK-NW-F-031 primaryCarIdOf → MK-NW-F-033 retirementEarmarkedValue → MK-PL-F-026 planDoor
9. … and 4 more paths</t>
        </is>
      </c>
      <c r="Q3"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
5. MK-ST-F-049 — Rounds the answer to a whole number.
6. MK-CF-F-150 — Uses a built-in s h o w f i r s t of 5.
7. MK-CF-F-023 — If monthly payment is missing it uses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2026-09-27</t>
        </is>
      </c>
      <c r="AH3" s="3" t="n"/>
      <c r="AI3" s="3" t="n"/>
      <c r="AJ3" s="3" t="inlineStr">
        <is>
          <t>1. MK-XS-I-001 account balance — read by MK-NW-F-031, MK-NW-F-032, MK-NW-F-133, MK-PL-F-026, MK-ST-F-027
2. MK-XS-I-002 account type (taxable, pre-tax, Roth) — read by MK-NW-F-011, MK-NW-F-120
3. MK-XS-I-003 institution name — read by MK-NW-F-134
4. MK-XS-I-004 holding quantity (shares) — read by MK-ST-F-027
5. MK-XS-I-005 holding price — read by MK-ST-F-027
6. MK-XS-I-007 purchase price and date (per lot) — read by MK-ST-F-027
7. MK-XS-I-013 bond maturity date — read by MK-NW-F-120, MK-ST-F-010
8. MK-XS-I-016 debt minimum payment — read by MK-CF-F-023
9. MK-XS-I-017 birth year — read by MK-PL-F-026
10. MK-XS-I-024 logged expenses — read by MK-CF-F-150, MK-CF-F-151, MK-CF-F-153, MK-CF-O-002, MK-NW-F-115
11. MK-XS-I-041 the payment the person chose to make on a debt — read by MK-CF-F-023
12. MK-XS-I-042 how a stream is paid — monthly, yearly or one lump — read by MK-CF-F-021, MK-CF-F-022, MK-CF-F-023, MK-CF-F-149, MK-CF-F-150, MK-CF-F-152
13. MK-XS-I-048 the person’s own asset-class answer — read by MK-NW-F-011, MK-ST-F-027
14. MK-XS-I-050 the share of an account earmarked for retirement — read by MK-NW-F-032
15. MK-XS-I-055 the wrapper an account sits in — ISA, 401(k), IRA and the rest — read by MK-NW-F-011, MK-NW-F-030, MK-NW-F-031, MK-NW-F-120, MK-NW-F-134, MK-PL-F-026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MK-PL-M-003</t>
        </is>
      </c>
      <c r="B4" s="3" t="inlineStr">
        <is>
          <t>Plan</t>
        </is>
      </c>
      <c r="C4" s="3" t="inlineStr">
        <is>
          <t>NA</t>
        </is>
      </c>
      <c r="D4" s="3" t="inlineStr">
        <is>
          <t>YOUR RETIREMENT PAYCHECK — each guaranteed source</t>
        </is>
      </c>
      <c r="E4" s="3" t="inlineStr">
        <is>
          <t>g.amount</t>
        </is>
      </c>
      <c r="F4" s="3" t="inlineStr">
        <is>
          <t>NOT ON RECORD — no function is recorded for this figure</t>
        </is>
      </c>
      <c r="G4" s="3" t="inlineStr"/>
      <c r="H4" s="3" t="inlineStr">
        <is>
          <t>for each month: guaranteed total = Σ(streams live that month);  paycheck = guaranteed total + draw from savings</t>
        </is>
      </c>
      <c r="I4" s="3" t="inlineStr">
        <is>
          <t>Builds the retirement paycheck month by month: what is guaranteed that month, plus what can safely be drawn from savings.</t>
        </is>
      </c>
      <c r="J4" s="3" t="inlineStr">
        <is>
          <t>NOT DETERMINED — no input list on record for this function</t>
        </is>
      </c>
      <c r="K4" s="3"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s="3" t="inlineStr">
        <is>
          <t>One figure per person — or per household when two people share one record  [derived by rule — confirm]</t>
        </is>
      </c>
      <c r="N4" s="3" t="inlineStr">
        <is>
          <t>From today to the retirement age in the plan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(Q-PL-2 — one question, one function)</t>
        </is>
      </c>
    </row>
    <row r="5" ht="60" customHeight="1">
      <c r="A5" s="3" t="inlineStr">
        <is>
          <t>MK-PL-M-004</t>
        </is>
      </c>
      <c r="B5" s="3" t="inlineStr">
        <is>
          <t>Plan</t>
        </is>
      </c>
      <c r="C5" s="3" t="inlineStr">
        <is>
          <t>NA</t>
        </is>
      </c>
      <c r="D5" s="3">
        <f> Guaranteed</f>
        <v/>
      </c>
      <c r="E5" s="3" t="inlineStr">
        <is>
          <t>payMonth.guaranteedTotal</t>
        </is>
      </c>
      <c r="F5" s="3" t="inlineStr">
        <is>
          <t>NOT ON RECORD — no function is recorded for this figure</t>
        </is>
      </c>
      <c r="G5" s="3" t="inlineStr"/>
      <c r="H5" s="3" t="inlineStr">
        <is>
          <t>for each month: guaranteed total = Σ(streams live that month);  paycheck = guaranteed total + draw from savings</t>
        </is>
      </c>
      <c r="I5" s="3" t="inlineStr">
        <is>
          <t>Builds the retirement paycheck month by month: what is guaranteed that month, plus what can safely be drawn from savings.</t>
        </is>
      </c>
      <c r="J5" s="3" t="inlineStr">
        <is>
          <t>NOT DETERMINED — no input list on record for this function</t>
        </is>
      </c>
      <c r="K5" s="3"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s="3" t="inlineStr">
        <is>
          <t>ACTIVE</t>
        </is>
      </c>
      <c r="AG5" s="3" t="inlineStr">
        <is>
          <t>2026-09-08</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(Q-PL-2 — one question, one function)</t>
        </is>
      </c>
    </row>
    <row r="6" ht="60" customHeight="1">
      <c r="A6" s="3" t="inlineStr">
        <is>
          <t>MK-PL-M-005</t>
        </is>
      </c>
      <c r="B6" s="3" t="inlineStr">
        <is>
          <t>Plan</t>
        </is>
      </c>
      <c r="C6" s="3" t="inlineStr">
        <is>
          <t>NA</t>
        </is>
      </c>
      <c r="D6" s="3" t="inlineStr">
        <is>
          <t>+ Draw from savings</t>
        </is>
      </c>
      <c r="E6" s="3" t="inlineStr">
        <is>
          <t>payMonth.safeDraw</t>
        </is>
      </c>
      <c r="F6" s="3" t="inlineStr">
        <is>
          <t>NOT ON RECORD — no function is recorded for this figure</t>
        </is>
      </c>
      <c r="G6" s="3" t="inlineStr"/>
      <c r="H6" s="3" t="inlineStr">
        <is>
          <t>for each month: guaranteed total = Σ(streams live that month);  paycheck = guaranteed total + draw from savings</t>
        </is>
      </c>
      <c r="I6" s="3" t="inlineStr">
        <is>
          <t>Builds the retirement paycheck month by month: what is guaranteed that month, plus what can safely be drawn from savings.</t>
        </is>
      </c>
      <c r="J6" s="3" t="inlineStr">
        <is>
          <t>NOT DETERMINED — no input list on record for this function</t>
        </is>
      </c>
      <c r="K6" s="3"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s="3" t="inlineStr">
        <is>
          <t>ACTIVE</t>
        </is>
      </c>
      <c r="AG6" s="3" t="inlineStr">
        <is>
          <t>2026-09-08</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(Q-PL-2 — one question, one function)</t>
        </is>
      </c>
    </row>
    <row r="7" ht="60" customHeight="1">
      <c r="A7" s="3" t="inlineStr">
        <is>
          <t>MK-PL-M-006</t>
        </is>
      </c>
      <c r="B7" s="3" t="inlineStr">
        <is>
          <t>Plan</t>
        </is>
      </c>
      <c r="C7" s="3" t="inlineStr">
        <is>
          <t>NA</t>
        </is>
      </c>
      <c r="D7" s="3" t="inlineStr">
        <is>
          <t>Your paycheck $X/mo</t>
        </is>
      </c>
      <c r="E7" s="3" t="inlineStr">
        <is>
          <t>paycheckTotal</t>
        </is>
      </c>
      <c r="F7" s="3" t="inlineStr">
        <is>
          <t>Worked out on the screen itself — no function behind it</t>
        </is>
      </c>
      <c r="G7" s="3" t="inlineStr"/>
      <c r="H7" s="3" t="inlineStr">
        <is>
          <t>paycheck = guaranteed income + draw from savings</t>
        </is>
      </c>
      <c r="I7" s="3" t="inlineStr">
        <is>
          <t>Worked out on the screen itself, with no function behind it — a place a second definition can appear.</t>
        </is>
      </c>
      <c r="J7" s="3" t="inlineStr">
        <is>
          <t>NOT DETERMINED — no input list on record for this function</t>
        </is>
      </c>
      <c r="K7" s="3" t="inlineStr">
        <is>
          <t>US dollars · held to the cent · shown as whole dollars  [derived by rule — confirm]</t>
        </is>
      </c>
      <c r="L7" s="3" t="inlineStr">
        <is>
          <t>Inherits the refusal of the figures it is built from: if either side is missing, this line is not shown.</t>
        </is>
      </c>
      <c r="M7" s="3" t="inlineStr">
        <is>
          <t>One figure per person — or per household when two people share one record  [derived by rule — confirm]</t>
        </is>
      </c>
      <c r="N7" s="3" t="inlineStr">
        <is>
          <t>As of today, from the latest figures held  [derived by rule — confirm]</t>
        </is>
      </c>
      <c r="O7" s="3" t="inlineStr">
        <is>
          <t>No function on record — nothing to chain</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s="3" t="inlineStr"/>
      <c r="AE7" s="3" t="inlineStr">
        <is>
          <t>No finding on this row. That is not a statement that the row is right — only that nothing has been written against it.</t>
        </is>
      </c>
      <c r="AF7" s="3" t="inlineStr">
        <is>
          <t>ACTIVE</t>
        </is>
      </c>
      <c r="AG7" s="3" t="inlineStr">
        <is>
          <t>2026-08-27</t>
        </is>
      </c>
      <c r="AH7" s="3" t="n"/>
      <c r="AI7" s="3" t="n"/>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(Q-PL-2 — one question, one function)</t>
        </is>
      </c>
    </row>
    <row r="8" ht="60" customHeight="1">
      <c r="A8" s="3" t="inlineStr">
        <is>
          <t>MK-PL-M-007</t>
        </is>
      </c>
      <c r="B8" s="3" t="inlineStr">
        <is>
          <t>Plan</t>
        </is>
      </c>
      <c r="C8" s="3" t="inlineStr">
        <is>
          <t>NA</t>
        </is>
      </c>
      <c r="D8" s="3" t="inlineStr">
        <is>
          <t>SAVED SCENARIOS (n)</t>
        </is>
      </c>
      <c r="E8" s="3" t="inlineStr">
        <is>
          <t>scenarios.length</t>
        </is>
      </c>
      <c r="F8" s="3" t="inlineStr">
        <is>
          <t>NOT ON RECORD — no function is recorded for this figure</t>
        </is>
      </c>
      <c r="G8" s="3" t="inlineStr"/>
      <c r="H8" s="3" t="inlineStr">
        <is>
          <t>count of scenarios saved</t>
        </is>
      </c>
      <c r="I8" s="3" t="inlineStr">
        <is>
          <t>How many what-if scenarios have been saved.</t>
        </is>
      </c>
      <c r="J8" s="3" t="inlineStr">
        <is>
          <t>NOT DETERMINED — no input list on record for this function</t>
        </is>
      </c>
      <c r="K8" s="3" t="inlineStr">
        <is>
          <t>US dollars · held to the cent · shown as whole dollars  [derived by rule — confirm]</t>
        </is>
      </c>
      <c r="L8" s="3" t="inlineStr">
        <is>
          <t>NOT DETERMINED — this function has not been read for its refusal yet.</t>
        </is>
      </c>
      <c r="M8" s="3" t="inlineStr">
        <is>
          <t>One figure per person — or per household when two people share one record  [derived by rule — confirm]</t>
        </is>
      </c>
      <c r="N8" s="3" t="inlineStr">
        <is>
          <t>As of today, from the latest figures held  [derived by rule — confirm]</t>
        </is>
      </c>
      <c r="O8" s="3" t="inlineStr">
        <is>
          <t>No function on record — nothing to chain</t>
        </is>
      </c>
      <c r="P8" s="3" t="inlineStr">
        <is>
          <t>No function on record — nothing to chain</t>
        </is>
      </c>
      <c r="Q8" s="3" t="inlineStr">
        <is>
          <t>No function on record — assumptions unknown</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B24 [NOT COMPARABLE] — This figure names no function, so its formula cannot be checked against anything. 69 of the 163 figures are in this position — the audit covers the 94 that name one.</t>
        </is>
      </c>
      <c r="AC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s="3" t="inlineStr"/>
      <c r="AE8" s="3" t="inlineStr">
        <is>
          <t>No finding on this row. That is not a statement that the row is right — only that nothing has been written against it.</t>
        </is>
      </c>
      <c r="AF8" s="3" t="inlineStr">
        <is>
          <t>ACTIVE</t>
        </is>
      </c>
      <c r="AG8" s="3" t="inlineStr">
        <is>
          <t>2026-08-27</t>
        </is>
      </c>
      <c r="AH8" s="3" t="n"/>
      <c r="AI8" s="3" t="n"/>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(Q-PL-1 — one question, one function)</t>
        </is>
      </c>
    </row>
    <row r="9" ht="60" customHeight="1">
      <c r="A9" s="3" t="inlineStr">
        <is>
          <t>MK-PL-M-008</t>
        </is>
      </c>
      <c r="B9" s="3" t="inlineStr">
        <is>
          <t>Plan</t>
        </is>
      </c>
      <c r="C9" s="3" t="inlineStr">
        <is>
          <t>/will-it-last</t>
        </is>
      </c>
      <c r="D9" s="3" t="inlineStr">
        <is>
          <t>What you have (nest egg)</t>
        </is>
      </c>
      <c r="E9" s="3" t="inlineStr">
        <is>
          <t>inp.start_balance</t>
        </is>
      </c>
      <c r="F9" s="3" t="inlineStr">
        <is>
          <t>willItLastInputs</t>
        </is>
      </c>
      <c r="G9" s="3" t="inlineStr">
        <is>
          <t>MK-PL-F-067</t>
        </is>
      </c>
      <c r="H9" s="3"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s="3" t="inlineStr">
        <is>
          <t>Percent · exact, no rounding — 1,000 futures give it to a tenth (founder, 2026-09-14)  [derived by rule — confirm]</t>
        </is>
      </c>
      <c r="L9" s="3" t="inlineStr">
        <is>
          <t>NOT DETERMINED — this function has not been read for its refusal yet.</t>
        </is>
      </c>
      <c r="M9" s="3" t="inlineStr">
        <is>
          <t>One figure per person — or per household when two people share one record  [derived by rule — confirm]</t>
        </is>
      </c>
      <c r="N9" s="3" t="inlineStr">
        <is>
          <t>From today to the retirement age in the plan  [derived by rule — confirm]</t>
        </is>
      </c>
      <c r="O9"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TaxSplit
21. MK-CF-F-083 (totalGrossAnnual) → number
22. MK-PL-F-065 (volOf) → NOT DECLARED — the code does not say what it gives back</t>
        </is>
      </c>
      <c r="P9"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Q9"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AGREES — the figure's arithmetic and the arithmetic of the function it names say the same thing. Checked 2026-08-26.</t>
        </is>
      </c>
      <c r="AC9" s="3" t="inlineStr">
        <is>
          <t>HAS A FUNCTION — traceable from the screen to the code.</t>
        </is>
      </c>
      <c r="AD9" s="3"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s="3" t="inlineStr">
        <is>
          <t>ACTIVE</t>
        </is>
      </c>
      <c r="AG9" s="3" t="inlineStr">
        <is>
          <t>2026-09-30</t>
        </is>
      </c>
      <c r="AH9" s="3" t="n"/>
      <c r="AI9" s="3" t="n"/>
      <c r="AJ9" s="3" t="inlineStr">
        <is>
          <t>1. MK-XS-I-001 account balance — read by MK-NW-F-031, MK-NW-F-032,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(Q-PL-1 — one question, one function)</t>
        </is>
      </c>
    </row>
    <row r="10" ht="60" customHeight="1">
      <c r="A10" s="3" t="inlineStr">
        <is>
          <t>MK-PL-M-009</t>
        </is>
      </c>
      <c r="B10" s="3" t="inlineStr">
        <is>
          <t>Plan</t>
        </is>
      </c>
      <c r="C10" s="3" t="inlineStr">
        <is>
          <t>/will-it-last</t>
        </is>
      </c>
      <c r="D10" s="3" t="inlineStr">
        <is>
          <t>Monthly expenses in retirement</t>
        </is>
      </c>
      <c r="E10" s="3" t="inlineStr">
        <is>
          <t>inp.retire_monthly_spend_today</t>
        </is>
      </c>
      <c r="F10" s="3" t="inlineStr">
        <is>
          <t>retirementSpendMonthly</t>
        </is>
      </c>
      <c r="G10" s="3" t="inlineStr">
        <is>
          <t>MK-PL-F-049</t>
        </is>
      </c>
      <c r="H10" s="3" t="inlineStr">
        <is>
          <t>expenses in retirement a month = what is spent today × the share expected to continue</t>
        </is>
      </c>
      <c r="I10" s="3" t="inlineStr">
        <is>
          <t>What the person said they expect to spend, adjusted for where they plan to live. Stated in TODAY'S dollars — the simulation inflates it to each future year, so inflating it here as well would count inflation twice.</t>
        </is>
      </c>
      <c r="J10" s="3" t="inlineStr">
        <is>
          <t>1. the answer → the retirement-expenses question  [MK-XS-I-024]
2. where they will live → the location answer  [MK-XS-I-045]</t>
        </is>
      </c>
      <c r="K10" s="3" t="inlineStr">
        <is>
          <t>US dollars · held to the cent · shown as whole dollars  [derived by rule — confirm]</t>
        </is>
      </c>
      <c r="L10" s="3" t="inlineStr">
        <is>
          <t>NOT DETERMINED — this function has not been read for its refusal yet.</t>
        </is>
      </c>
      <c r="M10" s="3" t="inlineStr">
        <is>
          <t>One figure per month  [derived by rule — confirm]</t>
        </is>
      </c>
      <c r="N10" s="3" t="inlineStr">
        <is>
          <t>From today to the retirement age in the plan  [derived by rule — confirm]</t>
        </is>
      </c>
      <c r="O10" s="3" t="inlineStr">
        <is>
          <t>1. MK-PL-F-047 (colFactor) → ColMatch
2. MK-CF-O-002 (expenses) → Expenses
3. MK-PL-F-001 (taxBucketSplit) → TaxSplit
4. MK-ST-F-052 (toNum) → number</t>
        </is>
      </c>
      <c r="P1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Q10" s="3" t="inlineStr">
        <is>
          <t>1. MK-CF-F-150 — Uses a built-in s h o w f i r s t of 5.
2. MK-NW-F-032 — If balance is missing it counts as zero, so nothing recorded and a real zero look the same.
3. MK-NW-F-032 — Caps percent at 100.
4. MK-NW-F-031 — If balance is missing it counts as zero, so nothing recorded and a real zero look the same.
5. MK-CF-F-023 — If monthly payment is missing it uses 0.
6. MK-ST-F-049 — Rounds the answer to a whole number.</t>
        </is>
      </c>
      <c r="R10" s="3" t="inlineStr"/>
      <c r="S10" s="3" t="inlineStr"/>
      <c r="T10" s="3" t="inlineStr">
        <is>
          <t>[The person] The retirement age in their plan.</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AGREES — the figure's arithmetic and the arithmetic of the function it names say the same thing. Checked 2026-08-26.</t>
        </is>
      </c>
      <c r="AC10" s="3" t="inlineStr">
        <is>
          <t>HAS A FUNCTION — traceable from the screen to the code.</t>
        </is>
      </c>
      <c r="AD10" s="3" t="inlineStr"/>
      <c r="AE10" s="3" t="inlineStr">
        <is>
          <t>No finding on this row. That is not a statement that the row is right — only that nothing has been written against it.</t>
        </is>
      </c>
      <c r="AF10" s="3" t="inlineStr">
        <is>
          <t>ACTIVE</t>
        </is>
      </c>
      <c r="AG10" s="3" t="inlineStr">
        <is>
          <t>2026-09-30</t>
        </is>
      </c>
      <c r="AH10" s="3" t="n"/>
      <c r="AI10" s="3" t="n"/>
      <c r="AJ10" s="3" t="inlineStr">
        <is>
          <t>1. MK-XS-I-001 account balance — read by MK-NW-F-031, MK-NW-F-032, MK-NW-F-133, MK-ST-F-027
2. MK-XS-I-002 account type (taxable, pre-tax, Roth) — read by MK-NW-F-011, MK-NW-F-012, MK-NW-F-025, MK-NW-F-120, MK-PL-F-086
3. MK-XS-I-003 institution name — read by MK-NW-F-025, MK-NW-F-026, MK-NW-F-134
4. MK-XS-I-004 holding quantity (shares) — read by MK-ST-F-027
5. MK-XS-I-005 holding price — read by MK-ST-F-027
6. MK-XS-I-007 purchase price and date (per lot) — read by MK-ST-F-027
7. MK-XS-I-013 bond maturity date — read by MK-NW-F-120, MK-ST-F-010
8. MK-XS-I-016 debt minimum payment — read by MK-CF-F-023
9. MK-XS-I-018 retirement age — read by MK-PL-F-049
10. MK-XS-I-019 monthly expenses in retirement — read by MK-PL-F-049
11. MK-XS-I-022 pension monthly amount — read by MK-PL-F-049
12. MK-XS-I-024 logged expenses — read by MK-CF-F-150, MK-CF-F-151, MK-CF-F-153, MK-CF-O-002, MK-NW-F-115
13. MK-XS-I-028 assumed return — read by MK-PL-F-049
14. MK-XS-I-029 inflation rate — read by MK-PL-F-049
15. MK-XS-I-035 annuity income — read by MK-PL-F-049
16. MK-XS-I-036 other guaranteed income — read by MK-PL-F-049
17. MK-XS-I-041 the payment the person chose to make on a debt — read by MK-CF-F-023
18. MK-XS-I-042 how a stream is paid — monthly, yearly or one lump — read by MK-CF-F-021, MK-CF-F-022, MK-CF-F-023, MK-CF-F-149, MK-CF-F-150, MK-CF-F-152
19. MK-XS-I-043 their own retirement contribution — read by MK-PL-F-049
20. MK-XS-I-044 the person’s own plan overrides — read by MK-PL-F-049
21. MK-XS-I-045 where they will live in retirement — read by MK-PL-F-049
22. MK-XS-I-048 the person’s own asset-class answer — read by MK-NW-F-011, MK-ST-F-027
23. MK-XS-I-050 the share of an account earmarked for retirement — read by MK-NW-F-032
24. MK-XS-I-055 the wrapper an account sits in — ISA, 401(k), IRA and the rest — read by MK-NW-F-011, MK-NW-F-012, MK-NW-F-023, MK-NW-F-025, MK-NW-F-030, MK-NW-F-031, MK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(Q-PL-1 — one question, one function)</t>
        </is>
      </c>
    </row>
    <row r="11" ht="60" customHeight="1">
      <c r="A11" s="3" t="inlineStr">
        <is>
          <t>MK-PL-M-010</t>
        </is>
      </c>
      <c r="B11" s="3" t="inlineStr">
        <is>
          <t>Plan</t>
        </is>
      </c>
      <c r="C11" s="3" t="inlineStr">
        <is>
          <t>/will-it-last</t>
        </is>
      </c>
      <c r="D11" s="3" t="inlineStr">
        <is>
          <t>Guaranteed income — $X/mo from age Y</t>
        </is>
      </c>
      <c r="E11" s="3" t="inlineStr">
        <is>
          <t>inp.guaranteed_monthly_income</t>
        </is>
      </c>
      <c r="F11" s="3" t="inlineStr">
        <is>
          <t>NOT ON RECORD — no function is recorded for this figure</t>
        </is>
      </c>
      <c r="G11" s="3" t="inlineStr"/>
      <c r="H11" s="3" t="inlineStr">
        <is>
          <t>each stream grows on its own rule: Social Security rises with inflation, a fixed pension does not</t>
        </is>
      </c>
      <c r="I11" s="3" t="inlineStr">
        <is>
          <t>Each guaranteed stream grows on its own rule: Social Security rises with inflation, a fixed pension stays flat. They are never grown together.</t>
        </is>
      </c>
      <c r="J11" s="3" t="inlineStr">
        <is>
          <t>NOT DETERMINED — no input list on record for this function</t>
        </is>
      </c>
      <c r="K11" s="3" t="inlineStr">
        <is>
          <t>Age in whole years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No function on record — nothing to chain</t>
        </is>
      </c>
      <c r="P11" s="3" t="inlineStr">
        <is>
          <t>No function on record — nothing to chain</t>
        </is>
      </c>
      <c r="Q11" s="3" t="inlineStr">
        <is>
          <t>No function on record — assumptions unknown</t>
        </is>
      </c>
      <c r="R11" s="3" t="inlineStr"/>
      <c r="S11" s="3" t="inlineStr"/>
      <c r="T11" s="3"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B24 [NOT COMPARABLE] — This figure names no function, so its formula cannot be checked against anything. 69 of the 163 figures are in this position — the audit covers the 94 that name one.</t>
        </is>
      </c>
      <c r="AC1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s="3" t="inlineStr"/>
      <c r="AE11" s="3" t="inlineStr">
        <is>
          <t>No finding on this row. That is not a statement that the row is right — only that nothing has been written against it.</t>
        </is>
      </c>
      <c r="AF11" s="3" t="inlineStr">
        <is>
          <t>ACTIVE</t>
        </is>
      </c>
      <c r="AG11" s="3" t="inlineStr">
        <is>
          <t>2026-08-27</t>
        </is>
      </c>
      <c r="AH11" s="3" t="n"/>
      <c r="AI11" s="3" t="n"/>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(Q-PL-1 — one question, one function)</t>
        </is>
      </c>
    </row>
    <row r="12" ht="60" customHeight="1">
      <c r="A12" s="3" t="inlineStr">
        <is>
          <t>MK-PL-M-011</t>
        </is>
      </c>
      <c r="B12" s="3" t="inlineStr">
        <is>
          <t>Plan</t>
        </is>
      </c>
      <c r="C12" s="3" t="inlineStr">
        <is>
          <t>/will-it-last</t>
        </is>
      </c>
      <c r="D12" s="3" t="inlineStr">
        <is>
          <t>Monthly saving until then</t>
        </is>
      </c>
      <c r="E12" s="3" t="inlineStr">
        <is>
          <t>inp.annual_contrib</t>
        </is>
      </c>
      <c r="F12" s="3" t="inlineStr">
        <is>
          <t>willItLastInputs</t>
        </is>
      </c>
      <c r="G12" s="3" t="inlineStr">
        <is>
          <t>MK-PL-F-067</t>
        </is>
      </c>
      <c r="H12" s="3"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s="3" t="inlineStr">
        <is>
          <t>Percent · exact, no rounding — 1,000 futures give it to a tenth (founder, 2026-09-14)  [derived by rule — confirm]</t>
        </is>
      </c>
      <c r="L12" s="3" t="inlineStr">
        <is>
          <t>NOT DETERMINED — this function has not been read for its refusal yet.</t>
        </is>
      </c>
      <c r="M12" s="3" t="inlineStr">
        <is>
          <t>One figure per month  [derived by rule — confirm]</t>
        </is>
      </c>
      <c r="N12" s="3" t="inlineStr">
        <is>
          <t>As of today, from the latest figures held  [derived by rule — confirm]</t>
        </is>
      </c>
      <c r="O12"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TaxSplit
21. MK-CF-F-083 (totalGrossAnnual) → number
22. MK-PL-F-065 (volOf) → NOT DECLARED — the code does not say what it gives back</t>
        </is>
      </c>
      <c r="P12"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Q12"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12" s="3" t="inlineStr"/>
      <c r="S12" s="3" t="inlineStr"/>
      <c r="T12" s="3" t="inlineStr">
        <is>
          <t>NOT DETERMINED — no assumption recorded for this figure yet.</t>
        </is>
      </c>
      <c r="U12" s="3" t="inlineStr">
        <is>
          <t>THE SURVIVING IDENTIFIER for this figure. Folded in: MK-PL-M-029. What is being saved each month towards retirement — "Monthly saving until then" and "Retirement saving $X/mo now".</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AGREES — the figure's arithmetic and the arithmetic of the function it names say the same thing. Checked 2026-08-26.</t>
        </is>
      </c>
      <c r="AC12" s="3" t="inlineStr">
        <is>
          <t>HAS A FUNCTION — traceable from the screen to the code.</t>
        </is>
      </c>
      <c r="AD12" s="3" t="inlineStr"/>
      <c r="AE12" s="3" t="inlineStr">
        <is>
          <t>No finding on this row. That is not a statement that the row is right — only that nothing has been written against it.</t>
        </is>
      </c>
      <c r="AF12" s="3" t="inlineStr">
        <is>
          <t>ACTIVE</t>
        </is>
      </c>
      <c r="AG12" s="3" t="inlineStr">
        <is>
          <t>2026-09-30</t>
        </is>
      </c>
      <c r="AH12" s="3" t="n"/>
      <c r="AI12" s="3" t="n"/>
      <c r="AJ12" s="3" t="inlineStr">
        <is>
          <t>1. MK-XS-I-001 account balance — read by MK-NW-F-031, MK-NW-F-032,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(Q-PL-1 — one question, one function)</t>
        </is>
      </c>
    </row>
    <row r="13" ht="60" customHeight="1">
      <c r="A13" s="3" t="inlineStr">
        <is>
          <t>MK-PL-M-012</t>
        </is>
      </c>
      <c r="B13" s="3" t="inlineStr">
        <is>
          <t>Plan</t>
        </is>
      </c>
      <c r="C13" s="3" t="inlineStr">
        <is>
          <t>/required-withdrawals</t>
        </is>
      </c>
      <c r="D13" s="3" t="inlineStr">
        <is>
          <t>Yours starts in &lt;year&gt; (age N)</t>
        </is>
      </c>
      <c r="E13" s="3" t="inlineStr">
        <is>
          <t>rmdStartAgeFor(age)</t>
        </is>
      </c>
      <c r="F13" s="3" t="inlineStr">
        <is>
          <t>NOT ON RECORD — no function is recorded for this figure</t>
        </is>
      </c>
      <c r="G13" s="3" t="inlineStr"/>
      <c r="H13" s="3" t="inlineStr">
        <is>
          <t>start age = 73 for those born 1951–1959, 75 for those born 1960 or later;  Roth 401(k) is exempt</t>
        </is>
      </c>
      <c r="I13" s="3" t="inlineStr">
        <is>
          <t>The age required withdrawals begin, from one dated table: 73 for those born 1951 to 1959, 75 for those born in 1960 or later. A Roth 401(k) is exempt.</t>
        </is>
      </c>
      <c r="J13" s="3" t="inlineStr">
        <is>
          <t>NOT DETERMINED — no input list on record for this function</t>
        </is>
      </c>
      <c r="K13" s="3" t="inlineStr">
        <is>
          <t>Age in whole years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This calendar year, to today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[Founder] The same one dated table, after both earlier copies were deleted.</t>
        </is>
      </c>
      <c r="U13" s="3" t="inlineStr"/>
      <c r="V13" s="3" t="inlineStr"/>
      <c r="W13" s="3" t="inlineStr"/>
      <c r="X13" s="3" t="inlineStr"/>
      <c r="Y13" s="3" t="inlineStr">
        <is>
          <t>NOT DETERMINED</t>
        </is>
      </c>
      <c r="Z13" s="3" t="inlineStr">
        <is>
          <t>VERIFIED 2026-08-22</t>
        </is>
      </c>
      <c r="AA13" s="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A36 — FIXED 2026-09-12
A41 — OPEN since 2026-08-26 — nothing has closed this. It is not known to be wrong; it is known to be unaddressed.</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OPEN FINDING A41 · CODED, NOT TESTED (finding A36 names no test)</t>
        </is>
      </c>
    </row>
    <row r="14" ht="60" customHeight="1">
      <c r="A14" s="3" t="inlineStr">
        <is>
          <t>MK-PL-M-013</t>
        </is>
      </c>
      <c r="B14" s="3" t="inlineStr">
        <is>
          <t>Plan</t>
        </is>
      </c>
      <c r="C14" s="3" t="inlineStr">
        <is>
          <t>/required-withdrawals</t>
        </is>
      </c>
      <c r="D14" s="3" t="inlineStr">
        <is>
          <t>Required $X</t>
        </is>
      </c>
      <c r="E14" s="3"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s="3" t="inlineStr">
        <is>
          <t>US dollars · held to the cent · shown as whole dollars  [derived by rule — confirm]</t>
        </is>
      </c>
      <c r="L14" s="3" t="inlineStr">
        <is>
          <t>Not yet at the start age → the explainer, no figure. No pre-tax accounts → 'Add your retirement accounts'.</t>
        </is>
      </c>
      <c r="M14" s="3" t="inlineStr">
        <is>
          <t>One figure per person — or per household when two people share one record  [derived by rule — confirm]</t>
        </is>
      </c>
      <c r="N14" s="3" t="inlineStr">
        <is>
          <t>As of today, from the latest figures held  [derived by rule — confirm]</t>
        </is>
      </c>
      <c r="O14" s="3" t="inlineStr">
        <is>
          <t>MK-PL-F-007 (rmdAtAge) → number</t>
        </is>
      </c>
      <c r="P14" s="3" t="inlineStr">
        <is>
          <t>No function on record — nothing to chain</t>
        </is>
      </c>
      <c r="Q14" s="3" t="inlineStr">
        <is>
          <t>No function on record — assumptions unknown</t>
        </is>
      </c>
      <c r="R14" s="3" t="inlineStr"/>
      <c r="S14" s="3"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s="3" t="inlineStr"/>
      <c r="V14" s="9" t="inlineStr">
        <is>
          <t>Q31 — Required withdrawals are estimated from balances we hold. When an institution states its own required figure, does theirs win?</t>
        </is>
      </c>
      <c r="W14" s="9" t="inlineStr"/>
      <c r="X14" s="3" t="inlineStr"/>
      <c r="Y14" s="3" t="inlineStr">
        <is>
          <t>NOT DETERMINED</t>
        </is>
      </c>
      <c r="Z14" s="3" t="inlineStr">
        <is>
          <t>VERIFIED 2026-08-22</t>
        </is>
      </c>
      <c r="AA14"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s="3" t="inlineStr">
        <is>
          <t>ACTIVE</t>
        </is>
      </c>
      <c r="AG14" s="3" t="inlineStr">
        <is>
          <t>2026-08-27</t>
        </is>
      </c>
      <c r="AH14" s="3" t="n"/>
      <c r="AI14" s="3" t="n"/>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9" t="inlineStr">
        <is>
          <t>WAITING ON YOU — question Q31 · TESTED, NOT VERIFIED (G8) · OPEN FINDING A37, A41</t>
        </is>
      </c>
    </row>
    <row r="15" ht="60" customHeight="1">
      <c r="A15" s="3" t="inlineStr">
        <is>
          <t>MK-PL-M-014</t>
        </is>
      </c>
      <c r="B15" s="3" t="inlineStr">
        <is>
          <t>Plan</t>
        </is>
      </c>
      <c r="C15" s="3" t="inlineStr">
        <is>
          <t>/required-withdrawals</t>
        </is>
      </c>
      <c r="D15" s="3" t="inlineStr">
        <is>
          <t>Taken so far $X · still to take</t>
        </is>
      </c>
      <c r="E15" s="3" t="inlineStr">
        <is>
          <t>taken / still</t>
        </is>
      </c>
      <c r="F15" s="3" t="inlineStr">
        <is>
          <t>Worked out on the screen itself — no function behind it</t>
        </is>
      </c>
      <c r="G15" s="3" t="inlineStr"/>
      <c r="H15" s="3" t="inlineStr">
        <is>
          <t>still to take = required this year − taken so far</t>
        </is>
      </c>
      <c r="I15" s="3" t="inlineStr">
        <is>
          <t>Worked out on the screen itself, with no function behind it — a place a second definition can appear.</t>
        </is>
      </c>
      <c r="J15" s="3" t="inlineStr">
        <is>
          <t>NOT DETERMINED — no input list on record for this function</t>
        </is>
      </c>
      <c r="K15" s="3" t="inlineStr">
        <is>
          <t>US dollars · held to the cent · shown as whole dollars  [derived by rule — confirm]</t>
        </is>
      </c>
      <c r="L15" s="3" t="inlineStr">
        <is>
          <t>Inherits the refusal of the figures it is built from: if either side is missing, this line is not shown.</t>
        </is>
      </c>
      <c r="M15" s="3" t="inlineStr">
        <is>
          <t>One figure per person — or per household when two people share one record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is>
          <t>MK-PL-M-015</t>
        </is>
      </c>
      <c r="B16" s="3" t="inlineStr">
        <is>
          <t>Plan</t>
        </is>
      </c>
      <c r="C16" s="3" t="inlineStr">
        <is>
          <t>/required-withdrawals</t>
        </is>
      </c>
      <c r="D16" s="3" t="inlineStr">
        <is>
          <t>YEAR BY YEAR (ESTIMATES) — each year and amount</t>
        </is>
      </c>
      <c r="E16" s="3" t="inlineStr">
        <is>
          <t>r.amount</t>
        </is>
      </c>
      <c r="F16" s="3" t="inlineStr">
        <is>
          <t>NOT ON RECORD — no function is recorded for this figure</t>
        </is>
      </c>
      <c r="G16" s="3"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s="3" t="inlineStr">
        <is>
          <t>NOT DETERMINED — no input list on record for this function</t>
        </is>
      </c>
      <c r="K16" s="3" t="inlineStr">
        <is>
          <t>US dollars · held to the cent · shown as whole dollars  [derived by rule — confirm]</t>
        </is>
      </c>
      <c r="L16" s="3" t="inlineStr">
        <is>
          <t>Nothing before the start age for that birth year. A Roth 401(k) is exempt and says so.</t>
        </is>
      </c>
      <c r="M16" s="3" t="inlineStr">
        <is>
          <t>One figure per person — or per household when two people share one record  [derived by rule — confirm]</t>
        </is>
      </c>
      <c r="N16" s="3" t="inlineStr">
        <is>
          <t>This calendar year, to today  [derived by rule — confirm]</t>
        </is>
      </c>
      <c r="O16" s="3" t="inlineStr">
        <is>
          <t>No function on record — nothing to chain</t>
        </is>
      </c>
      <c r="P16" s="3" t="inlineStr">
        <is>
          <t>No function on record — nothing to chain</t>
        </is>
      </c>
      <c r="Q16" s="3" t="inlineStr">
        <is>
          <t>No function on record — assumptions unknown</t>
        </is>
      </c>
      <c r="R16" s="3" t="inlineStr"/>
      <c r="S16" s="3" t="inlineStr"/>
      <c r="T16" s="3" t="inlineStr">
        <is>
          <t>[Founder] One dated table. Start age is 73 for those born 1951–1959 and 75 for those born 1960 or later; a Roth 401(k) is exempt (fix B4).</t>
        </is>
      </c>
      <c r="U16" s="3" t="inlineStr"/>
      <c r="V16" s="3" t="inlineStr"/>
      <c r="W16" s="3" t="inlineStr"/>
      <c r="X16" s="3" t="inlineStr"/>
      <c r="Y16" s="3" t="inlineStr">
        <is>
          <t>NOT DETERMINED</t>
        </is>
      </c>
      <c r="Z16" s="3" t="inlineStr">
        <is>
          <t>VERIFIED 2026-08-22</t>
        </is>
      </c>
      <c r="AA16"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B24 [NOT COMPARABLE] — This figure names no function, so its formula cannot be checked against anything. 69 of the 163 figures are in this position — the audit covers the 94 that name one.</t>
        </is>
      </c>
      <c r="AC1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s="3"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s="3" t="inlineStr">
        <is>
          <t>ACTIVE</t>
        </is>
      </c>
      <c r="AG16" s="3" t="inlineStr">
        <is>
          <t>2026-08-27</t>
        </is>
      </c>
      <c r="AH16" s="3" t="n"/>
      <c r="AI16" s="3" t="n"/>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6" t="inlineStr">
        <is>
          <t>TESTED, NOT VERIFIED (G8) · OPEN FINDING A37, A41</t>
        </is>
      </c>
    </row>
    <row r="17" ht="60" customHeight="1">
      <c r="A17" s="3" t="inlineStr">
        <is>
          <t>MK-PL-M-016</t>
        </is>
      </c>
      <c r="B17" s="3" t="inlineStr">
        <is>
          <t>Plan</t>
        </is>
      </c>
      <c r="C17" s="3" t="inlineStr">
        <is>
          <t>/required-withdrawals</t>
        </is>
      </c>
      <c r="D17" s="3" t="inlineStr">
        <is>
          <t>BASED ON THESE ACCOUNTS — each balance</t>
        </is>
      </c>
      <c r="E17" s="3" t="inlineStr">
        <is>
          <t>a.balance</t>
        </is>
      </c>
      <c r="F17" s="3" t="inlineStr">
        <is>
          <t>valueFreshness</t>
        </is>
      </c>
      <c r="G17" s="3" t="inlineStr"/>
      <c r="H17" s="3"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s="3" t="inlineStr">
        <is>
          <t>1. the account → a  [MK-XS-I-001]
2. when the value was set → value_as_of  [MK-XS-I-033]
3. today → now  [NOT AN INPUT — a setting or a filter, not data anyone supplies]</t>
        </is>
      </c>
      <c r="K17" s="3" t="inlineStr">
        <is>
          <t>A count · whole units, except crypto which keeps its fractions  [derived by rule — confirm]</t>
        </is>
      </c>
      <c r="L17" s="3" t="inlineStr">
        <is>
          <t>Always answers, but carries the age of the figure and warns once it is stale.</t>
        </is>
      </c>
      <c r="M17" s="3" t="inlineStr">
        <is>
          <t>One figure per account  [derived by rule — confirm]</t>
        </is>
      </c>
      <c r="N17" s="3" t="inlineStr">
        <is>
          <t>As of today, from the latest figures held  [derived by rule — confirm]</t>
        </is>
      </c>
      <c r="O17" s="3" t="inlineStr">
        <is>
          <t>No function on record — nothing to chain</t>
        </is>
      </c>
      <c r="P17" s="3" t="inlineStr">
        <is>
          <t>1. MK-NW-F-120 classEvidenceOf → MK-NW-F-011 assetClassOf → MK-NW-F-007 assetKind → MK-NW-F-034 benchmarkReturn → MK-NW-F-037 blendedReturn → MK-NW-F-003 valueFreshness
2. MK-XS-F-122 n → MK-CF-F-155 cash → MK-NW-F-007 assetKind → MK-NW-F-034 benchmarkReturn → MK-NW-F-037 blendedReturn → MK-NW-F-003 valueFreshness
3. MK-NW-F-120 classEvidenceOf → MK-NW-F-011 assetClassOf → MK-NW-F-030 earmarkDefault → MK-NW-F-032 earmarkedAmount → MK-NW-F-037 blendedReturn → MK-NW-F-003 valueFreshness
4. MK-CF-F-132 map → MK-NW-F-134 carValueNotEnteredNotes → MK-NW-F-031 primaryCarIdOf → MK-NW-F-037 blendedReturn → MK-NW-F-003 valueFreshness
5. MK-ST-F-049 formatMoney → MK-ST-F-053 money → MK-NW-F-134 carValueNotEnteredNotes → MK-NW-F-031 primaryCarIdOf → MK-NW-F-037 blendedReturn → MK-NW-F-003 valueFreshness
6. MK-XS-F-122 n → MK-ST-F-053 money → MK-NW-F-134 carValueNotEnteredNotes → MK-NW-F-031 primaryCarIdOf → MK-NW-F-037 blendedReturn → MK-NW-F-003 valueFreshness
7. primaryCarIdOf (already above — a loop) → MK-NW-F-134 carValueNotEnteredNotes → MK-NW-F-031 primaryCarIdOf → MK-NW-F-037 blendedReturn → MK-NW-F-003 valueFreshness
8. MK-NW-F-032 earmarkedAmount → MK-NW-F-033 retirementEarmarkedValue → MK-NW-F-134 carValueNotEnteredNotes → MK-NW-F-031 primaryCarIdOf → MK-NW-F-037 blendedReturn → MK-NW-F-003 valueFreshness
9. … and 4 more paths</t>
        </is>
      </c>
      <c r="Q17" s="3" t="inlineStr">
        <is>
          <t>1. MK-NW-F-003 — Turns a monthly figure into a year by multiplying by twelve.
2. MK-NW-F-003 — Uses today's date from the device clock, so the answer changes by itself overnight.
3. MK-NW-F-034 — If return is missing it uses 6%.
4. MK-NW-F-032 — If balance is missing it counts as zero, so nothing recorded and a real zero look the same.
5. MK-NW-F-032 — Caps percent at 100.
6. MK-NW-F-031 — If balance is missing it counts as zero, so nothing recorded and a real zero look the same.
7. MK-ST-F-049 — Rounds the answer to a whole number.
8. MK-CF-F-150 — Uses a built-in s h o w f i r s t of 5.
9. MK-CF-F-023 — If monthly payment is missing it uses 0.</t>
        </is>
      </c>
      <c r="R17" s="3" t="inlineStr">
        <is>
          <t>DECIDES whether a stated value is fresh enough to show without a warning.</t>
        </is>
      </c>
      <c r="S17" s="3" t="inlineStr"/>
      <c r="T17" s="3" t="inlineStr">
        <is>
          <t>NOT DETERMINED — no assumption recorded for this figure yet.</t>
        </is>
      </c>
      <c r="U17" s="3" t="inlineStr">
        <is>
          <t>THE SAME FIGURE AS MK-NW-M-018 — An account's value. The balance listed under required withdrawals is the same figure as Market value on account detail.</t>
        </is>
      </c>
      <c r="V17" s="9" t="inlineStr">
        <is>
          <t>Q23 — Same question for a value you typed by hand: after how long should the app ask you to check it?</t>
        </is>
      </c>
      <c r="W17" s="9"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s="3" t="inlineStr">
        <is>
          <t>HAS A FUNCTION — traceable from the screen to the code.</t>
        </is>
      </c>
      <c r="AD17" s="3" t="inlineStr"/>
      <c r="AE17" s="3" t="inlineStr">
        <is>
          <t>B14 — FIXED 2026-09-12</t>
        </is>
      </c>
      <c r="AF17" s="3" t="inlineStr">
        <is>
          <t>SUPERSEDED BY MK-NW-M-018 — the same figure under another identifier. This number is retired and is never handed to anything else.</t>
        </is>
      </c>
      <c r="AG17" s="3" t="inlineStr">
        <is>
          <t>2026-08-27</t>
        </is>
      </c>
      <c r="AH17" s="3" t="n"/>
      <c r="AI17" s="3" t="n"/>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9" t="inlineStr">
        <is>
          <t>WAITING ON YOU — question Q23 · CODED, NOT TESTED (finding B14 names no test)</t>
        </is>
      </c>
    </row>
    <row r="18" ht="60" customHeight="1">
      <c r="A18" s="3" t="inlineStr">
        <is>
          <t>MK-PL-M-017</t>
        </is>
      </c>
      <c r="B18" s="3" t="inlineStr">
        <is>
          <t>Plan</t>
        </is>
      </c>
      <c r="C18" s="3" t="inlineStr">
        <is>
          <t>/ss-timing</t>
        </is>
      </c>
      <c r="D18" s="3" t="inlineStr">
        <is>
          <t>Monthly check (today's dollars)</t>
        </is>
      </c>
      <c r="E18" s="3" t="inlineStr">
        <is>
          <t>A.guaranteedMonthly</t>
        </is>
      </c>
      <c r="F18" s="3" t="inlineStr">
        <is>
          <t>ssBenefitAt</t>
        </is>
      </c>
      <c r="G18" s="3" t="inlineStr">
        <is>
          <t>MK-PL-F-060</t>
        </is>
      </c>
      <c r="H18" s="3" t="inlineStr">
        <is>
          <t>benefit at claim age = the statement amount at full retirement age × the claim factor for that age</t>
        </is>
      </c>
      <c r="I18" s="3"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s="3" t="inlineStr">
        <is>
          <t>US dollars · held to the cent · shown as whole dollars  [derived by rule — confirm]</t>
        </is>
      </c>
      <c r="L18" s="3" t="inlineStr">
        <is>
          <t>Without a statement amount a worked example is shown, labelled as an example throughout.</t>
        </is>
      </c>
      <c r="M18" s="3" t="inlineStr">
        <is>
          <t>One figure per month  [derived by rule — confirm]</t>
        </is>
      </c>
      <c r="N18" s="3" t="inlineStr">
        <is>
          <t>As of today, from the latest figures held  [derived by rule — confirm]</t>
        </is>
      </c>
      <c r="O18" s="3" t="inlineStr">
        <is>
          <t>MK-PL-F-058 (ssClaimFactorFor) → number</t>
        </is>
      </c>
      <c r="P18" s="3" t="inlineStr">
        <is>
          <t>MK-PL-F-057 fullRetirementAge → MK-PL-F-058 ssClaimFactorFor → MK-PL-F-060 ssBenefitAt</t>
        </is>
      </c>
      <c r="Q18" s="3"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s="3" t="inlineStr"/>
      <c r="S18" s="3" t="inlineStr"/>
      <c r="T18"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s="3" t="inlineStr"/>
      <c r="V18" s="3" t="inlineStr"/>
      <c r="W18" s="3" t="inlineStr"/>
      <c r="X18" s="3" t="inlineStr"/>
      <c r="Y18" s="3" t="inlineStr">
        <is>
          <t>NOT DETERMINED</t>
        </is>
      </c>
      <c r="Z18" s="3" t="inlineStr">
        <is>
          <t>VERIFIED 2026-08-22</t>
        </is>
      </c>
      <c r="AA18"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s="3" t="inlineStr">
        <is>
          <t>ACTIVE</t>
        </is>
      </c>
      <c r="AG18" s="3" t="inlineStr">
        <is>
          <t>2026-09-30</t>
        </is>
      </c>
      <c r="AH18" s="3" t="n"/>
      <c r="AI18" s="3" t="n"/>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6" t="inlineStr">
        <is>
          <t>TESTED, NOT VERIFIED (G25) · OPEN FINDING A41</t>
        </is>
      </c>
    </row>
    <row r="19" ht="60" customHeight="1">
      <c r="A19" s="3" t="inlineStr">
        <is>
          <t>MK-PL-M-018</t>
        </is>
      </c>
      <c r="B19" s="3" t="inlineStr">
        <is>
          <t>Plan</t>
        </is>
      </c>
      <c r="C19" s="3" t="inlineStr">
        <is>
          <t>/ss-timing</t>
        </is>
      </c>
      <c r="D19" s="3" t="inlineStr">
        <is>
          <t>You receive $X/mo ✓</t>
        </is>
      </c>
      <c r="E19" s="3" t="inlineStr">
        <is>
          <t>op.ri_ss</t>
        </is>
      </c>
      <c r="F19" s="3" t="inlineStr">
        <is>
          <t>currentRetirementIncomeMonthly</t>
        </is>
      </c>
      <c r="G19" s="3" t="inlineStr">
        <is>
          <t>MK-CF-F-072</t>
        </is>
      </c>
      <c r="H19" s="3" t="inlineStr">
        <is>
          <t>guaranteed income now = Σ(streams already being received)</t>
        </is>
      </c>
      <c r="I19"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s="3" t="inlineStr">
        <is>
          <t>1. do they receive it now → incomeSources  [MK-XS-I-040]
2. the amounts → retirementIncomeMonthly  [MK-XS-I-008]</t>
        </is>
      </c>
      <c r="K19" s="3" t="inlineStr">
        <is>
          <t>US dollars · held to the cent · shown as whole dollars  [derived by rule — confirm]</t>
        </is>
      </c>
      <c r="L19" s="3" t="inlineStr">
        <is>
          <t>Adds up to $0 when there is nothing to add. Zero and "nothing recorded yet" look identical on screen — worth a decision.</t>
        </is>
      </c>
      <c r="M19" s="3" t="inlineStr">
        <is>
          <t>One figure per person — or per household when two people share one record  [derived by rule — confirm]</t>
        </is>
      </c>
      <c r="N19" s="3" t="inlineStr">
        <is>
          <t>As of today, from the latest figures held  [derived by rule — confirm]</t>
        </is>
      </c>
      <c r="O19" s="3" t="inlineStr">
        <is>
          <t>MK-CF-F-075 (retirementIncomeMonthly) → number</t>
        </is>
      </c>
      <c r="P19" s="3" t="inlineStr">
        <is>
          <t>MK-XS-F-122 n → MK-ST-F-052 toNum → MK-CF-F-075 retirementIncomeMonthly → MK-CF-F-072 currentRetirementIncomeMonthly</t>
        </is>
      </c>
      <c r="Q19" s="3" t="inlineStr">
        <is>
          <t>None found anywhere in this chain</t>
        </is>
      </c>
      <c r="R19" s="3" t="inlineStr"/>
      <c r="S19" s="3" t="inlineStr"/>
      <c r="T19" s="3" t="inlineStr">
        <is>
          <t>NOT DETERMINED — no assumption recorded for this figure yet.</t>
        </is>
      </c>
      <c r="U19" s="3" t="inlineStr">
        <is>
          <t>THE SAME FIGURE AS MK-CF-M-011 — Guaranteed income being received now. Shown four ways: "You receive $X/mo" on Social Security timing, "incl. Social Security $X/mo" on the cockpit, as a source on Cash flow, and as a list on Monthly income. One figure, four identifiers.</t>
        </is>
      </c>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AGREES — the figure's arithmetic and the arithmetic of the function it names say the same thing. Checked 2026-08-26.</t>
        </is>
      </c>
      <c r="AC19" s="3" t="inlineStr">
        <is>
          <t>HAS A FUNCTION — traceable from the screen to the code.</t>
        </is>
      </c>
      <c r="AD19" s="3" t="inlineStr"/>
      <c r="AE19" s="3" t="inlineStr">
        <is>
          <t>No finding on this row. That is not a statement that the row is right — only that nothing has been written against it.</t>
        </is>
      </c>
      <c r="AF19" s="3" t="inlineStr">
        <is>
          <t>SUPERSEDED BY MK-CF-M-011 — the same figure under another identifier. This number is retired and is never handed to anything else.</t>
        </is>
      </c>
      <c r="AG19" s="3" t="inlineStr">
        <is>
          <t>2026-09-30</t>
        </is>
      </c>
      <c r="AH19" s="3" t="n"/>
      <c r="AI19" s="3" t="n"/>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(Q-PL-2 — one question, one function)</t>
        </is>
      </c>
    </row>
    <row r="20" ht="60" customHeight="1">
      <c r="A20" s="3" t="inlineStr">
        <is>
          <t>MK-PL-M-019</t>
        </is>
      </c>
      <c r="B20" s="3" t="inlineStr">
        <is>
          <t>Plan</t>
        </is>
      </c>
      <c r="C20" s="3" t="inlineStr">
        <is>
          <t>/ss-timing</t>
        </is>
      </c>
      <c r="D20" s="3" t="inlineStr">
        <is>
          <t>Claiming at N pays $X a month</t>
        </is>
      </c>
      <c r="E20" s="3" t="inlineStr">
        <is>
          <t>r.monthly</t>
        </is>
      </c>
      <c r="F20" s="3" t="inlineStr">
        <is>
          <t>1. ssClaimFactorFor
2. ssBenefitAt</t>
        </is>
      </c>
      <c r="G20" s="3" t="inlineStr">
        <is>
          <t>1. MK-PL-F-058
2. MK-PL-F-060</t>
        </is>
      </c>
      <c r="H20" s="3" t="inlineStr">
        <is>
          <t>factor = 1 − 5/9% per month for the first 36 months early, − 5/12% per month beyond that; + 2/3% per month for each month claimed late up to 70</t>
        </is>
      </c>
      <c r="I20" s="3"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s="3" t="inlineStr">
        <is>
          <t>US dollars · held to the cent · shown as whole dollars  [derived by rule — confirm]</t>
        </is>
      </c>
      <c r="L20" s="3" t="inlineStr">
        <is>
          <t>Without a statement amount a worked example is shown, labelled as an example throughout.</t>
        </is>
      </c>
      <c r="M20" s="3" t="inlineStr">
        <is>
          <t>One figure per month  [derived by rule — confirm]</t>
        </is>
      </c>
      <c r="N20" s="3" t="inlineStr">
        <is>
          <t>As of today, from the latest figures held  [derived by rule — confirm]</t>
        </is>
      </c>
      <c r="O20" s="3" t="inlineStr">
        <is>
          <t>1. MK-PL-F-057 (fullRetirementAge) → number
2. MK-PL-F-058 (ssClaimFactorFor) → number</t>
        </is>
      </c>
      <c r="P20" s="3" t="inlineStr">
        <is>
          <t>1. MK-PL-F-057 fullRetirementAge → MK-PL-F-058 ssClaimFactorFor
2. MK-PL-F-057 fullRetirementAge → MK-PL-F-058 ssClaimFactorFor → MK-PL-F-060 ssBenefitAt</t>
        </is>
      </c>
      <c r="Q20" s="3"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s="3" t="inlineStr"/>
      <c r="S20" s="3" t="inlineStr"/>
      <c r="T20"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s="3" t="inlineStr"/>
      <c r="V20" s="3" t="inlineStr"/>
      <c r="W20" s="3" t="inlineStr"/>
      <c r="X20" s="3" t="inlineStr"/>
      <c r="Y20" s="3" t="inlineStr">
        <is>
          <t>NOT DETERMINED</t>
        </is>
      </c>
      <c r="Z20" s="3" t="inlineStr">
        <is>
          <t>VERIFIED 2026-08-22</t>
        </is>
      </c>
      <c r="AA20"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AGREES — the figure's arithmetic and the arithmetic of the function it names say the same thing. Checked 2026-08-26.</t>
        </is>
      </c>
      <c r="AC20" s="3" t="inlineStr">
        <is>
          <t>HAS A FUNCTION — traceable from the screen to the code.</t>
        </is>
      </c>
      <c r="AD20" s="3"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s="3" t="inlineStr">
        <is>
          <t>ACTIVE</t>
        </is>
      </c>
      <c r="AG20" s="3" t="inlineStr">
        <is>
          <t>2026-09-30</t>
        </is>
      </c>
      <c r="AH20" s="3" t="n"/>
      <c r="AI20" s="3" t="n"/>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6" t="inlineStr">
        <is>
          <t>TESTED, NOT VERIFIED (G25) · OPEN FINDING A41</t>
        </is>
      </c>
    </row>
    <row r="21" ht="60" customHeight="1">
      <c r="A21" s="3" t="inlineStr">
        <is>
          <t>MK-PL-M-020</t>
        </is>
      </c>
      <c r="B21" s="3" t="inlineStr">
        <is>
          <t>Plan</t>
        </is>
      </c>
      <c r="C21" s="3" t="inlineStr">
        <is>
          <t>/ss-timing</t>
        </is>
      </c>
      <c r="D21" s="3" t="inlineStr">
        <is>
          <t>about $X in total by age N</t>
        </is>
      </c>
      <c r="E21" s="3" t="inlineStr">
        <is>
          <t>r.lifetime</t>
        </is>
      </c>
      <c r="F21" s="3" t="inlineStr">
        <is>
          <t>NOT ON RECORD — no function is recorded for this figure</t>
        </is>
      </c>
      <c r="G21" s="3" t="inlineStr"/>
      <c r="H21" s="3" t="inlineStr">
        <is>
          <t>lifetime total = monthly benefit × 12 × (life expectancy − claim age)</t>
        </is>
      </c>
      <c r="I21" s="3" t="inlineStr">
        <is>
          <t>The monthly Social Security check multiplied out to a life expectancy, so claiming early and claiming late can be compared in total dollars.</t>
        </is>
      </c>
      <c r="J21" s="3" t="inlineStr">
        <is>
          <t>NOT DETERMINED — no input list on record for this function</t>
        </is>
      </c>
      <c r="K21" s="3" t="inlineStr">
        <is>
          <t>Age in whole years  [derived by rule — confirm]</t>
        </is>
      </c>
      <c r="L21" s="3" t="inlineStr">
        <is>
          <t>NOT DETERMINED — this function has not been read for its refusal yet.</t>
        </is>
      </c>
      <c r="M21" s="3" t="inlineStr">
        <is>
          <t>One figure per person — or per household when two people share one record  [derived by rule — confirm]</t>
        </is>
      </c>
      <c r="N21" s="3" t="inlineStr">
        <is>
          <t>As of today, from the latest figures held  [derived by rule — confirm]</t>
        </is>
      </c>
      <c r="O21" s="3" t="inlineStr">
        <is>
          <t>No function on record — nothing to chain</t>
        </is>
      </c>
      <c r="P21" s="3" t="inlineStr">
        <is>
          <t>No function on record — nothing to chain</t>
        </is>
      </c>
      <c r="Q21" s="3" t="inlineStr">
        <is>
          <t>No function on record — assumptions unknown</t>
        </is>
      </c>
      <c r="R21" s="3" t="inlineStr"/>
      <c r="S21" s="3" t="inlineStr"/>
      <c r="T21" s="3" t="inlineStr">
        <is>
          <t>[Built in] A life-expectancy figure the person never chose.
[The person] The claim age they set, and the statement amount they typed.</t>
        </is>
      </c>
      <c r="U21" s="3" t="inlineStr"/>
      <c r="V21" s="3" t="inlineStr"/>
      <c r="W21" s="3" t="inlineStr"/>
      <c r="X21" s="3" t="inlineStr"/>
      <c r="Y21" s="3" t="inlineStr">
        <is>
          <t>NOT DETERMINED</t>
        </is>
      </c>
      <c r="Z21" s="3" t="inlineStr">
        <is>
          <t>VERIFIED 2026-08-22</t>
        </is>
      </c>
      <c r="AA21" s="3"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s="3" t="inlineStr">
        <is>
          <t>B24 [NOT COMPARABLE] — This figure names no function, so its formula cannot be checked against anything. 69 of the 163 figures are in this position — the audit covers the 94 that name one.</t>
        </is>
      </c>
      <c r="AC2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s="3" t="inlineStr"/>
      <c r="AE21" s="3" t="inlineStr">
        <is>
          <t>A40 — OPEN — DECLARED 2026-09-12
A41 — OPEN since 2026-08-26 — nothing has closed this. It is not known to be wrong; it is known to be unaddressed.</t>
        </is>
      </c>
      <c r="AF21" s="3" t="inlineStr">
        <is>
          <t>ACTIVE</t>
        </is>
      </c>
      <c r="AG21" s="3" t="inlineStr">
        <is>
          <t>2026-08-27</t>
        </is>
      </c>
      <c r="AH21" s="3" t="n"/>
      <c r="AI21" s="3" t="n"/>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n"/>
      <c r="AM21" s="3" t="n"/>
      <c r="AN21" s="3" t="n"/>
      <c r="AO21" s="7" t="inlineStr">
        <is>
          <t>OPEN FINDING A40, A41</t>
        </is>
      </c>
    </row>
    <row r="22" ht="60" customHeight="1">
      <c r="A22" s="3" t="inlineStr">
        <is>
          <t>MK-PL-M-021</t>
        </is>
      </c>
      <c r="B22" s="3" t="inlineStr">
        <is>
          <t>Plan</t>
        </is>
      </c>
      <c r="C22" s="3" t="inlineStr">
        <is>
          <t>/ss-timing</t>
        </is>
      </c>
      <c r="D22" s="3" t="inlineStr">
        <is>
          <t>Showing example numbers (a $X/mo statement)</t>
        </is>
      </c>
      <c r="E22" s="3" t="inlineStr">
        <is>
          <t>exampleStmt</t>
        </is>
      </c>
      <c r="F22" s="3" t="inlineStr">
        <is>
          <t>NOT ON RECORD — no function is recorded for this figure</t>
        </is>
      </c>
      <c r="G22" s="3" t="inlineStr"/>
      <c r="H22" s="3" t="inlineStr">
        <is>
          <t>a stated example amount, shown labelled as an example</t>
        </is>
      </c>
      <c r="I22" s="3" t="inlineStr">
        <is>
          <t>A worked example shown in place of a real Social Security statement, always labelled as such.</t>
        </is>
      </c>
      <c r="J22" s="3" t="inlineStr">
        <is>
          <t>NOT DETERMINED — no input list on record for this function</t>
        </is>
      </c>
      <c r="K22" s="3" t="inlineStr">
        <is>
          <t>US dollars · held to the cent · shown as whole dollars  [derived by rule — confirm]</t>
        </is>
      </c>
      <c r="L22" s="3" t="inlineStr">
        <is>
          <t>NOT DETERMINED — this function has not been read for its refusal yet.</t>
        </is>
      </c>
      <c r="M22" s="3" t="inlineStr">
        <is>
          <t>One figure per person — or per household when two people share one record  [derived by rule — confirm]</t>
        </is>
      </c>
      <c r="N22" s="3" t="inlineStr">
        <is>
          <t>As of today, from the latest figures held  [derived by rule — confirm]</t>
        </is>
      </c>
      <c r="O22" s="3" t="inlineStr">
        <is>
          <t>No function on record — nothing to chain</t>
        </is>
      </c>
      <c r="P22" s="3" t="inlineStr">
        <is>
          <t>No function on record — nothing to chain</t>
        </is>
      </c>
      <c r="Q22" s="3" t="inlineStr">
        <is>
          <t>No function on record — assumptions unknown</t>
        </is>
      </c>
      <c r="R22" s="3" t="inlineStr"/>
      <c r="S22" s="3" t="inlineStr"/>
      <c r="T22" s="3" t="inlineStr">
        <is>
          <t>NOT DETERMINED — no assumption recorded for this figure yet.</t>
        </is>
      </c>
      <c r="U22" s="3" t="inlineStr"/>
      <c r="V22" s="3" t="inlineStr"/>
      <c r="W22" s="3" t="inlineStr"/>
      <c r="X22" s="3" t="inlineStr"/>
      <c r="Y22" s="3" t="inlineStr">
        <is>
          <t>NOT DETERMINED</t>
        </is>
      </c>
      <c r="Z22" s="3" t="inlineStr">
        <is>
          <t>VERIFIED 2026-08-22</t>
        </is>
      </c>
      <c r="AA2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s="3" t="inlineStr">
        <is>
          <t>B24 [NOT COMPARABLE] — This figure names no function, so its formula cannot be checked against anything. 69 of the 163 figures are in this position — the audit covers the 94 that name one.</t>
        </is>
      </c>
      <c r="AC2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s="3" t="inlineStr"/>
      <c r="AE22" s="3" t="inlineStr">
        <is>
          <t>No finding on this row. That is not a statement that the row is right — only that nothing has been written against it.</t>
        </is>
      </c>
      <c r="AF22" s="3" t="inlineStr">
        <is>
          <t>ACTIVE</t>
        </is>
      </c>
      <c r="AG22" s="3" t="inlineStr">
        <is>
          <t>2026-08-27</t>
        </is>
      </c>
      <c r="AH22" s="3" t="n"/>
      <c r="AI22" s="3" t="n"/>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n"/>
      <c r="AM22" s="3" t="n"/>
      <c r="AN22" s="3" t="n"/>
      <c r="AO22" s="3" t="inlineStr">
        <is>
          <t>NOTHING OPEN</t>
        </is>
      </c>
    </row>
    <row r="23" ht="60" customHeight="1">
      <c r="A23" s="3" t="inlineStr">
        <is>
          <t>MK-PL-M-022</t>
        </is>
      </c>
      <c r="B23" s="3" t="inlineStr">
        <is>
          <t>Plan</t>
        </is>
      </c>
      <c r="C23" s="3" t="inlineStr">
        <is>
          <t>/roth</t>
        </is>
      </c>
      <c r="D23" s="3" t="inlineStr">
        <is>
          <t>Convert to Roth this year (&lt;year&gt;)</t>
        </is>
      </c>
      <c r="E23" s="3" t="inlineStr">
        <is>
          <t>A.rothConversionThisYear</t>
        </is>
      </c>
      <c r="F23" s="3" t="inlineStr">
        <is>
          <t>Typed by the person — no function behind it</t>
        </is>
      </c>
      <c r="G23" s="3" t="inlineStr"/>
      <c r="H23" s="3" t="inlineStr">
        <is>
          <t>the value typed by the person</t>
        </is>
      </c>
      <c r="I23" s="3" t="inlineStr">
        <is>
          <t>A number the person entered; no calculation.</t>
        </is>
      </c>
      <c r="J23" s="3" t="inlineStr">
        <is>
          <t>NOT DETERMINED — no input list on record for this function</t>
        </is>
      </c>
      <c r="K23" s="3" t="inlineStr">
        <is>
          <t>US dollars · held to the cent · shown as whole dollars  [derived by rule — confirm]</t>
        </is>
      </c>
      <c r="L23" s="3" t="inlineStr">
        <is>
          <t>Nothing to compute — the person either entered it or has not, and the screen shows it only when they have.</t>
        </is>
      </c>
      <c r="M23" s="3" t="inlineStr">
        <is>
          <t>One figure per person — or per household when two people share one record  [derived by rule — confirm]</t>
        </is>
      </c>
      <c r="N23" s="3" t="inlineStr">
        <is>
          <t>This calendar year, to today  [derived by rule — confirm]</t>
        </is>
      </c>
      <c r="O23" s="3" t="inlineStr">
        <is>
          <t>No function on record — nothing to chain</t>
        </is>
      </c>
      <c r="P23" s="3" t="inlineStr">
        <is>
          <t>No function on record — nothing to chain</t>
        </is>
      </c>
      <c r="Q23" s="3" t="inlineStr">
        <is>
          <t>No function on record — assumptions unknown</t>
        </is>
      </c>
      <c r="R23" s="3" t="inlineStr"/>
      <c r="S23" s="3" t="inlineStr"/>
      <c r="T23" s="3" t="inlineStr">
        <is>
          <t>NOT DETERMINED — no assumption recorded for this figure yet.</t>
        </is>
      </c>
      <c r="U23" s="3" t="inlineStr"/>
      <c r="V23" s="3" t="inlineStr"/>
      <c r="W23" s="3" t="inlineStr"/>
      <c r="X23" s="3" t="inlineStr"/>
      <c r="Y23" s="3" t="inlineStr">
        <is>
          <t>NOT DETERMINED</t>
        </is>
      </c>
      <c r="Z23" s="3" t="inlineStr">
        <is>
          <t>VERIFIED 2026-08-22</t>
        </is>
      </c>
      <c r="AA2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s="3" t="inlineStr">
        <is>
          <t>B24 [NOT COMPARABLE] — This figure names no function, so its formula cannot be checked against anything. 69 of the 163 figures are in this position — the audit covers the 94 that name one.</t>
        </is>
      </c>
      <c r="AC23" s="3" t="inlineStr">
        <is>
          <t>TYPED — none needed. The person entered this number; nothing calculates it and nothing should. This row is already right and needs no work.</t>
        </is>
      </c>
      <c r="AD23" s="3" t="inlineStr"/>
      <c r="AE23" s="3" t="inlineStr">
        <is>
          <t>No finding on this row. That is not a statement that the row is right — only that nothing has been written against it.</t>
        </is>
      </c>
      <c r="AF23" s="3" t="inlineStr">
        <is>
          <t>ACTIVE</t>
        </is>
      </c>
      <c r="AG23" s="3" t="inlineStr">
        <is>
          <t>2026-08-27</t>
        </is>
      </c>
      <c r="AH23" s="3" t="n"/>
      <c r="AI23" s="3" t="n"/>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n"/>
      <c r="AM23" s="3" t="n"/>
      <c r="AN23" s="3" t="n"/>
      <c r="AO23" s="3" t="inlineStr">
        <is>
          <t>NOTHING OPEN</t>
        </is>
      </c>
    </row>
    <row r="24" ht="60" customHeight="1">
      <c r="A24" s="3" t="inlineStr">
        <is>
          <t>MK-PL-M-023</t>
        </is>
      </c>
      <c r="B24" s="3" t="inlineStr">
        <is>
          <t>Plan</t>
        </is>
      </c>
      <c r="C24" s="3" t="inlineStr">
        <is>
          <t>/roth</t>
        </is>
      </c>
      <c r="D24" s="3" t="inlineStr">
        <is>
          <t>Extra tax next April (calculated) — about $X</t>
        </is>
      </c>
      <c r="E24" s="3" t="inlineStr">
        <is>
          <t>taxCost</t>
        </is>
      </c>
      <c r="F24" s="3" t="inlineStr">
        <is>
          <t>NOT ON RECORD — no function is recorded for this figure</t>
        </is>
      </c>
      <c r="G24" s="3" t="inlineStr"/>
      <c r="H24" s="3" t="inlineStr">
        <is>
          <t>extra tax ≈ Σ over bands of (amount converted falling in that band × its rate)</t>
        </is>
      </c>
      <c r="I24" s="3" t="inlineStr">
        <is>
          <t>The extra tax a Roth conversion would cause: the converted amount is stacked on top of this year's income and taxed band by band.</t>
        </is>
      </c>
      <c r="J24" s="3" t="inlineStr">
        <is>
          <t>NOT DETERMINED — no input list on record for this function</t>
        </is>
      </c>
      <c r="K24" s="3"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s="3" t="inlineStr">
        <is>
          <t>One figure per person — or per household when two people share one record  [derived by rule — confirm]</t>
        </is>
      </c>
      <c r="N24" s="3" t="inlineStr">
        <is>
          <t>As of today, from the latest figures held  [derived by rule — confirm]</t>
        </is>
      </c>
      <c r="O24" s="3" t="inlineStr">
        <is>
          <t>No function on record — nothing to chain</t>
        </is>
      </c>
      <c r="P24" s="3" t="inlineStr">
        <is>
          <t>No function on record — nothing to chain</t>
        </is>
      </c>
      <c r="Q24" s="3" t="inlineStr">
        <is>
          <t>No function on record — assumptions unknown</t>
        </is>
      </c>
      <c r="R24" s="3" t="inlineStr"/>
      <c r="S24" s="3" t="inlineStr"/>
      <c r="T24" s="3" t="inlineStr">
        <is>
          <t>NOT DETERMINED — no assumption recorded for this figure yet.</t>
        </is>
      </c>
      <c r="U24" s="3" t="inlineStr"/>
      <c r="V24" s="3" t="inlineStr"/>
      <c r="W24" s="3" t="inlineStr"/>
      <c r="X24" s="3" t="inlineStr"/>
      <c r="Y24" s="3" t="inlineStr">
        <is>
          <t>NOT DETERMINED</t>
        </is>
      </c>
      <c r="Z24" s="3" t="inlineStr">
        <is>
          <t>VERIFIED 2026-08-22</t>
        </is>
      </c>
      <c r="AA24" s="3"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s="3" t="inlineStr">
        <is>
          <t>B24 [NOT COMPARABLE] — This figure names no function, so its formula cannot be checked against anything. 69 of the 163 figures are in this position — the audit covers the 94 that name one.</t>
        </is>
      </c>
      <c r="AC2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s="3"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s="3" t="inlineStr">
        <is>
          <t>ACTIVE</t>
        </is>
      </c>
      <c r="AG24" s="3" t="inlineStr">
        <is>
          <t>2026-08-27</t>
        </is>
      </c>
      <c r="AH24" s="3" t="n"/>
      <c r="AI24" s="3" t="n"/>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n"/>
      <c r="AM24" s="3" t="n"/>
      <c r="AN24" s="3" t="n"/>
      <c r="AO24" s="7" t="inlineStr">
        <is>
          <t>OPEN FINDING A41, A42</t>
        </is>
      </c>
    </row>
    <row r="25" ht="60" customHeight="1">
      <c r="A25" s="3" t="inlineStr">
        <is>
          <t>MK-PL-M-024</t>
        </is>
      </c>
      <c r="B25" s="3" t="inlineStr">
        <is>
          <t>Plan</t>
        </is>
      </c>
      <c r="C25" s="3" t="inlineStr">
        <is>
          <t>/roth</t>
        </is>
      </c>
      <c r="D25" s="3" t="inlineStr">
        <is>
          <t>from your pre-tax $X</t>
        </is>
      </c>
      <c r="E25" s="3" t="inlineStr">
        <is>
          <t>preTax</t>
        </is>
      </c>
      <c r="F25" s="3" t="inlineStr">
        <is>
          <t>NOT ON RECORD — no function is recorded for this figure</t>
        </is>
      </c>
      <c r="G25" s="3" t="inlineStr"/>
      <c r="H25" s="3" t="inlineStr">
        <is>
          <t>pre-tax balance = Σ(balance of accounts whose tax type = pre-tax)</t>
        </is>
      </c>
      <c r="I25" s="3" t="inlineStr">
        <is>
          <t>Adds the balances of accounts whose money has not been taxed yet — the pot a Roth move would come from.</t>
        </is>
      </c>
      <c r="J25" s="3" t="inlineStr">
        <is>
          <t>NOT DETERMINED — no input list on record for this function</t>
        </is>
      </c>
      <c r="K25" s="3"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s="3" t="inlineStr">
        <is>
          <t>One figure per person — or per household when two people share one record  [derived by rule — confirm]</t>
        </is>
      </c>
      <c r="N25" s="3" t="inlineStr">
        <is>
          <t>As of today, from the latest figures held  [derived by rule — confirm]</t>
        </is>
      </c>
      <c r="O25" s="3" t="inlineStr">
        <is>
          <t>No function on record — nothing to chain</t>
        </is>
      </c>
      <c r="P25" s="3" t="inlineStr">
        <is>
          <t>No function on record — nothing to chain</t>
        </is>
      </c>
      <c r="Q25" s="3" t="inlineStr">
        <is>
          <t>No function on record — assumptions unknown</t>
        </is>
      </c>
      <c r="R25" s="3" t="inlineStr"/>
      <c r="S25" s="3" t="inlineStr"/>
      <c r="T25" s="3" t="inlineStr">
        <is>
          <t>NOT DETERMINED — no assumption recorded for this figure yet.</t>
        </is>
      </c>
      <c r="U25" s="3" t="inlineStr"/>
      <c r="V25" s="3" t="inlineStr"/>
      <c r="W25" s="3" t="inlineStr"/>
      <c r="X25" s="3" t="inlineStr"/>
      <c r="Y25" s="3" t="inlineStr">
        <is>
          <t>NOT DETERMINED</t>
        </is>
      </c>
      <c r="Z25" s="3" t="inlineStr">
        <is>
          <t>VERIFIED 2026-08-22</t>
        </is>
      </c>
      <c r="AA2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s="3" t="inlineStr">
        <is>
          <t>B24 [NOT COMPARABLE] — This figure names no function, so its formula cannot be checked against anything. 69 of the 163 figures are in this position — the audit covers the 94 that name one.</t>
        </is>
      </c>
      <c r="AC2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s="3"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s="3" t="inlineStr">
        <is>
          <t>ACTIVE</t>
        </is>
      </c>
      <c r="AG25" s="3" t="inlineStr">
        <is>
          <t>2026-08-27</t>
        </is>
      </c>
      <c r="AH25" s="3" t="n"/>
      <c r="AI25" s="3" t="n"/>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n"/>
      <c r="AM25" s="3" t="n"/>
      <c r="AN25" s="3" t="n"/>
      <c r="AO25" s="3" t="inlineStr">
        <is>
          <t>NOTHING OPEN</t>
        </is>
      </c>
    </row>
    <row r="26" ht="60" customHeight="1">
      <c r="A26" s="3" t="inlineStr">
        <is>
          <t>MK-PL-M-025</t>
        </is>
      </c>
      <c r="B26" s="3" t="inlineStr">
        <is>
          <t>Plan</t>
        </is>
      </c>
      <c r="C26" s="3" t="inlineStr">
        <is>
          <t>/what-if</t>
        </is>
      </c>
      <c r="D26" s="3" t="inlineStr">
        <is>
          <t>+$X/mo (the saving dial)</t>
        </is>
      </c>
      <c r="E26" s="3" t="inlineStr">
        <is>
          <t>addMonthly</t>
        </is>
      </c>
      <c r="F26" s="3" t="inlineStr">
        <is>
          <t>Typed by the person — no function behind it</t>
        </is>
      </c>
      <c r="G26" s="3" t="inlineStr"/>
      <c r="H26" s="3" t="inlineStr">
        <is>
          <t>the value typed by the person</t>
        </is>
      </c>
      <c r="I26" s="3" t="inlineStr">
        <is>
          <t>A number the person entered; no calculation.</t>
        </is>
      </c>
      <c r="J26" s="3" t="inlineStr">
        <is>
          <t>NOT DETERMINED — no input list on record for this function</t>
        </is>
      </c>
      <c r="K26" s="3" t="inlineStr">
        <is>
          <t>US dollars · held to the cent · shown as whole dollars  [derived by rule — confirm]</t>
        </is>
      </c>
      <c r="L26" s="3" t="inlineStr">
        <is>
          <t>Nothing to compute — the person either entered it or has not, and the screen shows it only when they have.</t>
        </is>
      </c>
      <c r="M26" s="3" t="inlineStr">
        <is>
          <t>One figure per person — or per household when two people share one record  [derived by rule — confirm]</t>
        </is>
      </c>
      <c r="N26" s="3" t="inlineStr">
        <is>
          <t>As of today, from the latest figures held  [derived by rule — confirm]</t>
        </is>
      </c>
      <c r="O26" s="3" t="inlineStr">
        <is>
          <t>No function on record — nothing to chain</t>
        </is>
      </c>
      <c r="P26" s="3" t="inlineStr">
        <is>
          <t>No function on record — nothing to chain</t>
        </is>
      </c>
      <c r="Q26" s="3" t="inlineStr">
        <is>
          <t>No function on record — assumptions unknown</t>
        </is>
      </c>
      <c r="R26" s="3" t="inlineStr"/>
      <c r="S26" s="3" t="inlineStr"/>
      <c r="T26" s="3" t="inlineStr">
        <is>
          <t>NOT DETERMINED — no assumption recorded for this figure yet.</t>
        </is>
      </c>
      <c r="U26" s="3" t="inlineStr"/>
      <c r="V26" s="3" t="inlineStr"/>
      <c r="W26" s="3" t="inlineStr"/>
      <c r="X26" s="3" t="inlineStr"/>
      <c r="Y26" s="3" t="inlineStr">
        <is>
          <t>NOT DETERMINED</t>
        </is>
      </c>
      <c r="Z26" s="3" t="inlineStr">
        <is>
          <t>VERIFIED 2026-08-22</t>
        </is>
      </c>
      <c r="AA2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s="3" t="inlineStr">
        <is>
          <t>B24 [NOT COMPARABLE] — This figure names no function, so its formula cannot be checked against anything. 69 of the 163 figures are in this position — the audit covers the 94 that name one.</t>
        </is>
      </c>
      <c r="AC26" s="3" t="inlineStr">
        <is>
          <t>TYPED — none needed. The person entered this number; nothing calculates it and nothing should. This row is already right and needs no work.</t>
        </is>
      </c>
      <c r="AD26" s="3" t="inlineStr"/>
      <c r="AE26" s="3" t="inlineStr">
        <is>
          <t>No finding on this row. That is not a statement that the row is right — only that nothing has been written against it.</t>
        </is>
      </c>
      <c r="AF26" s="3" t="inlineStr">
        <is>
          <t>ACTIVE</t>
        </is>
      </c>
      <c r="AG26" s="3" t="inlineStr">
        <is>
          <t>2026-08-27</t>
        </is>
      </c>
      <c r="AH26" s="3" t="n"/>
      <c r="AI26" s="3" t="n"/>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n"/>
      <c r="AM26" s="3" t="n"/>
      <c r="AN26" s="3" t="n"/>
      <c r="AO26" s="7" t="inlineStr">
        <is>
          <t>RULED, NOT CODED (Q-PL-1 — one question, one function)</t>
        </is>
      </c>
    </row>
    <row r="27" ht="60" customHeight="1">
      <c r="A27" s="3" t="inlineStr">
        <is>
          <t>MK-PL-M-026</t>
        </is>
      </c>
      <c r="B27" s="3" t="inlineStr">
        <is>
          <t>Plan</t>
        </is>
      </c>
      <c r="C27" s="3" t="inlineStr">
        <is>
          <t>/what-if</t>
        </is>
      </c>
      <c r="D27" s="3" t="inlineStr">
        <is>
          <t>$X → $Y (nest egg before and after)</t>
        </is>
      </c>
      <c r="E27" s="3" t="inlineStr">
        <is>
          <t>result.before.egg / result.after.egg</t>
        </is>
      </c>
      <c r="F27" s="3" t="inlineStr">
        <is>
          <t>projectNestEgg</t>
        </is>
      </c>
      <c r="G27" s="3" t="inlineStr">
        <is>
          <t>MK-PL-F-055</t>
        </is>
      </c>
      <c r="H27" s="3" t="inlineStr">
        <is>
          <t>pot = balance × (1 + r)^n + Σ(contribution × (1 + r)^(n − year)),  n = years to retirement</t>
        </is>
      </c>
      <c r="I27"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s="3" t="inlineStr">
        <is>
          <t>the same inputs → inp  [MK-XS-I-001]</t>
        </is>
      </c>
      <c r="K27" s="3" t="inlineStr">
        <is>
          <t>US dollars · held to the cent · shown as whole dollars  [derived by rule — confirm]</t>
        </is>
      </c>
      <c r="L27" s="3" t="inlineStr">
        <is>
          <t>No figure when there is nothing to grow, or when retirement is not ahead of the person.</t>
        </is>
      </c>
      <c r="M27" s="3" t="inlineStr">
        <is>
          <t>One figure per person — or per household when two people share one record  [derived by rule — confirm]</t>
        </is>
      </c>
      <c r="N27" s="3" t="inlineStr">
        <is>
          <t>From today to the retirement age in the plan  [derived by rule — confirm]</t>
        </is>
      </c>
      <c r="O27" s="3" t="inlineStr">
        <is>
          <t>1. MK-CF-F-132 (map) → NOT DECLARED — the code does not say what it gives back
2. MK-PL-F-050 (simulate) → NOT DECLARED — the code does not say what it gives back</t>
        </is>
      </c>
      <c r="P2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27"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27" s="3" t="inlineStr"/>
      <c r="S27" s="3" t="inlineStr">
        <is>
          <t>The Net worth screen builds this projection WITHOUT the person's big costs, while Cash flow, Budget, Goals and Social Security timing all include them. Same person, same day, two different nest eggs. Seen in the code; not yet confirmed on screen.</t>
        </is>
      </c>
      <c r="T27"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s="3" t="inlineStr"/>
      <c r="V27" s="9" t="inlineStr">
        <is>
          <t>Q18 — Net worth projects the pot WITHOUT your big costs; Cash flow, Budget, Goals and Social Security timing all include them. Which is right for the Net worth screen?</t>
        </is>
      </c>
      <c r="W27" s="9" t="inlineStr"/>
      <c r="X27" s="3" t="inlineStr"/>
      <c r="Y27" s="3" t="inlineStr">
        <is>
          <t>NOT DETERMINED</t>
        </is>
      </c>
      <c r="Z27" s="3" t="inlineStr">
        <is>
          <t>VERIFIED 2026-08-22</t>
        </is>
      </c>
      <c r="AA27"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s="3" t="inlineStr">
        <is>
          <t>HAS A FUNCTION — traceable from the screen to the code.</t>
        </is>
      </c>
      <c r="AD27" s="3" t="inlineStr">
        <is>
          <t>B11 — This month — the future-paycheck figure omits contribution growth the code applies</t>
        </is>
      </c>
      <c r="AE27" s="3" t="inlineStr">
        <is>
          <t>A44 — NOT A DEFECT 2026-08-26
B11 — FIXED 2026-09-12</t>
        </is>
      </c>
      <c r="AF27" s="3" t="inlineStr">
        <is>
          <t>ACTIVE</t>
        </is>
      </c>
      <c r="AG27" s="3" t="inlineStr">
        <is>
          <t>2026-09-27</t>
        </is>
      </c>
      <c r="AH27" s="3" t="n"/>
      <c r="AI27" s="3" t="n"/>
      <c r="AJ27"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n"/>
      <c r="AM27" s="3" t="n"/>
      <c r="AN27" s="3" t="n"/>
      <c r="AO27" s="9" t="inlineStr">
        <is>
          <t>WAITING ON YOU — question Q18 · RULED, NOT CODED (Q-PL-1 — one question, one function)</t>
        </is>
      </c>
    </row>
    <row r="28" ht="60" customHeight="1">
      <c r="A28" s="3" t="inlineStr">
        <is>
          <t>MK-PL-M-027</t>
        </is>
      </c>
      <c r="B28" s="3" t="inlineStr">
        <is>
          <t>Plan</t>
        </is>
      </c>
      <c r="C28" s="3" t="inlineStr">
        <is>
          <t>/what-if</t>
        </is>
      </c>
      <c r="D28" s="3" t="inlineStr">
        <is>
          <t>the difference the change makes</t>
        </is>
      </c>
      <c r="E28" s="3" t="inlineStr">
        <is>
          <t>result.after.egg - result.before.egg</t>
        </is>
      </c>
      <c r="F28" s="3" t="inlineStr">
        <is>
          <t>Worked out on the screen itself — no function behind it</t>
        </is>
      </c>
      <c r="G28" s="3" t="inlineStr"/>
      <c r="H28" s="3" t="inlineStr">
        <is>
          <t>difference = pot after the change − pot before it</t>
        </is>
      </c>
      <c r="I28" s="3" t="inlineStr">
        <is>
          <t>Worked out on the screen itself, with no function behind it — a place a second definition can appear.</t>
        </is>
      </c>
      <c r="J28" s="3" t="inlineStr">
        <is>
          <t>NOT DETERMINED — no input list on record for this function</t>
        </is>
      </c>
      <c r="K28" s="3" t="inlineStr">
        <is>
          <t>US dollars · held to the cent · shown as whole dollars  [derived by rule — confirm]</t>
        </is>
      </c>
      <c r="L28" s="3" t="inlineStr">
        <is>
          <t>Inherits the refusal of the figures it is built from: if either side is missing, this line is not shown.</t>
        </is>
      </c>
      <c r="M28" s="3" t="inlineStr">
        <is>
          <t>One figure per person — or per household when two people share one record  [derived by rule — confirm]</t>
        </is>
      </c>
      <c r="N28" s="3" t="inlineStr">
        <is>
          <t>As of today, from the latest figures held  [derived by rule — confirm]</t>
        </is>
      </c>
      <c r="O28" s="3" t="inlineStr">
        <is>
          <t>No function on record — nothing to chain</t>
        </is>
      </c>
      <c r="P28" s="3" t="inlineStr">
        <is>
          <t>No function on record — nothing to chain</t>
        </is>
      </c>
      <c r="Q28" s="3" t="inlineStr">
        <is>
          <t>No function on record — assumptions unknown</t>
        </is>
      </c>
      <c r="R28" s="3" t="inlineStr"/>
      <c r="S28" s="3" t="inlineStr"/>
      <c r="T28" s="3" t="inlineStr">
        <is>
          <t>NOT DETERMINED — no assumption recorded for this figure yet.</t>
        </is>
      </c>
      <c r="U28" s="3" t="inlineStr"/>
      <c r="V28" s="3" t="inlineStr"/>
      <c r="W28" s="3" t="inlineStr"/>
      <c r="X28" s="3" t="inlineStr"/>
      <c r="Y28" s="3" t="inlineStr">
        <is>
          <t>NOT DETERMINED</t>
        </is>
      </c>
      <c r="Z28" s="3" t="inlineStr">
        <is>
          <t>VERIFIED 2026-08-22</t>
        </is>
      </c>
      <c r="AA2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s="3" t="inlineStr">
        <is>
          <t>B24 [NOT COMPARABLE] — This figure names no function, so its formula cannot be checked against anything. 69 of the 163 figures are in this position — the audit covers the 94 that name one.</t>
        </is>
      </c>
      <c r="AC28"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s="3" t="inlineStr"/>
      <c r="AE28" s="3" t="inlineStr">
        <is>
          <t>No finding on this row. That is not a statement that the row is right — only that nothing has been written against it.</t>
        </is>
      </c>
      <c r="AF28" s="3" t="inlineStr">
        <is>
          <t>ACTIVE</t>
        </is>
      </c>
      <c r="AG28" s="3" t="inlineStr">
        <is>
          <t>2026-08-27</t>
        </is>
      </c>
      <c r="AH28" s="3" t="n"/>
      <c r="AI28" s="3" t="n"/>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n"/>
      <c r="AM28" s="3" t="n"/>
      <c r="AN28" s="3" t="n"/>
      <c r="AO28" s="7" t="inlineStr">
        <is>
          <t>RULED, NOT CODED (Q-PL-1 — one question, one function)</t>
        </is>
      </c>
    </row>
    <row r="29" ht="60" customHeight="1">
      <c r="A29" s="3" t="inlineStr">
        <is>
          <t>MK-PL-M-028</t>
        </is>
      </c>
      <c r="B29" s="3" t="inlineStr">
        <is>
          <t>Plan</t>
        </is>
      </c>
      <c r="C29" s="3" t="inlineStr">
        <is>
          <t>/multi-goal</t>
        </is>
      </c>
      <c r="D29" s="3" t="inlineStr">
        <is>
          <t>each goal and its monthly amount</t>
        </is>
      </c>
      <c r="E29" s="3" t="inlineStr">
        <is>
          <t>d.monthlyAmount</t>
        </is>
      </c>
      <c r="F29" s="3" t="inlineStr">
        <is>
          <t>Typed by the person — no function behind it</t>
        </is>
      </c>
      <c r="G29" s="3" t="inlineStr"/>
      <c r="H29" s="3" t="inlineStr">
        <is>
          <t>the values typed by the person</t>
        </is>
      </c>
      <c r="I29" s="3" t="inlineStr">
        <is>
          <t>Amounts the person entered; no calculation.</t>
        </is>
      </c>
      <c r="J29" s="3" t="inlineStr">
        <is>
          <t>NOT DETERMINED — no input list on record for this function</t>
        </is>
      </c>
      <c r="K29" s="3" t="inlineStr">
        <is>
          <t>US dollars · held to the cent · shown as whole dollars  [derived by rule — confirm]</t>
        </is>
      </c>
      <c r="L29" s="3" t="inlineStr">
        <is>
          <t>Nothing to compute — the person either entered it or has not, and the screen shows it only when they have.</t>
        </is>
      </c>
      <c r="M29" s="3" t="inlineStr">
        <is>
          <t>One figure per goal  [derived by rule — confirm]</t>
        </is>
      </c>
      <c r="N29" s="3" t="inlineStr">
        <is>
          <t>As of today, from the latest figures held  [derived by rule — confirm]</t>
        </is>
      </c>
      <c r="O29" s="3" t="inlineStr">
        <is>
          <t>No function on record — nothing to chain</t>
        </is>
      </c>
      <c r="P29" s="3" t="inlineStr">
        <is>
          <t>No function on record — nothing to chain</t>
        </is>
      </c>
      <c r="Q29" s="3" t="inlineStr">
        <is>
          <t>No function on record — assumptions unknown</t>
        </is>
      </c>
      <c r="R29" s="3" t="inlineStr"/>
      <c r="S29" s="3" t="inlineStr"/>
      <c r="T29" s="3" t="inlineStr">
        <is>
          <t>NOT DETERMINED — no assumption recorded for this figure yet.</t>
        </is>
      </c>
      <c r="U29" s="3" t="inlineStr"/>
      <c r="V29" s="3" t="inlineStr"/>
      <c r="W29" s="3" t="inlineStr"/>
      <c r="X29" s="3" t="inlineStr"/>
      <c r="Y29" s="3" t="inlineStr">
        <is>
          <t>NOT DETERMINED</t>
        </is>
      </c>
      <c r="Z29" s="3" t="inlineStr">
        <is>
          <t>VERIFIED 2026-08-22</t>
        </is>
      </c>
      <c r="AA2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s="3" t="inlineStr">
        <is>
          <t>B24 [NOT COMPARABLE] — This figure names no function, so its formula cannot be checked against anything. 69 of the 163 figures are in this position — the audit covers the 94 that name one.</t>
        </is>
      </c>
      <c r="AC29" s="3" t="inlineStr">
        <is>
          <t>TYPED — none needed. The person entered this number; nothing calculates it and nothing should. This row is already right and needs no work.</t>
        </is>
      </c>
      <c r="AD29" s="3" t="inlineStr"/>
      <c r="AE29" s="3" t="inlineStr">
        <is>
          <t>No finding on this row. That is not a statement that the row is right — only that nothing has been written against it.</t>
        </is>
      </c>
      <c r="AF29" s="3" t="inlineStr">
        <is>
          <t>ACTIVE</t>
        </is>
      </c>
      <c r="AG29" s="3" t="inlineStr">
        <is>
          <t>2026-08-27</t>
        </is>
      </c>
      <c r="AH29" s="3" t="n"/>
      <c r="AI29" s="3" t="n"/>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n"/>
      <c r="AM29" s="3" t="n"/>
      <c r="AN29" s="3" t="n"/>
      <c r="AO29" s="7" t="inlineStr">
        <is>
          <t>RULED, NOT CODED (Q-PL-6 — one question, one function)</t>
        </is>
      </c>
    </row>
    <row r="30" ht="60" customHeight="1">
      <c r="A30" s="3" t="inlineStr">
        <is>
          <t>MK-PL-M-029</t>
        </is>
      </c>
      <c r="B30" s="3" t="inlineStr">
        <is>
          <t>Plan</t>
        </is>
      </c>
      <c r="C30" s="3" t="inlineStr">
        <is>
          <t>/multi-goal</t>
        </is>
      </c>
      <c r="D30" s="3" t="inlineStr">
        <is>
          <t>Retirement saving — $X/mo now → $Y/mo</t>
        </is>
      </c>
      <c r="E30" s="3" t="inlineStr">
        <is>
          <t>A.contribMonthly / retirementMo</t>
        </is>
      </c>
      <c r="F30" s="3" t="inlineStr">
        <is>
          <t>willItLastInputs</t>
        </is>
      </c>
      <c r="G30" s="3" t="inlineStr">
        <is>
          <t>MK-PL-F-067</t>
        </is>
      </c>
      <c r="H30" s="3"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s="3" t="inlineStr">
        <is>
          <t>Percent · exact, no rounding — 1,000 futures give it to a tenth (founder, 2026-09-14)  [derived by rule — confirm]</t>
        </is>
      </c>
      <c r="L30" s="3" t="inlineStr">
        <is>
          <t>NOT DETERMINED — this function has not been read for its refusal yet.</t>
        </is>
      </c>
      <c r="M30" s="3" t="inlineStr">
        <is>
          <t>One figure per person — or per household when two people share one record  [derived by rule — confirm]</t>
        </is>
      </c>
      <c r="N30" s="3" t="inlineStr">
        <is>
          <t>From today to the retirement age in the plan  [derived by rule — confirm]</t>
        </is>
      </c>
      <c r="O30"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TaxSplit
21. MK-CF-F-083 (totalGrossAnnual) → number
22. MK-PL-F-065 (volOf) → NOT DECLARED — the code does not say what it gives back</t>
        </is>
      </c>
      <c r="P30"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Q30"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30" s="3" t="inlineStr"/>
      <c r="S30" s="3" t="inlineStr"/>
      <c r="T30" s="3" t="inlineStr">
        <is>
          <t>NOT DETERMINED — no assumption recorded for this figure yet.</t>
        </is>
      </c>
      <c r="U30" s="3" t="inlineStr">
        <is>
          <t>THE SAME FIGURE AS MK-PL-M-011 — What is being saved each month towards retirement — "Monthly saving until then" and "Retirement saving $X/mo now".</t>
        </is>
      </c>
      <c r="V30" s="3" t="inlineStr"/>
      <c r="W30" s="3" t="inlineStr"/>
      <c r="X30" s="3" t="inlineStr"/>
      <c r="Y30" s="3" t="inlineStr">
        <is>
          <t>NOT DETERMINED</t>
        </is>
      </c>
      <c r="Z30" s="3" t="inlineStr">
        <is>
          <t>VERIFIED 2026-08-22</t>
        </is>
      </c>
      <c r="AA3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s="3" t="inlineStr">
        <is>
          <t>AGREES — the figure's arithmetic and the arithmetic of the function it names say the same thing. Checked 2026-08-26.</t>
        </is>
      </c>
      <c r="AC30" s="3" t="inlineStr">
        <is>
          <t>HAS A FUNCTION — traceable from the screen to the code.</t>
        </is>
      </c>
      <c r="AD30" s="3" t="inlineStr"/>
      <c r="AE30" s="3" t="inlineStr">
        <is>
          <t>No finding on this row. That is not a statement that the row is right — only that nothing has been written against it.</t>
        </is>
      </c>
      <c r="AF30" s="3" t="inlineStr">
        <is>
          <t>SUPERSEDED BY MK-PL-M-011 — the same figure under another identifier. This number is retired and is never handed to anything else.</t>
        </is>
      </c>
      <c r="AG30" s="3" t="inlineStr">
        <is>
          <t>2026-09-30</t>
        </is>
      </c>
      <c r="AH30" s="3" t="n"/>
      <c r="AI30" s="3" t="n"/>
      <c r="AJ30" s="3" t="inlineStr">
        <is>
          <t>1. MK-XS-I-001 account balance — read by MK-NW-F-031, MK-NW-F-032,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n"/>
      <c r="AM30" s="3" t="n"/>
      <c r="AN30" s="3" t="n"/>
      <c r="AO30" s="7" t="inlineStr">
        <is>
          <t>RULED, NOT CODED (Q-PL-6 — one question, one function)</t>
        </is>
      </c>
    </row>
    <row r="31" ht="60" customHeight="1">
      <c r="A31" s="3" t="inlineStr">
        <is>
          <t>MK-PL-M-030</t>
        </is>
      </c>
      <c r="B31" s="3" t="inlineStr">
        <is>
          <t>Plan</t>
        </is>
      </c>
      <c r="C31" s="3" t="inlineStr">
        <is>
          <t>/multi-goal</t>
        </is>
      </c>
      <c r="D31" s="3" t="inlineStr">
        <is>
          <t>Extra on debt $X/mo</t>
        </is>
      </c>
      <c r="E31" s="3" t="inlineStr">
        <is>
          <t>extraDebt</t>
        </is>
      </c>
      <c r="F31" s="3" t="inlineStr">
        <is>
          <t>Typed by the person — no function behind it</t>
        </is>
      </c>
      <c r="G31" s="3" t="inlineStr"/>
      <c r="H31" s="3" t="inlineStr">
        <is>
          <t>the value typed by the person</t>
        </is>
      </c>
      <c r="I31" s="3" t="inlineStr">
        <is>
          <t>A number the person entered; no calculation.</t>
        </is>
      </c>
      <c r="J31" s="3" t="inlineStr">
        <is>
          <t>NOT DETERMINED — no input list on record for this function</t>
        </is>
      </c>
      <c r="K31" s="3" t="inlineStr">
        <is>
          <t>US dollars · held to the cent · shown as whole dollars  [derived by rule — confirm]</t>
        </is>
      </c>
      <c r="L31" s="3" t="inlineStr">
        <is>
          <t>Nothing to compute — the person either entered it or has not, and the screen shows it only when they have.</t>
        </is>
      </c>
      <c r="M31" s="3" t="inlineStr">
        <is>
          <t>One figure per debt, and one total per person  [derived by rule — confirm]</t>
        </is>
      </c>
      <c r="N31" s="3" t="inlineStr">
        <is>
          <t>As of today, from the latest figures held  [derived by rule — confirm]</t>
        </is>
      </c>
      <c r="O31" s="3" t="inlineStr">
        <is>
          <t>No function on record — nothing to chain</t>
        </is>
      </c>
      <c r="P31" s="3" t="inlineStr">
        <is>
          <t>No function on record — nothing to chain</t>
        </is>
      </c>
      <c r="Q31" s="3" t="inlineStr">
        <is>
          <t>No function on record — assumptions unknown</t>
        </is>
      </c>
      <c r="R31" s="3" t="inlineStr"/>
      <c r="S31" s="3" t="inlineStr">
        <is>
          <t>CORRECTED 2026-08-25 — this row used to name DEBT_PICTURE. "Extra on debt $X/mo" is an amount the person chose on a dial, not a figure that function produces.</t>
        </is>
      </c>
      <c r="T31" s="3" t="inlineStr">
        <is>
          <t>NOT DETERMINED — no assumption recorded for this figure yet.</t>
        </is>
      </c>
      <c r="U31" s="3" t="inlineStr"/>
      <c r="V31" s="3" t="inlineStr"/>
      <c r="W31" s="3" t="inlineStr"/>
      <c r="X31" s="3" t="inlineStr"/>
      <c r="Y31" s="3" t="inlineStr">
        <is>
          <t>NOT DETERMINED</t>
        </is>
      </c>
      <c r="Z31" s="3" t="inlineStr">
        <is>
          <t>VERIFIED 2026-08-22</t>
        </is>
      </c>
      <c r="AA3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s="3" t="inlineStr">
        <is>
          <t>B24 [NOT COMPARABLE] — This figure names no function, so its formula cannot be checked against anything. 69 of the 163 figures are in this position — the audit covers the 94 that name one.</t>
        </is>
      </c>
      <c r="AC31" s="3" t="inlineStr">
        <is>
          <t>TYPED — none needed. The person entered this number; nothing calculates it and nothing should. This row is already right and needs no work.</t>
        </is>
      </c>
      <c r="AD31" s="3" t="inlineStr"/>
      <c r="AE31" s="3" t="inlineStr">
        <is>
          <t>No finding on this row. That is not a statement that the row is right — only that nothing has been written against it.</t>
        </is>
      </c>
      <c r="AF31" s="3" t="inlineStr">
        <is>
          <t>ACTIVE</t>
        </is>
      </c>
      <c r="AG31" s="3" t="inlineStr">
        <is>
          <t>2026-08-27</t>
        </is>
      </c>
      <c r="AH31" s="3" t="n"/>
      <c r="AI31" s="3" t="n"/>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n"/>
      <c r="AM31" s="3" t="n"/>
      <c r="AN31" s="3" t="n"/>
      <c r="AO31" s="7" t="inlineStr">
        <is>
          <t>RULED, NOT CODED (Q-PL-6 — one question, one function)</t>
        </is>
      </c>
    </row>
    <row r="32" ht="60" customHeight="1">
      <c r="A32" s="3" t="inlineStr">
        <is>
          <t>MK-PL-M-031</t>
        </is>
      </c>
      <c r="B32" s="3" t="inlineStr">
        <is>
          <t>Plan</t>
        </is>
      </c>
      <c r="C32" s="3" t="inlineStr">
        <is>
          <t>/multi-goal</t>
        </is>
      </c>
      <c r="D32" s="3" t="inlineStr">
        <is>
          <t>paid off &lt;month&gt; · saves $X</t>
        </is>
      </c>
      <c r="E32" s="3" t="inlineStr">
        <is>
          <t>weighed.debtPayoff</t>
        </is>
      </c>
      <c r="F32" s="3" t="inlineStr">
        <is>
          <t>NOT ON RECORD — no function is recorded for this figure</t>
        </is>
      </c>
      <c r="G32" s="3" t="inlineStr">
        <is>
          <t>MK-CF-F-034</t>
        </is>
      </c>
      <c r="H32" s="3"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s="3" t="inlineStr">
        <is>
          <t>NOT DETERMINED — no input list on record for this function</t>
        </is>
      </c>
      <c r="K32" s="3" t="inlineStr">
        <is>
          <t>US dollars · held to the cent · shown as whole dollars  [derived by rule — confirm]</t>
        </is>
      </c>
      <c r="L32" s="3" t="inlineStr">
        <is>
          <t>No debt, or no extra payment chosen → the line is not shown; never a $0 saving.</t>
        </is>
      </c>
      <c r="M32" s="3" t="inlineStr">
        <is>
          <t>One figure per debt, and one total per person  [derived by rule — confirm]</t>
        </is>
      </c>
      <c r="N32" s="3" t="inlineStr">
        <is>
          <t>As of today, from the latest figures held  [derived by rule — confirm]</t>
        </is>
      </c>
      <c r="O32" s="3" t="inlineStr">
        <is>
          <t>1. MK-CF-F-132 (map) → NOT DECLARED — the code does not say what it gives back
2. MK-CF-F-022 (paymentShape) → NonNullable&lt;Debt['payment_type']&gt;</t>
        </is>
      </c>
      <c r="P32" s="3" t="inlineStr">
        <is>
          <t>No function on record — nothing to chain</t>
        </is>
      </c>
      <c r="Q32" s="3" t="inlineStr">
        <is>
          <t>No function on record — assumptions unknown</t>
        </is>
      </c>
      <c r="R32" s="3" t="inlineStr"/>
      <c r="S32" s="3" t="inlineStr"/>
      <c r="T32" s="3" t="inlineStr">
        <is>
          <t>NOT DETERMINED — no assumption recorded for this figure yet.</t>
        </is>
      </c>
      <c r="U32" s="3" t="inlineStr"/>
      <c r="V32" s="3" t="inlineStr"/>
      <c r="W32" s="3" t="inlineStr"/>
      <c r="X32" s="3" t="inlineStr"/>
      <c r="Y32" s="3" t="inlineStr">
        <is>
          <t>NOT DETERMINED</t>
        </is>
      </c>
      <c r="Z32" s="3" t="inlineStr">
        <is>
          <t>VERIFIED 2026-08-22</t>
        </is>
      </c>
      <c r="AA32" s="3"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s="3" t="inlineStr">
        <is>
          <t>B24 [NOT COMPARABLE] — This figure names no function, so its formula cannot be checked against anything. 69 of the 163 figures are in this position — the audit covers the 94 that name one.</t>
        </is>
      </c>
      <c r="AC3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s="3" t="inlineStr"/>
      <c r="AE32" s="3" t="inlineStr">
        <is>
          <t>A43 — FIXED 2026-09-12
G32 / Q48 — 2026-09-09: the 'division with nothing on the bottom' boilerplate is gone; this cell now states the row's real refusal. Where it says 'built', the screen already does it; the rest follow the empty-state mock.</t>
        </is>
      </c>
      <c r="AF32" s="3" t="inlineStr">
        <is>
          <t>ACTIVE</t>
        </is>
      </c>
      <c r="AG32" s="3" t="inlineStr">
        <is>
          <t>2026-08-27</t>
        </is>
      </c>
      <c r="AH32" s="3" t="n"/>
      <c r="AI32" s="3" t="n"/>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n"/>
      <c r="AM32" s="3" t="n"/>
      <c r="AN32" s="3" t="n"/>
      <c r="AO32" s="7" t="inlineStr">
        <is>
          <t>RULED, NOT CODED (Q-PL-6 — one question, one function)</t>
        </is>
      </c>
    </row>
    <row r="33" ht="60" customHeight="1">
      <c r="A33" s="3" t="inlineStr">
        <is>
          <t>MK-PL-M-032</t>
        </is>
      </c>
      <c r="B33" s="3" t="inlineStr">
        <is>
          <t>Plan</t>
        </is>
      </c>
      <c r="C33" s="3" t="inlineStr">
        <is>
          <t>/retirement</t>
        </is>
      </c>
      <c r="D33" s="3" t="inlineStr">
        <is>
          <t>incl. Social Security $X/mo from age N</t>
        </is>
      </c>
      <c r="E33" s="3" t="inlineStr">
        <is>
          <t>ssIncome</t>
        </is>
      </c>
      <c r="F33" s="3" t="inlineStr">
        <is>
          <t>currentRetirementIncomeMonthly</t>
        </is>
      </c>
      <c r="G33" s="3" t="inlineStr">
        <is>
          <t>MK-CF-F-072</t>
        </is>
      </c>
      <c r="H33" s="3" t="inlineStr">
        <is>
          <t>guaranteed income now = Σ(streams already being received)</t>
        </is>
      </c>
      <c r="I33"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s="3" t="inlineStr">
        <is>
          <t>1. do they receive it now → incomeSources  [MK-XS-I-040]
2. the amounts → retirementIncomeMonthly  [MK-XS-I-008]</t>
        </is>
      </c>
      <c r="K33" s="3" t="inlineStr">
        <is>
          <t>Age in whole years  [derived by rule — confirm]</t>
        </is>
      </c>
      <c r="L33" s="3" t="inlineStr">
        <is>
          <t>Adds up to $0 when there is nothing to add. Zero and "nothing recorded yet" look identical on screen — worth a decision.</t>
        </is>
      </c>
      <c r="M33" s="3" t="inlineStr">
        <is>
          <t>One figure per person — or per household when two people share one record  [derived by rule — confirm]</t>
        </is>
      </c>
      <c r="N33" s="3" t="inlineStr">
        <is>
          <t>As of today, from the latest figures held  [derived by rule — confirm]</t>
        </is>
      </c>
      <c r="O33" s="3" t="inlineStr">
        <is>
          <t>MK-CF-F-075 (retirementIncomeMonthly) → number</t>
        </is>
      </c>
      <c r="P33" s="3" t="inlineStr">
        <is>
          <t>MK-XS-F-122 n → MK-ST-F-052 toNum → MK-CF-F-075 retirementIncomeMonthly → MK-CF-F-072 currentRetirementIncomeMonthly</t>
        </is>
      </c>
      <c r="Q33" s="3" t="inlineStr">
        <is>
          <t>None found anywhere in this chain</t>
        </is>
      </c>
      <c r="R33" s="3" t="inlineStr"/>
      <c r="S33" s="3" t="inlineStr"/>
      <c r="T33" s="3" t="inlineStr">
        <is>
          <t>NOT DETERMINED — no assumption recorded for this figure yet.</t>
        </is>
      </c>
      <c r="U33" s="3" t="inlineStr">
        <is>
          <t>THE SAME FIGURE AS MK-CF-M-011 — Guaranteed income being received now. Shown four ways: "You receive $X/mo" on Social Security timing, "incl. Social Security $X/mo" on the cockpit, as a source on Cash flow, and as a list on Monthly income. One figure, four identifiers.</t>
        </is>
      </c>
      <c r="V33" s="3" t="inlineStr"/>
      <c r="W33" s="3" t="inlineStr"/>
      <c r="X33" s="3" t="inlineStr"/>
      <c r="Y33" s="3" t="inlineStr">
        <is>
          <t>NOT DETERMINED</t>
        </is>
      </c>
      <c r="Z33" s="3" t="inlineStr">
        <is>
          <t>VERIFIED 2026-08-22</t>
        </is>
      </c>
      <c r="AA3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s="3" t="inlineStr">
        <is>
          <t>AGREES — the figure's arithmetic and the arithmetic of the function it names say the same thing. Checked 2026-08-26.</t>
        </is>
      </c>
      <c r="AC33" s="3" t="inlineStr">
        <is>
          <t>HAS A FUNCTION — traceable from the screen to the code.</t>
        </is>
      </c>
      <c r="AD33" s="3" t="inlineStr"/>
      <c r="AE33" s="3" t="inlineStr">
        <is>
          <t>No finding on this row. That is not a statement that the row is right — only that nothing has been written against it.</t>
        </is>
      </c>
      <c r="AF33" s="3" t="inlineStr">
        <is>
          <t>SUPERSEDED BY MK-CF-M-011 — the same figure under another identifier. This number is retired and is never handed to anything else.</t>
        </is>
      </c>
      <c r="AG33" s="3" t="inlineStr">
        <is>
          <t>2026-09-30</t>
        </is>
      </c>
      <c r="AH33" s="3" t="n"/>
      <c r="AI33" s="3" t="n"/>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n"/>
      <c r="AM33" s="3" t="n"/>
      <c r="AN33" s="3" t="n"/>
      <c r="AO33" s="7" t="inlineStr">
        <is>
          <t>RULED, NOT CODED (Q-PL-2 — one question, one function)</t>
        </is>
      </c>
    </row>
    <row r="34" ht="60" customHeight="1">
      <c r="A34" s="3" t="inlineStr">
        <is>
          <t>MK-PL-M-033</t>
        </is>
      </c>
      <c r="B34" s="3" t="inlineStr">
        <is>
          <t>Plan</t>
        </is>
      </c>
      <c r="C34" s="3" t="inlineStr">
        <is>
          <t>/retirement</t>
        </is>
      </c>
      <c r="D34" s="3" t="inlineStr">
        <is>
          <t>your $X grows to $Y by age N at Z%/yr</t>
        </is>
      </c>
      <c r="E34" s="3" t="inlineStr">
        <is>
          <t>nestEgg / scProjected</t>
        </is>
      </c>
      <c r="F34" s="3" t="inlineStr">
        <is>
          <t>projectNestEgg</t>
        </is>
      </c>
      <c r="G34" s="3" t="inlineStr">
        <is>
          <t>MK-PL-F-055</t>
        </is>
      </c>
      <c r="H34" s="3" t="inlineStr">
        <is>
          <t>pot = balance × (1 + r)^n + Σ(contribution × (1 + r)^(n − year)),  n = years to retirement</t>
        </is>
      </c>
      <c r="I34"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s="3" t="inlineStr">
        <is>
          <t>the same inputs → inp  [MK-XS-I-001]</t>
        </is>
      </c>
      <c r="K34" s="3" t="inlineStr">
        <is>
          <t>Percent · one decimal shown  [derived by rule — confirm]</t>
        </is>
      </c>
      <c r="L34" s="3" t="inlineStr">
        <is>
          <t>No figure when there is nothing to grow, or when retirement is not ahead of the person.</t>
        </is>
      </c>
      <c r="M34" s="3" t="inlineStr">
        <is>
          <t>One figure per person — or per household when two people share one record  [derived by rule — confirm]</t>
        </is>
      </c>
      <c r="N34" s="3" t="inlineStr">
        <is>
          <t>The last twelve months  [derived by rule — confirm]</t>
        </is>
      </c>
      <c r="O34" s="3" t="inlineStr">
        <is>
          <t>1. MK-CF-F-132 (map) → NOT DECLARED — the code does not say what it gives back
2. MK-PL-F-050 (simulate) → NOT DECLARED — the code does not say what it gives back</t>
        </is>
      </c>
      <c r="P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34"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34" s="3" t="inlineStr"/>
      <c r="S34" s="3" t="inlineStr">
        <is>
          <t>The Net worth screen builds this projection WITHOUT the person's big costs, while Cash flow, Budget, Goals and Social Security timing all include them. Same person, same day, two different nest eggs. Seen in the code; not yet confirmed on screen.</t>
        </is>
      </c>
      <c r="T34"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s="3" t="inlineStr">
        <is>
          <t>THE SURVIVING IDENTIFIER for this figure. Folded in: MK-NW-M-015. The projected pot at retirement, shown on Net worth as "on track for $X by age Y" and on the cockpit as "your $X grows to $Y". One figure, two screens — the founder spotted this one himself.</t>
        </is>
      </c>
      <c r="V34" s="3" t="inlineStr"/>
      <c r="W34" s="3" t="inlineStr"/>
      <c r="X34" s="3" t="inlineStr"/>
      <c r="Y34" s="3" t="inlineStr">
        <is>
          <t>NOT DETERMINED</t>
        </is>
      </c>
      <c r="Z34" s="3" t="inlineStr">
        <is>
          <t>VERIFIED 2026-08-22</t>
        </is>
      </c>
      <c r="AA34"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s="3" t="inlineStr">
        <is>
          <t>HAS A FUNCTION — traceable from the screen to the code.</t>
        </is>
      </c>
      <c r="AD34" s="3" t="inlineStr">
        <is>
          <t>B11 — This month — the future-paycheck figure omits contribution growth the code applies</t>
        </is>
      </c>
      <c r="AE34" s="3" t="inlineStr">
        <is>
          <t>A44 — NOT A DEFECT 2026-08-26
B11 — FIXED 2026-09-12</t>
        </is>
      </c>
      <c r="AF34" s="3" t="inlineStr">
        <is>
          <t>ACTIVE</t>
        </is>
      </c>
      <c r="AG34" s="3" t="inlineStr">
        <is>
          <t>2026-09-27</t>
        </is>
      </c>
      <c r="AH34" s="3" t="n"/>
      <c r="AI34" s="3" t="n"/>
      <c r="AJ34"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n"/>
      <c r="AM34" s="3" t="n"/>
      <c r="AN34" s="3" t="n"/>
      <c r="AO34" s="7" t="inlineStr">
        <is>
          <t>RULED, NOT CODED (Q-PL-1 — one question, one function)</t>
        </is>
      </c>
    </row>
    <row r="35" ht="60" customHeight="1">
      <c r="A35" s="3" t="inlineStr">
        <is>
          <t>MK-PL-M-034</t>
        </is>
      </c>
      <c r="B35" s="3" t="inlineStr">
        <is>
          <t>Plan</t>
        </is>
      </c>
      <c r="C35" s="3" t="inlineStr">
        <is>
          <t>/retirement</t>
        </is>
      </c>
      <c r="D35" s="3" t="inlineStr">
        <is>
          <t>At Z% return, your money lasts past age N</t>
        </is>
      </c>
      <c r="E35" s="3" t="inlineStr">
        <is>
          <t>scDeplete</t>
        </is>
      </c>
      <c r="F35" s="3" t="inlineStr">
        <is>
          <t>selectWillItLast</t>
        </is>
      </c>
      <c r="G35" s="3" t="inlineStr">
        <is>
          <t>1. MK-PL-F-068
2. MK-PL-F-050</t>
        </is>
      </c>
      <c r="H35" s="3" t="inlineStr">
        <is>
          <t>run 1,000 futures; in each year: balance ← balance × (1 + random return) − (expenses − guaranteed income);  odds = futures that never run out ÷ 1,000</t>
        </is>
      </c>
      <c r="I35" s="3"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s="3" t="inlineStr">
        <is>
          <t>1. everything → WILL_IT_LAST_INPUTS  [NOT AN INPUT — another function’s answer; see the dependency column]
2. is a range wanted → withBand  [NOT AN INPUT — a setting or a filter, not data anyone supplies]</t>
        </is>
      </c>
      <c r="K35" s="3" t="inlineStr">
        <is>
          <t>Percent · exact, no rounding — 1,000 futures give it to a tenth (founder, 2026-09-14)  [derived by rule — confirm]</t>
        </is>
      </c>
      <c r="L35" s="3" t="inlineStr">
        <is>
          <t>No odds at all until the three facts are answered. A sample is shown in their place, labelled as a sample, never as the person's own number.</t>
        </is>
      </c>
      <c r="M35" s="3" t="inlineStr">
        <is>
          <t>One figure per person — or per household when two people share one record  [derived by rule — confirm]</t>
        </is>
      </c>
      <c r="N35" s="3" t="inlineStr">
        <is>
          <t>The window the person chose on screen  [derived by rule — confirm]</t>
        </is>
      </c>
      <c r="O35"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35"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MK-CF-F-132 map → MK-NW-F-134 carValueNotEnteredNotes → MK-NW-F-031 primaryCarIdOf → MK-NW-F-033 retirementEarmarkedValue → MK-PL-F-068 selectWillItLast
5. MK-ST-F-049 formatMoney → MK-ST-F-053 money → MK-NW-F-134 carValueNotEnteredNotes → MK-NW-F-031 primaryCarIdOf → MK-NW-F-033 retirementEarmarkedValue → MK-PL-F-068 selectWillItLast
6. MK-XS-F-122 n → MK-ST-F-053 money → MK-NW-F-134 carValueNotEnteredNotes → MK-NW-F-031 primaryCarIdOf → MK-NW-F-033 retirementEarmarkedValue → MK-PL-F-068 selectWillItLast
7. primaryCarIdOf (already above — a loop) → MK-NW-F-134 carValueNotEnteredNotes → MK-NW-F-031 primaryCarIdOf → MK-NW-F-033 retirementEarmarkedValue → MK-PL-F-068 selectWillItLast
8. retirementEarmarkedValue (already above — a loop) → MK-NW-F-134 carValueNotEnteredNotes → MK-NW-F-031 primaryCarIdOf → MK-NW-F-033 retirementEarmarkedValue → MK-PL-F-068 selectWillItLast
9. … and 5 more paths</t>
        </is>
      </c>
      <c r="Q35"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45 more, on the functions tab</t>
        </is>
      </c>
      <c r="R35" s="3" t="inlineStr"/>
      <c r="S35" s="3" t="inlineStr">
        <is>
          <t>The odds shown on Home, Plan and Cash flow are rounded to the nearest 5, while the compare tables still show them exact. One figure, two precisions — founder's open question.</t>
        </is>
      </c>
      <c r="T35"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s="3" t="inlineStr"/>
      <c r="V35" s="3" t="inlineStr"/>
      <c r="W35" s="3" t="inlineStr"/>
      <c r="X35" s="3" t="inlineStr"/>
      <c r="Y35" s="3" t="inlineStr">
        <is>
          <t>NOT DETERMINED</t>
        </is>
      </c>
      <c r="Z35" s="3" t="inlineStr">
        <is>
          <t>VERIFIED 2026-08-22</t>
        </is>
      </c>
      <c r="AA3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s="3" t="inlineStr">
        <is>
          <t>HAS A FUNCTION — traceable from the screen to the code.</t>
        </is>
      </c>
      <c r="AD35" s="3" t="inlineStr"/>
      <c r="AE35" s="3" t="inlineStr">
        <is>
          <t>B13 — FIXED 2026-09-12</t>
        </is>
      </c>
      <c r="AF35" s="3" t="inlineStr">
        <is>
          <t>ACTIVE</t>
        </is>
      </c>
      <c r="AG35" s="3" t="inlineStr">
        <is>
          <t>2026-09-27</t>
        </is>
      </c>
      <c r="AH35" s="3" t="n"/>
      <c r="AI35" s="3" t="n"/>
      <c r="AJ35" s="3" t="inlineStr">
        <is>
          <t>1. MK-XS-I-001 account balance — read by MK-NW-F-031, MK-NW-F-032,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MK-PL-F-068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n"/>
      <c r="AM35" s="3" t="n"/>
      <c r="AN35" s="3" t="n"/>
      <c r="AO35" s="7" t="inlineStr">
        <is>
          <t>RULED, NOT CODED (Q-PL-1 — one question, one function)</t>
        </is>
      </c>
    </row>
    <row r="36" ht="60" customHeight="1">
      <c r="A36" s="3" t="inlineStr">
        <is>
          <t>MK-PL-M-035</t>
        </is>
      </c>
      <c r="B36" s="3" t="inlineStr">
        <is>
          <t>Plan</t>
        </is>
      </c>
      <c r="C36" s="3" t="inlineStr">
        <is>
          <t>/retirement</t>
        </is>
      </c>
      <c r="D36" s="3" t="inlineStr">
        <is>
          <t>Retire at age (the dial)</t>
        </is>
      </c>
      <c r="E36" s="3" t="inlineStr">
        <is>
          <t>rAge</t>
        </is>
      </c>
      <c r="F36" s="3" t="inlineStr">
        <is>
          <t>Typed by the person — no function behind it</t>
        </is>
      </c>
      <c r="G36" s="3" t="inlineStr"/>
      <c r="H36" s="3" t="inlineStr">
        <is>
          <t>the age set by the person</t>
        </is>
      </c>
      <c r="I36" s="3" t="inlineStr">
        <is>
          <t>An age the person set on a dial; no calculation.</t>
        </is>
      </c>
      <c r="J36" s="3" t="inlineStr">
        <is>
          <t>NOT DETERMINED — no input list on record for this function</t>
        </is>
      </c>
      <c r="K36" s="3" t="inlineStr">
        <is>
          <t>Age in whole years  [derived by rule — confirm]</t>
        </is>
      </c>
      <c r="L36" s="3" t="inlineStr">
        <is>
          <t>Nothing to compute — the person either entered it or has not, and the screen shows it only when they have.</t>
        </is>
      </c>
      <c r="M36" s="3" t="inlineStr">
        <is>
          <t>One figure per person — or per household when two people share one record  [derived by rule — confirm]</t>
        </is>
      </c>
      <c r="N36" s="3" t="inlineStr">
        <is>
          <t>From today to the retirement age in the plan  [derived by rule — confirm]</t>
        </is>
      </c>
      <c r="O36" s="3" t="inlineStr">
        <is>
          <t>No function on record — nothing to chain</t>
        </is>
      </c>
      <c r="P36" s="3" t="inlineStr">
        <is>
          <t>No function on record — nothing to chain</t>
        </is>
      </c>
      <c r="Q36" s="3" t="inlineStr">
        <is>
          <t>No function on record — assumptions unknown</t>
        </is>
      </c>
      <c r="R36" s="3" t="inlineStr"/>
      <c r="S36" s="3" t="inlineStr"/>
      <c r="T36" s="3" t="inlineStr">
        <is>
          <t>NOT DETERMINED — no assumption recorded for this figure yet.</t>
        </is>
      </c>
      <c r="U36" s="3" t="inlineStr"/>
      <c r="V36" s="3" t="inlineStr"/>
      <c r="W36" s="3" t="inlineStr"/>
      <c r="X36" s="3" t="inlineStr"/>
      <c r="Y36" s="3" t="inlineStr">
        <is>
          <t>NOT DETERMINED</t>
        </is>
      </c>
      <c r="Z36" s="3" t="inlineStr">
        <is>
          <t>VERIFIED 2026-08-22</t>
        </is>
      </c>
      <c r="AA3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s="3" t="inlineStr">
        <is>
          <t>B24 [NOT COMPARABLE] — This figure names no function, so its formula cannot be checked against anything. 69 of the 163 figures are in this position — the audit covers the 94 that name one.</t>
        </is>
      </c>
      <c r="AC36" s="3" t="inlineStr">
        <is>
          <t>TYPED — none needed. The person entered this number; nothing calculates it and nothing should. This row is already right and needs no work.</t>
        </is>
      </c>
      <c r="AD36" s="3" t="inlineStr"/>
      <c r="AE36" s="3" t="inlineStr">
        <is>
          <t>No finding on this row. That is not a statement that the row is right — only that nothing has been written against it.</t>
        </is>
      </c>
      <c r="AF36" s="3" t="inlineStr">
        <is>
          <t>ACTIVE</t>
        </is>
      </c>
      <c r="AG36" s="3" t="inlineStr">
        <is>
          <t>2026-08-27</t>
        </is>
      </c>
      <c r="AH36" s="3" t="n"/>
      <c r="AI36" s="3" t="n"/>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n"/>
      <c r="AM36" s="3" t="n"/>
      <c r="AN36" s="3" t="n"/>
      <c r="AO36" s="7" t="inlineStr">
        <is>
          <t>RULED, NOT CODED (Q-PL-1 — one question, one function)</t>
        </is>
      </c>
    </row>
    <row r="37" ht="60" customHeight="1">
      <c r="A37" s="3" t="inlineStr">
        <is>
          <t>MK-PL-M-036</t>
        </is>
      </c>
      <c r="B37" s="3" t="inlineStr">
        <is>
          <t>Plan</t>
        </is>
      </c>
      <c r="C37" s="3" t="inlineStr">
        <is>
          <t>/education</t>
        </is>
      </c>
      <c r="D37" s="3" t="inlineStr">
        <is>
          <t>the future total cost of school</t>
        </is>
      </c>
      <c r="E37" s="3" t="inlineStr">
        <is>
          <t>plan.futureTotalCost</t>
        </is>
      </c>
      <c r="F37" s="3" t="inlineStr">
        <is>
          <t>NOT ON RECORD — no function is recorded for this figure</t>
        </is>
      </c>
      <c r="G37" s="3" t="inlineStr">
        <is>
          <t>MK-PL-F-033</t>
        </is>
      </c>
      <c r="H37" s="3"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s="3" t="inlineStr">
        <is>
          <t>NOT DETERMINED — no input list on record for this function</t>
        </is>
      </c>
      <c r="K37" s="3" t="inlineStr">
        <is>
          <t>US dollars · held to the cent · shown as whole dollars  [derived by rule — confirm]</t>
        </is>
      </c>
      <c r="L37" s="3" t="inlineStr">
        <is>
          <t>No school cost, or no years to go → the projection is not shown; never a $0 cost.</t>
        </is>
      </c>
      <c r="M37" s="3" t="inlineStr">
        <is>
          <t>One figure per person — or per household when two people share one record  [derived by rule — confirm]</t>
        </is>
      </c>
      <c r="N37" s="3" t="inlineStr">
        <is>
          <t>As of today, from the latest figures held  [derived by rule — confirm]</t>
        </is>
      </c>
      <c r="O37" s="3" t="inlineStr">
        <is>
          <t>MK-XS-F-122 (n) → number</t>
        </is>
      </c>
      <c r="P37" s="3" t="inlineStr">
        <is>
          <t>No function on record — nothing to chain</t>
        </is>
      </c>
      <c r="Q37" s="3" t="inlineStr">
        <is>
          <t>No function on record — assumptions unknown</t>
        </is>
      </c>
      <c r="R37" s="3" t="inlineStr"/>
      <c r="S37" s="3" t="inlineStr"/>
      <c r="T37"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s="3" t="inlineStr"/>
      <c r="V37" s="9" t="inlineStr">
        <is>
          <t>Q26 — What education inflation rate should the college projection use, and should it be visible and editable on the screen?</t>
        </is>
      </c>
      <c r="W37" s="9" t="inlineStr"/>
      <c r="X37" s="3" t="inlineStr"/>
      <c r="Y37" s="3" t="inlineStr">
        <is>
          <t>NOT DETERMINED</t>
        </is>
      </c>
      <c r="Z37" s="3" t="inlineStr">
        <is>
          <t>VERIFIED 2026-08-22</t>
        </is>
      </c>
      <c r="AA37"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s="3" t="inlineStr">
        <is>
          <t>B24 [NOT COMPARABLE] — This figure names no function, so its formula cannot be checked against anything. 69 of the 163 figures are in this position — the audit covers the 94 that name one.</t>
        </is>
      </c>
      <c r="AC3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s="3" t="inlineStr"/>
      <c r="AE37" s="3" t="inlineStr">
        <is>
          <t>A45 — FIXED 2026-09-12
G32 / Q48 — 2026-09-09: the 'division with nothing on the bottom' boilerplate is gone; this cell now states the row's real refusal. Where it says 'built', the screen already does it; the rest follow the empty-state mock.</t>
        </is>
      </c>
      <c r="AF37" s="3" t="inlineStr">
        <is>
          <t>ACTIVE</t>
        </is>
      </c>
      <c r="AG37" s="3" t="inlineStr">
        <is>
          <t>2026-08-27</t>
        </is>
      </c>
      <c r="AH37" s="3" t="n"/>
      <c r="AI37" s="3" t="n"/>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n"/>
      <c r="AM37" s="3" t="n"/>
      <c r="AN37" s="3" t="n"/>
      <c r="AO37" s="9" t="inlineStr">
        <is>
          <t>WAITING ON YOU — question Q26 · CODED, NOT TESTED (finding A45 names no test)</t>
        </is>
      </c>
    </row>
    <row r="38" ht="60" customHeight="1">
      <c r="A38" s="3" t="inlineStr">
        <is>
          <t>MK-PL-M-037</t>
        </is>
      </c>
      <c r="B38" s="3" t="inlineStr">
        <is>
          <t>Plan</t>
        </is>
      </c>
      <c r="C38" s="3" t="inlineStr">
        <is>
          <t>/education</t>
        </is>
      </c>
      <c r="D38" s="3" t="inlineStr">
        <is>
          <t>$X/mo set aside closes the $Y gap</t>
        </is>
      </c>
      <c r="E38" s="3" t="inlineStr">
        <is>
          <t>plan.monthlyNeeded / plan.gap</t>
        </is>
      </c>
      <c r="F38" s="3" t="inlineStr">
        <is>
          <t>NOT ON RECORD — no function is recorded for this figure</t>
        </is>
      </c>
      <c r="G38" s="3" t="inlineStr">
        <is>
          <t>MK-PL-F-033</t>
        </is>
      </c>
      <c r="H38" s="3"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s="3" t="inlineStr">
        <is>
          <t>NOT DETERMINED — no input list on record for this function</t>
        </is>
      </c>
      <c r="K38" s="3" t="inlineStr">
        <is>
          <t>US dollars · held to the cent · shown as whole dollars  [derived by rule — confirm]</t>
        </is>
      </c>
      <c r="L38" s="3" t="inlineStr">
        <is>
          <t>No gap (already covered) → 'covered', not $0/mo; no school cost → not shown.</t>
        </is>
      </c>
      <c r="M38" s="3" t="inlineStr">
        <is>
          <t>One figure per person — or per household when two people share one record  [derived by rule — confirm]</t>
        </is>
      </c>
      <c r="N38" s="3" t="inlineStr">
        <is>
          <t>As of today, from the latest figures held  [derived by rule — confirm]</t>
        </is>
      </c>
      <c r="O38" s="3" t="inlineStr">
        <is>
          <t>MK-XS-F-122 (n) → number</t>
        </is>
      </c>
      <c r="P38" s="3" t="inlineStr">
        <is>
          <t>No function on record — nothing to chain</t>
        </is>
      </c>
      <c r="Q38" s="3" t="inlineStr">
        <is>
          <t>No function on record — assumptions unknown</t>
        </is>
      </c>
      <c r="R38" s="3" t="inlineStr"/>
      <c r="S38" s="3" t="inlineStr"/>
      <c r="T38"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s="3" t="inlineStr"/>
      <c r="V38" s="3" t="inlineStr"/>
      <c r="W38" s="3" t="inlineStr"/>
      <c r="X38" s="3" t="inlineStr"/>
      <c r="Y38" s="3" t="inlineStr">
        <is>
          <t>NOT DETERMINED</t>
        </is>
      </c>
      <c r="Z38" s="3" t="inlineStr">
        <is>
          <t>VERIFIED 2026-08-22</t>
        </is>
      </c>
      <c r="AA38"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s="3" t="inlineStr">
        <is>
          <t>B24 [NOT COMPARABLE] — This figure names no function, so its formula cannot be checked against anything. 69 of the 163 figures are in this position — the audit covers the 94 that name one.</t>
        </is>
      </c>
      <c r="AC3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s="3" t="inlineStr"/>
      <c r="AE38" s="3" t="inlineStr">
        <is>
          <t>A45 — FIXED 2026-09-12
G32 / Q48 — 2026-09-09: the 'division with nothing on the bottom' boilerplate is gone; this cell now states the row's real refusal. Where it says 'built', the screen already does it; the rest follow the empty-state mock.</t>
        </is>
      </c>
      <c r="AF38" s="3" t="inlineStr">
        <is>
          <t>ACTIVE</t>
        </is>
      </c>
      <c r="AG38" s="3" t="inlineStr">
        <is>
          <t>2026-08-27</t>
        </is>
      </c>
      <c r="AH38" s="3" t="n"/>
      <c r="AI38" s="3" t="n"/>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n"/>
      <c r="AM38" s="3" t="n"/>
      <c r="AN38" s="3" t="n"/>
      <c r="AO38" s="9" t="inlineStr">
        <is>
          <t>CODED, NOT TESTED (finding A45 names no test)</t>
        </is>
      </c>
    </row>
    <row r="39" ht="45" customHeight="1">
      <c r="A39" s="3" t="inlineStr"/>
      <c r="B39" s="3" t="inlineStr">
        <is>
          <t>Plan</t>
        </is>
      </c>
      <c r="C39" s="3" t="inlineStr">
        <is>
          <t>/account-detail</t>
        </is>
      </c>
      <c r="D39" s="3" t="inlineStr"/>
      <c r="E39" s="3" t="inlineStr"/>
      <c r="F39" s="3" t="inlineStr"/>
      <c r="G39" s="3" t="inlineStr"/>
      <c r="H39" s="3" t="inlineStr"/>
      <c r="I39" s="3" t="inlineStr"/>
      <c r="J39" s="3" t="inlineStr"/>
      <c r="K39" s="3" t="inlineStr"/>
      <c r="L39" s="3" t="inlineStr"/>
      <c r="M39" s="3" t="inlineStr"/>
      <c r="N39" s="3" t="inlineStr"/>
      <c r="O39" s="3" t="inlineStr"/>
      <c r="P39" s="3" t="inlineStr"/>
      <c r="Q39" s="3" t="inlineStr"/>
      <c r="R39" s="3" t="inlineStr"/>
      <c r="S39" s="3" t="inlineStr"/>
      <c r="T39" s="3" t="inlineStr"/>
      <c r="U39" s="3" t="inlineStr"/>
      <c r="V39" s="3" t="inlineStr"/>
      <c r="W39" s="3" t="inlineStr"/>
      <c r="X39" s="3" t="inlineStr">
        <is>
          <t>NOT STARTED — screen not yet read</t>
        </is>
      </c>
      <c r="Y39" s="3" t="n"/>
      <c r="Z39" s="3" t="n"/>
      <c r="AA39" s="3" t="n"/>
      <c r="AB39" s="3" t="n"/>
      <c r="AC39" s="3" t="n"/>
      <c r="AD39" s="3" t="n"/>
      <c r="AE39" s="3" t="n"/>
      <c r="AF39" s="3" t="n"/>
      <c r="AG39" s="3" t="n"/>
      <c r="AH39" s="3" t="n"/>
      <c r="AI39" s="3" t="n"/>
      <c r="AJ39" s="3" t="n"/>
      <c r="AK39" s="3" t="n"/>
      <c r="AL39" s="3" t="n"/>
      <c r="AM39" s="3" t="n"/>
      <c r="AN39" s="3" t="n"/>
      <c r="AO39" s="3" t="n"/>
    </row>
    <row r="40" ht="60" customHeight="1">
      <c r="A40" s="3" t="inlineStr"/>
      <c r="B40" s="3" t="inlineStr">
        <is>
          <t>Plan</t>
        </is>
      </c>
      <c r="C40" s="3" t="inlineStr">
        <is>
          <t>/add-account</t>
        </is>
      </c>
      <c r="D40" s="3" t="inlineStr">
        <is>
          <t>—</t>
        </is>
      </c>
      <c r="E40" s="3" t="inlineStr">
        <is>
          <t>—</t>
        </is>
      </c>
      <c r="F40" s="3" t="inlineStr">
        <is>
          <t>—</t>
        </is>
      </c>
      <c r="G40" s="3" t="inlineStr"/>
      <c r="H40" s="3" t="inlineStr"/>
      <c r="I40" s="3" t="inlineStr"/>
      <c r="J40" s="3" t="inlineStr"/>
      <c r="K40" s="3" t="inlineStr"/>
      <c r="L40" s="3" t="inlineStr"/>
      <c r="M40" s="3" t="inlineStr"/>
      <c r="N40" s="3" t="inlineStr"/>
      <c r="O40" s="3" t="inlineStr"/>
      <c r="P40" s="3" t="inlineStr"/>
      <c r="Q40" s="3" t="inlineStr"/>
      <c r="R40" s="3" t="inlineStr"/>
      <c r="S40" s="3" t="inlineStr"/>
      <c r="T40" s="3" t="inlineStr"/>
      <c r="U40" s="3" t="inlineStr"/>
      <c r="V40" s="3" t="inlineStr"/>
      <c r="W40" s="3" t="inlineStr"/>
      <c r="X40" s="3" t="inlineStr">
        <is>
          <t>NOT DETERMINED</t>
        </is>
      </c>
      <c r="Y40" s="3" t="inlineStr">
        <is>
          <t>READ 2026-08-22 — no calculated figure on this screen</t>
        </is>
      </c>
      <c r="Z40" s="3" t="n"/>
      <c r="AA40" s="3" t="n"/>
      <c r="AB40" s="3" t="n"/>
      <c r="AC40" s="3" t="n"/>
      <c r="AD40" s="3" t="n"/>
      <c r="AE40" s="3" t="n"/>
      <c r="AF40" s="3" t="n"/>
      <c r="AG40" s="3" t="n"/>
      <c r="AH40" s="3" t="n"/>
      <c r="AI40" s="3" t="n"/>
      <c r="AJ40" s="3" t="n"/>
      <c r="AK40" s="3" t="n"/>
      <c r="AL40" s="3" t="n"/>
      <c r="AM40" s="3" t="n"/>
      <c r="AN40" s="3" t="n"/>
      <c r="AO40" s="3" t="n"/>
    </row>
    <row r="41" ht="45" customHeight="1">
      <c r="A41" s="3" t="inlineStr"/>
      <c r="B41" s="3" t="inlineStr">
        <is>
          <t>Plan</t>
        </is>
      </c>
      <c r="C41" s="3" t="inlineStr">
        <is>
          <t>/bonds</t>
        </is>
      </c>
      <c r="D41" s="3" t="inlineStr"/>
      <c r="E41" s="3" t="inlineStr"/>
      <c r="F41" s="3" t="inlineStr"/>
      <c r="G41" s="3" t="inlineStr"/>
      <c r="H41" s="3" t="inlineStr"/>
      <c r="I41" s="3" t="inlineStr"/>
      <c r="J41" s="3" t="inlineStr"/>
      <c r="K41" s="3" t="inlineStr"/>
      <c r="L41" s="3" t="inlineStr"/>
      <c r="M41" s="3" t="inlineStr"/>
      <c r="N41" s="3" t="inlineStr"/>
      <c r="O41" s="3" t="inlineStr"/>
      <c r="P41" s="3" t="inlineStr"/>
      <c r="Q41" s="3" t="inlineStr"/>
      <c r="R41" s="3" t="inlineStr"/>
      <c r="S41" s="3" t="inlineStr"/>
      <c r="T41" s="3" t="inlineStr"/>
      <c r="U41" s="3" t="inlineStr"/>
      <c r="V41" s="3" t="inlineStr"/>
      <c r="W41" s="3" t="inlineStr"/>
      <c r="X41" s="3" t="inlineStr">
        <is>
          <t>NOT STARTED — screen not yet read</t>
        </is>
      </c>
      <c r="Y41" s="3" t="n"/>
      <c r="Z41" s="3" t="n"/>
      <c r="AA41" s="3" t="n"/>
      <c r="AB41" s="3" t="n"/>
      <c r="AC41" s="3" t="n"/>
      <c r="AD41" s="3" t="n"/>
      <c r="AE41" s="3" t="n"/>
      <c r="AF41" s="3" t="n"/>
      <c r="AG41" s="3" t="n"/>
      <c r="AH41" s="3" t="n"/>
      <c r="AI41" s="3" t="n"/>
      <c r="AJ41" s="3" t="n"/>
      <c r="AK41" s="3" t="n"/>
      <c r="AL41" s="3" t="n"/>
      <c r="AM41" s="3" t="n"/>
      <c r="AN41" s="3" t="n"/>
      <c r="AO41" s="3" t="n"/>
    </row>
    <row r="42" ht="45" customHeight="1">
      <c r="A42" s="3" t="inlineStr"/>
      <c r="B42" s="3" t="inlineStr">
        <is>
          <t>Plan</t>
        </is>
      </c>
      <c r="C42" s="3" t="inlineStr">
        <is>
          <t>/holding-detail</t>
        </is>
      </c>
      <c r="D42" s="3" t="inlineStr"/>
      <c r="E42" s="3" t="inlineStr"/>
      <c r="F42" s="3" t="inlineStr"/>
      <c r="G42" s="3" t="inlineStr"/>
      <c r="H42" s="3" t="inlineStr"/>
      <c r="I42" s="3" t="inlineStr"/>
      <c r="J42" s="3" t="inlineStr"/>
      <c r="K42" s="3" t="inlineStr"/>
      <c r="L42" s="3" t="inlineStr"/>
      <c r="M42" s="3" t="inlineStr"/>
      <c r="N42" s="3" t="inlineStr"/>
      <c r="O42" s="3" t="inlineStr"/>
      <c r="P42" s="3" t="inlineStr"/>
      <c r="Q42" s="3" t="inlineStr"/>
      <c r="R42" s="3" t="inlineStr"/>
      <c r="S42" s="3" t="inlineStr"/>
      <c r="T42" s="3" t="inlineStr"/>
      <c r="U42" s="3" t="inlineStr"/>
      <c r="V42" s="3" t="inlineStr"/>
      <c r="W42" s="3" t="inlineStr"/>
      <c r="X42" s="3" t="inlineStr">
        <is>
          <t>NOT STARTED — screen not yet read</t>
        </is>
      </c>
      <c r="Y42" s="3" t="n"/>
      <c r="Z42" s="3" t="n"/>
      <c r="AA42" s="3" t="n"/>
      <c r="AB42" s="3" t="n"/>
      <c r="AC42" s="3" t="n"/>
      <c r="AD42" s="3" t="n"/>
      <c r="AE42" s="3" t="n"/>
      <c r="AF42" s="3" t="n"/>
      <c r="AG42" s="3" t="n"/>
      <c r="AH42" s="3" t="n"/>
      <c r="AI42" s="3" t="n"/>
      <c r="AJ42" s="3" t="n"/>
      <c r="AK42" s="3" t="n"/>
      <c r="AL42" s="3" t="n"/>
      <c r="AM42" s="3" t="n"/>
      <c r="AN42" s="3" t="n"/>
      <c r="AO42" s="3" t="n"/>
    </row>
    <row r="43" ht="45" customHeight="1">
      <c r="A43" s="3" t="inlineStr"/>
      <c r="B43" s="3" t="inlineStr">
        <is>
          <t>Plan</t>
        </is>
      </c>
      <c r="C43" s="3" t="inlineStr">
        <is>
          <t>/itemize</t>
        </is>
      </c>
      <c r="D43" s="3" t="inlineStr"/>
      <c r="E43" s="3" t="inlineStr"/>
      <c r="F43" s="3" t="inlineStr"/>
      <c r="G43" s="3" t="inlineStr"/>
      <c r="H43" s="3" t="inlineStr"/>
      <c r="I43" s="3" t="inlineStr"/>
      <c r="J43" s="3" t="inlineStr"/>
      <c r="K43" s="3" t="inlineStr"/>
      <c r="L43" s="3" t="inlineStr"/>
      <c r="M43" s="3" t="inlineStr"/>
      <c r="N43" s="3" t="inlineStr"/>
      <c r="O43" s="3" t="inlineStr"/>
      <c r="P43" s="3" t="inlineStr"/>
      <c r="Q43" s="3" t="inlineStr"/>
      <c r="R43" s="3" t="inlineStr"/>
      <c r="S43" s="3" t="inlineStr"/>
      <c r="T43" s="3" t="inlineStr"/>
      <c r="U43" s="3" t="inlineStr"/>
      <c r="V43" s="3" t="inlineStr"/>
      <c r="W43" s="3" t="inlineStr"/>
      <c r="X43" s="3" t="inlineStr">
        <is>
          <t>NOT STARTED — screen not yet read</t>
        </is>
      </c>
      <c r="Y43" s="3" t="n"/>
      <c r="Z43" s="3" t="n"/>
      <c r="AA43" s="3" t="n"/>
      <c r="AB43" s="3" t="n"/>
      <c r="AC43" s="3" t="n"/>
      <c r="AD43" s="3" t="n"/>
      <c r="AE43" s="3" t="n"/>
      <c r="AF43" s="3" t="n"/>
      <c r="AG43" s="3" t="n"/>
      <c r="AH43" s="3" t="n"/>
      <c r="AI43" s="3" t="n"/>
      <c r="AJ43" s="3" t="n"/>
      <c r="AK43" s="3" t="n"/>
      <c r="AL43" s="3" t="n"/>
      <c r="AM43" s="3" t="n"/>
      <c r="AN43" s="3" t="n"/>
      <c r="AO43" s="3" t="n"/>
    </row>
    <row r="44" ht="45" customHeight="1">
      <c r="A44" s="3" t="inlineStr"/>
      <c r="B44" s="3" t="inlineStr">
        <is>
          <t>Plan</t>
        </is>
      </c>
      <c r="C44" s="3" t="inlineStr">
        <is>
          <t>/look-back</t>
        </is>
      </c>
      <c r="D44" s="3" t="inlineStr"/>
      <c r="E44" s="3" t="inlineStr"/>
      <c r="F44" s="3" t="inlineStr"/>
      <c r="G44" s="3" t="inlineStr"/>
      <c r="H44" s="3" t="inlineStr"/>
      <c r="I44" s="3" t="inlineStr"/>
      <c r="J44" s="3" t="inlineStr"/>
      <c r="K44" s="3" t="inlineStr"/>
      <c r="L44" s="3" t="inlineStr"/>
      <c r="M44" s="3" t="inlineStr"/>
      <c r="N44" s="3" t="inlineStr"/>
      <c r="O44" s="3" t="inlineStr"/>
      <c r="P44" s="3" t="inlineStr"/>
      <c r="Q44" s="3" t="inlineStr"/>
      <c r="R44" s="3" t="inlineStr"/>
      <c r="S44" s="3" t="inlineStr"/>
      <c r="T44" s="3" t="inlineStr"/>
      <c r="U44" s="3" t="inlineStr"/>
      <c r="V44" s="3" t="inlineStr"/>
      <c r="W44" s="3" t="inlineStr"/>
      <c r="X44" s="3" t="inlineStr">
        <is>
          <t>NOT STARTED — screen not yet read</t>
        </is>
      </c>
      <c r="Y44" s="3" t="n"/>
      <c r="Z44" s="3" t="n"/>
      <c r="AA44" s="3" t="n"/>
      <c r="AB44" s="3" t="n"/>
      <c r="AC44" s="3" t="n"/>
      <c r="AD44" s="3" t="n"/>
      <c r="AE44" s="3" t="n"/>
      <c r="AF44" s="3" t="n"/>
      <c r="AG44" s="3" t="n"/>
      <c r="AH44" s="3" t="n"/>
      <c r="AI44" s="3" t="n"/>
      <c r="AJ44" s="3" t="n"/>
      <c r="AK44" s="3" t="n"/>
      <c r="AL44" s="3" t="n"/>
      <c r="AM44" s="3" t="n"/>
      <c r="AN44" s="3" t="n"/>
      <c r="AO44" s="3" t="n"/>
    </row>
    <row r="45" ht="45" customHeight="1">
      <c r="A45" s="3" t="inlineStr"/>
      <c r="B45" s="3" t="inlineStr">
        <is>
          <t>Plan</t>
        </is>
      </c>
      <c r="C45" s="3" t="inlineStr">
        <is>
          <t>/monthly-income</t>
        </is>
      </c>
      <c r="D45" s="3" t="inlineStr"/>
      <c r="E45" s="3" t="inlineStr"/>
      <c r="F45" s="3" t="inlineStr"/>
      <c r="G45" s="3" t="inlineStr"/>
      <c r="H45" s="3" t="inlineStr"/>
      <c r="I45" s="3" t="inlineStr"/>
      <c r="J45" s="3" t="inlineStr"/>
      <c r="K45" s="3" t="inlineStr"/>
      <c r="L45" s="3" t="inlineStr"/>
      <c r="M45" s="3" t="inlineStr"/>
      <c r="N45" s="3" t="inlineStr"/>
      <c r="O45" s="3" t="inlineStr"/>
      <c r="P45" s="3" t="inlineStr"/>
      <c r="Q45" s="3" t="inlineStr"/>
      <c r="R45" s="3" t="inlineStr"/>
      <c r="S45" s="3" t="inlineStr"/>
      <c r="T45" s="3" t="inlineStr"/>
      <c r="U45" s="3" t="inlineStr"/>
      <c r="V45" s="3" t="inlineStr"/>
      <c r="W45" s="3" t="inlineStr"/>
      <c r="X45" s="3" t="inlineStr">
        <is>
          <t>NOT STARTED — screen not yet read</t>
        </is>
      </c>
      <c r="Y45" s="3" t="n"/>
      <c r="Z45" s="3" t="n"/>
      <c r="AA45" s="3" t="n"/>
      <c r="AB45" s="3" t="n"/>
      <c r="AC45" s="3" t="n"/>
      <c r="AD45" s="3" t="n"/>
      <c r="AE45" s="3" t="n"/>
      <c r="AF45" s="3" t="n"/>
      <c r="AG45" s="3" t="n"/>
      <c r="AH45" s="3" t="n"/>
      <c r="AI45" s="3" t="n"/>
      <c r="AJ45" s="3" t="n"/>
      <c r="AK45" s="3" t="n"/>
      <c r="AL45" s="3" t="n"/>
      <c r="AM45" s="3" t="n"/>
      <c r="AN45" s="3" t="n"/>
      <c r="AO45" s="3" t="n"/>
    </row>
    <row r="46" ht="60" customHeight="1">
      <c r="A46" s="3" t="inlineStr"/>
      <c r="B46" s="3" t="inlineStr">
        <is>
          <t>Plan</t>
        </is>
      </c>
      <c r="C46" s="3" t="inlineStr">
        <is>
          <t>/performance</t>
        </is>
      </c>
      <c r="D46" s="3" t="inlineStr">
        <is>
          <t>—</t>
        </is>
      </c>
      <c r="E46" s="3" t="inlineStr">
        <is>
          <t>—</t>
        </is>
      </c>
      <c r="F46" s="3" t="inlineStr">
        <is>
          <t>—</t>
        </is>
      </c>
      <c r="G46" s="3" t="inlineStr"/>
      <c r="H46" s="3" t="inlineStr"/>
      <c r="I46" s="3" t="inlineStr"/>
      <c r="J46" s="3" t="inlineStr"/>
      <c r="K46" s="3" t="inlineStr"/>
      <c r="L46" s="3" t="inlineStr"/>
      <c r="M46" s="3" t="inlineStr"/>
      <c r="N46" s="3" t="inlineStr"/>
      <c r="O46" s="3" t="inlineStr"/>
      <c r="P46" s="3" t="inlineStr"/>
      <c r="Q46" s="3" t="inlineStr"/>
      <c r="R46" s="3" t="inlineStr"/>
      <c r="S46" s="3" t="inlineStr"/>
      <c r="T46" s="3" t="inlineStr"/>
      <c r="U46" s="3" t="inlineStr"/>
      <c r="V46" s="3" t="inlineStr"/>
      <c r="W46" s="3" t="inlineStr"/>
      <c r="X46" s="3" t="inlineStr">
        <is>
          <t>NOT DETERMINED</t>
        </is>
      </c>
      <c r="Y46" s="3" t="inlineStr">
        <is>
          <t>READ 2026-08-22 — the same screen as /invest, reached by a second route</t>
        </is>
      </c>
      <c r="Z46" s="3" t="n"/>
      <c r="AA46" s="3" t="n"/>
      <c r="AB46" s="3" t="n"/>
      <c r="AC46" s="3" t="n"/>
      <c r="AD46" s="3" t="n"/>
      <c r="AE46" s="3" t="n"/>
      <c r="AF46" s="3" t="n"/>
      <c r="AG46" s="3" t="n"/>
      <c r="AH46" s="3" t="n"/>
      <c r="AI46" s="3" t="n"/>
      <c r="AJ46" s="3" t="n"/>
      <c r="AK46" s="3" t="n"/>
      <c r="AL46" s="3" t="n"/>
      <c r="AM46" s="3" t="n"/>
      <c r="AN46" s="3" t="n"/>
      <c r="AO46" s="3" t="n"/>
    </row>
    <row r="47" ht="60" customHeight="1">
      <c r="A47" s="3" t="inlineStr"/>
      <c r="B47" s="3" t="inlineStr">
        <is>
          <t>Plan</t>
        </is>
      </c>
      <c r="C47" s="3" t="inlineStr">
        <is>
          <t>/sharpen</t>
        </is>
      </c>
      <c r="D47" s="3" t="inlineStr">
        <is>
          <t>—</t>
        </is>
      </c>
      <c r="E47" s="3" t="inlineStr">
        <is>
          <t>—</t>
        </is>
      </c>
      <c r="F47" s="3" t="inlineStr">
        <is>
          <t>—</t>
        </is>
      </c>
      <c r="G47" s="3" t="inlineStr"/>
      <c r="H47" s="3" t="inlineStr"/>
      <c r="I47" s="3" t="inlineStr"/>
      <c r="J47" s="3" t="inlineStr"/>
      <c r="K47" s="3" t="inlineStr"/>
      <c r="L47" s="3" t="inlineStr"/>
      <c r="M47" s="3" t="inlineStr"/>
      <c r="N47" s="3" t="inlineStr"/>
      <c r="O47" s="3" t="inlineStr"/>
      <c r="P47" s="3" t="inlineStr"/>
      <c r="Q47" s="3" t="inlineStr"/>
      <c r="R47" s="3" t="inlineStr"/>
      <c r="S47" s="3" t="inlineStr"/>
      <c r="T47" s="3" t="inlineStr"/>
      <c r="U47" s="3" t="inlineStr"/>
      <c r="V47" s="3" t="inlineStr"/>
      <c r="W47" s="3" t="inlineStr"/>
      <c r="X47" s="3" t="inlineStr">
        <is>
          <t>NOT DETERMINED</t>
        </is>
      </c>
      <c r="Y47" s="3" t="inlineStr">
        <is>
          <t>READ 2026-08-22 — no calculated figure on this screen</t>
        </is>
      </c>
      <c r="Z47" s="3" t="n"/>
      <c r="AA47" s="3" t="n"/>
      <c r="AB47" s="3" t="n"/>
      <c r="AC47" s="3" t="n"/>
      <c r="AD47" s="3" t="n"/>
      <c r="AE47" s="3" t="n"/>
      <c r="AF47" s="3" t="n"/>
      <c r="AG47" s="3" t="n"/>
      <c r="AH47" s="3" t="n"/>
      <c r="AI47" s="3" t="n"/>
      <c r="AJ47" s="3" t="n"/>
      <c r="AK47" s="3" t="n"/>
      <c r="AL47" s="3" t="n"/>
      <c r="AM47" s="3" t="n"/>
      <c r="AN47" s="3" t="n"/>
      <c r="AO47" s="3" t="n"/>
    </row>
  </sheetData>
  <autoFilter ref="A1:AO47"/>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O7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Cashflow</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Cashflow</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Cashflow</t>
        </is>
      </c>
      <c r="C4" s="3" t="inlineStr">
        <is>
          <t>/bill-calendar</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Cashflow</t>
        </is>
      </c>
      <c r="C5" s="3" t="inlineStr">
        <is>
          <t>/bonds</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Cashflow</t>
        </is>
      </c>
      <c r="C6" s="3" t="inlineStr">
        <is>
          <t>/holding-detail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Cashflow</t>
        </is>
      </c>
      <c r="C7" s="3" t="inlineStr">
        <is>
          <t>/income-manager</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Cashflow</t>
        </is>
      </c>
      <c r="C8" s="3" t="inlineStr">
        <is>
          <t>/itemize</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Cashflow</t>
        </is>
      </c>
      <c r="C9" s="3" t="inlineStr">
        <is>
          <t>/look-back</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45" customHeight="1">
      <c r="A10" s="3" t="inlineStr"/>
      <c r="B10" s="3" t="inlineStr">
        <is>
          <t>Cashflow</t>
        </is>
      </c>
      <c r="C10" s="3" t="inlineStr">
        <is>
          <t>/monthly-income</t>
        </is>
      </c>
      <c r="D10" s="3" t="inlineStr"/>
      <c r="E10" s="3" t="inlineStr"/>
      <c r="F10" s="3" t="inlineStr"/>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STARTED — screen not yet read</t>
        </is>
      </c>
      <c r="Y10" s="3" t="n"/>
      <c r="Z10" s="3" t="n"/>
      <c r="AA10" s="3" t="n"/>
      <c r="AB10" s="3" t="n"/>
      <c r="AC10" s="3" t="n"/>
      <c r="AD10" s="3" t="n"/>
      <c r="AE10" s="3" t="n"/>
      <c r="AF10" s="3" t="n"/>
      <c r="AG10" s="3" t="n"/>
      <c r="AH10" s="3" t="n"/>
      <c r="AI10" s="3" t="n"/>
      <c r="AJ10" s="3" t="n"/>
      <c r="AK10" s="3" t="n"/>
      <c r="AL10" s="3" t="n"/>
      <c r="AM10" s="3" t="n"/>
      <c r="AN10" s="3" t="n"/>
      <c r="AO10" s="3" t="n"/>
    </row>
    <row r="11" ht="60" customHeight="1">
      <c r="A11" s="3" t="inlineStr"/>
      <c r="B11" s="3" t="inlineStr">
        <is>
          <t>Cashflow</t>
        </is>
      </c>
      <c r="C11" s="3" t="inlineStr">
        <is>
          <t>/onboarding</t>
        </is>
      </c>
      <c r="D11" s="3" t="inlineStr">
        <is>
          <t>—</t>
        </is>
      </c>
      <c r="E11" s="3" t="inlineStr">
        <is>
          <t>—</t>
        </is>
      </c>
      <c r="F11" s="3" t="inlineStr">
        <is>
          <t>—</t>
        </is>
      </c>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DETERMINED</t>
        </is>
      </c>
      <c r="Y11" s="3" t="inlineStr">
        <is>
          <t>READ 2026-08-22 — no calculated figure on this screen</t>
        </is>
      </c>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Cashflow</t>
        </is>
      </c>
      <c r="C12" s="3" t="inlineStr">
        <is>
          <t>/performance</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the same screen as /invest, reached by a second route</t>
        </is>
      </c>
      <c r="Z12" s="3" t="n"/>
      <c r="AA12" s="3" t="n"/>
      <c r="AB12" s="3" t="n"/>
      <c r="AC12" s="3" t="n"/>
      <c r="AD12" s="3" t="n"/>
      <c r="AE12" s="3" t="n"/>
      <c r="AF12" s="3" t="n"/>
      <c r="AG12" s="3" t="n"/>
      <c r="AH12" s="3" t="n"/>
      <c r="AI12" s="3" t="n"/>
      <c r="AJ12" s="3" t="n"/>
      <c r="AK12" s="3" t="n"/>
      <c r="AL12" s="3" t="n"/>
      <c r="AM12" s="3" t="n"/>
      <c r="AN12" s="3" t="n"/>
      <c r="AO12" s="3" t="n"/>
    </row>
    <row r="13" ht="60" customHeight="1">
      <c r="A13" s="3" t="inlineStr">
        <is>
          <t>MK-CF-M-001</t>
        </is>
      </c>
      <c r="B13" s="3" t="inlineStr">
        <is>
          <t>Cashflow</t>
        </is>
      </c>
      <c r="C13" s="3" t="inlineStr">
        <is>
          <t>/cashflow</t>
        </is>
      </c>
      <c r="D13" s="3" t="inlineStr">
        <is>
          <t>Expenses</t>
        </is>
      </c>
      <c r="E13" s="3" t="inlineStr">
        <is>
          <t>expenses</t>
        </is>
      </c>
      <c r="F13" s="3" t="inlineStr">
        <is>
          <t>theMonth</t>
        </is>
      </c>
      <c r="G13" s="3" t="inlineStr">
        <is>
          <t>MK-CF-O-010</t>
        </is>
      </c>
      <c r="H13" s="3" t="inlineStr">
        <is>
          <t>your budget — the per-category plan added up</t>
        </is>
      </c>
      <c r="I13" s="3" t="inlineStr">
        <is>
          <t>your budget — the per-category plan added up</t>
        </is>
      </c>
      <c r="J13" s="3" t="inlineStr">
        <is>
          <t>MK-CF-I-001 your logged expenses</t>
        </is>
      </c>
      <c r="K13" s="3" t="inlineStr">
        <is>
          <t>dollars, whole a month</t>
        </is>
      </c>
      <c r="L13" s="3" t="inlineStr">
        <is>
          <t>$0, and under it the one line "Nothing entered yet. Add your income ›" (mock approved 2026-09-12). A real zero that was entered shows a plain $0 with no line.</t>
        </is>
      </c>
      <c r="M13" s="3" t="inlineStr">
        <is>
          <t>one figure per household</t>
        </is>
      </c>
      <c r="N13" s="3" t="inlineStr">
        <is>
          <t>a month</t>
        </is>
      </c>
      <c r="O13" s="3" t="inlineStr">
        <is>
          <t>1. MK-CF-F-203 (MONTH) → NOT DECLARED — the code does not say what it gives back
2. MK-CF-F-155 (cash) → number
3. MK-CF-O-002 (expenses) → Expenses
4. MK-CF-O-003 (thisMonth) → ThisMonth</t>
        </is>
      </c>
      <c r="P13" s="3" t="inlineStr">
        <is>
          <t>Declared by MK-CF-O-010 theMonth</t>
        </is>
      </c>
      <c r="Q13" s="3" t="inlineStr">
        <is>
          <t>One line on This month, and the Expenses tab is its detail — not a second answer to the same question (his correction, 2026-09-28).</t>
        </is>
      </c>
      <c r="R13" s="3" t="inlineStr">
        <is>
          <t>One line on This month, and the Expenses tab is its detail — not a second answer to the same question (his correction, 2026-09-28).</t>
        </is>
      </c>
      <c r="S13" s="3" t="inlineStr"/>
      <c r="T13" s="3" t="inlineStr">
        <is>
          <t>One line on This month, and the Expenses tab is its detail — not a second answer to the same question (his correction, 2026-09-28).</t>
        </is>
      </c>
      <c r="U13" s="3" t="inlineStr"/>
      <c r="V13" s="3" t="inlineStr"/>
      <c r="W13" s="3"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income ›'). File written; the screen follows the approved empty-state mock (one pattern, one screen), then every screen.</t>
        </is>
      </c>
      <c r="AF13" s="3" t="inlineStr">
        <is>
          <t>ACTIVE</t>
        </is>
      </c>
      <c r="AG13" s="3" t="inlineStr">
        <is>
          <t>2026-10-11</t>
        </is>
      </c>
      <c r="AH13" s="3" t="inlineStr"/>
      <c r="AI13" s="3" t="inlineStr"/>
      <c r="AJ1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MK-CF-O-010 theMonth</t>
        </is>
      </c>
      <c r="AN13"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-$3,400/month
(the test re-runs this through MK-CF-O-010 theMonth on every build)</t>
        </is>
      </c>
      <c r="AO13" s="7" t="inlineStr">
        <is>
          <t>RULED, NOT CODED (Q-CF-2 — one question, one function)</t>
        </is>
      </c>
    </row>
    <row r="14" ht="60" customHeight="1">
      <c r="A14" s="3" t="inlineStr">
        <is>
          <t>MK-CF-M-002</t>
        </is>
      </c>
      <c r="B14" s="3" t="inlineStr">
        <is>
          <t>Cashflow</t>
        </is>
      </c>
      <c r="C14" s="3" t="inlineStr">
        <is>
          <t>/cashflow · /home</t>
        </is>
      </c>
      <c r="D14" s="3">
        <f> Planned surplus</f>
        <v/>
      </c>
      <c r="E14" s="3" t="inlineStr">
        <is>
          <t>planned_surplus</t>
        </is>
      </c>
      <c r="F14" s="3" t="inlineStr">
        <is>
          <t>theMonth</t>
        </is>
      </c>
      <c r="G14" s="3" t="inlineStr">
        <is>
          <t>MK-CF-O-010</t>
        </is>
      </c>
      <c r="H14" s="3" t="inlineStr">
        <is>
          <t>the inflow, less every debt payment due, less the budget, less each big-ticket item</t>
        </is>
      </c>
      <c r="I14" s="3" t="inlineStr">
        <is>
          <t>the inflow, less every debt payment due, less the budget, less each big-ticket item</t>
        </is>
      </c>
      <c r="J14" s="3" t="inlineStr">
        <is>
          <t>MK-XS-I-023 salary and other income
MK-NW-I-002 your debts
MK-CF-I-001 your logged expenses</t>
        </is>
      </c>
      <c r="K14" s="3" t="inlineStr">
        <is>
          <t>dollars, whole a month</t>
        </is>
      </c>
      <c r="L14" s="3" t="inlineStr">
        <is>
          <t>$0, and under it the one line "Nothing entered yet. Add your bills ›" (mock approved 2026-09-12). A real zero that was entered shows a plain $0 with no line.</t>
        </is>
      </c>
      <c r="M14" s="3" t="inlineStr">
        <is>
          <t>one figure per household</t>
        </is>
      </c>
      <c r="N14" s="3" t="inlineStr">
        <is>
          <t>a month</t>
        </is>
      </c>
      <c r="O14" s="3" t="inlineStr">
        <is>
          <t>1. MK-CF-F-203 (MONTH) → NOT DECLARED — the code does not say what it gives back
2. MK-CF-F-155 (cash) → number
3. MK-CF-O-002 (expenses) → Expenses
4. MK-CF-O-003 (thisMonth) → ThisMonth</t>
        </is>
      </c>
      <c r="P14" s="3" t="inlineStr">
        <is>
          <t>Declared by MK-CF-O-010 theMonth</t>
        </is>
      </c>
      <c r="Q14" s="3" t="inlineStr">
        <is>
          <t>EVERY ROW SHOWN IS A ROW DEDUCTED (his rule under the approved design): nothing appears on This month without being in the sum.</t>
        </is>
      </c>
      <c r="R14" s="3" t="inlineStr">
        <is>
          <t>EVERY ROW SHOWN IS A ROW DEDUCTED (his rule under the approved design): nothing appears on This month without being in the sum.</t>
        </is>
      </c>
      <c r="S14" s="3" t="inlineStr"/>
      <c r="T14" s="3" t="inlineStr">
        <is>
          <t>EVERY ROW SHOWN IS A ROW DEDUCTED (his rule under the approved design): nothing appears on This month without being in the sum.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bills ›'). File written; the screen follows the approved empty-state mock (one pattern, one screen), then every screen.</t>
        </is>
      </c>
      <c r="AF14" s="3" t="inlineStr">
        <is>
          <t>ACTIVE</t>
        </is>
      </c>
      <c r="AG14" s="3" t="inlineStr">
        <is>
          <t>2026-10-11</t>
        </is>
      </c>
      <c r="AH14" s="3" t="inlineStr"/>
      <c r="AI14" s="3" t="inlineStr"/>
      <c r="AJ1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MK-CF-O-010 theMonth</t>
        </is>
      </c>
      <c r="AN1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$1,150/month
(the test re-runs this through MK-CF-O-010 theMonth on every build)</t>
        </is>
      </c>
      <c r="AO14" s="7" t="inlineStr">
        <is>
          <t>RULED, NOT CODED (Q-CF-2 — one question, one function)</t>
        </is>
      </c>
    </row>
    <row r="15" ht="60" customHeight="1">
      <c r="A15" s="3" t="inlineStr">
        <is>
          <t>MK-CF-M-003</t>
        </is>
      </c>
      <c r="B15" s="3" t="inlineStr">
        <is>
          <t>Cashflow</t>
        </is>
      </c>
      <c r="C15" s="3" t="inlineStr">
        <is>
          <t>/cashflow</t>
        </is>
      </c>
      <c r="D15" s="3">
        <f> Actual surplus so far</f>
        <v/>
      </c>
      <c r="E15" s="3" t="inlineStr">
        <is>
          <t>actual_surplus_so_far</t>
        </is>
      </c>
      <c r="F15" s="3" t="inlineStr">
        <is>
          <t>theMonth</t>
        </is>
      </c>
      <c r="G15" s="3" t="inlineStr">
        <is>
          <t>MK-CF-O-010</t>
        </is>
      </c>
      <c r="H15" s="3" t="inlineStr">
        <is>
          <t>the inflow received, less each debt actually paid, less everything logged by hand and imported</t>
        </is>
      </c>
      <c r="I15" s="3" t="inlineStr">
        <is>
          <t>the inflow received, less each debt actually paid, less everything logged by hand and imported</t>
        </is>
      </c>
      <c r="J15" s="3" t="inlineStr">
        <is>
          <t>MK-NW-I-004 the activity records
MK-CF-I-001 your logged expenses</t>
        </is>
      </c>
      <c r="K15" s="3" t="inlineStr">
        <is>
          <t>dollars, whole a month</t>
        </is>
      </c>
      <c r="L15" s="3" t="inlineStr">
        <is>
          <t>Nothing logged and no card linked — it says so and offers the door.</t>
        </is>
      </c>
      <c r="M15" s="3" t="inlineStr">
        <is>
          <t>one figure per household</t>
        </is>
      </c>
      <c r="N15" s="3" t="inlineStr">
        <is>
          <t>a month</t>
        </is>
      </c>
      <c r="O15" s="3" t="inlineStr">
        <is>
          <t>1. MK-CF-F-203 (MONTH) → NOT DECLARED — the code does not say what it gives back
2. MK-CF-F-155 (cash) → number
3. MK-CF-O-002 (expenses) → Expenses
4. MK-CF-O-003 (thisMonth) → ThisMonth</t>
        </is>
      </c>
      <c r="P15" s="3" t="inlineStr">
        <is>
          <t>Declared by MK-CF-O-010 theMonth</t>
        </is>
      </c>
      <c r="Q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R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S15" s="3" t="inlineStr"/>
      <c r="T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c r="AF15" s="3" t="inlineStr">
        <is>
          <t>ACTIVE</t>
        </is>
      </c>
      <c r="AG15" s="3" t="inlineStr">
        <is>
          <t>2026-10-11</t>
        </is>
      </c>
      <c r="AH15" s="3" t="inlineStr"/>
      <c r="AI15" s="3" t="inlineStr"/>
      <c r="AJ1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MK-CF-O-010 theMonth</t>
        </is>
      </c>
      <c r="AN1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$3,952/month
(the test re-runs this through MK-CF-O-010 theMonth on every build)</t>
        </is>
      </c>
      <c r="AO15" s="7" t="inlineStr">
        <is>
          <t>RULED, NOT CODED (Q-CF-2 — one question, one function)</t>
        </is>
      </c>
    </row>
    <row r="16" ht="60" customHeight="1">
      <c r="A16" s="3" t="inlineStr">
        <is>
          <t>MK-CF-M-004</t>
        </is>
      </c>
      <c r="B16" s="3" t="inlineStr">
        <is>
          <t>Cashflow</t>
        </is>
      </c>
      <c r="C16" s="3" t="inlineStr">
        <is>
          <t>/cashflow</t>
        </is>
      </c>
      <c r="D16" s="3" t="inlineStr">
        <is>
          <t>each row of the month — what it is and what it costs</t>
        </is>
      </c>
      <c r="E16" s="3" t="inlineStr">
        <is>
          <t>each_row_of_the_month__what_it_is_and_wh</t>
        </is>
      </c>
      <c r="F16" s="3" t="inlineStr">
        <is>
          <t>theMonth</t>
        </is>
      </c>
      <c r="G16" s="3" t="inlineStr">
        <is>
          <t>MK-CF-F-194</t>
        </is>
      </c>
      <c r="H16" s="3" t="inlineStr">
        <is>
          <t>outflow = expenses this month + debt actually paid this month  (a month with a saved snapshot: its expenses + debt paid; a month without one: the expenses logged so far)</t>
        </is>
      </c>
      <c r="I16" s="3" t="inlineStr">
        <is>
          <t>This month's outflow: everything logged as an expense plus every debt payment actually made — from one function (MK-CF-F-194 monthOutflow), never added on the screen. The label says what is inside: "Outflow (expenses + debt)".</t>
        </is>
      </c>
      <c r="J16" s="3" t="inlineStr">
        <is>
          <t>MK-XS-I-023 salary and other income
MK-NW-I-002 your debts
MK-CF-I-001 your logged expenses</t>
        </is>
      </c>
      <c r="K16" s="3" t="inlineStr">
        <is>
          <t>dollars, whole</t>
        </is>
      </c>
      <c r="L16" s="3" t="inlineStr">
        <is>
          <t>$0, and under it the one line "Nothing entered yet. Log your expenses ›" (mock approved 2026-09-12). A real zero that was entered shows a plain $0 with no line.</t>
        </is>
      </c>
      <c r="M16" s="3" t="inlineStr">
        <is>
          <t>one row</t>
        </is>
      </c>
      <c r="N16" s="3" t="inlineStr">
        <is>
          <t>as of today</t>
        </is>
      </c>
      <c r="O16" s="3" t="inlineStr">
        <is>
          <t>None — it reads its inputs and answers</t>
        </is>
      </c>
      <c r="P16" s="3" t="inlineStr">
        <is>
          <t>Declared by MK-CF-O-010 theMonth</t>
        </is>
      </c>
      <c r="Q16" s="3" t="inlineStr">
        <is>
          <t>Drawn from the approved design (cash-flow_v01): the flow is SPELLED OUT, not summarised into three numbers.</t>
        </is>
      </c>
      <c r="R16" s="3" t="inlineStr">
        <is>
          <t>Drawn from the approved design (cash-flow_v01): the flow is SPELLED OUT, not summarised into three numbers.</t>
        </is>
      </c>
      <c r="S16" s="3" t="inlineStr"/>
      <c r="T16" s="3" t="inlineStr">
        <is>
          <t>Drawn from the approved design (cash-flow_v01): the flow is SPELLED OUT, not summarised into three numbers.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6" s="3" t="inlineStr"/>
      <c r="V16" s="9"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16" s="9" t="inlineStr">
        <is>
          <t>count them</t>
        </is>
      </c>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('Log your expenses ›'). File written; the screen follows the approved empty-state mock (one pattern, one screen), then every screen.</t>
        </is>
      </c>
      <c r="AF16" s="3" t="inlineStr">
        <is>
          <t>ACTIVE</t>
        </is>
      </c>
      <c r="AG16" s="3" t="inlineStr">
        <is>
          <t>2026-10-11</t>
        </is>
      </c>
      <c r="AH16" s="3" t="inlineStr"/>
      <c r="AI16" s="3" t="inlineStr"/>
      <c r="AJ16" s="3" t="inlineStr">
        <is>
          <t>NONE — no function in this chain reads a stored input the sweep knows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MK-CF-O-010 theMonth</t>
        </is>
      </c>
      <c r="AN1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-$250
(the test re-runs this through MK-CF-O-010 theMonth on every build)</t>
        </is>
      </c>
      <c r="AO16" s="9" t="inlineStr">
        <is>
          <t>WAITING ON YOU — question Q50 · RULED, NOT CODED (Q-CF-2 — one question, one function)</t>
        </is>
      </c>
    </row>
    <row r="17" ht="60" customHeight="1">
      <c r="A17" s="3" t="inlineStr">
        <is>
          <t>MK-CF-M-006</t>
        </is>
      </c>
      <c r="B17" s="3" t="inlineStr">
        <is>
          <t>Cashflow</t>
        </is>
      </c>
      <c r="C17" s="3" t="inlineStr">
        <is>
          <t>/cashflow</t>
        </is>
      </c>
      <c r="D17" s="3" t="inlineStr">
        <is>
          <t>YOUR SOURCES — Base salary</t>
        </is>
      </c>
      <c r="E17" s="3" t="inlineStr">
        <is>
          <t>your_sources__base_salary</t>
        </is>
      </c>
      <c r="F17" s="3" t="inlineStr">
        <is>
          <t>incomeSummary</t>
        </is>
      </c>
      <c r="G17" s="3" t="inlineStr">
        <is>
          <t>MK-CF-O-004</t>
        </is>
      </c>
      <c r="H17" s="3" t="inlineStr">
        <is>
          <t>the base salary of each earner, in the period it was entered</t>
        </is>
      </c>
      <c r="I17" s="3" t="inlineStr">
        <is>
          <t>the base salary of each earner, in the period it was entered</t>
        </is>
      </c>
      <c r="J17" s="3" t="inlineStr">
        <is>
          <t>MK-XS-I-023 salary and other income
MK-XS-I-060 how a person is paid — weekly, fortnightly, monthly</t>
        </is>
      </c>
      <c r="K17" s="3" t="inlineStr">
        <is>
          <t>dollars, whole</t>
        </is>
      </c>
      <c r="L17" s="3" t="inlineStr">
        <is>
          <t>$0, and under it the one line "Nothing entered yet. Add your income ›" (mock approved 2026-09-12). A real zero that was entered shows a plain $0 with no line.</t>
        </is>
      </c>
      <c r="M17" s="3" t="inlineStr">
        <is>
          <t>one earner</t>
        </is>
      </c>
      <c r="N17" s="3" t="inlineStr">
        <is>
          <t>as of today</t>
        </is>
      </c>
      <c r="O1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7" s="3" t="inlineStr">
        <is>
          <t>Declared by MK-CF-O-004 incomeSummary</t>
        </is>
      </c>
      <c r="Q17" s="3" t="inlineStr">
        <is>
          <t>NEVER CONVERTED SILENTLY: the amount is shown in the period it was entered, and the period is said beside it.</t>
        </is>
      </c>
      <c r="R17" s="3" t="inlineStr">
        <is>
          <t>NEVER CONVERTED SILENTLY: the amount is shown in the period it was entered, and the period is said beside it.</t>
        </is>
      </c>
      <c r="S17" s="3" t="inlineStr"/>
      <c r="T17" s="3" t="inlineStr">
        <is>
          <t>NEVER CONVERTED SILENTLY: the amount is shown in the period it was entered, and the period is said beside it.</t>
        </is>
      </c>
      <c r="U17" s="3" t="inlineStr"/>
      <c r="V17" s="3" t="inlineStr"/>
      <c r="W17" s="3" t="inlineStr"/>
      <c r="X17" s="3" t="inlineStr"/>
      <c r="Y17" s="3" t="inlineStr"/>
      <c r="Z17" s="3" t="inlineStr">
        <is>
          <t>DECLARED IN THE CODE (rule 11) — printed from the door, not typed. RULED 2026-10-02</t>
        </is>
      </c>
      <c r="AA17" s="3" t="inlineStr"/>
      <c r="AB17" s="3" t="inlineStr"/>
      <c r="AC17" s="3" t="inlineStr"/>
      <c r="AD17" s="3" t="inlineStr"/>
      <c r="AE17" s="3" t="inlineStr">
        <is>
          <t>G32 / Q48 — 2026-09-09: the 'division with nothing on the bottom' boilerplate is gone; this cell now states the row's real refusal. Where it says 'built', the screen already does it; the rest follow the empty-state mock.</t>
        </is>
      </c>
      <c r="AF17" s="3" t="inlineStr">
        <is>
          <t>ACTIVE</t>
        </is>
      </c>
      <c r="AG17" s="3" t="inlineStr">
        <is>
          <t>2026-10-11</t>
        </is>
      </c>
      <c r="AH17" s="3" t="inlineStr"/>
      <c r="AI17" s="3" t="inlineStr"/>
      <c r="AJ1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2026-10-02; the figure, its formula, inputs and refusal live in MK-CF-O-004 incomeSummary</t>
        </is>
      </c>
      <c r="AN17" s="3" t="inlineStr">
        <is>
          <t>The two earners above, plus $24,000/year of self-employment, a $12,000 bonus in March, 50 shares vesting at $400, a rental bringing in $2,000/month against $800 of costs, and $2,100/month of Social Security.
GIVES: $4,200
(the test re-runs this through MK-CF-O-004 incomeSummary on every build)</t>
        </is>
      </c>
      <c r="AO17" s="7" t="inlineStr">
        <is>
          <t>RULED, NOT CODED (Q-CF-1 — one question, one function)</t>
        </is>
      </c>
    </row>
    <row r="18" ht="60" customHeight="1">
      <c r="A18" s="3" t="inlineStr">
        <is>
          <t>MK-CF-M-007</t>
        </is>
      </c>
      <c r="B18" s="3" t="inlineStr">
        <is>
          <t>Cashflow</t>
        </is>
      </c>
      <c r="C18" s="3" t="inlineStr">
        <is>
          <t>/cashflow</t>
        </is>
      </c>
      <c r="D18" s="3" t="inlineStr">
        <is>
          <t>YOUR SOURCES — Self-employment</t>
        </is>
      </c>
      <c r="E18" s="3" t="inlineStr">
        <is>
          <t>your_sources__selfemployment</t>
        </is>
      </c>
      <c r="F18" s="3" t="inlineStr">
        <is>
          <t>incomeSummary</t>
        </is>
      </c>
      <c r="G18" s="3" t="inlineStr">
        <is>
          <t>MK-CF-O-004</t>
        </is>
      </c>
      <c r="H18" s="3" t="inlineStr">
        <is>
          <t>the self-employment amount as entered, monthly or yearly</t>
        </is>
      </c>
      <c r="I18" s="3" t="inlineStr">
        <is>
          <t>the self-employment amount as entered, monthly or yearly</t>
        </is>
      </c>
      <c r="J18" s="3" t="inlineStr">
        <is>
          <t>MK-XS-I-023 salary and other income</t>
        </is>
      </c>
      <c r="K18" s="3" t="inlineStr">
        <is>
          <t>dollars, whole</t>
        </is>
      </c>
      <c r="L18" s="3" t="inlineStr">
        <is>
          <t>$0, and under it the one line "Nothing entered yet. Add your income ›" (mock approved 2026-09-12). A real zero that was entered shows a plain $0 with no line.</t>
        </is>
      </c>
      <c r="M18" s="3" t="inlineStr">
        <is>
          <t>one figure per household</t>
        </is>
      </c>
      <c r="N18" s="3" t="inlineStr">
        <is>
          <t>as of today</t>
        </is>
      </c>
      <c r="O1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8" s="3" t="inlineStr">
        <is>
          <t>Declared by MK-CF-O-004 incomeSummary</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2026-10-02</t>
        </is>
      </c>
      <c r="AA18" s="3" t="inlineStr"/>
      <c r="AB18" s="3" t="inlineStr"/>
      <c r="AC18" s="3" t="inlineStr"/>
      <c r="AD18" s="3" t="inlineStr"/>
      <c r="AE18" s="3" t="inlineStr">
        <is>
          <t>G32 / Q48 — 2026-09-09: the 'division with nothing on the bottom' boilerplate is gone; this cell now states the row's real refusal. Where it says 'built', the screen already does it; the rest follow the empty-state mock.</t>
        </is>
      </c>
      <c r="AF18" s="3" t="inlineStr">
        <is>
          <t>ACTIVE</t>
        </is>
      </c>
      <c r="AG18" s="3" t="inlineStr">
        <is>
          <t>2026-10-11</t>
        </is>
      </c>
      <c r="AH18" s="3" t="inlineStr"/>
      <c r="AI18" s="3" t="inlineStr"/>
      <c r="AJ1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2026-10-02; the figure, its formula, inputs and refusal live in MK-CF-O-004 incomeSummary</t>
        </is>
      </c>
      <c r="AN18" s="3" t="inlineStr">
        <is>
          <t>The two earners above, plus $24,000/year of self-employment, a $12,000 bonus in March, 50 shares vesting at $400, a rental bringing in $2,000/month against $800 of costs, and $2,100/month of Social Security.
GIVES: $24,000
(the test re-runs this through MK-CF-O-004 incomeSummary on every build)</t>
        </is>
      </c>
      <c r="AO18" s="7" t="inlineStr">
        <is>
          <t>RULED, NOT CODED (Q-CF-1 — one question, one function)</t>
        </is>
      </c>
    </row>
    <row r="19" ht="60" customHeight="1">
      <c r="A19" s="3" t="inlineStr">
        <is>
          <t>MK-CF-M-008</t>
        </is>
      </c>
      <c r="B19" s="3" t="inlineStr">
        <is>
          <t>Cashflow</t>
        </is>
      </c>
      <c r="C19" s="3" t="inlineStr">
        <is>
          <t>/cashflow · /income-manager</t>
        </is>
      </c>
      <c r="D19" s="3" t="inlineStr">
        <is>
          <t>YOUR SOURCES — Bonus</t>
        </is>
      </c>
      <c r="E19" s="3" t="inlineStr">
        <is>
          <t>your_sources__bonus</t>
        </is>
      </c>
      <c r="F19" s="3" t="inlineStr">
        <is>
          <t>incomeSummary</t>
        </is>
      </c>
      <c r="G19" s="3" t="inlineStr">
        <is>
          <t>MK-CF-O-004</t>
        </is>
      </c>
      <c r="H19" s="3" t="inlineStr">
        <is>
          <t>the bonus as entered, a year; shown in the month it lands, never spread</t>
        </is>
      </c>
      <c r="I19" s="3" t="inlineStr">
        <is>
          <t>the bonus as entered, a year; shown in the month it lands, never spread</t>
        </is>
      </c>
      <c r="J19" s="3" t="inlineStr">
        <is>
          <t>MK-CF-I-009 bonus
MK-XS-I-059 the month a bonus lands</t>
        </is>
      </c>
      <c r="K19" s="3" t="inlineStr">
        <is>
          <t>dollars, whole a year</t>
        </is>
      </c>
      <c r="L19" s="3" t="inlineStr">
        <is>
          <t>$0, and under it the one line "Nothing entered yet. Add your income ›" (mock approved 2026-09-12). A real zero that was entered shows a plain $0 with no line.</t>
        </is>
      </c>
      <c r="M19" s="3" t="inlineStr">
        <is>
          <t>one figure per household</t>
        </is>
      </c>
      <c r="N19" s="3" t="inlineStr">
        <is>
          <t>a year</t>
        </is>
      </c>
      <c r="O1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9" s="3" t="inlineStr">
        <is>
          <t>Declared by MK-CF-O-004 incomeSummary</t>
        </is>
      </c>
      <c r="Q19" s="3" t="inlineStr">
        <is>
          <t>A LUMP THAT LANDS ONCE IS NEVER AVERAGED across the year (founder, 2026-08-28).</t>
        </is>
      </c>
      <c r="R19" s="3" t="inlineStr">
        <is>
          <t>A LUMP THAT LANDS ONCE IS NEVER AVERAGED across the year (founder, 2026-08-28).</t>
        </is>
      </c>
      <c r="S19" s="3" t="inlineStr"/>
      <c r="T19" s="3" t="inlineStr">
        <is>
          <t>A LUMP THAT LANDS ONCE IS NEVER AVERAGED across the year (founder, 2026-08-28).</t>
        </is>
      </c>
      <c r="U19" s="3" t="inlineStr"/>
      <c r="V19" s="3" t="inlineStr"/>
      <c r="W19" s="3" t="inlineStr"/>
      <c r="X19" s="3" t="inlineStr"/>
      <c r="Y19" s="3" t="inlineStr"/>
      <c r="Z19" s="3" t="inlineStr">
        <is>
          <t>DECLARED IN THE CODE (rule 11) — printed from the door, not typed. RULED 2026-10-02</t>
        </is>
      </c>
      <c r="AA19" s="3" t="inlineStr"/>
      <c r="AB19" s="3" t="inlineStr"/>
      <c r="AC19" s="3" t="inlineStr"/>
      <c r="AD19" s="3" t="inlineStr"/>
      <c r="AE19" s="3" t="inlineStr">
        <is>
          <t>G32 / Q48 — 2026-09-09: the 'division with nothing on the bottom' boilerplate is gone; this cell now states the row's real refusal. Where it says 'built', the screen already does it; the rest follow the empty-state mock.</t>
        </is>
      </c>
      <c r="AF19" s="3" t="inlineStr">
        <is>
          <t>ACTIVE</t>
        </is>
      </c>
      <c r="AG19" s="3" t="inlineStr">
        <is>
          <t>2026-10-11</t>
        </is>
      </c>
      <c r="AH19" s="3" t="inlineStr"/>
      <c r="AI19" s="3" t="inlineStr"/>
      <c r="AJ1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2026-10-02; the figure, its formula, inputs and refusal live in MK-CF-O-004 incomeSummary</t>
        </is>
      </c>
      <c r="AN19" s="3" t="inlineStr">
        <is>
          <t>The two earners above, plus $24,000/year of self-employment, a $12,000 bonus in March, 50 shares vesting at $400, a rental bringing in $2,000/month against $800 of costs, and $2,100/month of Social Security.
GIVES: $12,000/year
(the test re-runs this through MK-CF-O-004 incomeSummary on every build)</t>
        </is>
      </c>
      <c r="AO19" s="7" t="inlineStr">
        <is>
          <t>RULED, NOT CODED (Q-CF-1 — one question, one function)</t>
        </is>
      </c>
    </row>
    <row r="20" ht="60" customHeight="1">
      <c r="A20" s="3" t="inlineStr">
        <is>
          <t>MK-CF-M-009</t>
        </is>
      </c>
      <c r="B20" s="3" t="inlineStr">
        <is>
          <t>Cashflow</t>
        </is>
      </c>
      <c r="C20" s="3" t="inlineStr">
        <is>
          <t>/cashflow · /income-manager</t>
        </is>
      </c>
      <c r="D20" s="3" t="inlineStr">
        <is>
          <t>YOUR SOURCES — Stock vesting (equity)</t>
        </is>
      </c>
      <c r="E20" s="3" t="inlineStr">
        <is>
          <t>your_sources__stock_vesting_equity</t>
        </is>
      </c>
      <c r="F20" s="3" t="inlineStr">
        <is>
          <t>incomeSummary</t>
        </is>
      </c>
      <c r="G20" s="3" t="inlineStr">
        <is>
          <t>MK-CF-O-004</t>
        </is>
      </c>
      <c r="H20" s="3" t="inlineStr">
        <is>
          <t>shares vesting × price per share; with a grant schedule, the total ÷ the years it vests over</t>
        </is>
      </c>
      <c r="I20" s="3" t="inlineStr">
        <is>
          <t>shares vesting × price per share; with a grant schedule, the total ÷ the years it vests over</t>
        </is>
      </c>
      <c r="J20" s="3" t="inlineStr">
        <is>
          <t>MK-CF-I-010 equity vesting
MK-XS-I-005 holding price</t>
        </is>
      </c>
      <c r="K20" s="3" t="inlineStr">
        <is>
          <t>dollars, whole a year</t>
        </is>
      </c>
      <c r="L20" s="3" t="inlineStr">
        <is>
          <t>$0, and under it the one line "Nothing entered yet. Add your income ›" (mock approved 2026-09-12). A real zero that was entered shows a plain $0 with no line.</t>
        </is>
      </c>
      <c r="M20" s="3" t="inlineStr">
        <is>
          <t>one figure per household</t>
        </is>
      </c>
      <c r="N20" s="3" t="inlineStr">
        <is>
          <t>a year</t>
        </is>
      </c>
      <c r="O2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0" s="3" t="inlineStr">
        <is>
          <t>Declared by MK-CF-O-004 incomeSummary</t>
        </is>
      </c>
      <c r="Q20" s="3" t="inlineStr">
        <is>
          <t>NONE RECORDED — the declaration names none.</t>
        </is>
      </c>
      <c r="R20" s="3" t="inlineStr">
        <is>
          <t>NONE RECORDED — the declaration names none.</t>
        </is>
      </c>
      <c r="S20" s="3" t="inlineStr"/>
      <c r="T20" s="3" t="inlineStr">
        <is>
          <t>NONE RECORDED — the declaration names none.</t>
        </is>
      </c>
      <c r="U20" s="3" t="inlineStr"/>
      <c r="V20" s="3" t="inlineStr"/>
      <c r="W20" s="3" t="inlineStr"/>
      <c r="X20" s="3" t="inlineStr"/>
      <c r="Y20" s="3" t="inlineStr"/>
      <c r="Z20" s="3" t="inlineStr">
        <is>
          <t>DECLARED IN THE CODE (rule 11) — printed from the door, not typed. RULED 2026-10-02</t>
        </is>
      </c>
      <c r="AA20" s="3" t="inlineStr"/>
      <c r="AB20" s="3" t="inlineStr"/>
      <c r="AC20" s="3" t="inlineStr"/>
      <c r="AD20" s="3" t="inlineStr"/>
      <c r="AE20" s="3" t="inlineStr">
        <is>
          <t>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2026-10-11</t>
        </is>
      </c>
      <c r="AH20" s="3" t="inlineStr"/>
      <c r="AI20" s="3" t="inlineStr"/>
      <c r="AJ2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2026-10-02; the figure, its formula, inputs and refusal live in MK-CF-O-004 incomeSummary</t>
        </is>
      </c>
      <c r="AN20" s="3" t="inlineStr">
        <is>
          <t>The two earners above, plus $24,000/year of self-employment, a $12,000 bonus in March, 50 shares vesting at $400, a rental bringing in $2,000/month against $800 of costs, and $2,100/month of Social Security.
GIVES: $20,000/year
(the test re-runs this through MK-CF-O-004 incomeSummary on every build)</t>
        </is>
      </c>
      <c r="AO20" s="7" t="inlineStr">
        <is>
          <t>RULED, NOT CODED (Q-CF-1 — one question, one function)</t>
        </is>
      </c>
    </row>
    <row r="21" ht="60" customHeight="1">
      <c r="A21" s="3" t="inlineStr">
        <is>
          <t>MK-CF-M-010</t>
        </is>
      </c>
      <c r="B21" s="3" t="inlineStr">
        <is>
          <t>Cashflow</t>
        </is>
      </c>
      <c r="C21" s="3" t="inlineStr">
        <is>
          <t>/cashflow · /income-manager</t>
        </is>
      </c>
      <c r="D21" s="3" t="inlineStr">
        <is>
          <t>YOUR SOURCES — Rental property</t>
        </is>
      </c>
      <c r="E21" s="3" t="inlineStr">
        <is>
          <t>your_sources__rental_property</t>
        </is>
      </c>
      <c r="F21" s="3" t="inlineStr">
        <is>
          <t>incomeSummary</t>
        </is>
      </c>
      <c r="G21" s="3" t="inlineStr">
        <is>
          <t>MK-CF-O-004</t>
        </is>
      </c>
      <c r="H21" s="3" t="inlineStr">
        <is>
          <t>(rent − running costs) for each rental, added up</t>
        </is>
      </c>
      <c r="I21" s="3" t="inlineStr">
        <is>
          <t>(rent − running costs) for each rental, added up</t>
        </is>
      </c>
      <c r="J21" s="3" t="inlineStr">
        <is>
          <t>MK-CF-I-007 rental income</t>
        </is>
      </c>
      <c r="K21" s="3" t="inlineStr">
        <is>
          <t>dollars, whole a month</t>
        </is>
      </c>
      <c r="L21" s="3" t="inlineStr">
        <is>
          <t>No rental entered — the row does not appear.</t>
        </is>
      </c>
      <c r="M21" s="3" t="inlineStr">
        <is>
          <t>one figure per household</t>
        </is>
      </c>
      <c r="N21" s="3" t="inlineStr">
        <is>
          <t>a month</t>
        </is>
      </c>
      <c r="O21"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1" s="3" t="inlineStr">
        <is>
          <t>Declared by MK-CF-O-004 incomeSummary</t>
        </is>
      </c>
      <c r="Q21" s="3" t="inlineStr">
        <is>
          <t>NONE RECORDED — the declaration names none.</t>
        </is>
      </c>
      <c r="R21" s="3" t="inlineStr">
        <is>
          <t>NONE RECORDED — the declaration names none.</t>
        </is>
      </c>
      <c r="S21" s="3" t="inlineStr"/>
      <c r="T21" s="3" t="inlineStr">
        <is>
          <t>NONE RECORDED — the declaration names none.</t>
        </is>
      </c>
      <c r="U21" s="3" t="inlineStr"/>
      <c r="V21" s="3" t="inlineStr"/>
      <c r="W21" s="3" t="inlineStr"/>
      <c r="X21" s="3" t="inlineStr"/>
      <c r="Y21" s="3" t="inlineStr"/>
      <c r="Z21" s="3" t="inlineStr">
        <is>
          <t>DECLARED IN THE CODE (rule 11) — printed from the door, not typed. RULED 2026-10-02</t>
        </is>
      </c>
      <c r="AA21" s="3" t="inlineStr"/>
      <c r="AB21" s="3" t="inlineStr"/>
      <c r="AC21" s="3" t="inlineStr"/>
      <c r="AD21" s="3" t="inlineStr"/>
      <c r="AE21" s="3" t="inlineStr"/>
      <c r="AF21" s="3" t="inlineStr">
        <is>
          <t>ACTIVE</t>
        </is>
      </c>
      <c r="AG21" s="3" t="inlineStr">
        <is>
          <t>2026-10-11</t>
        </is>
      </c>
      <c r="AH21" s="3" t="inlineStr"/>
      <c r="AI21" s="3" t="inlineStr"/>
      <c r="AJ2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2026-10-02; the figure, its formula, inputs and refusal live in MK-CF-O-004 incomeSummary</t>
        </is>
      </c>
      <c r="AN21" s="3" t="inlineStr">
        <is>
          <t>The two earners above, plus $24,000/year of self-employment, a $12,000 bonus in March, 50 shares vesting at $400, a rental bringing in $2,000/month against $800 of costs, and $2,100/month of Social Security.
GIVES: $1,200/month
(the test re-runs this through MK-CF-O-004 incomeSummary on every build)</t>
        </is>
      </c>
      <c r="AO21" s="7" t="inlineStr">
        <is>
          <t>RULED, NOT CODED (Q-CF-1 — one question, one function)</t>
        </is>
      </c>
    </row>
    <row r="22" ht="60" customHeight="1">
      <c r="A22" s="3" t="inlineStr">
        <is>
          <t>MK-CF-M-011</t>
        </is>
      </c>
      <c r="B22" s="3" t="inlineStr">
        <is>
          <t>Cashflow</t>
        </is>
      </c>
      <c r="C22" s="3" t="inlineStr">
        <is>
          <t>/cashflow</t>
        </is>
      </c>
      <c r="D22" s="3" t="inlineStr">
        <is>
          <t>YOUR SOURCES — Social Security · pension</t>
        </is>
      </c>
      <c r="E22" s="3" t="inlineStr">
        <is>
          <t>your_sources__social_security__pension</t>
        </is>
      </c>
      <c r="F22" s="3" t="inlineStr">
        <is>
          <t>incomeSummary</t>
        </is>
      </c>
      <c r="G22" s="3" t="inlineStr">
        <is>
          <t>MK-CF-O-004</t>
        </is>
      </c>
      <c r="H22" s="3" t="inlineStr">
        <is>
          <t>Social Security + pension + annuity + other, each brought to a monthly amount</t>
        </is>
      </c>
      <c r="I22" s="3" t="inlineStr">
        <is>
          <t>Social Security + pension + annuity + other, each brought to a monthly amount</t>
        </is>
      </c>
      <c r="J22" s="3" t="inlineStr">
        <is>
          <t>MK-XS-I-020 Social Security monthly amount
MK-XS-I-022 pension monthly amount
MK-XS-I-035 annuity income
MK-XS-I-036 other guaranteed income</t>
        </is>
      </c>
      <c r="K22" s="3" t="inlineStr">
        <is>
          <t>dollars, whole a month</t>
        </is>
      </c>
      <c r="L22" s="3" t="inlineStr">
        <is>
          <t>$0, and under it the one line "Nothing entered yet. Add your income ›" (mock approved 2026-09-12). A real zero that was entered shows a plain $0 with no line.</t>
        </is>
      </c>
      <c r="M22" s="3" t="inlineStr">
        <is>
          <t>one figure per household</t>
        </is>
      </c>
      <c r="N22" s="3" t="inlineStr">
        <is>
          <t>a month</t>
        </is>
      </c>
      <c r="O2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2" s="3" t="inlineStr">
        <is>
          <t>Declared by MK-CF-O-004 incomeSummary</t>
        </is>
      </c>
      <c r="Q22" s="3" t="inlineStr">
        <is>
          <t>NONE RECORDED — the declaration names none.</t>
        </is>
      </c>
      <c r="R22" s="3" t="inlineStr">
        <is>
          <t>NONE RECORDED — the declaration names none.</t>
        </is>
      </c>
      <c r="S22" s="3" t="inlineStr"/>
      <c r="T22" s="3" t="inlineStr">
        <is>
          <t>NONE RECORDED — the declaration names none.</t>
        </is>
      </c>
      <c r="U22" s="3" t="inlineStr"/>
      <c r="V22" s="3" t="inlineStr"/>
      <c r="W22" s="3" t="inlineStr"/>
      <c r="X22" s="3" t="inlineStr"/>
      <c r="Y22" s="3" t="inlineStr"/>
      <c r="Z22" s="3" t="inlineStr">
        <is>
          <t>DECLARED IN THE CODE (rule 11) — printed from the door, not typed. RULED 2026-10-02</t>
        </is>
      </c>
      <c r="AA22" s="3" t="inlineStr"/>
      <c r="AB22" s="3" t="inlineStr"/>
      <c r="AC22" s="3" t="inlineStr"/>
      <c r="AD22" s="3" t="inlineStr"/>
      <c r="AE22" s="3" t="inlineStr">
        <is>
          <t>G32 / Q48 — RULED 2026-09-09: $0 stays, with the sentence '$0 — nothing entered yet.' and this row's door ('Add your income ›'). File written; the screen follows the approved empty-state mock (one pattern, one screen), then every screen.</t>
        </is>
      </c>
      <c r="AF22" s="3" t="inlineStr">
        <is>
          <t>ACTIVE</t>
        </is>
      </c>
      <c r="AG22" s="3" t="inlineStr">
        <is>
          <t>2026-10-11</t>
        </is>
      </c>
      <c r="AH22" s="3" t="inlineStr"/>
      <c r="AI22" s="3" t="inlineStr"/>
      <c r="AJ2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2026-10-02; the figure, its formula, inputs and refusal live in MK-CF-O-004 incomeSummary</t>
        </is>
      </c>
      <c r="AN2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22" s="7" t="inlineStr">
        <is>
          <t>RULED, NOT CODED (Q-PL-2 — one question, one function)</t>
        </is>
      </c>
    </row>
    <row r="23" ht="60" customHeight="1">
      <c r="A23" s="3" t="inlineStr">
        <is>
          <t>MK-CF-M-012</t>
        </is>
      </c>
      <c r="B23" s="3" t="inlineStr">
        <is>
          <t>Cashflow</t>
        </is>
      </c>
      <c r="C23" s="3" t="inlineStr">
        <is>
          <t>/cashflow · /income-manager</t>
        </is>
      </c>
      <c r="D23" s="3" t="inlineStr">
        <is>
          <t>RECEIVED · &lt;month&gt; — each payment</t>
        </is>
      </c>
      <c r="E23" s="3" t="inlineStr">
        <is>
          <t>received__month__each_payment</t>
        </is>
      </c>
      <c r="F23" s="3" t="inlineStr">
        <is>
          <t>whatsComing</t>
        </is>
      </c>
      <c r="G23" s="3" t="inlineStr">
        <is>
          <t>MK-CF-O-008</t>
        </is>
      </c>
      <c r="H23" s="3" t="inlineStr">
        <is>
          <t>the income records dated inside the month</t>
        </is>
      </c>
      <c r="I23" s="3" t="inlineStr">
        <is>
          <t>the income records dated inside the month</t>
        </is>
      </c>
      <c r="J23" s="3" t="inlineStr">
        <is>
          <t>MK-NW-I-004 the activity records</t>
        </is>
      </c>
      <c r="K23" s="3" t="inlineStr">
        <is>
          <t>dollars, two decimals</t>
        </is>
      </c>
      <c r="L23" s="3" t="inlineStr">
        <is>
          <t>Nothing received yet this month.</t>
        </is>
      </c>
      <c r="M23" s="3" t="inlineStr">
        <is>
          <t>one payment</t>
        </is>
      </c>
      <c r="N23" s="3" t="inlineStr">
        <is>
          <t>as of today</t>
        </is>
      </c>
      <c r="O23" s="3" t="inlineStr">
        <is>
          <t>MK-CF-F-019 (upcomingBills) → NOT DECLARED — the code does not say what it gives back</t>
        </is>
      </c>
      <c r="P23" s="3" t="inlineStr">
        <is>
          <t>Declared by MK-CF-O-008 whatsComing</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c r="AF23" s="3" t="inlineStr">
        <is>
          <t>ACTIVE</t>
        </is>
      </c>
      <c r="AG23" s="3" t="inlineStr">
        <is>
          <t>2026-10-11</t>
        </is>
      </c>
      <c r="AH23" s="3" t="inlineStr"/>
      <c r="AI23" s="3" t="inlineStr"/>
      <c r="AJ23"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MK-CF-O-008 whatsComing</t>
        </is>
      </c>
      <c r="AN23" s="3" t="inlineStr">
        <is>
          <t>Two $3,600 salary payments landed in September, on the 15th and the 30th; one landed on 31 August.
GIVES: $3,600.00
(the test re-runs this through MK-CF-O-008 whatsComing on every build)</t>
        </is>
      </c>
      <c r="AO23" s="7" t="inlineStr">
        <is>
          <t>RULED, NOT CODED (Q-CF-3 — one question, one function)</t>
        </is>
      </c>
    </row>
    <row r="24" ht="60" customHeight="1">
      <c r="A24" s="3" t="inlineStr">
        <is>
          <t>MK-CF-M-013</t>
        </is>
      </c>
      <c r="B24" s="3" t="inlineStr">
        <is>
          <t>Cashflow</t>
        </is>
      </c>
      <c r="C24" s="3" t="inlineStr">
        <is>
          <t>/cashflow</t>
        </is>
      </c>
      <c r="D24" s="3" t="inlineStr">
        <is>
          <t>Actual expenses</t>
        </is>
      </c>
      <c r="E24" s="3" t="inlineStr">
        <is>
          <t>actual_expenses</t>
        </is>
      </c>
      <c r="F24" s="3" t="inlineStr">
        <is>
          <t>theMonth</t>
        </is>
      </c>
      <c r="G24" s="3" t="inlineStr">
        <is>
          <t>MK-CF-O-010</t>
        </is>
      </c>
      <c r="H24" s="3" t="inlineStr">
        <is>
          <t>every expense logged inside the month, added up — a debt payment logged as an expense is counted with the debts, not here</t>
        </is>
      </c>
      <c r="I24" s="3" t="inlineStr">
        <is>
          <t>every expense logged inside the month, added up — a debt payment logged as an expense is counted with the debts, not here</t>
        </is>
      </c>
      <c r="J24" s="3" t="inlineStr">
        <is>
          <t>MK-CF-I-001 your logged expenses</t>
        </is>
      </c>
      <c r="K24" s="3" t="inlineStr">
        <is>
          <t>dollars, whole</t>
        </is>
      </c>
      <c r="L24" s="3" t="inlineStr">
        <is>
          <t>$0, and under it the one line "Nothing entered yet. Log your expenses ›" (mock approved 2026-09-12). A real zero that was entered shows a plain $0 with no line.</t>
        </is>
      </c>
      <c r="M24" s="3" t="inlineStr">
        <is>
          <t>one figure per household</t>
        </is>
      </c>
      <c r="N24" s="3" t="inlineStr">
        <is>
          <t>as of today</t>
        </is>
      </c>
      <c r="O24" s="3" t="inlineStr">
        <is>
          <t>1. MK-CF-F-203 (MONTH) → NOT DECLARED — the code does not say what it gives back
2. MK-CF-F-155 (cash) → number
3. MK-CF-O-002 (expenses) → Expenses
4. MK-CF-O-003 (thisMonth) → ThisMonth</t>
        </is>
      </c>
      <c r="P24" s="3" t="inlineStr">
        <is>
          <t>Declared by MK-CF-O-010 theMonth</t>
        </is>
      </c>
      <c r="Q24" s="3" t="inlineStr">
        <is>
          <t>NONE RECORDED — the declaration names none.</t>
        </is>
      </c>
      <c r="R24" s="3" t="inlineStr">
        <is>
          <t>NONE RECORDED — the declaration names none.</t>
        </is>
      </c>
      <c r="S24" s="3" t="inlineStr"/>
      <c r="T24" s="3" t="inlineStr">
        <is>
          <t>NONE RECORDED — the declaration names none.</t>
        </is>
      </c>
      <c r="U24" s="3" t="inlineStr"/>
      <c r="V24" s="3" t="inlineStr"/>
      <c r="W24" s="3" t="inlineStr"/>
      <c r="X24" s="3" t="inlineStr"/>
      <c r="Y24" s="3" t="inlineStr"/>
      <c r="Z24" s="3" t="inlineStr">
        <is>
          <t>DECLARED IN THE CODE (rule 11) — printed from the door, not typed. RULED 2026-10-02</t>
        </is>
      </c>
      <c r="AA24" s="3" t="inlineStr"/>
      <c r="AB24" s="3" t="inlineStr"/>
      <c r="AC24" s="3" t="inlineStr"/>
      <c r="AD24" s="3" t="inlineStr"/>
      <c r="AE24" s="3" t="inlineStr">
        <is>
          <t>G32 / Q48 — RULED 2026-09-09: $0 stays, with the sentence '$0 — nothing entered yet.' and this row's door ('Log your expenses ›'). File written; the screen follows the approved empty-state mock (one pattern, one screen), then every screen.</t>
        </is>
      </c>
      <c r="AF24" s="3" t="inlineStr">
        <is>
          <t>ACTIVE</t>
        </is>
      </c>
      <c r="AG24" s="3" t="inlineStr">
        <is>
          <t>2026-10-11</t>
        </is>
      </c>
      <c r="AH24" s="3" t="inlineStr"/>
      <c r="AI24" s="3" t="inlineStr"/>
      <c r="AJ2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2026-10-02; the figure, its formula, inputs and refusal live in MK-CF-O-010 theMonth</t>
        </is>
      </c>
      <c r="AN2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$2,998
(the test re-runs this through MK-CF-O-010 theMonth on every build)</t>
        </is>
      </c>
      <c r="AO24" s="7" t="inlineStr">
        <is>
          <t>RULED, NOT CODED (Q-CF-2 — one question, one function)</t>
        </is>
      </c>
    </row>
    <row r="25" ht="60" customHeight="1">
      <c r="A25" s="3" t="inlineStr">
        <is>
          <t>MK-CF-M-014</t>
        </is>
      </c>
      <c r="B25" s="3" t="inlineStr">
        <is>
          <t>Cashflow</t>
        </is>
      </c>
      <c r="C25" s="3" t="inlineStr">
        <is>
          <t>/cashflow</t>
        </is>
      </c>
      <c r="D25" s="3" t="inlineStr">
        <is>
          <t>each expense and its amount</t>
        </is>
      </c>
      <c r="E25" s="3" t="inlineStr">
        <is>
          <t>each_expense_and_its_amount</t>
        </is>
      </c>
      <c r="F25" s="3" t="inlineStr">
        <is>
          <t>theMonth</t>
        </is>
      </c>
      <c r="G25" s="3" t="inlineStr">
        <is>
          <t>MK-CF-O-010</t>
        </is>
      </c>
      <c r="H25" s="3" t="inlineStr">
        <is>
          <t>the amount as logged</t>
        </is>
      </c>
      <c r="I25" s="3" t="inlineStr">
        <is>
          <t>the amount as logged</t>
        </is>
      </c>
      <c r="J25" s="3" t="inlineStr">
        <is>
          <t>MK-CF-I-016 logged expense</t>
        </is>
      </c>
      <c r="K25" s="3" t="inlineStr">
        <is>
          <t>dollars, two decimals</t>
        </is>
      </c>
      <c r="L25" s="3" t="inlineStr">
        <is>
          <t>$0, and under it the one line "Nothing entered yet. Log your expenses ›" (mock approved 2026-09-12). A real zero that was entered shows a plain $0 with no line.</t>
        </is>
      </c>
      <c r="M25" s="3" t="inlineStr">
        <is>
          <t>one expense</t>
        </is>
      </c>
      <c r="N25" s="3" t="inlineStr">
        <is>
          <t>as of today</t>
        </is>
      </c>
      <c r="O25" s="3" t="inlineStr">
        <is>
          <t>1. MK-CF-F-203 (MONTH) → NOT DECLARED — the code does not say what it gives back
2. MK-CF-F-155 (cash) → number
3. MK-CF-O-002 (expenses) → Expenses
4. MK-CF-O-003 (thisMonth) → ThisMonth</t>
        </is>
      </c>
      <c r="P25" s="3" t="inlineStr">
        <is>
          <t>Declared by MK-CF-O-010 theMonth</t>
        </is>
      </c>
      <c r="Q25" s="3" t="inlineStr">
        <is>
          <t>NONE RECORDED — the declaration names none.</t>
        </is>
      </c>
      <c r="R25" s="3" t="inlineStr">
        <is>
          <t>NONE RECORDED — the declaration names none.</t>
        </is>
      </c>
      <c r="S25" s="3" t="inlineStr"/>
      <c r="T25" s="3" t="inlineStr">
        <is>
          <t>NONE RECORDED — the declaration names none.</t>
        </is>
      </c>
      <c r="U25" s="3" t="inlineStr"/>
      <c r="V25" s="3" t="inlineStr"/>
      <c r="W25" s="3" t="inlineStr"/>
      <c r="X25" s="3" t="inlineStr"/>
      <c r="Y25" s="3" t="inlineStr"/>
      <c r="Z25" s="3" t="inlineStr">
        <is>
          <t>DECLARED IN THE CODE (rule 11) — printed from the door, not typed. RULED 2026-10-02</t>
        </is>
      </c>
      <c r="AA25" s="3" t="inlineStr"/>
      <c r="AB25" s="3" t="inlineStr"/>
      <c r="AC25" s="3" t="inlineStr"/>
      <c r="AD25" s="3" t="inlineStr"/>
      <c r="AE25" s="3" t="inlineStr">
        <is>
          <t>G32 / Q48 — RULED 2026-09-09: $0 stays, with the sentence '$0 — nothing entered yet.' and this row's door ('Log your expenses ›'). File written; the screen follows the approved empty-state mock (one pattern, one screen), then every screen.</t>
        </is>
      </c>
      <c r="AF25" s="3" t="inlineStr">
        <is>
          <t>ACTIVE</t>
        </is>
      </c>
      <c r="AG25" s="3" t="inlineStr">
        <is>
          <t>2026-10-11</t>
        </is>
      </c>
      <c r="AH25" s="3" t="inlineStr"/>
      <c r="AI25" s="3" t="inlineStr"/>
      <c r="AJ2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2026-10-02; the figure, its formula, inputs and refusal live in MK-CF-O-010 theMonth</t>
        </is>
      </c>
      <c r="AN2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$186.00
(the test re-runs this through MK-CF-O-010 theMonth on every build)</t>
        </is>
      </c>
      <c r="AO25" s="7" t="inlineStr">
        <is>
          <t>RULED, NOT CODED (Q-CF-2 — one question, one function)</t>
        </is>
      </c>
    </row>
    <row r="26" ht="60" customHeight="1">
      <c r="A26" s="3" t="inlineStr">
        <is>
          <t>MK-CF-M-015</t>
        </is>
      </c>
      <c r="B26" s="3" t="inlineStr">
        <is>
          <t>Cashflow</t>
        </is>
      </c>
      <c r="C26" s="3" t="inlineStr">
        <is>
          <t>/cashflow</t>
        </is>
      </c>
      <c r="D26" s="3" t="inlineStr">
        <is>
          <t>Planned expenses — each category</t>
        </is>
      </c>
      <c r="E26" s="3" t="inlineStr">
        <is>
          <t>planned_expenses__each_category</t>
        </is>
      </c>
      <c r="F26" s="3" t="inlineStr">
        <is>
          <t>theMonth</t>
        </is>
      </c>
      <c r="G26" s="3" t="inlineStr">
        <is>
          <t>MK-CF-O-010</t>
        </is>
      </c>
      <c r="H26" s="3" t="inlineStr">
        <is>
          <t>planned = the category’s budget line; spent = the expenses logged in that category inside the month</t>
        </is>
      </c>
      <c r="I26" s="3" t="inlineStr">
        <is>
          <t>planned = the category’s budget line; spent = the expenses logged in that category inside the month</t>
        </is>
      </c>
      <c r="J26" s="3" t="inlineStr">
        <is>
          <t>MK-CF-I-012 planned expenses
MK-CF-I-001 your logged expenses</t>
        </is>
      </c>
      <c r="K26" s="3" t="inlineStr">
        <is>
          <t>dollars, whole</t>
        </is>
      </c>
      <c r="L26" s="3" t="inlineStr">
        <is>
          <t>$0, and under it the one line "Nothing entered yet. Log your expenses ›" (mock approved 2026-09-12). A real zero that was entered shows a plain $0 with no line.</t>
        </is>
      </c>
      <c r="M26" s="3" t="inlineStr">
        <is>
          <t>one category</t>
        </is>
      </c>
      <c r="N26" s="3" t="inlineStr">
        <is>
          <t>as of today</t>
        </is>
      </c>
      <c r="O26" s="3" t="inlineStr">
        <is>
          <t>1. MK-CF-F-203 (MONTH) → NOT DECLARED — the code does not say what it gives back
2. MK-CF-F-155 (cash) → number
3. MK-CF-O-002 (expenses) → Expenses
4. MK-CF-O-003 (thisMonth) → ThisMonth</t>
        </is>
      </c>
      <c r="P26" s="3" t="inlineStr">
        <is>
          <t>Declared by MK-CF-O-010 theMonth</t>
        </is>
      </c>
      <c r="Q26" s="3" t="inlineStr">
        <is>
          <t>NONE RECORDED — the declaration names none.</t>
        </is>
      </c>
      <c r="R26" s="3" t="inlineStr">
        <is>
          <t>NONE RECORDED — the declaration names none.</t>
        </is>
      </c>
      <c r="S26" s="3" t="inlineStr"/>
      <c r="T26" s="3" t="inlineStr">
        <is>
          <t>NONE RECORDED — the declaration names none.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26" s="3" t="inlineStr"/>
      <c r="V26" s="3" t="inlineStr"/>
      <c r="W26" s="3" t="inlineStr"/>
      <c r="X26" s="3" t="inlineStr"/>
      <c r="Y26" s="3" t="inlineStr"/>
      <c r="Z26" s="3" t="inlineStr">
        <is>
          <t>DECLARED IN THE CODE (rule 11) — printed from the door, not typed. RULED 2026-10-02</t>
        </is>
      </c>
      <c r="AA26" s="3" t="inlineStr"/>
      <c r="AB26" s="3" t="inlineStr"/>
      <c r="AC26" s="3" t="inlineStr"/>
      <c r="AD26" s="3" t="inlineStr"/>
      <c r="AE26" s="3" t="inlineStr">
        <is>
          <t>G32 / Q48 — RULED 2026-09-09: $0 stays, with the sentence '$0 — nothing entered yet.' and this row's door ('Log your expenses ›'). File written; the screen follows the approved empty-state mock (one pattern, one screen), then every screen.</t>
        </is>
      </c>
      <c r="AF26" s="3" t="inlineStr">
        <is>
          <t>ACTIVE</t>
        </is>
      </c>
      <c r="AG26" s="3" t="inlineStr">
        <is>
          <t>2026-10-11</t>
        </is>
      </c>
      <c r="AH26" s="3" t="inlineStr"/>
      <c r="AI26" s="3" t="inlineStr"/>
      <c r="AJ2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2026-10-02; the figure, its formula, inputs and refusal live in MK-CF-O-010 theMonth</t>
        </is>
      </c>
      <c r="AN2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$2,300
(the test re-runs this through MK-CF-O-010 theMonth on every build)</t>
        </is>
      </c>
      <c r="AO26" s="7" t="inlineStr">
        <is>
          <t>RULED, NOT CODED (Q-CF-2 — one question, one function)</t>
        </is>
      </c>
    </row>
    <row r="27" ht="60" customHeight="1">
      <c r="A27" s="3" t="inlineStr">
        <is>
          <t>MK-CF-M-016</t>
        </is>
      </c>
      <c r="B27" s="3" t="inlineStr">
        <is>
          <t>Cashflow</t>
        </is>
      </c>
      <c r="C27" s="3" t="inlineStr">
        <is>
          <t>/cashflow · /bill-calendar</t>
        </is>
      </c>
      <c r="D27" s="3" t="inlineStr">
        <is>
          <t>BIG-TICKET RADAR — &lt;bill&gt; · due &lt;month&gt;</t>
        </is>
      </c>
      <c r="E27" s="3" t="inlineStr">
        <is>
          <t>bigticket_radar__bill__due_month</t>
        </is>
      </c>
      <c r="F27" s="3" t="inlineStr">
        <is>
          <t>whatsComing</t>
        </is>
      </c>
      <c r="G27" s="3" t="inlineStr">
        <is>
          <t>MK-CF-O-008</t>
        </is>
      </c>
      <c r="H27" s="3" t="inlineStr">
        <is>
          <t>the dated bills above the everyday size, in date order</t>
        </is>
      </c>
      <c r="I27" s="3" t="inlineStr">
        <is>
          <t>the dated bills above the everyday size, in date order</t>
        </is>
      </c>
      <c r="J27" s="3" t="inlineStr">
        <is>
          <t>MK-CF-I-002 your bills</t>
        </is>
      </c>
      <c r="K27" s="3" t="inlineStr">
        <is>
          <t>dollars, whole</t>
        </is>
      </c>
      <c r="L27" s="3" t="inlineStr">
        <is>
          <t>Nothing unusual ahead — the section keeps its heading and says so.</t>
        </is>
      </c>
      <c r="M27" s="3" t="inlineStr">
        <is>
          <t>one bill</t>
        </is>
      </c>
      <c r="N27" s="3" t="inlineStr">
        <is>
          <t>as of today</t>
        </is>
      </c>
      <c r="O27" s="3" t="inlineStr">
        <is>
          <t>MK-CF-F-019 (upcomingBills) → NOT DECLARED — the code does not say what it gives back</t>
        </is>
      </c>
      <c r="P27" s="3" t="inlineStr">
        <is>
          <t>Declared by MK-CF-O-008 whatsComing</t>
        </is>
      </c>
      <c r="Q27" s="3" t="inlineStr">
        <is>
          <t>A regular monthly debt is never a radar item: a warning you see every month stops being a warning.</t>
        </is>
      </c>
      <c r="R27" s="3" t="inlineStr">
        <is>
          <t>A regular monthly debt is never a radar item: a warning you see every month stops being a warning.</t>
        </is>
      </c>
      <c r="S27" s="3" t="inlineStr"/>
      <c r="T27" s="3" t="inlineStr">
        <is>
          <t>A regular monthly debt is never a radar item: a warning you see every month stops being a warning.</t>
        </is>
      </c>
      <c r="U27" s="3" t="inlineStr"/>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c r="AF27" s="3" t="inlineStr">
        <is>
          <t>ACTIVE</t>
        </is>
      </c>
      <c r="AG27" s="3" t="inlineStr">
        <is>
          <t>2026-10-11</t>
        </is>
      </c>
      <c r="AH27" s="3" t="inlineStr"/>
      <c r="AI27" s="3" t="inlineStr"/>
      <c r="AJ27"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MK-CF-O-008 whatsComing</t>
        </is>
      </c>
      <c r="AN27" s="3" t="inlineStr">
        <is>
          <t>On 28 Sep 2026, with $8,000 in the account: car insurance of $1,400 due 15 Oct and property tax of $4,800 due 1 Nov. Nothing else is dated.
GIVES: $1,400
(the test re-runs this through MK-CF-O-008 whatsComing on every build)</t>
        </is>
      </c>
      <c r="AO27" s="7" t="inlineStr">
        <is>
          <t>RULED, NOT CODED (Q-CF-3 — one question, one function)</t>
        </is>
      </c>
    </row>
    <row r="28" ht="60" customHeight="1">
      <c r="A28" s="3" t="inlineStr">
        <is>
          <t>MK-CF-M-020</t>
        </is>
      </c>
      <c r="B28" s="3" t="inlineStr">
        <is>
          <t>Cashflow</t>
        </is>
      </c>
      <c r="C28" s="3" t="inlineStr">
        <is>
          <t>/cashflow</t>
        </is>
      </c>
      <c r="D28" s="3" t="inlineStr">
        <is>
          <t>THIS MONTH — free to use</t>
        </is>
      </c>
      <c r="E28" s="3" t="inlineStr">
        <is>
          <t>this_month__free_to_use</t>
        </is>
      </c>
      <c r="F28" s="3" t="inlineStr">
        <is>
          <t>theMonth</t>
        </is>
      </c>
      <c r="G28" s="3" t="inlineStr">
        <is>
          <t>MK-CF-O-010</t>
        </is>
      </c>
      <c r="H28" s="3">
        <f> Planned surplus (MK-CF-M-002) − the goals’ commitments (MK-CF-M-021)</f>
        <v/>
      </c>
      <c r="I28" s="3">
        <f> Planned surplus (MK-CF-M-002) − the goals’ commitments (MK-CF-M-021)</f>
        <v/>
      </c>
      <c r="J28" s="3" t="inlineStr">
        <is>
          <t>MK-XS-I-023 salary and other income
MK-NW-I-002 your debts
MK-CF-I-012 planned expenses
MK-XS-I-027 goals (target, saved, date)</t>
        </is>
      </c>
      <c r="K28" s="3" t="inlineStr">
        <is>
          <t>dollars, whole</t>
        </is>
      </c>
      <c r="L28" s="3" t="inlineStr">
        <is>
          <t>No budget set — nothing is called free until there is a plan to be free of.</t>
        </is>
      </c>
      <c r="M28" s="3" t="inlineStr">
        <is>
          <t>one figure per household</t>
        </is>
      </c>
      <c r="N28" s="3" t="inlineStr">
        <is>
          <t>as of today</t>
        </is>
      </c>
      <c r="O28" s="3" t="inlineStr">
        <is>
          <t>1. MK-CF-F-203 (MONTH) → NOT DECLARED — the code does not say what it gives back
2. MK-CF-F-155 (cash) → number
3. MK-CF-O-002 (expenses) → Expenses
4. MK-CF-O-003 (thisMonth) → ThisMonth</t>
        </is>
      </c>
      <c r="P28" s="3" t="inlineStr">
        <is>
          <t>Declared by MK-CF-O-010 theMonth</t>
        </is>
      </c>
      <c r="Q28" s="3" t="inlineStr">
        <is>
          <t>A PROMISE TO A GOAL IS MONEY ALREADY SPOKEN FOR — it never reads as free.</t>
        </is>
      </c>
      <c r="R28" s="3" t="inlineStr">
        <is>
          <t>A PROMISE TO A GOAL IS MONEY ALREADY SPOKEN FOR — it never reads as free.</t>
        </is>
      </c>
      <c r="S28" s="3" t="inlineStr"/>
      <c r="T28" s="3" t="inlineStr">
        <is>
          <t>A PROMISE TO A GOAL IS MONEY ALREADY SPOKEN FOR — it never reads as free.</t>
        </is>
      </c>
      <c r="U28" s="3" t="inlineStr"/>
      <c r="V28" s="3" t="inlineStr"/>
      <c r="W28" s="3" t="inlineStr"/>
      <c r="X28" s="3" t="inlineStr"/>
      <c r="Y28" s="3" t="inlineStr"/>
      <c r="Z28" s="3" t="inlineStr">
        <is>
          <t>DECLARED IN THE CODE (rule 11) — printed from the door, not typed. RULED 2026-10-02</t>
        </is>
      </c>
      <c r="AA28" s="3" t="inlineStr"/>
      <c r="AB28" s="3" t="inlineStr"/>
      <c r="AC28" s="3" t="inlineStr"/>
      <c r="AD28" s="3" t="inlineStr"/>
      <c r="AE28" s="3" t="inlineStr"/>
      <c r="AF28" s="3" t="inlineStr">
        <is>
          <t>ACTIVE</t>
        </is>
      </c>
      <c r="AG28" s="3" t="inlineStr">
        <is>
          <t>2026-10-11</t>
        </is>
      </c>
      <c r="AH28" s="3" t="inlineStr"/>
      <c r="AI28" s="3" t="inlineStr"/>
      <c r="AJ2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2026-10-02; the figure, its formula, inputs and refusal live in MK-CF-O-010 theMonth</t>
        </is>
      </c>
      <c r="AN28"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$850
(the test re-runs this through MK-CF-O-010 theMonth on every build)</t>
        </is>
      </c>
      <c r="AO28" s="7" t="inlineStr">
        <is>
          <t>RULED, NOT CODED (Q-CF-2 — one question, one function)</t>
        </is>
      </c>
    </row>
    <row r="29" ht="60" customHeight="1">
      <c r="A29" s="3" t="inlineStr">
        <is>
          <t>MK-CF-M-021</t>
        </is>
      </c>
      <c r="B29" s="3" t="inlineStr">
        <is>
          <t>Cashflow</t>
        </is>
      </c>
      <c r="C29" s="3" t="inlineStr">
        <is>
          <t>/cashflow</t>
        </is>
      </c>
      <c r="D29" s="3" t="inlineStr">
        <is>
          <t>&lt;goal&gt; · from your Plan</t>
        </is>
      </c>
      <c r="E29" s="3" t="inlineStr">
        <is>
          <t>goal__from_your_plan</t>
        </is>
      </c>
      <c r="F29" s="3" t="inlineStr">
        <is>
          <t>theMonth</t>
        </is>
      </c>
      <c r="G29" s="3" t="inlineStr">
        <is>
          <t>MK-CF-O-010</t>
        </is>
      </c>
      <c r="H29" s="3" t="inlineStr">
        <is>
          <t>the goal’s monthly amount, as the Plan set it</t>
        </is>
      </c>
      <c r="I29" s="3" t="inlineStr">
        <is>
          <t>the goal’s monthly amount, as the Plan set it</t>
        </is>
      </c>
      <c r="J29" s="3" t="inlineStr">
        <is>
          <t>MK-XS-I-027 goals (target, saved, date)</t>
        </is>
      </c>
      <c r="K29" s="3" t="inlineStr">
        <is>
          <t>dollars, whole a month</t>
        </is>
      </c>
      <c r="L29" s="3" t="inlineStr">
        <is>
          <t>$0, and under it the one line "Nothing entered yet. Add a goal ›" (mock approved 2026-09-12). A real zero that was entered shows a plain $0 with no line.</t>
        </is>
      </c>
      <c r="M29" s="3" t="inlineStr">
        <is>
          <t>one goal</t>
        </is>
      </c>
      <c r="N29" s="3" t="inlineStr">
        <is>
          <t>a month</t>
        </is>
      </c>
      <c r="O29" s="3" t="inlineStr">
        <is>
          <t>1. MK-CF-F-203 (MONTH) → NOT DECLARED — the code does not say what it gives back
2. MK-CF-F-155 (cash) → number
3. MK-CF-O-002 (expenses) → Expenses
4. MK-CF-O-003 (thisMonth) → ThisMonth</t>
        </is>
      </c>
      <c r="P29" s="3" t="inlineStr">
        <is>
          <t>Declared by MK-CF-O-010 theMonth</t>
        </is>
      </c>
      <c r="Q29" s="3" t="inlineStr">
        <is>
          <t>NONE RECORDED — the declaration names none.</t>
        </is>
      </c>
      <c r="R29" s="3" t="inlineStr">
        <is>
          <t>NONE RECORDED — the declaration names none.</t>
        </is>
      </c>
      <c r="S29" s="3" t="inlineStr"/>
      <c r="T29" s="3" t="inlineStr">
        <is>
          <t>NONE RECORDED — the declaration names none.</t>
        </is>
      </c>
      <c r="U29" s="3" t="inlineStr"/>
      <c r="V29" s="3" t="inlineStr"/>
      <c r="W29" s="3" t="inlineStr"/>
      <c r="X29" s="3" t="inlineStr"/>
      <c r="Y29" s="3" t="inlineStr"/>
      <c r="Z29" s="3" t="inlineStr">
        <is>
          <t>DECLARED IN THE CODE (rule 11) — printed from the door, not typed. RULED 2026-10-02</t>
        </is>
      </c>
      <c r="AA29" s="3" t="inlineStr"/>
      <c r="AB29" s="3" t="inlineStr"/>
      <c r="AC29" s="3" t="inlineStr"/>
      <c r="AD29" s="3" t="inlineStr"/>
      <c r="AE29" s="3" t="inlineStr">
        <is>
          <t>G32 / Q48 — RULED 2026-09-09: $0 stays, with the sentence '$0 — nothing entered yet.' and this row's door ('Add a goal ›'). File written; the screen follows the approved empty-state mock (one pattern, one screen), then every screen.</t>
        </is>
      </c>
      <c r="AF29" s="3" t="inlineStr">
        <is>
          <t>ACTIVE</t>
        </is>
      </c>
      <c r="AG29" s="3" t="inlineStr">
        <is>
          <t>2026-10-11</t>
        </is>
      </c>
      <c r="AH29" s="3" t="inlineStr"/>
      <c r="AI29" s="3" t="inlineStr"/>
      <c r="AJ2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2026-10-02; the figure, its formula, inputs and refusal live in MK-CF-O-010 theMonth</t>
        </is>
      </c>
      <c r="AN29"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$300/month
(the test re-runs this through MK-CF-O-010 theMonth on every build)</t>
        </is>
      </c>
      <c r="AO29" s="7" t="inlineStr">
        <is>
          <t>RULED, NOT CODED (Q-PL-6 — one question, one function)</t>
        </is>
      </c>
    </row>
    <row r="30" ht="60" customHeight="1">
      <c r="A30" s="3" t="inlineStr">
        <is>
          <t>MK-CF-M-022</t>
        </is>
      </c>
      <c r="B30" s="3" t="inlineStr">
        <is>
          <t>Cashflow</t>
        </is>
      </c>
      <c r="C30" s="3" t="inlineStr">
        <is>
          <t>/cashflow</t>
        </is>
      </c>
      <c r="D30" s="3" t="inlineStr">
        <is>
          <t>YOUR FUTURE PAYCHECK — At &lt;age&gt;: ~$X/month</t>
        </is>
      </c>
      <c r="E30" s="3" t="inlineStr">
        <is>
          <t>your_future_paycheck__at_age_xmonth</t>
        </is>
      </c>
      <c r="F30" s="3" t="inlineStr">
        <is>
          <t>1. buildPaycheckYear (the draw from savings)
2. guaranteedOutsideStreams (summed)
3. simulate (the projected pot it draws from)</t>
        </is>
      </c>
      <c r="G30" s="3" t="inlineStr">
        <is>
          <t>1. MK-CF-F-107
2. MK-CF-F-076
3. MK-PL-F-050</t>
        </is>
      </c>
      <c r="H30"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30"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30" s="3" t="inlineStr">
        <is>
          <t>MK-NW-I-001 your accounts
MK-XS-I-017 birth year
MK-XS-I-018 retirement age
MK-XS-I-028 assumed return
MK-XS-I-020 Social Security monthly amount</t>
        </is>
      </c>
      <c r="K30" s="3" t="inlineStr">
        <is>
          <t>dollars, whole a month</t>
        </is>
      </c>
      <c r="L30" s="3" t="inlineStr">
        <is>
          <t>No pot to project from, or retirement age already reached — the card is not drawn.</t>
        </is>
      </c>
      <c r="M30" s="3" t="inlineStr">
        <is>
          <t>one figure per household</t>
        </is>
      </c>
      <c r="N30" s="3" t="inlineStr">
        <is>
          <t>a month</t>
        </is>
      </c>
      <c r="O30" s="3" t="inlineStr">
        <is>
          <t>1. MK-XS-F-004 (buildDatedGrid) → DatedGrid
2. MK-CF-F-105 (guaranteedRows) → GuaranteedRow[]
3. MK-CF-F-132 (map) → NOT DECLARED — the code does not say what it gives back
4. MK-NW-F-033 (retirementEarmarkedValue) → number
5. MK-CF-F-106 (solveSafeDraw) → number
6. MK-ST-F-052 (toNum) → number
7. MK-CF-O-002 (expenses) → Expenses
8. MK-PL-F-074 (median) → number
9. MK-PL-F-072 (mulberry32) → NOT DECLARED — the code does not say what it gives back
10. MK-XS-F-122 (n) → number
11. MK-PL-F-073 (normal) → number
12. MK-PL-F-075 (pctOfSorted) → number
13. MK-ST-F-025 (rmdStartAgeFromAge) → number</t>
        </is>
      </c>
      <c r="P30" s="3" t="inlineStr">
        <is>
          <t>Declared by MK-CF-O-017 futurePaycheck</t>
        </is>
      </c>
      <c r="Q30" s="3" t="inlineStr">
        <is>
          <t>AN ESTIMATE, SAID TO BE ONE on the screen — never a promise.
NOTHING BEFORE THERE IS A POT: with no accounts, or past retirement age, the card is not drawn.</t>
        </is>
      </c>
      <c r="R30" s="3" t="inlineStr">
        <is>
          <t>AN ESTIMATE, SAID TO BE ONE on the screen — never a promise.
NOTHING BEFORE THERE IS A POT: with no accounts, or past retirement age, the card is not drawn.</t>
        </is>
      </c>
      <c r="S30" s="3" t="inlineStr"/>
      <c r="T30" s="3" t="inlineStr">
        <is>
          <t>AN ESTIMATE, SAID TO BE ONE on the screen — never a promise.
NOTHING BEFORE THERE IS A POT: with no accounts, or past retirement age, the card is not drawn.</t>
        </is>
      </c>
      <c r="U30" s="3" t="inlineStr"/>
      <c r="V30" s="3" t="inlineStr"/>
      <c r="W30" s="3" t="inlineStr"/>
      <c r="X30" s="3" t="inlineStr"/>
      <c r="Y30" s="3" t="inlineStr"/>
      <c r="Z30" s="3" t="inlineStr">
        <is>
          <t>DECLARED IN THE CODE (rule 11) — printed from the door, not typed. RULED 2026-10-02</t>
        </is>
      </c>
      <c r="AA30" s="3" t="inlineStr"/>
      <c r="AB30" s="3" t="inlineStr"/>
      <c r="AC30" s="3" t="inlineStr"/>
      <c r="AD30" s="3" t="inlineStr"/>
      <c r="AE30" s="3" t="inlineStr">
        <is>
          <t>G17 — the draw from savings behind this figure now runs 1,000 futures (was 300). Closed 2026-09-08.
G14 — CLOSED 2026-09-08: the row now names the three real producers and states the draw rule. File matches code; no code change.</t>
        </is>
      </c>
      <c r="AF30" s="3" t="inlineStr">
        <is>
          <t>ACTIVE</t>
        </is>
      </c>
      <c r="AG30" s="3" t="inlineStr">
        <is>
          <t>2026-10-11</t>
        </is>
      </c>
      <c r="AH30" s="3" t="inlineStr"/>
      <c r="AI30" s="3" t="inlineStr"/>
      <c r="AJ30" s="3" t="inlineStr">
        <is>
          <t>1. MK-XS-I-001 account balance — read by MK-NW-F-031, MK-NW-F-032, MK-NW-F-056, MK-NW-F-078, MK-NW-F-133, MK-NW-O-001, MK
2. MK-XS-I-002 account type (taxable, pre-tax, Roth) — read by MK-NW-F-011, MK-NW-F-120, MK-NW-O-001
3. MK-XS-I-003 institution name — read by MK-NW-F-072, MK-NW-F-134,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MK-ST-F-024
14. MK-XS-I-018 retirement age — read by MK-CF-F-106, MK-PL-F-050
15. MK-XS-I-020 Social Security monthly amount — read by MK-CF-F-072, MK-CF-F-075, MK-CF-F-076
16. MK-XS-I-022 pension monthly amount — read by MK-CF-F-072, MK-CF-F-075, MK-CF-F-076
17. MK-XS-I-023 salary and other income — read by MK-CF-F-074, MK-CF-F-082, MK-CF-F-084, MK-CF-F-088, MK-CF-F-092, MK-CF-F-165, MK
18. MK-XS-I-024 logged expenses — read by MK-CF-F-005, MK-CF-F-067, MK-CF-F-068, MK-CF-F-107, MK-CF-F-150, MK-CF-F-151, MK
19. MK-XS-I-026 big costs (amount and year) — read by MK-XS-F-004
20. MK-XS-I-027 goals (target, saved, date) — read by MK-CF-F-204, MK-PL-F-012
21. MK-XS-I-028 assumed return — read by MK-CF-F-106, MK-NW-O-001, MK-PL-F-050
22. MK-XS-I-029 inflation rate — read by MK-CF-F-106, MK-PL-F-050
23. MK-XS-I-030 tax filing status and age — read by MK-CF-F-085, MK-CF-F-089, MK-CF-F-099, MK-CF-F-100, MK-CF-F-101, MK-CF-F-187
24. MK-XS-I-031 daily and monthly snapshots — read by MK-ST-F-036
25. MK-XS-I-032 expenses categories the person set up — read by MK-CF-F-004, MK-CF-F-008, MK-XS-F-004
26. MK-XS-I-034 option positions — contracts, strike, expiry, put or call — read by MK-CF-F-062
27. MK-XS-I-035 annuity income — read by MK-CF-F-072, MK-CF-F-075, MK-CF-F-076
28. MK-XS-I-036 other guaranteed income — read by MK-CF-F-072, MK-CF-F-075, MK-CF-F-076, MK-PL-F-050
29. MK-XS-I-037 required-withdrawal income stream (ri_rmd) — read by MK-CF-F-075
30. MK-XS-I-038 withdrawal income stream (ri_withdrawals) — read by MK-CF-F-075
31. MK-XS-I-039 how often each income arrives — read by MK-CF-F-071, MK-CF-F-072, MK-CF-F-074, MK-CF-F-075, MK-CF-F-076, MK-CF-F-105, MK
32. MK-XS-I-040 whether a stream is already being received — read by MK-CF-F-072, MK-CF-F-105
33. MK-XS-I-041 the payment the person chose to make on a debt — read by MK-CF-F-023
34. MK-XS-I-042 how a stream is paid — monthly, yearly or one lump — read by MK-CF-F-021, MK-CF-F-022, MK-CF-F-023, MK-CF-F-149, MK-CF-F-150, MK-CF-F-152, MK
35. MK-XS-I-043 their own retirement contribution — read by MK-CF-F-092, MK-CF-F-106, MK-CF-F-181, MK-CF-F-206, MK-PL-F-050
36. MK-XS-I-048 the person’s own asset-class answer — read by MK-NW-F-011, MK-ST-F-027
37. MK-XS-I-049 bond price — what the bond is worth today — read by MK-NW-F-056, MK-NW-F-057, MK-NW-F-059, MK-NW-F-060, MK-NW-F-061, MK-NW-F-064, MK
38. MK-XS-I-050 the share of an account earmarked for retirement — read by MK-NW-F-032
39. MK-XS-I-052 the day of the month a debt payment is due — read by MK-CF-F-005, MK-XS-F-004
40. MK-XS-I-053 the month a debt is first paid — read by MK-XS-F-004
41. MK-XS-I-054 the date a debt is due to be paid off in full — read by MK-XS-F-004
42. MK-XS-I-055 the wrapper an account sits in — ISA, 401(k), IRA and the rest — read by MK-CF-F-005, MK-CF-F-075, MK-CF-F-076, MK-CF-F-107, MK-CF-F-156, MK-NW-F-011, MK
43. MK-XS-I-059 the month a bonus lands — read by MK-CF-F-088, MK-CF-F-092, MK-XS-F-004
44. MK-XS-I-060 how a person is paid — weekly, fortnightly, monthly — read by MK-CF-F-130
45. MK-XS-I-064 the unit beside a quantity — shares, coins, contracts, ounces or units — read by MK-CF-F-003, MK-CF-F-008, MK-CF-F-204, MK-NW-F-078, MK-XS-F-004
46.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2026-10-02; the figure, its formula, inputs and refusal live in MK-CF-O-017 futurePaycheck</t>
        </is>
      </c>
      <c r="AN30" s="3" t="inlineStr">
        <is>
          <t>Born in 1981, retiring at 67, with $200,000 in a 401(k) earning 6% and $2,000/month of Social Security from 67.
GIVES: $4,345/month
(the test re-runs this through MK-CF-O-017 futurePaycheck on every build)</t>
        </is>
      </c>
      <c r="AO30" s="7" t="inlineStr">
        <is>
          <t>RULED, NOT CODED (Q-PL-2 — one question, one function)</t>
        </is>
      </c>
    </row>
    <row r="31" ht="60" customHeight="1">
      <c r="A31" s="3" t="inlineStr">
        <is>
          <t>MK-CF-M-023</t>
        </is>
      </c>
      <c r="B31" s="3" t="inlineStr">
        <is>
          <t>Cashflow</t>
        </is>
      </c>
      <c r="C31" s="3" t="inlineStr">
        <is>
          <t>/cashflow</t>
        </is>
      </c>
      <c r="D31" s="3" t="inlineStr">
        <is>
          <t>YOUR FUTURE PAYCHECK — Social Security · pension</t>
        </is>
      </c>
      <c r="E31" s="3" t="inlineStr">
        <is>
          <t>your_future_paycheck__social_security__p</t>
        </is>
      </c>
      <c r="F31" s="3" t="inlineStr">
        <is>
          <t>guaranteedOutsideStreams (summed)</t>
        </is>
      </c>
      <c r="G31" s="3" t="inlineStr">
        <is>
          <t>MK-CF-F-076</t>
        </is>
      </c>
      <c r="H31" s="3" t="inlineStr">
        <is>
          <t>guaranteed income a month = Social Security + pension + annuity + other stated income — the four OUTSIDE sources, each converted to a monthly figure</t>
        </is>
      </c>
      <c r="I31"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31" s="3" t="inlineStr">
        <is>
          <t>1. Social Security → ri_ss [MK-XS-I-020]
2. pension → ri_pension [MK-XS-I-022]
3. annuity → ri_annuities [MK-XS-I-035]
4. other → ri_other [MK-XS-I-036]
5. how often each arrives → the matching frequency [MK-XS-I-039]</t>
        </is>
      </c>
      <c r="K31" s="3" t="inlineStr">
        <is>
          <t>dollars, whole a month</t>
        </is>
      </c>
      <c r="L31" s="3" t="inlineStr">
        <is>
          <t>No pot to project from, or retirement age already reached — the card is not drawn.</t>
        </is>
      </c>
      <c r="M31" s="3" t="inlineStr">
        <is>
          <t>one figure per household</t>
        </is>
      </c>
      <c r="N31" s="3" t="inlineStr">
        <is>
          <t>a month</t>
        </is>
      </c>
      <c r="O31" s="3" t="inlineStr">
        <is>
          <t>MK-ST-F-052 (toNum) → number</t>
        </is>
      </c>
      <c r="P31" s="3" t="inlineStr">
        <is>
          <t>Declared by MK-CF-O-017 futurePaycheck</t>
        </is>
      </c>
      <c r="Q31" s="3" t="inlineStr">
        <is>
          <t>NONE RECORDED — the declaration names none.</t>
        </is>
      </c>
      <c r="R31" s="3" t="inlineStr">
        <is>
          <t>NONE RECORDED — the declaration names none.</t>
        </is>
      </c>
      <c r="S31" s="3" t="inlineStr"/>
      <c r="T31" s="3" t="inlineStr">
        <is>
          <t>NONE RECORDED — the declaration names none.
[Founder] brief Q-38 (2026-08-20): the paycheck DISPLAY shows every line; the plan's guaranteed INPUT — and this card's guaranteed line, which sits beside a savings draw — takes outside money only.</t>
        </is>
      </c>
      <c r="U31" s="3" t="inlineStr"/>
      <c r="V31" s="3" t="inlineStr"/>
      <c r="W31" s="3" t="inlineStr"/>
      <c r="X31" s="3" t="inlineStr"/>
      <c r="Y31" s="3" t="inlineStr"/>
      <c r="Z31" s="3" t="inlineStr">
        <is>
          <t>DECLARED IN THE CODE (rule 11) — printed from the door, not typed. RULED 2026-10-02</t>
        </is>
      </c>
      <c r="AA31" s="3" t="inlineStr"/>
      <c r="AB31" s="3" t="inlineStr"/>
      <c r="AC31" s="3" t="inlineStr"/>
      <c r="AD31" s="3" t="inlineStr"/>
      <c r="AE31" s="3" t="inlineStr">
        <is>
          <t>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31" s="3" t="inlineStr">
        <is>
          <t>ACTIVE</t>
        </is>
      </c>
      <c r="AG31" s="3" t="inlineStr">
        <is>
          <t>2026-10-11</t>
        </is>
      </c>
      <c r="AH31" s="3" t="inlineStr"/>
      <c r="AI31" s="3" t="inlineStr"/>
      <c r="AJ31"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2026-10-02; the figure, its formula, inputs and refusal live in MK-CF-O-017 futurePaycheck</t>
        </is>
      </c>
      <c r="AN31" s="3" t="inlineStr">
        <is>
          <t>Born in 1981, retiring at 67, with $200,000 in a 401(k) earning 6% and $2,000/month of Social Security from 67.
GIVES: $2,000/month
(the test re-runs this through MK-CF-O-017 futurePaycheck on every build)</t>
        </is>
      </c>
      <c r="AO31" s="7" t="inlineStr">
        <is>
          <t>RULED, NOT CODED (Q-PL-2 — one question, one function)</t>
        </is>
      </c>
    </row>
    <row r="32" ht="60" customHeight="1">
      <c r="A32" s="3" t="inlineStr">
        <is>
          <t>MK-CF-M-024</t>
        </is>
      </c>
      <c r="B32" s="3" t="inlineStr">
        <is>
          <t>Cashflow</t>
        </is>
      </c>
      <c r="C32" s="3" t="inlineStr">
        <is>
          <t>/monthly-income</t>
        </is>
      </c>
      <c r="D32" s="3" t="inlineStr">
        <is>
          <t>each source of guaranteed income</t>
        </is>
      </c>
      <c r="E32" s="3" t="inlineStr">
        <is>
          <t>each_source_of_guaranteed_income</t>
        </is>
      </c>
      <c r="F32" s="3" t="inlineStr">
        <is>
          <t>incomeSummary</t>
        </is>
      </c>
      <c r="G32" s="3" t="inlineStr">
        <is>
          <t>MK-CF-O-004</t>
        </is>
      </c>
      <c r="H32" s="3" t="inlineStr">
        <is>
          <t>each stream as entered, brought to a monthly amount</t>
        </is>
      </c>
      <c r="I32" s="3" t="inlineStr">
        <is>
          <t>each stream as entered, brought to a monthly amount</t>
        </is>
      </c>
      <c r="J32" s="3" t="inlineStr">
        <is>
          <t>MK-XS-I-020 Social Security monthly amount
MK-XS-I-022 pension monthly amount
MK-XS-I-035 annuity income
MK-XS-I-036 other guaranteed income</t>
        </is>
      </c>
      <c r="K32" s="3" t="inlineStr">
        <is>
          <t>dollars, whole a month</t>
        </is>
      </c>
      <c r="L32" s="3" t="inlineStr">
        <is>
          <t>Nothing entered — the list is replaced by the door to enter it.</t>
        </is>
      </c>
      <c r="M32" s="3" t="inlineStr">
        <is>
          <t>one source</t>
        </is>
      </c>
      <c r="N32" s="3" t="inlineStr">
        <is>
          <t>a month</t>
        </is>
      </c>
      <c r="O3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2" s="3" t="inlineStr">
        <is>
          <t>Declared by MK-CF-O-004 incomeSummary</t>
        </is>
      </c>
      <c r="Q32" s="3" t="inlineStr">
        <is>
          <t>NONE RECORDED — the declaration names none.</t>
        </is>
      </c>
      <c r="R32" s="3" t="inlineStr">
        <is>
          <t>NONE RECORDED — the declaration names none.</t>
        </is>
      </c>
      <c r="S32" s="3" t="inlineStr"/>
      <c r="T32" s="3" t="inlineStr">
        <is>
          <t>NONE RECORDED — the declaration names none.</t>
        </is>
      </c>
      <c r="U32" s="3" t="inlineStr"/>
      <c r="V32" s="3" t="inlineStr"/>
      <c r="W32" s="3" t="inlineStr"/>
      <c r="X32" s="3" t="inlineStr"/>
      <c r="Y32" s="3" t="inlineStr"/>
      <c r="Z32" s="3" t="inlineStr">
        <is>
          <t>DECLARED IN THE CODE (rule 11) — printed from the door, not typed. RULED 2026-10-02</t>
        </is>
      </c>
      <c r="AA32" s="3" t="inlineStr"/>
      <c r="AB32" s="3" t="inlineStr"/>
      <c r="AC32" s="3" t="inlineStr"/>
      <c r="AD32" s="3" t="inlineStr"/>
      <c r="AE32" s="3" t="inlineStr"/>
      <c r="AF32" s="3" t="inlineStr">
        <is>
          <t>ACTIVE</t>
        </is>
      </c>
      <c r="AG32" s="3" t="inlineStr">
        <is>
          <t>2026-10-11</t>
        </is>
      </c>
      <c r="AH32" s="3" t="inlineStr"/>
      <c r="AI32" s="3" t="inlineStr"/>
      <c r="AJ3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2026-10-02; the figure, its formula, inputs and refusal live in MK-CF-O-004 incomeSummary</t>
        </is>
      </c>
      <c r="AN3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32" s="7" t="inlineStr">
        <is>
          <t>RULED, NOT CODED (Q-PL-2 — one question, one function)</t>
        </is>
      </c>
    </row>
    <row r="33" ht="60" customHeight="1">
      <c r="A33" s="3" t="inlineStr">
        <is>
          <t>MK-CF-M-027</t>
        </is>
      </c>
      <c r="B33" s="3" t="inlineStr">
        <is>
          <t>Cashflow</t>
        </is>
      </c>
      <c r="C33" s="3" t="inlineStr">
        <is>
          <t>/income-manager</t>
        </is>
      </c>
      <c r="D33" s="3" t="inlineStr">
        <is>
          <t>each income source and its amount</t>
        </is>
      </c>
      <c r="E33" s="3" t="inlineStr">
        <is>
          <t>each_income_source_and_its_amount</t>
        </is>
      </c>
      <c r="F33" s="3" t="inlineStr">
        <is>
          <t>incomeSummary</t>
        </is>
      </c>
      <c r="G33" s="3" t="inlineStr">
        <is>
          <t>MK-CF-O-004</t>
        </is>
      </c>
      <c r="H33" s="3" t="inlineStr">
        <is>
          <t>each source as it was entered: rent after its running costs, in a month; interest and dividends, a bonus, scholarships and loans, in a year; the rest in a month</t>
        </is>
      </c>
      <c r="I33" s="3" t="inlineStr">
        <is>
          <t>each source as it was entered: rent after its running costs, in a month; interest and dividends, a bonus, scholarships and loans, in a year; the rest in a month</t>
        </is>
      </c>
      <c r="J33" s="3" t="inlineStr">
        <is>
          <t>MK-XS-I-023 salary and other income
MK-CF-I-009 bonus
MK-CF-I-010 equity vesting
MK-CF-I-007 rental income</t>
        </is>
      </c>
      <c r="K33" s="3" t="inlineStr">
        <is>
          <t>dollars, whole</t>
        </is>
      </c>
      <c r="L33" s="3" t="inlineStr">
        <is>
          <t>$0, and under it the one line "Nothing entered yet. Add your income ›" (mock approved 2026-09-12). A real zero that was entered shows a plain $0 with no line.</t>
        </is>
      </c>
      <c r="M33" s="3" t="inlineStr">
        <is>
          <t>one source</t>
        </is>
      </c>
      <c r="N33" s="3" t="inlineStr">
        <is>
          <t>as of today</t>
        </is>
      </c>
      <c r="O3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3" s="3" t="inlineStr">
        <is>
          <t>Declared by MK-CF-O-004 incomeSummary</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2026-10-02</t>
        </is>
      </c>
      <c r="AA33" s="3" t="inlineStr"/>
      <c r="AB33" s="3" t="inlineStr"/>
      <c r="AC33" s="3" t="inlineStr"/>
      <c r="AD33" s="3" t="inlineStr"/>
      <c r="AE33" s="3" t="inlineStr">
        <is>
          <t>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2026-10-11</t>
        </is>
      </c>
      <c r="AH33" s="3" t="inlineStr"/>
      <c r="AI33" s="3" t="inlineStr"/>
      <c r="AJ3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2026-10-02; the figure, its formula, inputs and refusal live in MK-CF-O-004 incomeSummary</t>
        </is>
      </c>
      <c r="AN33" s="3" t="inlineStr">
        <is>
          <t>The two earners above, plus $24,000/year of self-employment, a $12,000 bonus in March, 50 shares vesting at $400, a rental bringing in $2,000/month against $800 of costs, and $2,100/month of Social Security. The line shown is the rental’s: what it brings in a month after its costs.
GIVES: $1,200
(the test re-runs this through MK-CF-O-004 incomeSummary on every build)</t>
        </is>
      </c>
      <c r="AO33" s="7" t="inlineStr">
        <is>
          <t>RULED, NOT CODED (Q-CF-1 — one question, one function)</t>
        </is>
      </c>
    </row>
    <row r="34" ht="60" customHeight="1">
      <c r="A34" s="3" t="inlineStr">
        <is>
          <t>MK-CF-M-028</t>
        </is>
      </c>
      <c r="B34" s="3" t="inlineStr">
        <is>
          <t>Cashflow</t>
        </is>
      </c>
      <c r="C34" s="3" t="inlineStr">
        <is>
          <t>/bill-calendar</t>
        </is>
      </c>
      <c r="D34" s="3" t="inlineStr">
        <is>
          <t>each bill and the day it falls</t>
        </is>
      </c>
      <c r="E34" s="3" t="inlineStr">
        <is>
          <t>each_bill_and_the_day_it_falls</t>
        </is>
      </c>
      <c r="F34" s="3" t="inlineStr">
        <is>
          <t>whatsComing</t>
        </is>
      </c>
      <c r="G34" s="3" t="inlineStr">
        <is>
          <t>MK-CF-O-008</t>
        </is>
      </c>
      <c r="H34" s="3" t="inlineStr">
        <is>
          <t>each dated bill in the window, in date order, with the running balance after it</t>
        </is>
      </c>
      <c r="I34" s="3" t="inlineStr">
        <is>
          <t>each dated bill in the window, in date order, with the running balance after it</t>
        </is>
      </c>
      <c r="J34" s="3" t="inlineStr">
        <is>
          <t>MK-CF-I-002 your bills
MK-NW-I-001 your accounts</t>
        </is>
      </c>
      <c r="K34" s="3" t="inlineStr">
        <is>
          <t>dollars, whole</t>
        </is>
      </c>
      <c r="L34" s="3" t="inlineStr">
        <is>
          <t>$0, and under it the one line "Nothing entered yet. Add your bills ›" (mock approved 2026-09-12). A real zero that was entered shows a plain $0 with no line.</t>
        </is>
      </c>
      <c r="M34" s="3" t="inlineStr">
        <is>
          <t>one bill</t>
        </is>
      </c>
      <c r="N34" s="3" t="inlineStr">
        <is>
          <t>as of today</t>
        </is>
      </c>
      <c r="O34" s="3" t="inlineStr">
        <is>
          <t>MK-CF-F-019 (upcomingBills) → NOT DECLARED — the code does not say what it gives back</t>
        </is>
      </c>
      <c r="P34" s="3" t="inlineStr">
        <is>
          <t>Declared by MK-CF-O-008 whatsComing</t>
        </is>
      </c>
      <c r="Q34" s="3" t="inlineStr">
        <is>
          <t>A bill with NO date is not on the calendar — a date nobody gave would be read as one they did. It is still counted in the month’s total.</t>
        </is>
      </c>
      <c r="R34" s="3" t="inlineStr">
        <is>
          <t>A bill with NO date is not on the calendar — a date nobody gave would be read as one they did. It is still counted in the month’s total.</t>
        </is>
      </c>
      <c r="S34" s="3" t="inlineStr"/>
      <c r="T34" s="3" t="inlineStr">
        <is>
          <t>A bill with NO date is not on the calendar — a date nobody gave would be read as one they did. It is still counted in the month’s total.</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G32 / Q48 — RULED 2026-09-09: $0 stays, with the sentence '$0 — nothing entered yet.' and this row's door ('Add your bills ›'). File written; the screen follows the approved empty-state mock (one pattern, one screen), then every screen.</t>
        </is>
      </c>
      <c r="AF34" s="3" t="inlineStr">
        <is>
          <t>ACTIVE</t>
        </is>
      </c>
      <c r="AG34" s="3" t="inlineStr">
        <is>
          <t>2026-10-11</t>
        </is>
      </c>
      <c r="AH34" s="3" t="inlineStr"/>
      <c r="AI34" s="3" t="inlineStr"/>
      <c r="AJ34"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MK-CF-O-008 whatsComing</t>
        </is>
      </c>
      <c r="AN34" s="3" t="inlineStr">
        <is>
          <t>On 28 Sep 2026, with $8,000 in the account: car insurance of $1,400 due 15 Oct and property tax of $4,800 due 1 Nov. Nothing else is dated.
GIVES: $4,800
(the test re-runs this through MK-CF-O-008 whatsComing on every build)</t>
        </is>
      </c>
      <c r="AO34" s="7" t="inlineStr">
        <is>
          <t>RULED, NOT CODED (Q-CF-3 — one question, one function)</t>
        </is>
      </c>
    </row>
    <row r="35" ht="60" customHeight="1">
      <c r="A35" s="3" t="inlineStr">
        <is>
          <t>MK-CF-M-030</t>
        </is>
      </c>
      <c r="B35" s="3" t="inlineStr">
        <is>
          <t>Cashflow</t>
        </is>
      </c>
      <c r="C35" s="3" t="inlineStr">
        <is>
          <t>/base-pay</t>
        </is>
      </c>
      <c r="D35" s="3" t="inlineStr">
        <is>
          <t>Each person’s pay</t>
        </is>
      </c>
      <c r="E35" s="3" t="inlineStr">
        <is>
          <t>each_persons_pay</t>
        </is>
      </c>
      <c r="F35" s="3" t="inlineStr">
        <is>
          <t>basePay</t>
        </is>
      </c>
      <c r="G35" s="3" t="inlineStr">
        <is>
          <t>MK-CF-O-001</t>
        </is>
      </c>
      <c r="H35" s="3" t="inlineStr">
        <is>
          <t>gross a year = the sum of every earner’s wage, each annualised from the rhythm they are paid in</t>
        </is>
      </c>
      <c r="I35" s="3" t="inlineStr">
        <is>
          <t>gross a year = the sum of every earner’s wage, each annualised from the rhythm they are paid in</t>
        </is>
      </c>
      <c r="J35" s="3" t="inlineStr">
        <is>
          <t>MK-CF-I-001 wage
MK-CF-I-002 how often it is paid
MK-XS-I-021 spouse wage</t>
        </is>
      </c>
      <c r="K35" s="3" t="inlineStr">
        <is>
          <t>dollars, whole a year</t>
        </is>
      </c>
      <c r="L35" s="3" t="inlineStr">
        <is>
          <t>Shows $0 until a wage is entered; the screen offers the door to enter one.</t>
        </is>
      </c>
      <c r="M35" s="3" t="inlineStr">
        <is>
          <t>one figure per household</t>
        </is>
      </c>
      <c r="N35" s="3" t="inlineStr">
        <is>
          <t>a year</t>
        </is>
      </c>
      <c r="O3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5" s="3" t="inlineStr">
        <is>
          <t>Declared by MK-CF-O-001 basePay</t>
        </is>
      </c>
      <c r="Q35" s="3" t="inlineStr">
        <is>
          <t>A wage entered for a rhythm is annualised by that rhythm, never by a flat twelve.</t>
        </is>
      </c>
      <c r="R35" s="3" t="inlineStr">
        <is>
          <t>A wage entered for a rhythm is annualised by that rhythm, never by a flat twelve.</t>
        </is>
      </c>
      <c r="S35" s="3" t="inlineStr"/>
      <c r="T35" s="3" t="inlineStr">
        <is>
          <t>A wage entered for a rhythm is annualised by that rhythm, never by a flat twelve.</t>
        </is>
      </c>
      <c r="U35" s="3" t="inlineStr"/>
      <c r="V35" s="3" t="inlineStr"/>
      <c r="W35" s="3" t="inlineStr"/>
      <c r="X35" s="3" t="inlineStr"/>
      <c r="Y35" s="3" t="inlineStr"/>
      <c r="Z35" s="3" t="inlineStr">
        <is>
          <t>DECLARED IN THE CODE (rule 11) — printed from the door, not typed. RULED 2026-09-14</t>
        </is>
      </c>
      <c r="AA35" s="3" t="inlineStr"/>
      <c r="AB35" s="3" t="inlineStr"/>
      <c r="AC35" s="3" t="inlineStr"/>
      <c r="AD35" s="3" t="inlineStr"/>
      <c r="AE35" s="3" t="inlineStr"/>
      <c r="AF35" s="3" t="inlineStr">
        <is>
          <t>ACTIVE</t>
        </is>
      </c>
      <c r="AG35" s="3" t="inlineStr">
        <is>
          <t>2026-10-11</t>
        </is>
      </c>
      <c r="AH35" s="3" t="inlineStr"/>
      <c r="AI35" s="3" t="inlineStr"/>
      <c r="AJ3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2026-09-14; the figure, its formula, inputs and refusal live in MK-CF-O-001 basePay</t>
        </is>
      </c>
      <c r="AN35" s="3" t="inlineStr">
        <is>
          <t>Two earners filing jointly: $4,200 every two weeks ($109,200/year) and $5,000/month ($60,000), paying $1,200 and $400/month into their 401(k)s — $14,100/month of wages in all. They have typed their tax rate: 22%.
GIVES: $109,200/year
(the test re-runs this through MK-CF-O-001 basePay on every build)</t>
        </is>
      </c>
      <c r="AO35" s="7" t="inlineStr">
        <is>
          <t>RULED, NOT CODED (Q-CF-1 — one question, one function)</t>
        </is>
      </c>
    </row>
    <row r="36" ht="60" customHeight="1">
      <c r="A36" s="3" t="inlineStr">
        <is>
          <t>MK-CF-M-031</t>
        </is>
      </c>
      <c r="B36" s="3" t="inlineStr">
        <is>
          <t>Cashflow</t>
        </is>
      </c>
      <c r="C36" s="3" t="inlineStr">
        <is>
          <t>/base-pay · /cashflow · /income-manager</t>
        </is>
      </c>
      <c r="D36" s="3" t="inlineStr">
        <is>
          <t>Take-home</t>
        </is>
      </c>
      <c r="E36" s="3" t="inlineStr">
        <is>
          <t>takehome</t>
        </is>
      </c>
      <c r="F36" s="3" t="inlineStr">
        <is>
          <t>basePay</t>
        </is>
      </c>
      <c r="G36" s="3" t="inlineStr">
        <is>
          <t>MK-CF-O-001</t>
        </is>
      </c>
      <c r="H36" s="3" t="inlineStr">
        <is>
          <t>for one earner: what they entered, or their gross less federal tax less their own 401(k). For the household: the sum of the earners’ figures, never a second calculation.</t>
        </is>
      </c>
      <c r="I36" s="3" t="inlineStr">
        <is>
          <t>for one earner: what they entered, or their gross less federal tax less their own 401(k). For the household: the sum of the earners’ figures, never a second calculation.</t>
        </is>
      </c>
      <c r="J36" s="3" t="inlineStr">
        <is>
          <t>MK-CF-I-001 wage
MK-CF-I-003 take-home as entered
MK-CF-I-004 401(k) contribution
MK-CF-I-005 tax rate as entered</t>
        </is>
      </c>
      <c r="K36" s="3" t="inlineStr">
        <is>
          <t>dollars, whole a month</t>
        </is>
      </c>
      <c r="L36" s="3" t="inlineStr">
        <is>
          <t>Shows $0 until a wage is entered.</t>
        </is>
      </c>
      <c r="M36" s="3" t="inlineStr">
        <is>
          <t>one figure per household</t>
        </is>
      </c>
      <c r="N36" s="3" t="inlineStr">
        <is>
          <t>a month</t>
        </is>
      </c>
      <c r="O36"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6" s="3" t="inlineStr">
        <is>
          <t>Declared by MK-CF-O-001 basePay</t>
        </is>
      </c>
      <c r="Q36" s="3" t="inlineStr">
        <is>
          <t>Federal income tax only when it is calculated — no Social Security, Medicare or state tax (MK-CF-D-001).</t>
        </is>
      </c>
      <c r="R36" s="3" t="inlineStr">
        <is>
          <t>Federal income tax only when it is calculated — no Social Security, Medicare or state tax (MK-CF-D-001).</t>
        </is>
      </c>
      <c r="S36" s="3" t="inlineStr"/>
      <c r="T36" s="3" t="inlineStr">
        <is>
          <t>Federal income tax only when it is calculated — no Social Security, Medicare or state tax (MK-CF-D-001).</t>
        </is>
      </c>
      <c r="U36" s="3" t="inlineStr">
        <is>
          <t>ONE figure over two sets: one earner, and the household — so a total and its parts cannot disagree (rule 2). It wears ≈ whenever the figure was calculated rather than entered.</t>
        </is>
      </c>
      <c r="V36" s="3" t="inlineStr"/>
      <c r="W36" s="3" t="inlineStr"/>
      <c r="X36" s="3" t="inlineStr"/>
      <c r="Y36" s="3" t="inlineStr"/>
      <c r="Z36" s="3" t="inlineStr">
        <is>
          <t>DECLARED IN THE CODE (rule 11) — printed from the door, not typed. RULED 2026-09-14</t>
        </is>
      </c>
      <c r="AA36" s="3" t="inlineStr"/>
      <c r="AB36" s="3" t="inlineStr"/>
      <c r="AC36" s="3" t="inlineStr"/>
      <c r="AD36" s="3" t="inlineStr"/>
      <c r="AE36" s="3" t="inlineStr"/>
      <c r="AF36" s="3" t="inlineStr">
        <is>
          <t>ACTIVE</t>
        </is>
      </c>
      <c r="AG36" s="3" t="inlineStr">
        <is>
          <t>2026-10-11</t>
        </is>
      </c>
      <c r="AH36" s="3" t="inlineStr"/>
      <c r="AI36" s="3" t="inlineStr"/>
      <c r="AJ3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2026-09-14; the figure, its formula, inputs and refusal live in MK-CF-O-001 basePay</t>
        </is>
      </c>
      <c r="AN36" s="3" t="inlineStr">
        <is>
          <t>Two earners filing jointly: $4,200 every two weeks ($109,200/year) and $5,000/month ($60,000), paying $1,200 and $400/month into their 401(k)s — $14,100/month of wages in all. They have typed their tax rate: 22%.
GIVES: $9,398/month
(the test re-runs this through MK-CF-O-001 basePay on every build)</t>
        </is>
      </c>
      <c r="AO36" s="7" t="inlineStr">
        <is>
          <t>RULED, NOT CODED (Q-CF-1 — one question, one function)</t>
        </is>
      </c>
    </row>
    <row r="37" ht="60" customHeight="1">
      <c r="A37" s="3" t="inlineStr">
        <is>
          <t>MK-CF-M-032</t>
        </is>
      </c>
      <c r="B37" s="3" t="inlineStr">
        <is>
          <t>Cashflow</t>
        </is>
      </c>
      <c r="C37" s="3" t="inlineStr">
        <is>
          <t>/base-pay</t>
        </is>
      </c>
      <c r="D37" s="3" t="inlineStr">
        <is>
          <t>Federal tax bracket</t>
        </is>
      </c>
      <c r="E37" s="3" t="inlineStr">
        <is>
          <t>federal_tax_bracket</t>
        </is>
      </c>
      <c r="F37" s="3" t="inlineStr">
        <is>
          <t>basePay</t>
        </is>
      </c>
      <c r="G37" s="3" t="inlineStr">
        <is>
          <t>MK-CF-O-001</t>
        </is>
      </c>
      <c r="H37" s="3" t="inlineStr">
        <is>
          <t>the published bracket the household’s gross falls in, for their filing status</t>
        </is>
      </c>
      <c r="I37" s="3" t="inlineStr">
        <is>
          <t>the published bracket the household’s gross falls in, for their filing status</t>
        </is>
      </c>
      <c r="J37" s="3" t="inlineStr">
        <is>
          <t>MK-CF-M-030 gross a year
MK-XS-I-024 filing status</t>
        </is>
      </c>
      <c r="K37" s="3" t="inlineStr">
        <is>
          <t>a percentage, whole</t>
        </is>
      </c>
      <c r="L37" s="3" t="inlineStr">
        <is>
          <t>The row is not shown until a wage is entered.</t>
        </is>
      </c>
      <c r="M37" s="3" t="inlineStr">
        <is>
          <t>one figure per household</t>
        </is>
      </c>
      <c r="N37" s="3" t="inlineStr">
        <is>
          <t>as of today</t>
        </is>
      </c>
      <c r="O37"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7" s="3" t="inlineStr">
        <is>
          <t>Declared by MK-CF-O-001 basePay</t>
        </is>
      </c>
      <c r="Q37" s="3" t="inlineStr">
        <is>
          <t>Filing status is assumed to be jointly when two people earn and nobody has said (MK-CF-D-004).</t>
        </is>
      </c>
      <c r="R37" s="3" t="inlineStr">
        <is>
          <t>Filing status is assumed to be jointly when two people earn and nobody has said (MK-CF-D-004).</t>
        </is>
      </c>
      <c r="S37" s="3" t="inlineStr"/>
      <c r="T37" s="3" t="inlineStr">
        <is>
          <t>Filing status is assumed to be jointly when two people earn and nobody has said (MK-CF-D-004).</t>
        </is>
      </c>
      <c r="U37" s="3" t="inlineStr"/>
      <c r="V37" s="3" t="inlineStr"/>
      <c r="W37" s="3" t="inlineStr"/>
      <c r="X37" s="3" t="inlineStr"/>
      <c r="Y37" s="3" t="inlineStr"/>
      <c r="Z37" s="3" t="inlineStr">
        <is>
          <t>DECLARED IN THE CODE (rule 11) — printed from the door, not typed. RULED 2026-09-14</t>
        </is>
      </c>
      <c r="AA37" s="3" t="inlineStr"/>
      <c r="AB37" s="3" t="inlineStr"/>
      <c r="AC37" s="3" t="inlineStr"/>
      <c r="AD37" s="3" t="inlineStr"/>
      <c r="AE37" s="3" t="inlineStr"/>
      <c r="AF37" s="3" t="inlineStr">
        <is>
          <t>ACTIVE</t>
        </is>
      </c>
      <c r="AG37" s="3" t="inlineStr">
        <is>
          <t>2026-10-11</t>
        </is>
      </c>
      <c r="AH37" s="3" t="inlineStr"/>
      <c r="AI37" s="3" t="inlineStr"/>
      <c r="AJ3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2026-09-14; the figure, its formula, inputs and refusal live in MK-CF-O-001 basePay</t>
        </is>
      </c>
      <c r="AN37" s="3" t="inlineStr">
        <is>
          <t>Two earners filing jointly: $4,200 every two weeks ($109,200/year) and $5,000/month ($60,000), paying $1,200 and $400/month into their 401(k)s — $14,100/month of wages in all. They have typed their tax rate: 22%.
GIVES: 22%
(the test re-runs this through MK-CF-O-001 basePay on every build)</t>
        </is>
      </c>
      <c r="AO37" s="7" t="inlineStr">
        <is>
          <t>RULED, NOT CODED (Q-CF-1 — one question, one function)</t>
        </is>
      </c>
    </row>
    <row r="38" ht="60" customHeight="1">
      <c r="A38" s="3" t="inlineStr">
        <is>
          <t>MK-CF-M-033</t>
        </is>
      </c>
      <c r="B38" s="3" t="inlineStr">
        <is>
          <t>Cashflow</t>
        </is>
      </c>
      <c r="C38" s="3" t="inlineStr">
        <is>
          <t>/base-pay</t>
        </is>
      </c>
      <c r="D38" s="3" t="inlineStr">
        <is>
          <t>Calculated federal tax</t>
        </is>
      </c>
      <c r="E38" s="3" t="inlineStr">
        <is>
          <t>calculated_federal_tax</t>
        </is>
      </c>
      <c r="F38" s="3" t="inlineStr">
        <is>
          <t>basePay</t>
        </is>
      </c>
      <c r="G38" s="3" t="inlineStr">
        <is>
          <t>MK-CF-O-001</t>
        </is>
      </c>
      <c r="H38" s="3" t="inlineStr">
        <is>
          <t>tax a month = federal tax on (everything taxable, less the 401(k)s and the standard deduction, at the published bands) ÷ 12 — the same in every month</t>
        </is>
      </c>
      <c r="I38" s="3" t="inlineStr">
        <is>
          <t>tax a month = federal tax on (everything taxable, less the 401(k)s and the standard deduction, at the published bands) ÷ 12 — the same in every month</t>
        </is>
      </c>
      <c r="J38" s="3" t="inlineStr">
        <is>
          <t>MK-CF-M-030 gross a year
MK-XS-I-024 filing status
MK-XS-I-025 how many are over 65</t>
        </is>
      </c>
      <c r="K38" s="3" t="inlineStr">
        <is>
          <t>dollars, whole a month</t>
        </is>
      </c>
      <c r="L38" s="3" t="inlineStr">
        <is>
          <t>The row appears only when the figure is ours; an entered take-home already has tax inside it.</t>
        </is>
      </c>
      <c r="M38" s="3" t="inlineStr">
        <is>
          <t>one figure per household</t>
        </is>
      </c>
      <c r="N38" s="3" t="inlineStr">
        <is>
          <t>a month</t>
        </is>
      </c>
      <c r="O38"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8" s="3" t="inlineStr">
        <is>
          <t>Declared by MK-CF-O-001 basePay</t>
        </is>
      </c>
      <c r="Q38" s="3" t="inlineStr">
        <is>
          <t>Assumes the standard deduction, never itemised (MK-CF-D-002).</t>
        </is>
      </c>
      <c r="R38" s="3" t="inlineStr">
        <is>
          <t>Assumes the standard deduction, never itemised (MK-CF-D-002).</t>
        </is>
      </c>
      <c r="S38" s="3" t="inlineStr"/>
      <c r="T38" s="3" t="inlineStr">
        <is>
          <t>Assumes the standard deduction, never itemised (MK-CF-D-002).</t>
        </is>
      </c>
      <c r="U38" s="3" t="inlineStr"/>
      <c r="V38" s="3" t="inlineStr"/>
      <c r="W38" s="3" t="inlineStr"/>
      <c r="X38" s="3" t="inlineStr"/>
      <c r="Y38" s="3" t="inlineStr"/>
      <c r="Z38" s="3" t="inlineStr">
        <is>
          <t>DECLARED IN THE CODE (rule 11) — printed from the door, not typed. RULED 2026-09-14</t>
        </is>
      </c>
      <c r="AA38" s="3" t="inlineStr"/>
      <c r="AB38" s="3" t="inlineStr"/>
      <c r="AC38" s="3" t="inlineStr"/>
      <c r="AD38" s="3" t="inlineStr"/>
      <c r="AE38" s="3" t="inlineStr"/>
      <c r="AF38" s="3" t="inlineStr">
        <is>
          <t>ACTIVE</t>
        </is>
      </c>
      <c r="AG38" s="3" t="inlineStr">
        <is>
          <t>2026-10-11</t>
        </is>
      </c>
      <c r="AH38" s="3" t="inlineStr"/>
      <c r="AI38" s="3" t="inlineStr"/>
      <c r="AJ3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2026-09-14; the figure, its formula, inputs and refusal live in MK-CF-O-001 basePay</t>
        </is>
      </c>
      <c r="AN38" s="3" t="inlineStr">
        <is>
          <t>Two earners filing jointly: $4,200 every two weeks ($109,200/year) and $5,000/month ($60,000), paying $1,200 and $400/month into their 401(k)s — $14,100/month of wages in all. They have typed their tax rate: 22%.
GIVES: $3,102/month
(the test re-runs this through MK-CF-O-001 basePay on every build)</t>
        </is>
      </c>
      <c r="AO38" s="7" t="inlineStr">
        <is>
          <t>RULED, NOT CODED (Q-CF-1 — one question, one function)</t>
        </is>
      </c>
    </row>
    <row r="39" ht="60" customHeight="1">
      <c r="A39" s="3" t="inlineStr">
        <is>
          <t>MK-CF-M-034</t>
        </is>
      </c>
      <c r="B39" s="3" t="inlineStr">
        <is>
          <t>Cashflow</t>
        </is>
      </c>
      <c r="C39" s="3" t="inlineStr">
        <is>
          <t>/base-pay</t>
        </is>
      </c>
      <c r="D39" s="3" t="inlineStr">
        <is>
          <t>Your 401(k)s</t>
        </is>
      </c>
      <c r="E39" s="3" t="inlineStr">
        <is>
          <t>your_401ks</t>
        </is>
      </c>
      <c r="F39" s="3" t="inlineStr">
        <is>
          <t>basePay</t>
        </is>
      </c>
      <c r="G39" s="3" t="inlineStr">
        <is>
          <t>MK-CF-O-001</t>
        </is>
      </c>
      <c r="H39" s="3" t="inlineStr">
        <is>
          <t>401(k) a month = the sum of every earner’s own contribution, the employer’s match excluded</t>
        </is>
      </c>
      <c r="I39" s="3" t="inlineStr">
        <is>
          <t>401(k) a month = the sum of every earner’s own contribution, the employer’s match excluded</t>
        </is>
      </c>
      <c r="J39" s="3" t="inlineStr">
        <is>
          <t>MK-CF-I-004 401(k) contribution</t>
        </is>
      </c>
      <c r="K39" s="3" t="inlineStr">
        <is>
          <t>dollars, whole a month</t>
        </is>
      </c>
      <c r="L39" s="3" t="inlineStr">
        <is>
          <t>The row is hidden when nobody contributes.</t>
        </is>
      </c>
      <c r="M39" s="3" t="inlineStr">
        <is>
          <t>one figure per household</t>
        </is>
      </c>
      <c r="N39" s="3" t="inlineStr">
        <is>
          <t>a month</t>
        </is>
      </c>
      <c r="O39"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9" s="3" t="inlineStr">
        <is>
          <t>Declared by MK-CF-O-001 basePay</t>
        </is>
      </c>
      <c r="Q39" s="3" t="inlineStr">
        <is>
          <t>The employer’s match is not counted here — it is not taken out of take-home (MK-CF-D-003).</t>
        </is>
      </c>
      <c r="R39" s="3" t="inlineStr">
        <is>
          <t>The employer’s match is not counted here — it is not taken out of take-home (MK-CF-D-003).</t>
        </is>
      </c>
      <c r="S39" s="3" t="inlineStr"/>
      <c r="T39" s="3" t="inlineStr">
        <is>
          <t>The employer’s match is not counted here — it is not taken out of take-home (MK-CF-D-003).</t>
        </is>
      </c>
      <c r="U39" s="3" t="inlineStr"/>
      <c r="V39" s="3" t="inlineStr"/>
      <c r="W39" s="3" t="inlineStr"/>
      <c r="X39" s="3" t="inlineStr"/>
      <c r="Y39" s="3" t="inlineStr"/>
      <c r="Z39" s="3" t="inlineStr">
        <is>
          <t>DECLARED IN THE CODE (rule 11) — printed from the door, not typed. RULED 2026-09-14</t>
        </is>
      </c>
      <c r="AA39" s="3" t="inlineStr"/>
      <c r="AB39" s="3" t="inlineStr"/>
      <c r="AC39" s="3" t="inlineStr"/>
      <c r="AD39" s="3" t="inlineStr"/>
      <c r="AE39" s="3" t="inlineStr"/>
      <c r="AF39" s="3" t="inlineStr">
        <is>
          <t>ACTIVE</t>
        </is>
      </c>
      <c r="AG39" s="3" t="inlineStr">
        <is>
          <t>2026-10-11</t>
        </is>
      </c>
      <c r="AH39" s="3" t="inlineStr"/>
      <c r="AI39" s="3" t="inlineStr"/>
      <c r="AJ3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2026-09-14; the figure, its formula, inputs and refusal live in MK-CF-O-001 basePay</t>
        </is>
      </c>
      <c r="AN39" s="3" t="inlineStr">
        <is>
          <t>Two earners filing jointly: $4,200 every two weeks ($109,200/year) and $5,000/month ($60,000), paying $1,200 and $400/month into their 401(k)s — $14,100/month of wages in all. They have typed their tax rate: 22%.
GIVES: $1,600/month
(the test re-runs this through MK-CF-O-001 basePay on every build)</t>
        </is>
      </c>
      <c r="AO39" s="7" t="inlineStr">
        <is>
          <t>RULED, NOT CODED (Q-CF-1 — one question, one function)</t>
        </is>
      </c>
    </row>
    <row r="40" ht="60" customHeight="1">
      <c r="A40" s="3" t="inlineStr">
        <is>
          <t>MK-CF-M-035</t>
        </is>
      </c>
      <c r="B40" s="3" t="inlineStr">
        <is>
          <t>Cashflow</t>
        </is>
      </c>
      <c r="C40" s="3" t="inlineStr">
        <is>
          <t>/base-pay</t>
        </is>
      </c>
      <c r="D40" s="3" t="inlineStr">
        <is>
          <t>The take-home above is higher than it will really be</t>
        </is>
      </c>
      <c r="E40" s="3" t="inlineStr">
        <is>
          <t>the_takehome_above_is_higher_than_it_wil</t>
        </is>
      </c>
      <c r="F40" s="3" t="inlineStr">
        <is>
          <t>basePay</t>
        </is>
      </c>
      <c r="G40" s="3" t="inlineStr">
        <is>
          <t>MK-CF-O-001</t>
        </is>
      </c>
      <c r="H40" s="3" t="inlineStr">
        <is>
          <t>overstated by = Σ over earners of (Social Security 6.2% of the wage up to the wage base + Medicare 1.45% of the whole wage + 0.9% of the wage above the additional-tax threshold) ÷ 12</t>
        </is>
      </c>
      <c r="I40" s="3" t="inlineStr">
        <is>
          <t>overstated by = Σ over earners of (Social Security 6.2% of the wage up to the wage base + Medicare 1.45% of the whole wage + 0.9% of the wage above the additional-tax threshold) ÷ 12</t>
        </is>
      </c>
      <c r="J40" s="3" t="inlineStr">
        <is>
          <t>MK-CF-I-001 wage
MK-ST-I-030 Social Security wage base
MK-ST-I-031 Medicare additional-tax threshold</t>
        </is>
      </c>
      <c r="K40" s="3" t="inlineStr">
        <is>
          <t>dollars, whole a month</t>
        </is>
      </c>
      <c r="L40" s="3" t="inlineStr">
        <is>
          <t>The warning appears only when the take-home is ours and estimated.</t>
        </is>
      </c>
      <c r="M40" s="3" t="inlineStr">
        <is>
          <t>one figure per household</t>
        </is>
      </c>
      <c r="N40" s="3" t="inlineStr">
        <is>
          <t>a month</t>
        </is>
      </c>
      <c r="O4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0" s="3" t="inlineStr">
        <is>
          <t>Declared by MK-CF-O-001 basePay</t>
        </is>
      </c>
      <c r="Q40" s="3" t="inlineStr">
        <is>
          <t>State tax is not in this figure, because we do not know their state (MK-CF-D-005).</t>
        </is>
      </c>
      <c r="R40" s="3" t="inlineStr">
        <is>
          <t>State tax is not in this figure, because we do not know their state (MK-CF-D-005).</t>
        </is>
      </c>
      <c r="S40" s="3" t="inlineStr"/>
      <c r="T40" s="3" t="inlineStr">
        <is>
          <t>State tax is not in this figure, because we do not know their state (MK-CF-D-005).</t>
        </is>
      </c>
      <c r="U40" s="3" t="inlineStr"/>
      <c r="V40" s="3" t="inlineStr"/>
      <c r="W40" s="3" t="inlineStr"/>
      <c r="X40" s="3" t="inlineStr"/>
      <c r="Y40" s="3" t="inlineStr"/>
      <c r="Z40" s="3" t="inlineStr">
        <is>
          <t>DECLARED IN THE CODE (rule 11) — printed from the door, not typed. RULED 2026-09-14</t>
        </is>
      </c>
      <c r="AA40" s="3" t="inlineStr"/>
      <c r="AB40" s="3" t="inlineStr"/>
      <c r="AC40" s="3" t="inlineStr"/>
      <c r="AD40" s="3" t="inlineStr"/>
      <c r="AE40" s="3" t="inlineStr"/>
      <c r="AF40" s="3" t="inlineStr">
        <is>
          <t>ACTIVE</t>
        </is>
      </c>
      <c r="AG40" s="3" t="inlineStr">
        <is>
          <t>2026-10-11</t>
        </is>
      </c>
      <c r="AH40" s="3" t="inlineStr"/>
      <c r="AI40" s="3" t="inlineStr"/>
      <c r="AJ4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2026-09-14; the figure, its formula, inputs and refusal live in MK-CF-O-001 basePay</t>
        </is>
      </c>
      <c r="AN40" s="3" t="inlineStr">
        <is>
          <t>Two earners filing jointly: $4,200 every two weeks ($109,200/year) and $5,000/month ($60,000), paying $1,200 and $400/month into their 401(k)s — $14,100/month of wages in all. They have told us no tax rate and no take-home, so the take-home shown is ours.
GIVES: $1,079/month
(the test re-runs this through MK-CF-O-001 basePay on every build)</t>
        </is>
      </c>
      <c r="AO40" s="7" t="inlineStr">
        <is>
          <t>RULED, NOT CODED (Q-CF-1 — one question, one function)</t>
        </is>
      </c>
    </row>
    <row r="41" ht="60" customHeight="1">
      <c r="A41" s="3" t="inlineStr">
        <is>
          <t>MK-CF-M-036</t>
        </is>
      </c>
      <c r="B41" s="3" t="inlineStr">
        <is>
          <t>Cashflow</t>
        </is>
      </c>
      <c r="C41" s="3" t="inlineStr">
        <is>
          <t>/base-pay</t>
        </is>
      </c>
      <c r="D41" s="3" t="inlineStr">
        <is>
          <t>Everything else taken out</t>
        </is>
      </c>
      <c r="E41" s="3" t="inlineStr">
        <is>
          <t>everything_else_taken_out</t>
        </is>
      </c>
      <c r="F41" s="3" t="inlineStr">
        <is>
          <t>basePay</t>
        </is>
      </c>
      <c r="G41" s="3" t="inlineStr">
        <is>
          <t>MK-CF-O-001</t>
        </is>
      </c>
      <c r="H41" s="3" t="inlineStr">
        <is>
          <t>for one earner: everything else = (their gross a year − their 401(k) a year − their take-home /year) ÷ 12. For the household: the sum of the earners’ figures, never a second subtraction.</t>
        </is>
      </c>
      <c r="I41" s="3" t="inlineStr">
        <is>
          <t>for one earner: everything else = (their gross a year − their 401(k) a year − their take-home /year) ÷ 12. For the household: the sum of the earners’ figures, never a second subtraction.</t>
        </is>
      </c>
      <c r="J41" s="3" t="inlineStr">
        <is>
          <t>MK-CF-I-001 wage
MK-CF-I-003 take-home as entered
MK-CF-I-004 401(k) contribution</t>
        </is>
      </c>
      <c r="K41" s="3" t="inlineStr">
        <is>
          <t>dollars, whole a month</t>
        </is>
      </c>
      <c r="L41" s="3" t="inlineStr">
        <is>
          <t>The row is hidden for anyone whose take-home was calculated rather than entered; the household row is hidden unless every earner entered one.</t>
        </is>
      </c>
      <c r="M41" s="3" t="inlineStr">
        <is>
          <t>one figure per household</t>
        </is>
      </c>
      <c r="N41" s="3" t="inlineStr">
        <is>
          <t>a month</t>
        </is>
      </c>
      <c r="O4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1" s="3" t="inlineStr">
        <is>
          <t>Declared by MK-CF-O-001 basePay</t>
        </is>
      </c>
      <c r="Q41" s="3" t="inlineStr">
        <is>
          <t>Shown only when the person entered their own take-home, so the difference is theirs and not ours.
The household figure is the sum of the earners’, so a total and its parts cannot disagree (rule 2).</t>
        </is>
      </c>
      <c r="R41" s="3" t="inlineStr">
        <is>
          <t>Shown only when the person entered their own take-home, so the difference is theirs and not ours.
The household figure is the sum of the earners’, so a total and its parts cannot disagree (rule 2).</t>
        </is>
      </c>
      <c r="S41" s="3" t="inlineStr"/>
      <c r="T41" s="3" t="inlineStr">
        <is>
          <t>Shown only when the person entered their own take-home, so the difference is theirs and not ours.
The household figure is the sum of the earners’, so a total and its parts cannot disagree (rule 2).</t>
        </is>
      </c>
      <c r="U41" s="3" t="inlineStr">
        <is>
          <t>ONE figure over two sets: one earner, and the household. Moved off the screen into this door on 2026-09-14 — the base-pay card used to do the subtraction itself (rule 5).</t>
        </is>
      </c>
      <c r="V41" s="3" t="inlineStr"/>
      <c r="W41" s="3" t="inlineStr"/>
      <c r="X41" s="3" t="inlineStr"/>
      <c r="Y41" s="3" t="inlineStr"/>
      <c r="Z41" s="3" t="inlineStr">
        <is>
          <t>DECLARED IN THE CODE (rule 11) — printed from the door, not typed. RULED 2026-09-14</t>
        </is>
      </c>
      <c r="AA41" s="3" t="inlineStr"/>
      <c r="AB41" s="3" t="inlineStr"/>
      <c r="AC41" s="3" t="inlineStr"/>
      <c r="AD41" s="3" t="inlineStr"/>
      <c r="AE41" s="3" t="inlineStr"/>
      <c r="AF41" s="3" t="inlineStr">
        <is>
          <t>ACTIVE</t>
        </is>
      </c>
      <c r="AG41" s="3" t="inlineStr">
        <is>
          <t>2026-10-11</t>
        </is>
      </c>
      <c r="AH41" s="3" t="inlineStr"/>
      <c r="AI41" s="3" t="inlineStr"/>
      <c r="AJ4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2026-09-14; the figure, its formula, inputs and refusal live in MK-CF-O-001 basePay</t>
        </is>
      </c>
      <c r="AN41" s="3" t="inlineStr">
        <is>
          <t>Two earners filing jointly: $4,200 every two weeks ($109,200/year) and $5,000/month ($60,000), paying $1,200 and $400/month into their 401(k)s — $14,100/month of wages in all. Each has typed their take-home each month: $5,850 and $3,400.
GIVES: $3,250/month
(the test re-runs this through MK-CF-O-001 basePay on every build)</t>
        </is>
      </c>
      <c r="AO41" s="7" t="inlineStr">
        <is>
          <t>RULED, NOT CODED (Q-CF-1 — one question, one function)</t>
        </is>
      </c>
    </row>
    <row r="42" ht="60" customHeight="1">
      <c r="A42" s="3" t="inlineStr">
        <is>
          <t>MK-CF-M-037</t>
        </is>
      </c>
      <c r="B42" s="3" t="inlineStr">
        <is>
          <t>Cashflow</t>
        </is>
      </c>
      <c r="C42" s="3" t="inlineStr">
        <is>
          <t>/income-summary · /income-manager</t>
        </is>
      </c>
      <c r="D42" s="3" t="inlineStr">
        <is>
          <t>Take-home each month</t>
        </is>
      </c>
      <c r="E42" s="3" t="inlineStr">
        <is>
          <t>takehome_each_month</t>
        </is>
      </c>
      <c r="F42" s="3" t="inlineStr">
        <is>
          <t>incomeSummary</t>
        </is>
      </c>
      <c r="G42" s="3" t="inlineStr">
        <is>
          <t>MK-CF-O-004</t>
        </is>
      </c>
      <c r="H42" s="3" t="inlineStr">
        <is>
          <t>take-home a usual month = Σ of every source’s take-home in a usual month; a source that lands in one month of the year is not spread across twelve</t>
        </is>
      </c>
      <c r="I42" s="3" t="inlineStr">
        <is>
          <t>take-home a usual month = Σ of every source’s take-home in a usual month; a source that lands in one month of the year is not spread across twelve</t>
        </is>
      </c>
      <c r="J42" s="3" t="inlineStr">
        <is>
          <t>MK-CF-M-031 household take-home
MK-CF-I-006 other income
MK-CF-I-007 rental income
MK-CF-I-008 retirement income</t>
        </is>
      </c>
      <c r="K42" s="3" t="inlineStr">
        <is>
          <t>dollars, whole a month</t>
        </is>
      </c>
      <c r="L42" s="3" t="inlineStr">
        <is>
          <t>Shows $0 on a fresh account, with the door to enter income — never a dash.</t>
        </is>
      </c>
      <c r="M42" s="3" t="inlineStr">
        <is>
          <t>one figure per household</t>
        </is>
      </c>
      <c r="N42" s="3" t="inlineStr">
        <is>
          <t>a month</t>
        </is>
      </c>
      <c r="O4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2" s="3" t="inlineStr">
        <is>
          <t>Declared by MK-CF-O-004 incomeSummary</t>
        </is>
      </c>
      <c r="Q42" s="3" t="inlineStr">
        <is>
          <t>A once-a-year source keeps its own month and is shown separately, never averaged in.</t>
        </is>
      </c>
      <c r="R42" s="3" t="inlineStr">
        <is>
          <t>A once-a-year source keeps its own month and is shown separately, never averaged in.</t>
        </is>
      </c>
      <c r="S42" s="3" t="inlineStr"/>
      <c r="T42" s="3" t="inlineStr">
        <is>
          <t>A once-a-year source keeps its own month and is shown separately, never averaged in.</t>
        </is>
      </c>
      <c r="U42" s="3" t="inlineStr">
        <is>
          <t>FOUND BY THE WORKED EXAMPLE AND FIXED THE SAME DAY, 2026-09-28. This total read $9,798/month while the two take-home lines beneath it (MK-CF-M-038) added to $9,398 — $400 apart, exactly the spouse's monthly 401(k). MK-CF-F-060 salaryGrossByMonth sums EVERY earner's wage (his ruling, 2026-08-27) but the 401(k) taken off that household gross was written as the first earner's alone, so a spouse's was never subtracted — the take-home read too high by their contribution, and the taxable base too. NOT A NEW QUESTION: he ruled this on 2026-09-12 on income-end-to-end v07 — "one card disagreeing with itself; corrected to the take-home line" — and the correction reached the mock and not the code. Now MK-CF-F-206 householdK401ByMonth counts every earner in the months that earner is paid, and src/__tests__/guard_total_agrees_with_its_lines.test.ts holds the ruling. The six personas all passed throughout because none had a spouse with their own wage AND their own 401(k); twoEarnersBoth401k now does.</t>
        </is>
      </c>
      <c r="V42" s="3" t="inlineStr"/>
      <c r="W42" s="3" t="inlineStr"/>
      <c r="X42" s="3" t="inlineStr"/>
      <c r="Y42" s="3" t="inlineStr"/>
      <c r="Z42" s="3" t="inlineStr">
        <is>
          <t>DECLARED IN THE CODE (rule 11) — printed from the door, not typed. RULED 2026-09-14</t>
        </is>
      </c>
      <c r="AA42" s="3" t="inlineStr"/>
      <c r="AB42" s="3" t="inlineStr"/>
      <c r="AC42" s="3" t="inlineStr"/>
      <c r="AD42" s="3" t="inlineStr"/>
      <c r="AE42" s="3" t="inlineStr"/>
      <c r="AF42" s="3" t="inlineStr">
        <is>
          <t>ACTIVE</t>
        </is>
      </c>
      <c r="AG42" s="3" t="inlineStr">
        <is>
          <t>2026-10-11</t>
        </is>
      </c>
      <c r="AH42" s="3" t="inlineStr"/>
      <c r="AI42" s="3" t="inlineStr"/>
      <c r="AJ4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2026-09-14; the figure, its formula, inputs and refusal live in MK-CF-O-004 incomeSummary</t>
        </is>
      </c>
      <c r="AN42" s="3" t="inlineStr">
        <is>
          <t>Two earners filing jointly: $4,200 every two weeks ($109,200/year) and $5,000/month ($60,000), paying $1,200 and $400/month into their 401(k)s, with the tax rate typed at 22%.
GIVES: $9,398/month
(the test re-runs this through MK-CF-O-004 incomeSummary on every build)</t>
        </is>
      </c>
      <c r="AO42" s="7" t="inlineStr">
        <is>
          <t>RULED, NOT CODED (Q-CF-1 — one question, one function)</t>
        </is>
      </c>
    </row>
    <row r="43" ht="60" customHeight="1">
      <c r="A43" s="3" t="inlineStr">
        <is>
          <t>MK-CF-M-038</t>
        </is>
      </c>
      <c r="B43" s="3" t="inlineStr">
        <is>
          <t>Cashflow</t>
        </is>
      </c>
      <c r="C43" s="3" t="inlineStr">
        <is>
          <t>/income-summary</t>
        </is>
      </c>
      <c r="D43" s="3" t="inlineStr">
        <is>
          <t>each source of take-home</t>
        </is>
      </c>
      <c r="E43" s="3" t="inlineStr">
        <is>
          <t>each_source_of_takehome</t>
        </is>
      </c>
      <c r="F43" s="3" t="inlineStr">
        <is>
          <t>incomeSummary</t>
        </is>
      </c>
      <c r="G43" s="3" t="inlineStr">
        <is>
          <t>MK-CF-O-004</t>
        </is>
      </c>
      <c r="H43" s="3" t="inlineStr">
        <is>
          <t>one line per source: the earner’s take-home, or the source’s monthly amount</t>
        </is>
      </c>
      <c r="I43" s="3" t="inlineStr">
        <is>
          <t>one line per source: the earner’s take-home, or the source’s monthly amount</t>
        </is>
      </c>
      <c r="J43" s="3" t="inlineStr">
        <is>
          <t>MK-CF-M-031 household take-home
MK-CF-I-006 other income
MK-CF-I-007 rental income</t>
        </is>
      </c>
      <c r="K43" s="3" t="inlineStr">
        <is>
          <t>dollars, whole a month</t>
        </is>
      </c>
      <c r="L43" s="3" t="inlineStr">
        <is>
          <t>The list is replaced by the door to enter income when nothing is entered.</t>
        </is>
      </c>
      <c r="M43" s="3" t="inlineStr">
        <is>
          <t>one figure per household</t>
        </is>
      </c>
      <c r="N43" s="3" t="inlineStr">
        <is>
          <t>a month</t>
        </is>
      </c>
      <c r="O4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3" s="3" t="inlineStr">
        <is>
          <t>Declared by MK-CF-O-004 incomeSummary</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2026-09-14</t>
        </is>
      </c>
      <c r="AA43" s="3" t="inlineStr"/>
      <c r="AB43" s="3" t="inlineStr"/>
      <c r="AC43" s="3" t="inlineStr"/>
      <c r="AD43" s="3" t="inlineStr"/>
      <c r="AE43" s="3" t="inlineStr"/>
      <c r="AF43" s="3" t="inlineStr">
        <is>
          <t>ACTIVE</t>
        </is>
      </c>
      <c r="AG43" s="3" t="inlineStr">
        <is>
          <t>2026-10-11</t>
        </is>
      </c>
      <c r="AH43" s="3" t="inlineStr"/>
      <c r="AI43" s="3" t="inlineStr"/>
      <c r="AJ4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2026-09-14; the figure, its formula, inputs and refusal live in MK-CF-O-004 incomeSummary</t>
        </is>
      </c>
      <c r="AN43" s="3" t="inlineStr">
        <is>
          <t>Two earners filing jointly: $4,200 every two weeks ($109,200/year) and $5,000/month ($60,000), paying $1,200 and $400/month into their 401(k)s, with the tax rate typed at 22%.
GIVES: $5,898/month
(the test re-runs this through MK-CF-O-004 incomeSummary on every build)</t>
        </is>
      </c>
      <c r="AO43" s="7" t="inlineStr">
        <is>
          <t>RULED, NOT CODED (Q-CF-1 — one question, one function)</t>
        </is>
      </c>
    </row>
    <row r="44" ht="60" customHeight="1">
      <c r="A44" s="3" t="inlineStr">
        <is>
          <t>MK-CF-M-039</t>
        </is>
      </c>
      <c r="B44" s="3" t="inlineStr">
        <is>
          <t>Cashflow</t>
        </is>
      </c>
      <c r="C44" s="3" t="inlineStr">
        <is>
          <t>/income-summary · /income-manager</t>
        </is>
      </c>
      <c r="D44" s="3" t="inlineStr">
        <is>
          <t>its own month, never spread</t>
        </is>
      </c>
      <c r="E44" s="3" t="inlineStr">
        <is>
          <t>its_own_month_never_spread</t>
        </is>
      </c>
      <c r="F44" s="3" t="inlineStr">
        <is>
          <t>incomeSummary</t>
        </is>
      </c>
      <c r="G44" s="3" t="inlineStr">
        <is>
          <t>MK-CF-O-004</t>
        </is>
      </c>
      <c r="H44" s="3" t="inlineStr">
        <is>
          <t>the standout month = the source whose whole year lands in a single month, with that amount and that month</t>
        </is>
      </c>
      <c r="I44" s="3" t="inlineStr">
        <is>
          <t>the standout month = the source whose whole year lands in a single month, with that amount and that month</t>
        </is>
      </c>
      <c r="J44" s="3" t="inlineStr">
        <is>
          <t>MK-CF-I-009 bonus
MK-CF-I-010 equity vesting</t>
        </is>
      </c>
      <c r="K44" s="3" t="inlineStr">
        <is>
          <t>dollars, whole</t>
        </is>
      </c>
      <c r="L44" s="3" t="inlineStr">
        <is>
          <t>The line is hidden when no source behaves this way.</t>
        </is>
      </c>
      <c r="M44" s="3" t="inlineStr">
        <is>
          <t>one figure per household</t>
        </is>
      </c>
      <c r="N44" s="3" t="inlineStr">
        <is>
          <t>as of today</t>
        </is>
      </c>
      <c r="O44"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4" s="3" t="inlineStr">
        <is>
          <t>Declared by MK-CF-O-004 incomeSummary</t>
        </is>
      </c>
      <c r="Q44" s="3" t="inlineStr">
        <is>
          <t>A lump that lands once is never averaged across the year (founder, 2026-08-28).</t>
        </is>
      </c>
      <c r="R44" s="3" t="inlineStr">
        <is>
          <t>A lump that lands once is never averaged across the year (founder, 2026-08-28).</t>
        </is>
      </c>
      <c r="S44" s="3" t="inlineStr"/>
      <c r="T44" s="3" t="inlineStr">
        <is>
          <t>A lump that lands once is never averaged across the year (founder, 2026-08-28).</t>
        </is>
      </c>
      <c r="U44" s="3" t="inlineStr"/>
      <c r="V44" s="3" t="inlineStr"/>
      <c r="W44" s="3" t="inlineStr"/>
      <c r="X44" s="3" t="inlineStr"/>
      <c r="Y44" s="3" t="inlineStr"/>
      <c r="Z44" s="3" t="inlineStr">
        <is>
          <t>DECLARED IN THE CODE (rule 11) — printed from the door, not typed. RULED 2026-09-14</t>
        </is>
      </c>
      <c r="AA44" s="3" t="inlineStr"/>
      <c r="AB44" s="3" t="inlineStr"/>
      <c r="AC44" s="3" t="inlineStr"/>
      <c r="AD44" s="3" t="inlineStr"/>
      <c r="AE44" s="3" t="inlineStr"/>
      <c r="AF44" s="3" t="inlineStr">
        <is>
          <t>ACTIVE</t>
        </is>
      </c>
      <c r="AG44" s="3" t="inlineStr">
        <is>
          <t>2026-10-11</t>
        </is>
      </c>
      <c r="AH44" s="3" t="inlineStr"/>
      <c r="AI44" s="3" t="inlineStr"/>
      <c r="AJ4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2026-09-14; the figure, its formula, inputs and refusal live in MK-CF-O-004 incomeSummary</t>
        </is>
      </c>
      <c r="AN44" s="3" t="inlineStr">
        <is>
          <t>The two earners above, plus $24,000/year of self-employment, a $12,000 bonus in March, 50 shares vesting at $400, a rental bringing in $2,000/month against $800 of costs, and $2,100/month of Social Security.
GIVES: $40,316
(the test re-runs this through MK-CF-O-004 incomeSummary on every build)</t>
        </is>
      </c>
      <c r="AO44" s="7" t="inlineStr">
        <is>
          <t>RULED, NOT CODED (Q-CF-1 — one question, one function)</t>
        </is>
      </c>
    </row>
    <row r="45" ht="60" customHeight="1">
      <c r="A45" s="3" t="inlineStr">
        <is>
          <t>MK-CF-M-040</t>
        </is>
      </c>
      <c r="B45" s="3" t="inlineStr">
        <is>
          <t>Cashflow</t>
        </is>
      </c>
      <c r="C45" s="3" t="inlineStr">
        <is>
          <t>/income-summary</t>
        </is>
      </c>
      <c r="D45" s="3" t="inlineStr">
        <is>
          <t>is not here — it is reinvested where it is earned</t>
        </is>
      </c>
      <c r="E45" s="3" t="inlineStr">
        <is>
          <t>is_not_here__it_is_reinvested_where_it_i</t>
        </is>
      </c>
      <c r="F45" s="3" t="inlineStr">
        <is>
          <t>incomeSummary</t>
        </is>
      </c>
      <c r="G45" s="3" t="inlineStr">
        <is>
          <t>MK-CF-O-004</t>
        </is>
      </c>
      <c r="H45" s="3" t="inlineStr">
        <is>
          <t>taxed but not landed = interest and dividends earned inside accounts, which stay where they are earned</t>
        </is>
      </c>
      <c r="I45" s="3" t="inlineStr">
        <is>
          <t>taxed but not landed = interest and dividends earned inside accounts, which stay where they are earned</t>
        </is>
      </c>
      <c r="J45" s="3" t="inlineStr">
        <is>
          <t>MK-CF-I-011 interest and dividends</t>
        </is>
      </c>
      <c r="K45" s="3" t="inlineStr">
        <is>
          <t>dollars, whole a month</t>
        </is>
      </c>
      <c r="L45" s="3" t="inlineStr">
        <is>
          <t>The sentence is hidden when there is none.</t>
        </is>
      </c>
      <c r="M45" s="3" t="inlineStr">
        <is>
          <t>one figure per household</t>
        </is>
      </c>
      <c r="N45" s="3" t="inlineStr">
        <is>
          <t>a month</t>
        </is>
      </c>
      <c r="O45"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5" s="3" t="inlineStr">
        <is>
          <t>Declared by MK-CF-O-004 incomeSummary</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2026-09-14</t>
        </is>
      </c>
      <c r="AA45" s="3" t="inlineStr"/>
      <c r="AB45" s="3" t="inlineStr"/>
      <c r="AC45" s="3" t="inlineStr"/>
      <c r="AD45" s="3" t="inlineStr"/>
      <c r="AE45" s="3" t="inlineStr"/>
      <c r="AF45" s="3" t="inlineStr">
        <is>
          <t>ACTIVE</t>
        </is>
      </c>
      <c r="AG45" s="3" t="inlineStr">
        <is>
          <t>2026-10-11</t>
        </is>
      </c>
      <c r="AH45" s="3" t="inlineStr"/>
      <c r="AI45" s="3" t="inlineStr"/>
      <c r="AJ4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2026-09-14; the figure, its formula, inputs and refusal live in MK-CF-O-004 incomeSummary</t>
        </is>
      </c>
      <c r="AN45" s="3" t="inlineStr">
        <is>
          <t>The two earners above, with $3,600/year of interest and dividends earned inside their accounts and left there.
GIVES: $300/month
(the test re-runs this through MK-CF-O-004 incomeSummary on every build)</t>
        </is>
      </c>
      <c r="AO45" s="7" t="inlineStr">
        <is>
          <t>RULED, NOT CODED (Q-CF-1 — one question, one function)</t>
        </is>
      </c>
    </row>
    <row r="46" ht="60" customHeight="1">
      <c r="A46" s="3" t="inlineStr">
        <is>
          <t>MK-CF-M-041</t>
        </is>
      </c>
      <c r="B46" s="3" t="inlineStr">
        <is>
          <t>Cashflow</t>
        </is>
      </c>
      <c r="C46" s="3" t="inlineStr">
        <is>
          <t>/income-summary</t>
        </is>
      </c>
      <c r="D46" s="3" t="inlineStr">
        <is>
          <t>What it is taxed on</t>
        </is>
      </c>
      <c r="E46" s="3" t="inlineStr">
        <is>
          <t>what_it_is_taxed_on</t>
        </is>
      </c>
      <c r="F46" s="3" t="inlineStr">
        <is>
          <t>incomeSummary</t>
        </is>
      </c>
      <c r="G46" s="3" t="inlineStr">
        <is>
          <t>MK-CF-O-004</t>
        </is>
      </c>
      <c r="H46" s="3" t="inlineStr">
        <is>
          <t>gross a year = Σ of every taxable source over the year, wages included at gross</t>
        </is>
      </c>
      <c r="I46" s="3" t="inlineStr">
        <is>
          <t>gross a year = Σ of every taxable source over the year, wages included at gross</t>
        </is>
      </c>
      <c r="J46" s="3" t="inlineStr">
        <is>
          <t>MK-CF-M-030 gross a year
MK-CF-I-006 other income
MK-CF-I-007 rental income
MK-CF-I-011 interest and dividends</t>
        </is>
      </c>
      <c r="K46" s="3" t="inlineStr">
        <is>
          <t>dollars, whole a year</t>
        </is>
      </c>
      <c r="L46" s="3" t="inlineStr">
        <is>
          <t>Shows $0 on a fresh account, with the door to enter income.</t>
        </is>
      </c>
      <c r="M46" s="3" t="inlineStr">
        <is>
          <t>one figure per household</t>
        </is>
      </c>
      <c r="N46" s="3" t="inlineStr">
        <is>
          <t>a year</t>
        </is>
      </c>
      <c r="O46"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6" s="3" t="inlineStr">
        <is>
          <t>Declared by MK-CF-O-004 incomeSummary</t>
        </is>
      </c>
      <c r="Q46" s="3" t="inlineStr">
        <is>
          <t>NONE RECORDED — the declaration names none.</t>
        </is>
      </c>
      <c r="R46" s="3" t="inlineStr">
        <is>
          <t>NONE RECORDED — the declaration names none.</t>
        </is>
      </c>
      <c r="S46" s="3" t="inlineStr"/>
      <c r="T46" s="3" t="inlineStr">
        <is>
          <t>NONE RECORDED — the declaration names none.</t>
        </is>
      </c>
      <c r="U46" s="3" t="inlineStr"/>
      <c r="V46" s="3" t="inlineStr"/>
      <c r="W46" s="3" t="inlineStr"/>
      <c r="X46" s="3" t="inlineStr"/>
      <c r="Y46" s="3" t="inlineStr"/>
      <c r="Z46" s="3" t="inlineStr">
        <is>
          <t>DECLARED IN THE CODE (rule 11) — printed from the door, not typed. RULED 2026-09-14</t>
        </is>
      </c>
      <c r="AA46" s="3" t="inlineStr"/>
      <c r="AB46" s="3" t="inlineStr"/>
      <c r="AC46" s="3" t="inlineStr"/>
      <c r="AD46" s="3" t="inlineStr"/>
      <c r="AE46" s="3" t="inlineStr"/>
      <c r="AF46" s="3" t="inlineStr">
        <is>
          <t>ACTIVE</t>
        </is>
      </c>
      <c r="AG46" s="3" t="inlineStr">
        <is>
          <t>2026-10-11</t>
        </is>
      </c>
      <c r="AH46" s="3" t="inlineStr"/>
      <c r="AI46" s="3" t="inlineStr"/>
      <c r="AJ4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2026-09-14; the figure, its formula, inputs and refusal live in MK-CF-O-004 incomeSummary</t>
        </is>
      </c>
      <c r="AN46" s="3" t="inlineStr">
        <is>
          <t>Two earners filing jointly: $4,200 every two weeks ($109,200/year) and $5,000/month ($60,000), paying $1,200 and $400/month into their 401(k)s, with the tax rate typed at 22%.
GIVES: $169,200/year
(the test re-runs this through MK-CF-O-004 incomeSummary on every build)</t>
        </is>
      </c>
      <c r="AO46" s="7" t="inlineStr">
        <is>
          <t>RULED, NOT CODED (Q-CF-1 — one question, one function)</t>
        </is>
      </c>
    </row>
    <row r="47" ht="60" customHeight="1">
      <c r="A47" s="3" t="inlineStr">
        <is>
          <t>MK-CF-M-042</t>
        </is>
      </c>
      <c r="B47" s="3" t="inlineStr">
        <is>
          <t>Cashflow</t>
        </is>
      </c>
      <c r="C47" s="3" t="inlineStr">
        <is>
          <t>/income-summary</t>
        </is>
      </c>
      <c r="D47" s="3" t="inlineStr">
        <is>
          <t>each taxed source</t>
        </is>
      </c>
      <c r="E47" s="3" t="inlineStr">
        <is>
          <t>each_taxed_source</t>
        </is>
      </c>
      <c r="F47" s="3" t="inlineStr">
        <is>
          <t>incomeSummary</t>
        </is>
      </c>
      <c r="G47" s="3" t="inlineStr">
        <is>
          <t>MK-CF-O-004</t>
        </is>
      </c>
      <c r="H47" s="3" t="inlineStr">
        <is>
          <t>one line per taxable source, at its yearly amount</t>
        </is>
      </c>
      <c r="I47" s="3" t="inlineStr">
        <is>
          <t>one line per taxable source, at its yearly amount</t>
        </is>
      </c>
      <c r="J47" s="3" t="inlineStr">
        <is>
          <t>MK-CF-M-041 gross a year</t>
        </is>
      </c>
      <c r="K47" s="3" t="inlineStr">
        <is>
          <t>dollars, whole a year</t>
        </is>
      </c>
      <c r="L47" s="3" t="inlineStr">
        <is>
          <t>The list is replaced by the door to enter income when nothing is entered.</t>
        </is>
      </c>
      <c r="M47" s="3" t="inlineStr">
        <is>
          <t>one figure per household</t>
        </is>
      </c>
      <c r="N47" s="3" t="inlineStr">
        <is>
          <t>a year</t>
        </is>
      </c>
      <c r="O4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7" s="3" t="inlineStr">
        <is>
          <t>Declared by MK-CF-O-004 incomeSummary</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2026-09-14</t>
        </is>
      </c>
      <c r="AA47" s="3" t="inlineStr"/>
      <c r="AB47" s="3" t="inlineStr"/>
      <c r="AC47" s="3" t="inlineStr"/>
      <c r="AD47" s="3" t="inlineStr"/>
      <c r="AE47" s="3" t="inlineStr"/>
      <c r="AF47" s="3" t="inlineStr">
        <is>
          <t>ACTIVE</t>
        </is>
      </c>
      <c r="AG47" s="3" t="inlineStr">
        <is>
          <t>2026-10-11</t>
        </is>
      </c>
      <c r="AH47" s="3" t="inlineStr"/>
      <c r="AI47" s="3" t="inlineStr"/>
      <c r="AJ4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2026-09-14; the figure, its formula, inputs and refusal live in MK-CF-O-004 incomeSummary</t>
        </is>
      </c>
      <c r="AN47" s="3" t="inlineStr">
        <is>
          <t>Two earners filing jointly: $4,200 every two weeks ($109,200/year) and $5,000/month ($60,000), paying $1,200 and $400/month into their 401(k)s, with the tax rate typed at 22%.
GIVES: $109,200/year
(the test re-runs this through MK-CF-O-004 incomeSummary on every build)</t>
        </is>
      </c>
      <c r="AO47" s="7" t="inlineStr">
        <is>
          <t>RULED, NOT CODED (Q-CF-1 — one question, one function)</t>
        </is>
      </c>
    </row>
    <row r="48" ht="60" customHeight="1">
      <c r="A48" s="3" t="inlineStr">
        <is>
          <t>MK-CF-M-043</t>
        </is>
      </c>
      <c r="B48" s="3" t="inlineStr">
        <is>
          <t>Cashflow</t>
        </is>
      </c>
      <c r="C48" s="3" t="inlineStr">
        <is>
          <t>/income-summary</t>
        </is>
      </c>
      <c r="D48" s="3" t="inlineStr">
        <is>
          <t>Federal tax bracket</t>
        </is>
      </c>
      <c r="E48" s="3" t="inlineStr">
        <is>
          <t>federal_tax_bracket</t>
        </is>
      </c>
      <c r="F48" s="3" t="inlineStr">
        <is>
          <t>incomeSummary</t>
        </is>
      </c>
      <c r="G48" s="3" t="inlineStr">
        <is>
          <t>MK-CF-O-004</t>
        </is>
      </c>
      <c r="H48" s="3" t="inlineStr">
        <is>
          <t>the published bracket that the whole year’s gross falls in, for their filing status</t>
        </is>
      </c>
      <c r="I48" s="3" t="inlineStr">
        <is>
          <t>the published bracket that the whole year’s gross falls in, for their filing status</t>
        </is>
      </c>
      <c r="J48" s="3" t="inlineStr">
        <is>
          <t>MK-CF-M-041 gross a year
MK-XS-I-024 filing status</t>
        </is>
      </c>
      <c r="K48" s="3" t="inlineStr">
        <is>
          <t>a percentage, whole</t>
        </is>
      </c>
      <c r="L48" s="3" t="inlineStr">
        <is>
          <t>The row is not shown until income is entered.</t>
        </is>
      </c>
      <c r="M48" s="3" t="inlineStr">
        <is>
          <t>one figure per household</t>
        </is>
      </c>
      <c r="N48" s="3" t="inlineStr">
        <is>
          <t>as of today</t>
        </is>
      </c>
      <c r="O4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8" s="3" t="inlineStr">
        <is>
          <t>Declared by MK-CF-O-004 incomeSummary</t>
        </is>
      </c>
      <c r="Q48" s="3" t="inlineStr">
        <is>
          <t>NONE RECORDED — the declaration names none.</t>
        </is>
      </c>
      <c r="R48" s="3" t="inlineStr">
        <is>
          <t>NONE RECORDED — the declaration names none.</t>
        </is>
      </c>
      <c r="S48" s="3" t="inlineStr"/>
      <c r="T48" s="3" t="inlineStr">
        <is>
          <t>NONE RECORDED — the declaration names none.</t>
        </is>
      </c>
      <c r="U48" s="3" t="inlineStr">
        <is>
          <t>The same concept as MK-CF-M-032 on the base-pay screen, over a wider base: that one counts wages, this one counts every source. Conflict C-5 on the orchestrator map asks whether they stay two figures.</t>
        </is>
      </c>
      <c r="V48" s="3" t="inlineStr"/>
      <c r="W48" s="3" t="inlineStr"/>
      <c r="X48" s="3" t="inlineStr"/>
      <c r="Y48" s="3" t="inlineStr"/>
      <c r="Z48" s="3" t="inlineStr">
        <is>
          <t>DECLARED IN THE CODE (rule 11) — printed from the door, not typed. RULED 2026-09-14</t>
        </is>
      </c>
      <c r="AA48" s="3" t="inlineStr"/>
      <c r="AB48" s="3" t="inlineStr"/>
      <c r="AC48" s="3" t="inlineStr"/>
      <c r="AD48" s="3" t="inlineStr"/>
      <c r="AE48" s="3" t="inlineStr"/>
      <c r="AF48" s="3" t="inlineStr">
        <is>
          <t>ACTIVE</t>
        </is>
      </c>
      <c r="AG48" s="3" t="inlineStr">
        <is>
          <t>2026-10-11</t>
        </is>
      </c>
      <c r="AH48" s="3" t="inlineStr"/>
      <c r="AI48" s="3" t="inlineStr"/>
      <c r="AJ4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2026-09-14; the figure, its formula, inputs and refusal live in MK-CF-O-004 incomeSummary</t>
        </is>
      </c>
      <c r="AN48" s="3" t="inlineStr">
        <is>
          <t>Two earners filing jointly: $4,200 every two weeks ($109,200/year) and $5,000/month ($60,000), paying $1,200 and $400/month into their 401(k)s, with the tax rate typed at 22%.
GIVES: 22%
(the test re-runs this through MK-CF-O-004 incomeSummary on every build)</t>
        </is>
      </c>
      <c r="AO48" s="7" t="inlineStr">
        <is>
          <t>RULED, NOT CODED (Q-CF-1 — one question, one function)</t>
        </is>
      </c>
    </row>
    <row r="49" ht="60" customHeight="1">
      <c r="A49" s="3" t="inlineStr">
        <is>
          <t>MK-CF-M-044</t>
        </is>
      </c>
      <c r="B49" s="3" t="inlineStr">
        <is>
          <t>Cashflow</t>
        </is>
      </c>
      <c r="C49" s="3" t="inlineStr">
        <is>
          <t>/income-summary</t>
        </is>
      </c>
      <c r="D49" s="3" t="inlineStr">
        <is>
          <t>Calculated federal tax</t>
        </is>
      </c>
      <c r="E49" s="3" t="inlineStr">
        <is>
          <t>calculated_federal_tax</t>
        </is>
      </c>
      <c r="F49" s="3" t="inlineStr">
        <is>
          <t>incomeSummary</t>
        </is>
      </c>
      <c r="G49" s="3" t="inlineStr">
        <is>
          <t>MK-CF-O-004</t>
        </is>
      </c>
      <c r="H49" s="3" t="inlineStr">
        <is>
          <t>tax a year = the rate in force × the year’s gross; when it is ours, federal tax on gross less the standard deduction at the published bands</t>
        </is>
      </c>
      <c r="I49" s="3" t="inlineStr">
        <is>
          <t>tax a year = the rate in force × the year’s gross; when it is ours, federal tax on gross less the standard deduction at the published bands</t>
        </is>
      </c>
      <c r="J49" s="3" t="inlineStr">
        <is>
          <t>MK-CF-M-041 gross a year
MK-CF-I-005 tax rate as entered
MK-XS-I-024 filing status</t>
        </is>
      </c>
      <c r="K49" s="3" t="inlineStr">
        <is>
          <t>dollars, whole a year</t>
        </is>
      </c>
      <c r="L49" s="3" t="inlineStr">
        <is>
          <t>The row is not shown until income is entered.</t>
        </is>
      </c>
      <c r="M49" s="3" t="inlineStr">
        <is>
          <t>one figure per household</t>
        </is>
      </c>
      <c r="N49" s="3" t="inlineStr">
        <is>
          <t>a year</t>
        </is>
      </c>
      <c r="O4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9" s="3" t="inlineStr">
        <is>
          <t>Declared by MK-CF-O-004 incomeSummary</t>
        </is>
      </c>
      <c r="Q49" s="3" t="inlineStr">
        <is>
          <t>When it is ours it assumes the standard deduction and is federal only (MK-CF-D-002).</t>
        </is>
      </c>
      <c r="R49" s="3" t="inlineStr">
        <is>
          <t>When it is ours it assumes the standard deduction and is federal only (MK-CF-D-002).</t>
        </is>
      </c>
      <c r="S49" s="3" t="inlineStr"/>
      <c r="T49" s="3" t="inlineStr">
        <is>
          <t>When it is ours it assumes the standard deduction and is federal only (MK-CF-D-002).</t>
        </is>
      </c>
      <c r="U49" s="3" t="inlineStr"/>
      <c r="V49" s="3" t="inlineStr"/>
      <c r="W49" s="3" t="inlineStr"/>
      <c r="X49" s="3" t="inlineStr"/>
      <c r="Y49" s="3" t="inlineStr"/>
      <c r="Z49" s="3" t="inlineStr">
        <is>
          <t>DECLARED IN THE CODE (rule 11) — printed from the door, not typed. RULED 2026-09-14</t>
        </is>
      </c>
      <c r="AA49" s="3" t="inlineStr"/>
      <c r="AB49" s="3" t="inlineStr"/>
      <c r="AC49" s="3" t="inlineStr"/>
      <c r="AD49" s="3" t="inlineStr"/>
      <c r="AE49" s="3" t="inlineStr"/>
      <c r="AF49" s="3" t="inlineStr">
        <is>
          <t>ACTIVE</t>
        </is>
      </c>
      <c r="AG49" s="3" t="inlineStr">
        <is>
          <t>2026-10-11</t>
        </is>
      </c>
      <c r="AH49" s="3" t="inlineStr"/>
      <c r="AI49" s="3" t="inlineStr"/>
      <c r="AJ4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2026-09-14; the figure, its formula, inputs and refusal live in MK-CF-O-004 incomeSummary</t>
        </is>
      </c>
      <c r="AN49" s="3" t="inlineStr">
        <is>
          <t>Two earners filing jointly: $4,200 every two weeks ($109,200/year) and $5,000/month ($60,000), paying $1,200 and $400/month into their 401(k)s, with the tax rate typed at 22%.
GIVES: $37,224/year
(the test re-runs this through MK-CF-O-004 incomeSummary on every build)</t>
        </is>
      </c>
      <c r="AO49" s="7" t="inlineStr">
        <is>
          <t>RULED, NOT CODED (Q-CF-1 — one question, one function)</t>
        </is>
      </c>
    </row>
    <row r="50" ht="60" customHeight="1">
      <c r="A50" s="3" t="inlineStr">
        <is>
          <t>MK-CF-M-045</t>
        </is>
      </c>
      <c r="B50" s="3" t="inlineStr">
        <is>
          <t>Cashflow</t>
        </is>
      </c>
      <c r="C50" s="3" t="inlineStr">
        <is>
          <t>/base-pay</t>
        </is>
      </c>
      <c r="D50" s="3" t="inlineStr">
        <is>
          <t>Social Security takes 6.2% of a wage up to</t>
        </is>
      </c>
      <c r="E50" s="3" t="inlineStr">
        <is>
          <t>social_security_takes_62_of_a_wage_up_to</t>
        </is>
      </c>
      <c r="F50" s="3" t="inlineStr">
        <is>
          <t>basePay</t>
        </is>
      </c>
      <c r="G50" s="3" t="inlineStr">
        <is>
          <t>MK-CF-O-001</t>
        </is>
      </c>
      <c r="H50" s="3" t="inlineStr">
        <is>
          <t>the published wage base for the tax year</t>
        </is>
      </c>
      <c r="I50" s="3" t="inlineStr">
        <is>
          <t>the published wage base for the tax year</t>
        </is>
      </c>
      <c r="J50" s="3" t="inlineStr">
        <is>
          <t>MK-ST-I-030 Social Security wage base</t>
        </is>
      </c>
      <c r="K50" s="3" t="inlineStr">
        <is>
          <t>dollars, whole a year</t>
        </is>
      </c>
      <c r="L50" s="3" t="inlineStr">
        <is>
          <t>Never absent — it is a published figure, not a calculation.</t>
        </is>
      </c>
      <c r="M50" s="3" t="inlineStr">
        <is>
          <t>one figure per household</t>
        </is>
      </c>
      <c r="N50" s="3" t="inlineStr">
        <is>
          <t>a year</t>
        </is>
      </c>
      <c r="O5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0" s="3" t="inlineStr">
        <is>
          <t>Declared by MK-CF-O-001 basePay</t>
        </is>
      </c>
      <c r="Q50" s="3" t="inlineStr">
        <is>
          <t>Published figure — the source and the year it applies to are on the master file’s Reference tab (guard D4).</t>
        </is>
      </c>
      <c r="R50" s="3" t="inlineStr">
        <is>
          <t>Published figure — the source and the year it applies to are on the master file’s Reference tab (guard D4).</t>
        </is>
      </c>
      <c r="S50" s="3" t="inlineStr"/>
      <c r="T50" s="3" t="inlineStr">
        <is>
          <t>Published figure — the source and the year it applies to are on the master file’s Reference tab (guard D4).</t>
        </is>
      </c>
      <c r="U50" s="3" t="inlineStr"/>
      <c r="V50" s="3" t="inlineStr"/>
      <c r="W50" s="3" t="inlineStr"/>
      <c r="X50" s="3" t="inlineStr"/>
      <c r="Y50" s="3" t="inlineStr"/>
      <c r="Z50" s="3" t="inlineStr">
        <is>
          <t>DECLARED IN THE CODE (rule 11) — printed from the door, not typed. RULED 2026-09-14</t>
        </is>
      </c>
      <c r="AA50" s="3" t="inlineStr"/>
      <c r="AB50" s="3" t="inlineStr"/>
      <c r="AC50" s="3" t="inlineStr"/>
      <c r="AD50" s="3" t="inlineStr"/>
      <c r="AE50" s="3" t="inlineStr"/>
      <c r="AF50" s="3" t="inlineStr">
        <is>
          <t>ACTIVE</t>
        </is>
      </c>
      <c r="AG50" s="3" t="inlineStr">
        <is>
          <t>2026-10-11</t>
        </is>
      </c>
      <c r="AH50" s="3" t="inlineStr"/>
      <c r="AI50" s="3" t="inlineStr"/>
      <c r="AJ5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2026-09-14; the figure, its formula, inputs and refusal live in MK-CF-O-001 basePay</t>
        </is>
      </c>
      <c r="AN50" s="3" t="inlineStr">
        <is>
          <t>The payroll-tax figures Congress publishes for the 2026 tax year — not a calculation, and not ours to choose; they are read back so the sentence on screen can be checked against the law.
GIVES: $184,500/year
(the test re-runs this through MK-CF-O-001 basePay on every build)</t>
        </is>
      </c>
      <c r="AO50" s="7" t="inlineStr">
        <is>
          <t>RULED, NOT CODED (Q-CF-1 — one question, one function)</t>
        </is>
      </c>
    </row>
    <row r="51" ht="60" customHeight="1">
      <c r="A51" s="3" t="inlineStr">
        <is>
          <t>MK-CF-M-046</t>
        </is>
      </c>
      <c r="B51" s="3" t="inlineStr">
        <is>
          <t>Cashflow</t>
        </is>
      </c>
      <c r="C51" s="3" t="inlineStr">
        <is>
          <t>/base-pay</t>
        </is>
      </c>
      <c r="D51" s="3" t="inlineStr">
        <is>
          <t>Medicare 1.45% of everything, 0.9% more above</t>
        </is>
      </c>
      <c r="E51" s="3" t="inlineStr">
        <is>
          <t>medicare_145_of_everything_09_more_above</t>
        </is>
      </c>
      <c r="F51" s="3" t="inlineStr">
        <is>
          <t>basePay</t>
        </is>
      </c>
      <c r="G51" s="3" t="inlineStr">
        <is>
          <t>MK-CF-O-001</t>
        </is>
      </c>
      <c r="H51" s="3" t="inlineStr">
        <is>
          <t>the published additional-Medicare-tax threshold for the tax year</t>
        </is>
      </c>
      <c r="I51" s="3" t="inlineStr">
        <is>
          <t>the published additional-Medicare-tax threshold for the tax year</t>
        </is>
      </c>
      <c r="J51" s="3" t="inlineStr">
        <is>
          <t>MK-ST-I-031 Medicare additional-tax threshold</t>
        </is>
      </c>
      <c r="K51" s="3" t="inlineStr">
        <is>
          <t>dollars, whole a year</t>
        </is>
      </c>
      <c r="L51" s="3" t="inlineStr">
        <is>
          <t>Never absent — it is a published figure, not a calculation.</t>
        </is>
      </c>
      <c r="M51" s="3" t="inlineStr">
        <is>
          <t>one figure per household</t>
        </is>
      </c>
      <c r="N51" s="3" t="inlineStr">
        <is>
          <t>a year</t>
        </is>
      </c>
      <c r="O5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1" s="3" t="inlineStr">
        <is>
          <t>Declared by MK-CF-O-001 basePay</t>
        </is>
      </c>
      <c r="Q51" s="3" t="inlineStr">
        <is>
          <t>Published figure — the source and the year it applies to are on the master file’s Reference tab (guard D4).</t>
        </is>
      </c>
      <c r="R51" s="3" t="inlineStr">
        <is>
          <t>Published figure — the source and the year it applies to are on the master file’s Reference tab (guard D4).</t>
        </is>
      </c>
      <c r="S51" s="3" t="inlineStr"/>
      <c r="T51" s="3" t="inlineStr">
        <is>
          <t>Published figure — the source and the year it applies to are on the master file’s Reference tab (guard D4).</t>
        </is>
      </c>
      <c r="U51" s="3" t="inlineStr"/>
      <c r="V51" s="3" t="inlineStr"/>
      <c r="W51" s="3" t="inlineStr"/>
      <c r="X51" s="3" t="inlineStr"/>
      <c r="Y51" s="3" t="inlineStr"/>
      <c r="Z51" s="3" t="inlineStr">
        <is>
          <t>DECLARED IN THE CODE (rule 11) — printed from the door, not typed. RULED 2026-09-14</t>
        </is>
      </c>
      <c r="AA51" s="3" t="inlineStr"/>
      <c r="AB51" s="3" t="inlineStr"/>
      <c r="AC51" s="3" t="inlineStr"/>
      <c r="AD51" s="3" t="inlineStr"/>
      <c r="AE51" s="3" t="inlineStr"/>
      <c r="AF51" s="3" t="inlineStr">
        <is>
          <t>ACTIVE</t>
        </is>
      </c>
      <c r="AG51" s="3" t="inlineStr">
        <is>
          <t>2026-10-11</t>
        </is>
      </c>
      <c r="AH51" s="3" t="inlineStr"/>
      <c r="AI51" s="3" t="inlineStr"/>
      <c r="AJ5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2026-09-14; the figure, its formula, inputs and refusal live in MK-CF-O-001 basePay</t>
        </is>
      </c>
      <c r="AN51" s="3" t="inlineStr">
        <is>
          <t>The payroll-tax figures Congress publishes for the 2026 tax year — not a calculation, and not ours to choose; they are read back so the sentence on screen can be checked against the law.
GIVES: $200,000/year
(the test re-runs this through MK-CF-O-001 basePay on every build)</t>
        </is>
      </c>
      <c r="AO51" s="7" t="inlineStr">
        <is>
          <t>RULED, NOT CODED (Q-CF-1 — one question, one function)</t>
        </is>
      </c>
    </row>
    <row r="52" ht="60" customHeight="1">
      <c r="A52" s="3" t="inlineStr">
        <is>
          <t>MK-CF-M-047</t>
        </is>
      </c>
      <c r="B52" s="3" t="inlineStr">
        <is>
          <t>Cashflow</t>
        </is>
      </c>
      <c r="C52" s="3" t="inlineStr">
        <is>
          <t>/cashflow</t>
        </is>
      </c>
      <c r="D52" s="3" t="inlineStr">
        <is>
          <t>Expected inflow</t>
        </is>
      </c>
      <c r="E52" s="3" t="inlineStr">
        <is>
          <t>expected_inflow</t>
        </is>
      </c>
      <c r="F52" s="3" t="inlineStr">
        <is>
          <t>thisMonth</t>
        </is>
      </c>
      <c r="G52" s="3" t="inlineStr">
        <is>
          <t>MK-CF-O-003</t>
        </is>
      </c>
      <c r="H52" s="3" t="inlineStr">
        <is>
          <t>expected inflow = Σ of every income source that lands in this month, at its take-home amount; a source that lands once a year counts only in the month it lands</t>
        </is>
      </c>
      <c r="I52" s="3" t="inlineStr">
        <is>
          <t>expected inflow = Σ of every income source that lands in this month, at its take-home amount; a source that lands once a year counts only in the month it lands</t>
        </is>
      </c>
      <c r="J52" s="3" t="inlineStr">
        <is>
          <t>MK-CF-M-037 take-home each month
MK-CF-I-006 other income
MK-CF-I-007 rental income
MK-CF-I-008 retirement income</t>
        </is>
      </c>
      <c r="K52" s="3" t="inlineStr">
        <is>
          <t>dollars, whole a month</t>
        </is>
      </c>
      <c r="L52" s="3" t="inlineStr">
        <is>
          <t>Shows $0 until income is entered, with the door to enter it.</t>
        </is>
      </c>
      <c r="M52" s="3" t="inlineStr">
        <is>
          <t>one figure per household per month</t>
        </is>
      </c>
      <c r="N52" s="3" t="inlineStr">
        <is>
          <t>a month</t>
        </is>
      </c>
      <c r="O52" s="3" t="inlineStr">
        <is>
          <t>1. MK-CF-F-005 (actualMonthFlow) → MonthBlock
2. MK-CF-F-156 (plannedMonthFlow) → MonthBlock</t>
        </is>
      </c>
      <c r="P52" s="3" t="inlineStr">
        <is>
          <t>Declared by MK-CF-O-003 thisMonth</t>
        </is>
      </c>
      <c r="Q52" s="3" t="inlineStr">
        <is>
          <t>A month is a real calendar month, never a twelfth of a year (founder, 2026-08-28).</t>
        </is>
      </c>
      <c r="R52" s="3" t="inlineStr">
        <is>
          <t>A month is a real calendar month, never a twelfth of a year (founder, 2026-08-28).</t>
        </is>
      </c>
      <c r="S52" s="3" t="inlineStr"/>
      <c r="T52" s="3" t="inlineStr">
        <is>
          <t>A month is a real calendar month, never a twelfth of a year (founder, 2026-08-28).</t>
        </is>
      </c>
      <c r="U52" s="3" t="inlineStr"/>
      <c r="V52" s="3" t="inlineStr"/>
      <c r="W52" s="3" t="inlineStr">
        <is>
          <t>yes</t>
        </is>
      </c>
      <c r="X52" s="3" t="inlineStr"/>
      <c r="Y52" s="3" t="inlineStr"/>
      <c r="Z52" s="3" t="inlineStr">
        <is>
          <t>DRAFT — declared in the code and printed here, WAITING FOR YOUR VERDICT before the screens move behind the door (rule 10)</t>
        </is>
      </c>
      <c r="AA52" s="3" t="inlineStr"/>
      <c r="AB52" s="3" t="inlineStr"/>
      <c r="AC52" s="3" t="inlineStr"/>
      <c r="AD52" s="3" t="inlineStr"/>
      <c r="AE52" s="3" t="inlineStr"/>
      <c r="AF52" s="3" t="inlineStr">
        <is>
          <t>ACTIVE</t>
        </is>
      </c>
      <c r="AG52" s="3" t="inlineStr">
        <is>
          <t>2026-10-11</t>
        </is>
      </c>
      <c r="AH52" s="3" t="inlineStr"/>
      <c r="AI52" s="3" t="inlineStr"/>
      <c r="AJ5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RULED? NOT YET — read this row and say yes, or say what changes. Nothing moves behind MK-CF-O-003 thisMonth until you do.</t>
        </is>
      </c>
      <c r="AN52" s="3" t="inlineStr">
        <is>
          <t>September 2026: $7,200 take-home; a $2,400 mortgage and a $250 car loan due; a $3,400 budget. Logged so far: $2,300 rent, $512 groceries, $186 eating out, and the $250 car loan paid.
GIVES: $7,200/month
(the test re-runs this through MK-CF-O-003 thisMonth on every build)</t>
        </is>
      </c>
      <c r="AO52" s="9" t="inlineStr">
        <is>
          <t>WAITING ON YOU — row to approve: say yes in YOUR ANSWER, or say what changes · RULED, NOT CODED (Q-CF-2 — one question, one function)</t>
        </is>
      </c>
    </row>
    <row r="53" ht="60" customHeight="1">
      <c r="A53" s="3" t="inlineStr">
        <is>
          <t>MK-CF-M-048</t>
        </is>
      </c>
      <c r="B53" s="3" t="inlineStr">
        <is>
          <t>Cashflow</t>
        </is>
      </c>
      <c r="C53" s="3" t="inlineStr">
        <is>
          <t>/cashflow</t>
        </is>
      </c>
      <c r="D53" s="3" t="inlineStr">
        <is>
          <t>Planned outflow (expenses + debt)</t>
        </is>
      </c>
      <c r="E53" s="3" t="inlineStr">
        <is>
          <t>planned_outflow_expenses__debt</t>
        </is>
      </c>
      <c r="F53" s="3" t="inlineStr">
        <is>
          <t>thisMonth</t>
        </is>
      </c>
      <c r="G53" s="3" t="inlineStr">
        <is>
          <t>MK-CF-O-003</t>
        </is>
      </c>
      <c r="H53" s="3" t="inlineStr">
        <is>
          <t>planned outflow = planned everyday expenses + Σ of the debt payments due this month + Σ of the big bills that fall in this month</t>
        </is>
      </c>
      <c r="I53" s="3" t="inlineStr">
        <is>
          <t>planned outflow = planned everyday expenses + Σ of the debt payments due this month + Σ of the big bills that fall in this month</t>
        </is>
      </c>
      <c r="J53" s="3" t="inlineStr">
        <is>
          <t>MK-CF-I-012 planned expenses
MK-CF-I-013 debt payment
MK-CF-I-014 big bill</t>
        </is>
      </c>
      <c r="K53" s="3" t="inlineStr">
        <is>
          <t>dollars, whole a month</t>
        </is>
      </c>
      <c r="L53" s="3" t="inlineStr">
        <is>
          <t>Shows $0 until expenses or debts are entered.</t>
        </is>
      </c>
      <c r="M53" s="3" t="inlineStr">
        <is>
          <t>one figure per household per month</t>
        </is>
      </c>
      <c r="N53" s="3" t="inlineStr">
        <is>
          <t>a month</t>
        </is>
      </c>
      <c r="O53" s="3" t="inlineStr">
        <is>
          <t>1. MK-CF-F-005 (actualMonthFlow) → MonthBlock
2. MK-CF-F-156 (plannedMonthFlow) → MonthBlock</t>
        </is>
      </c>
      <c r="P53" s="3" t="inlineStr">
        <is>
          <t>Declared by MK-CF-O-003 thisMonth</t>
        </is>
      </c>
      <c r="Q53" s="3" t="inlineStr">
        <is>
          <t>A debt payment is counted as an outflow, not as saving (founder, 2026-06-21).
A bill that falls once a year is shown in its own month, never spread.</t>
        </is>
      </c>
      <c r="R53" s="3" t="inlineStr">
        <is>
          <t>A debt payment is counted as an outflow, not as saving (founder, 2026-06-21).
A bill that falls once a year is shown in its own month, never spread.</t>
        </is>
      </c>
      <c r="S53" s="3" t="inlineStr"/>
      <c r="T53" s="3" t="inlineStr">
        <is>
          <t>A debt payment is counted as an outflow, not as saving (founder, 2026-06-21).
A bill that falls once a year is shown in its own month, never spread.</t>
        </is>
      </c>
      <c r="U53" s="3" t="inlineStr"/>
      <c r="V53" s="3" t="inlineStr"/>
      <c r="W53" s="3" t="inlineStr">
        <is>
          <t>yes</t>
        </is>
      </c>
      <c r="X53" s="3" t="inlineStr"/>
      <c r="Y53" s="3" t="inlineStr"/>
      <c r="Z53" s="3" t="inlineStr">
        <is>
          <t>DRAFT — declared in the code and printed here, WAITING FOR YOUR VERDICT before the screens move behind the door (rule 10)</t>
        </is>
      </c>
      <c r="AA53" s="3" t="inlineStr"/>
      <c r="AB53" s="3" t="inlineStr"/>
      <c r="AC53" s="3" t="inlineStr"/>
      <c r="AD53" s="3" t="inlineStr"/>
      <c r="AE53" s="3" t="inlineStr"/>
      <c r="AF53" s="3" t="inlineStr">
        <is>
          <t>ACTIVE</t>
        </is>
      </c>
      <c r="AG53" s="3" t="inlineStr">
        <is>
          <t>2026-10-11</t>
        </is>
      </c>
      <c r="AH53" s="3" t="inlineStr"/>
      <c r="AI53" s="3" t="inlineStr"/>
      <c r="AJ5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RULED? NOT YET — read this row and say yes, or say what changes. Nothing moves behind MK-CF-O-003 thisMonth until you do.</t>
        </is>
      </c>
      <c r="AN53" s="3" t="inlineStr">
        <is>
          <t>September 2026: $7,200 take-home; a $2,400 mortgage and a $250 car loan due; a $3,400 budget. Logged so far: $2,300 rent, $512 groceries, $186 eating out, and the $250 car loan paid.
GIVES: -$6,050/month
(the test re-runs this through MK-CF-O-003 thisMonth on every build)</t>
        </is>
      </c>
      <c r="AO53" s="9" t="inlineStr">
        <is>
          <t>WAITING ON YOU — row to approve: say yes in YOUR ANSWER, or say what changes · RULED, NOT CODED (Q-CF-2 — one question, one function)</t>
        </is>
      </c>
    </row>
    <row r="54" ht="60" customHeight="1">
      <c r="A54" s="3" t="inlineStr">
        <is>
          <t>MK-CF-M-049</t>
        </is>
      </c>
      <c r="B54" s="3" t="inlineStr">
        <is>
          <t>Cashflow</t>
        </is>
      </c>
      <c r="C54" s="3" t="inlineStr">
        <is>
          <t>/cashflow</t>
        </is>
      </c>
      <c r="D54" s="3">
        <f> Planned surplus</f>
        <v/>
      </c>
      <c r="E54" s="3" t="inlineStr">
        <is>
          <t>planned_surplus</t>
        </is>
      </c>
      <c r="F54" s="3" t="inlineStr">
        <is>
          <t>thisMonth</t>
        </is>
      </c>
      <c r="G54" s="3" t="inlineStr">
        <is>
          <t>MK-CF-O-003</t>
        </is>
      </c>
      <c r="H54" s="3" t="inlineStr">
        <is>
          <t>planned surplus = expected inflow − planned outflow</t>
        </is>
      </c>
      <c r="I54" s="3" t="inlineStr">
        <is>
          <t>planned surplus = expected inflow − planned outflow</t>
        </is>
      </c>
      <c r="J54" s="3" t="inlineStr">
        <is>
          <t>MK-CF-M-047 expected inflow
MK-CF-M-048 planned outflow</t>
        </is>
      </c>
      <c r="K54" s="3" t="inlineStr">
        <is>
          <t>dollars, whole a month</t>
        </is>
      </c>
      <c r="L54" s="3" t="inlineStr">
        <is>
          <t>Shows $0 until both sides are entered.</t>
        </is>
      </c>
      <c r="M54" s="3" t="inlineStr">
        <is>
          <t>one figure per household per month</t>
        </is>
      </c>
      <c r="N54" s="3" t="inlineStr">
        <is>
          <t>a month</t>
        </is>
      </c>
      <c r="O54" s="3" t="inlineStr">
        <is>
          <t>1. MK-CF-F-005 (actualMonthFlow) → MonthBlock
2. MK-CF-F-156 (plannedMonthFlow) → MonthBlock</t>
        </is>
      </c>
      <c r="P54" s="3" t="inlineStr">
        <is>
          <t>Declared by MK-CF-O-003 thisMonth</t>
        </is>
      </c>
      <c r="Q54" s="3" t="inlineStr">
        <is>
          <t>NONE RECORDED — the declaration names none.</t>
        </is>
      </c>
      <c r="R54" s="3" t="inlineStr">
        <is>
          <t>NONE RECORDED — the declaration names none.</t>
        </is>
      </c>
      <c r="S54" s="3" t="inlineStr"/>
      <c r="T54" s="3" t="inlineStr">
        <is>
          <t>NONE RECORDED — the declaration names none.</t>
        </is>
      </c>
      <c r="U54" s="3" t="inlineStr">
        <is>
          <t>The Cash flow screen used to subtract this itself (rule 5). It is the door’s figure now.</t>
        </is>
      </c>
      <c r="V54" s="3" t="inlineStr"/>
      <c r="W54" s="3" t="inlineStr"/>
      <c r="X54" s="3" t="inlineStr"/>
      <c r="Y54" s="3" t="inlineStr"/>
      <c r="Z54" s="3" t="inlineStr">
        <is>
          <t>DRAFT — declared in the code and printed here, WAITING FOR YOUR VERDICT before the screens move behind the door (rule 10)</t>
        </is>
      </c>
      <c r="AA54" s="3" t="inlineStr"/>
      <c r="AB54" s="3" t="inlineStr"/>
      <c r="AC54" s="3" t="inlineStr"/>
      <c r="AD54" s="3" t="inlineStr"/>
      <c r="AE54" s="3" t="inlineStr"/>
      <c r="AF54" s="3" t="inlineStr">
        <is>
          <t>ACTIVE</t>
        </is>
      </c>
      <c r="AG54" s="3" t="inlineStr">
        <is>
          <t>2026-10-11</t>
        </is>
      </c>
      <c r="AH54" s="3" t="inlineStr"/>
      <c r="AI54" s="3" t="inlineStr"/>
      <c r="AJ5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RULED? NOT YET — read this row and say yes, or say what changes. Nothing moves behind MK-CF-O-003 thisMonth until you do.</t>
        </is>
      </c>
      <c r="AN54" s="3" t="inlineStr">
        <is>
          <t>September 2026: $7,200 take-home; a $2,400 mortgage and a $250 car loan due; a $3,400 budget. Logged so far: $2,300 rent, $512 groceries, $186 eating out, and the $250 car loan paid.
GIVES: $1,150/month
(the test re-runs this through MK-CF-O-003 thisMonth on every build)</t>
        </is>
      </c>
      <c r="AO54" s="9" t="inlineStr">
        <is>
          <t>WAITING ON YOU — row to approve: say yes in YOUR ANSWER, or say what changes · RULED, NOT CODED (Q-CF-2 — one question, one function)</t>
        </is>
      </c>
    </row>
    <row r="55" ht="60" customHeight="1">
      <c r="A55" s="3" t="inlineStr">
        <is>
          <t>MK-CF-M-050</t>
        </is>
      </c>
      <c r="B55" s="3" t="inlineStr">
        <is>
          <t>Cashflow</t>
        </is>
      </c>
      <c r="C55" s="3" t="inlineStr">
        <is>
          <t>/cashflow</t>
        </is>
      </c>
      <c r="D55" s="3" t="inlineStr">
        <is>
          <t>each planned line</t>
        </is>
      </c>
      <c r="E55" s="3" t="inlineStr">
        <is>
          <t>each_planned_line</t>
        </is>
      </c>
      <c r="F55" s="3" t="inlineStr">
        <is>
          <t>thisMonth</t>
        </is>
      </c>
      <c r="G55" s="3" t="inlineStr">
        <is>
          <t>MK-CF-O-003</t>
        </is>
      </c>
      <c r="H55" s="3" t="inlineStr">
        <is>
          <t>one line per source or commitment that falls in this month, at its amount for this month</t>
        </is>
      </c>
      <c r="I55" s="3" t="inlineStr">
        <is>
          <t>one line per source or commitment that falls in this month, at its amount for this month</t>
        </is>
      </c>
      <c r="J55" s="3" t="inlineStr">
        <is>
          <t>MK-CF-M-047 expected inflow
MK-CF-M-048 planned outflow</t>
        </is>
      </c>
      <c r="K55" s="3" t="inlineStr">
        <is>
          <t>dollars, whole a month</t>
        </is>
      </c>
      <c r="L55" s="3" t="inlineStr">
        <is>
          <t>The list is replaced by the door to enter income or expenses when nothing is entered.</t>
        </is>
      </c>
      <c r="M55" s="3" t="inlineStr">
        <is>
          <t>one figure per line per month</t>
        </is>
      </c>
      <c r="N55" s="3" t="inlineStr">
        <is>
          <t>a month</t>
        </is>
      </c>
      <c r="O55" s="3" t="inlineStr">
        <is>
          <t>1. MK-CF-F-005 (actualMonthFlow) → MonthBlock
2. MK-CF-F-156 (plannedMonthFlow) → MonthBlock</t>
        </is>
      </c>
      <c r="P55" s="3" t="inlineStr">
        <is>
          <t>Declared by MK-CF-O-003 thisMonth</t>
        </is>
      </c>
      <c r="Q55" s="3" t="inlineStr">
        <is>
          <t>NONE RECORDED — the declaration names none.</t>
        </is>
      </c>
      <c r="R55" s="3" t="inlineStr">
        <is>
          <t>NONE RECORDED — the declaration names none.</t>
        </is>
      </c>
      <c r="S55" s="3" t="inlineStr"/>
      <c r="T55" s="3" t="inlineStr">
        <is>
          <t>NONE RECORDED — the declaration names none.</t>
        </is>
      </c>
      <c r="U55" s="3" t="inlineStr"/>
      <c r="V55" s="3" t="inlineStr"/>
      <c r="W55" s="3" t="inlineStr"/>
      <c r="X55" s="3" t="inlineStr"/>
      <c r="Y55" s="3" t="inlineStr"/>
      <c r="Z55" s="3" t="inlineStr">
        <is>
          <t>DRAFT — declared in the code and printed here, WAITING FOR YOUR VERDICT before the screens move behind the door (rule 10)</t>
        </is>
      </c>
      <c r="AA55" s="3" t="inlineStr"/>
      <c r="AB55" s="3" t="inlineStr"/>
      <c r="AC55" s="3" t="inlineStr"/>
      <c r="AD55" s="3" t="inlineStr"/>
      <c r="AE55" s="3" t="inlineStr"/>
      <c r="AF55" s="3" t="inlineStr">
        <is>
          <t>ACTIVE</t>
        </is>
      </c>
      <c r="AG55" s="3" t="inlineStr">
        <is>
          <t>2026-10-11</t>
        </is>
      </c>
      <c r="AH55" s="3" t="inlineStr"/>
      <c r="AI55" s="3" t="inlineStr"/>
      <c r="AJ5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RULED? NOT YET — read this row and say yes, or say what changes. Nothing moves behind MK-CF-O-003 thisMonth until you do.</t>
        </is>
      </c>
      <c r="AN55" s="3" t="inlineStr">
        <is>
          <t>September 2026: $7,200 take-home; a $2,400 mortgage and a $250 car loan due; a $3,400 budget. Logged so far: $2,300 rent, $512 groceries, $186 eating out, and the $250 car loan paid.
GIVES: -$2,400/month
(the test re-runs this through MK-CF-O-003 thisMonth on every build)</t>
        </is>
      </c>
      <c r="AO55" s="9" t="inlineStr">
        <is>
          <t>WAITING ON YOU — row to approve: say yes in YOUR ANSWER, or say what changes · RULED, NOT CODED (Q-CF-2 — one question, one function)</t>
        </is>
      </c>
    </row>
    <row r="56" ht="60" customHeight="1">
      <c r="A56" s="3" t="inlineStr">
        <is>
          <t>MK-CF-M-051</t>
        </is>
      </c>
      <c r="B56" s="3" t="inlineStr">
        <is>
          <t>Cashflow</t>
        </is>
      </c>
      <c r="C56" s="3" t="inlineStr">
        <is>
          <t>/cashflow · /home</t>
        </is>
      </c>
      <c r="D56" s="3" t="inlineStr">
        <is>
          <t>Inflow</t>
        </is>
      </c>
      <c r="E56" s="3" t="inlineStr">
        <is>
          <t>inflow</t>
        </is>
      </c>
      <c r="F56" s="3" t="inlineStr">
        <is>
          <t>thisMonth</t>
        </is>
      </c>
      <c r="G56" s="3" t="inlineStr">
        <is>
          <t>MK-CF-O-003</t>
        </is>
      </c>
      <c r="H56" s="3" t="inlineStr">
        <is>
          <t>inflow so far = Σ of the income recorded as received in this month up to today</t>
        </is>
      </c>
      <c r="I56" s="3" t="inlineStr">
        <is>
          <t>inflow so far = Σ of the income recorded as received in this month up to today</t>
        </is>
      </c>
      <c r="J56" s="3" t="inlineStr">
        <is>
          <t>MK-CF-I-015 income recorded as received</t>
        </is>
      </c>
      <c r="K56" s="3" t="inlineStr">
        <is>
          <t>dollars, whole a month</t>
        </is>
      </c>
      <c r="L56" s="3" t="inlineStr">
        <is>
          <t>Shows $0 until something is recorded as received.</t>
        </is>
      </c>
      <c r="M56" s="3" t="inlineStr">
        <is>
          <t>one figure per household per month</t>
        </is>
      </c>
      <c r="N56" s="3" t="inlineStr">
        <is>
          <t>a month</t>
        </is>
      </c>
      <c r="O56" s="3" t="inlineStr">
        <is>
          <t>1. MK-CF-F-005 (actualMonthFlow) → MonthBlock
2. MK-CF-F-156 (plannedMonthFlow) → MonthBlock</t>
        </is>
      </c>
      <c r="P56" s="3" t="inlineStr">
        <is>
          <t>Declared by MK-CF-O-003 thisMonth</t>
        </is>
      </c>
      <c r="Q56" s="3" t="inlineStr">
        <is>
          <t>Nothing is assumed to have arrived; a source counts only once it is recorded (founder, 2026-08-28).</t>
        </is>
      </c>
      <c r="R56" s="3" t="inlineStr">
        <is>
          <t>Nothing is assumed to have arrived; a source counts only once it is recorded (founder, 2026-08-28).</t>
        </is>
      </c>
      <c r="S56" s="3" t="inlineStr"/>
      <c r="T56" s="3" t="inlineStr">
        <is>
          <t>Nothing is assumed to have arrived; a source counts only once it is recorded (founder, 2026-08-28).</t>
        </is>
      </c>
      <c r="U56" s="3" t="inlineStr">
        <is>
          <t>The words beside it name what is inside it — "Inflow (income (take-home) + rent)" — his cluster 5 ruling of 2026-09-10.</t>
        </is>
      </c>
      <c r="V56" s="3" t="inlineStr"/>
      <c r="W56" s="3" t="inlineStr"/>
      <c r="X56" s="3" t="inlineStr"/>
      <c r="Y56" s="3" t="inlineStr"/>
      <c r="Z56" s="3" t="inlineStr">
        <is>
          <t>DRAFT — declared in the code and printed here, WAITING FOR YOUR VERDICT before the screens move behind the door (rule 10)</t>
        </is>
      </c>
      <c r="AA56" s="3" t="inlineStr"/>
      <c r="AB56" s="3" t="inlineStr"/>
      <c r="AC56" s="3" t="inlineStr"/>
      <c r="AD56" s="3" t="inlineStr"/>
      <c r="AE56" s="3" t="inlineStr"/>
      <c r="AF56" s="3" t="inlineStr">
        <is>
          <t>ACTIVE</t>
        </is>
      </c>
      <c r="AG56" s="3" t="inlineStr">
        <is>
          <t>2026-10-11</t>
        </is>
      </c>
      <c r="AH56" s="3" t="inlineStr"/>
      <c r="AI56" s="3" t="inlineStr"/>
      <c r="AJ5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RULED? NOT YET — read this row and say yes, or say what changes. Nothing moves behind MK-CF-O-003 thisMonth until you do.</t>
        </is>
      </c>
      <c r="AN56" s="3" t="inlineStr">
        <is>
          <t>September 2026: $7,200 take-home; a $2,400 mortgage and a $250 car loan due; a $3,400 budget. Logged so far: $2,300 rent, $512 groceries, $186 eating out, and the $250 car loan paid.
GIVES: $7,200/month
(the test re-runs this through MK-CF-O-003 thisMonth on every build)</t>
        </is>
      </c>
      <c r="AO56" s="9" t="inlineStr">
        <is>
          <t>WAITING ON YOU — row to approve: say yes in YOUR ANSWER, or say what changes · RULED, NOT CODED (Q-CF-2 — one question, one function)</t>
        </is>
      </c>
    </row>
    <row r="57" ht="60" customHeight="1">
      <c r="A57" s="3" t="inlineStr">
        <is>
          <t>MK-CF-M-052</t>
        </is>
      </c>
      <c r="B57" s="3" t="inlineStr">
        <is>
          <t>Cashflow</t>
        </is>
      </c>
      <c r="C57" s="3" t="inlineStr">
        <is>
          <t>/cashflow · /home</t>
        </is>
      </c>
      <c r="D57" s="3" t="inlineStr">
        <is>
          <t>Outflow (expenses + debt)</t>
        </is>
      </c>
      <c r="E57" s="3" t="inlineStr">
        <is>
          <t>outflow_expenses__debt</t>
        </is>
      </c>
      <c r="F57" s="3" t="inlineStr">
        <is>
          <t>thisMonth</t>
        </is>
      </c>
      <c r="G57" s="3" t="inlineStr">
        <is>
          <t>MK-CF-O-003</t>
        </is>
      </c>
      <c r="H57" s="3" t="inlineStr">
        <is>
          <t>outflow so far = expenses logged so far this month + Σ of the debt payments due this month</t>
        </is>
      </c>
      <c r="I57" s="3" t="inlineStr">
        <is>
          <t>outflow so far = expenses logged so far this month + Σ of the debt payments due this month</t>
        </is>
      </c>
      <c r="J57" s="3" t="inlineStr">
        <is>
          <t>MK-CF-I-016 logged expense
MK-CF-I-013 debt payment</t>
        </is>
      </c>
      <c r="K57" s="3" t="inlineStr">
        <is>
          <t>dollars, whole a month</t>
        </is>
      </c>
      <c r="L57" s="3" t="inlineStr">
        <is>
          <t>Shows $0 until an expense is logged or a debt is entered.</t>
        </is>
      </c>
      <c r="M57" s="3" t="inlineStr">
        <is>
          <t>one figure per household per month</t>
        </is>
      </c>
      <c r="N57" s="3" t="inlineStr">
        <is>
          <t>a month</t>
        </is>
      </c>
      <c r="O57" s="3" t="inlineStr">
        <is>
          <t>1. MK-CF-F-005 (actualMonthFlow) → MonthBlock
2. MK-CF-F-156 (plannedMonthFlow) → MonthBlock</t>
        </is>
      </c>
      <c r="P57" s="3" t="inlineStr">
        <is>
          <t>Declared by MK-CF-O-003 thisMonth</t>
        </is>
      </c>
      <c r="Q57" s="3" t="inlineStr">
        <is>
          <t>Debt payments are counted in full for the month, logged or not, because they are committed.</t>
        </is>
      </c>
      <c r="R57" s="3" t="inlineStr">
        <is>
          <t>Debt payments are counted in full for the month, logged or not, because they are committed.</t>
        </is>
      </c>
      <c r="S57" s="3" t="inlineStr"/>
      <c r="T57" s="3" t="inlineStr">
        <is>
          <t>Debt payments are counted in full for the month, logged or not, because they are committed.</t>
        </is>
      </c>
      <c r="U57" s="3" t="inlineStr"/>
      <c r="V57" s="3" t="inlineStr"/>
      <c r="W57" s="3" t="inlineStr"/>
      <c r="X57" s="3" t="inlineStr"/>
      <c r="Y57" s="3" t="inlineStr"/>
      <c r="Z57" s="3" t="inlineStr">
        <is>
          <t>DRAFT — declared in the code and printed here, WAITING FOR YOUR VERDICT before the screens move behind the door (rule 10)</t>
        </is>
      </c>
      <c r="AA57" s="3" t="inlineStr"/>
      <c r="AB57" s="3" t="inlineStr"/>
      <c r="AC57" s="3" t="inlineStr"/>
      <c r="AD57" s="3" t="inlineStr"/>
      <c r="AE57" s="3" t="inlineStr"/>
      <c r="AF57" s="3" t="inlineStr">
        <is>
          <t>ACTIVE</t>
        </is>
      </c>
      <c r="AG57" s="3" t="inlineStr">
        <is>
          <t>2026-10-11</t>
        </is>
      </c>
      <c r="AH57" s="3" t="inlineStr"/>
      <c r="AI57" s="3" t="inlineStr"/>
      <c r="AJ5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RULED? NOT YET — read this row and say yes, or say what changes. Nothing moves behind MK-CF-O-003 thisMonth until you do.</t>
        </is>
      </c>
      <c r="AN57" s="3" t="inlineStr">
        <is>
          <t>September 2026: $7,200 take-home; a $2,400 mortgage and a $250 car loan due; a $3,400 budget. Logged so far: $2,300 rent, $512 groceries, $186 eating out, and the $250 car loan paid.
GIVES: -$3,248/month
(the test re-runs this through MK-CF-O-003 thisMonth on every build)</t>
        </is>
      </c>
      <c r="AO57" s="9" t="inlineStr">
        <is>
          <t>WAITING ON YOU — row to approve: say yes in YOUR ANSWER, or say what changes · RULED, NOT CODED (Q-CF-2 — one question, one function)</t>
        </is>
      </c>
    </row>
    <row r="58" ht="60" customHeight="1">
      <c r="A58" s="3" t="inlineStr">
        <is>
          <t>MK-CF-M-053</t>
        </is>
      </c>
      <c r="B58" s="3" t="inlineStr">
        <is>
          <t>Cashflow</t>
        </is>
      </c>
      <c r="C58" s="3" t="inlineStr">
        <is>
          <t>/cashflow · /home</t>
        </is>
      </c>
      <c r="D58" s="3">
        <f> Surplus</f>
        <v/>
      </c>
      <c r="E58" s="3" t="inlineStr">
        <is>
          <t>surplus</t>
        </is>
      </c>
      <c r="F58" s="3" t="inlineStr">
        <is>
          <t>thisMonth</t>
        </is>
      </c>
      <c r="G58" s="3" t="inlineStr">
        <is>
          <t>MK-CF-O-003</t>
        </is>
      </c>
      <c r="H58" s="3" t="inlineStr">
        <is>
          <t>surplus so far = inflow so far − outflow so far</t>
        </is>
      </c>
      <c r="I58" s="3" t="inlineStr">
        <is>
          <t>surplus so far = inflow so far − outflow so far</t>
        </is>
      </c>
      <c r="J58" s="3" t="inlineStr">
        <is>
          <t>MK-CF-M-051 inflow so far
MK-CF-M-052 outflow so far</t>
        </is>
      </c>
      <c r="K58" s="3" t="inlineStr">
        <is>
          <t>dollars, whole a month</t>
        </is>
      </c>
      <c r="L58" s="3" t="inlineStr">
        <is>
          <t>Shows $0 until something is recorded.</t>
        </is>
      </c>
      <c r="M58" s="3" t="inlineStr">
        <is>
          <t>one figure per household per month</t>
        </is>
      </c>
      <c r="N58" s="3" t="inlineStr">
        <is>
          <t>a month</t>
        </is>
      </c>
      <c r="O58" s="3" t="inlineStr">
        <is>
          <t>1. MK-CF-F-005 (actualMonthFlow) → MonthBlock
2. MK-CF-F-156 (plannedMonthFlow) → MonthBlock</t>
        </is>
      </c>
      <c r="P58" s="3" t="inlineStr">
        <is>
          <t>Declared by MK-CF-O-003 thisMonth</t>
        </is>
      </c>
      <c r="Q58" s="3" t="inlineStr">
        <is>
          <t>NONE RECORDED — the declaration names none.</t>
        </is>
      </c>
      <c r="R58" s="3" t="inlineStr">
        <is>
          <t>NONE RECORDED — the declaration names none.</t>
        </is>
      </c>
      <c r="S58" s="3" t="inlineStr"/>
      <c r="T58" s="3" t="inlineStr">
        <is>
          <t>NONE RECORDED — the declaration names none.</t>
        </is>
      </c>
      <c r="U58" s="3" t="inlineStr">
        <is>
          <t>The Cash flow screen used to subtract this itself (rule 5). It is the door’s figure now.</t>
        </is>
      </c>
      <c r="V58" s="3" t="inlineStr"/>
      <c r="W58" s="3" t="inlineStr"/>
      <c r="X58" s="3" t="inlineStr"/>
      <c r="Y58" s="3" t="inlineStr"/>
      <c r="Z58" s="3" t="inlineStr">
        <is>
          <t>DRAFT — declared in the code and printed here, WAITING FOR YOUR VERDICT before the screens move behind the door (rule 10)</t>
        </is>
      </c>
      <c r="AA58" s="3" t="inlineStr"/>
      <c r="AB58" s="3" t="inlineStr"/>
      <c r="AC58" s="3" t="inlineStr"/>
      <c r="AD58" s="3" t="inlineStr"/>
      <c r="AE58" s="3" t="inlineStr"/>
      <c r="AF58" s="3" t="inlineStr">
        <is>
          <t>ACTIVE</t>
        </is>
      </c>
      <c r="AG58" s="3" t="inlineStr">
        <is>
          <t>2026-10-11</t>
        </is>
      </c>
      <c r="AH58" s="3" t="inlineStr"/>
      <c r="AI58" s="3" t="inlineStr"/>
      <c r="AJ5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RULED? NOT YET — read this row and say yes, or say what changes. Nothing moves behind MK-CF-O-003 thisMonth until you do.</t>
        </is>
      </c>
      <c r="AN58" s="3" t="inlineStr">
        <is>
          <t>September 2026: $7,200 take-home; a $2,400 mortgage and a $250 car loan due; a $3,400 budget. Logged so far: $2,300 rent, $512 groceries, $186 eating out, and the $250 car loan paid.
GIVES: $3,952/month
(the test re-runs this through MK-CF-O-003 thisMonth on every build)</t>
        </is>
      </c>
      <c r="AO58" s="9" t="inlineStr">
        <is>
          <t>WAITING ON YOU — row to approve: say yes in YOUR ANSWER, or say what changes · RULED, NOT CODED (Q-CF-2 — one question, one function)</t>
        </is>
      </c>
    </row>
    <row r="59" ht="60" customHeight="1">
      <c r="A59" s="3" t="inlineStr">
        <is>
          <t>MK-CF-M-054</t>
        </is>
      </c>
      <c r="B59" s="3" t="inlineStr">
        <is>
          <t>Cashflow</t>
        </is>
      </c>
      <c r="C59" s="3" t="inlineStr">
        <is>
          <t>/cashflow</t>
        </is>
      </c>
      <c r="D59" s="3" t="inlineStr">
        <is>
          <t>each received line</t>
        </is>
      </c>
      <c r="E59" s="3" t="inlineStr">
        <is>
          <t>each_received_line</t>
        </is>
      </c>
      <c r="F59" s="3" t="inlineStr">
        <is>
          <t>thisMonth</t>
        </is>
      </c>
      <c r="G59" s="3" t="inlineStr">
        <is>
          <t>MK-CF-O-003</t>
        </is>
      </c>
      <c r="H59" s="3" t="inlineStr">
        <is>
          <t>one line per payment recorded as received in this month, at its amount</t>
        </is>
      </c>
      <c r="I59" s="3" t="inlineStr">
        <is>
          <t>one line per payment recorded as received in this month, at its amount</t>
        </is>
      </c>
      <c r="J59" s="3" t="inlineStr">
        <is>
          <t>MK-CF-I-015 income recorded as received</t>
        </is>
      </c>
      <c r="K59" s="3" t="inlineStr">
        <is>
          <t>dollars, whole a month</t>
        </is>
      </c>
      <c r="L59" s="3" t="inlineStr">
        <is>
          <t>The list is replaced by the door to record income when nothing is recorded.</t>
        </is>
      </c>
      <c r="M59" s="3" t="inlineStr">
        <is>
          <t>one figure per payment</t>
        </is>
      </c>
      <c r="N59" s="3" t="inlineStr">
        <is>
          <t>a month</t>
        </is>
      </c>
      <c r="O59" s="3" t="inlineStr">
        <is>
          <t>1. MK-CF-F-005 (actualMonthFlow) → MonthBlock
2. MK-CF-F-156 (plannedMonthFlow) → MonthBlock</t>
        </is>
      </c>
      <c r="P59" s="3" t="inlineStr">
        <is>
          <t>Declared by MK-CF-O-003 thisMonth</t>
        </is>
      </c>
      <c r="Q59" s="3" t="inlineStr">
        <is>
          <t>NONE RECORDED — the declaration names none.</t>
        </is>
      </c>
      <c r="R59" s="3" t="inlineStr">
        <is>
          <t>NONE RECORDED — the declaration names none.</t>
        </is>
      </c>
      <c r="S59" s="3" t="inlineStr"/>
      <c r="T59" s="3" t="inlineStr">
        <is>
          <t>NONE RECORDED — the declaration names none.</t>
        </is>
      </c>
      <c r="U59" s="3" t="inlineStr"/>
      <c r="V59" s="3" t="inlineStr"/>
      <c r="W59" s="3" t="inlineStr"/>
      <c r="X59" s="3" t="inlineStr"/>
      <c r="Y59" s="3" t="inlineStr"/>
      <c r="Z59" s="3" t="inlineStr">
        <is>
          <t>DRAFT — declared in the code and printed here, WAITING FOR YOUR VERDICT before the screens move behind the door (rule 10)</t>
        </is>
      </c>
      <c r="AA59" s="3" t="inlineStr"/>
      <c r="AB59" s="3" t="inlineStr"/>
      <c r="AC59" s="3" t="inlineStr"/>
      <c r="AD59" s="3" t="inlineStr"/>
      <c r="AE59" s="3" t="inlineStr"/>
      <c r="AF59" s="3" t="inlineStr">
        <is>
          <t>ACTIVE</t>
        </is>
      </c>
      <c r="AG59" s="3" t="inlineStr">
        <is>
          <t>2026-10-11</t>
        </is>
      </c>
      <c r="AH59" s="3" t="inlineStr"/>
      <c r="AI59" s="3" t="inlineStr"/>
      <c r="AJ5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RULED? NOT YET — read this row and say yes, or say what changes. Nothing moves behind MK-CF-O-003 thisMonth until you do.</t>
        </is>
      </c>
      <c r="AN59" s="3" t="inlineStr">
        <is>
          <t>September 2026: $7,200 take-home; a $2,400 mortgage and a $250 car loan due; a $3,400 budget. Logged so far: $2,300 rent, $512 groceries, $186 eating out, and the $250 car loan paid.
GIVES: -$250/month
(the test re-runs this through MK-CF-O-003 thisMonth on every build)</t>
        </is>
      </c>
      <c r="AO59" s="9" t="inlineStr">
        <is>
          <t>WAITING ON YOU — row to approve: say yes in YOUR ANSWER, or say what changes · RULED, NOT CODED (Q-CF-2 — one question, one function)</t>
        </is>
      </c>
    </row>
    <row r="60" ht="60" customHeight="1">
      <c r="A60" s="3" t="inlineStr">
        <is>
          <t>MK-CF-M-055</t>
        </is>
      </c>
      <c r="B60" s="3" t="inlineStr">
        <is>
          <t>Cashflow</t>
        </is>
      </c>
      <c r="C60" s="3" t="inlineStr">
        <is>
          <t>/cashflow</t>
        </is>
      </c>
      <c r="D60" s="3" t="inlineStr">
        <is>
          <t>Draw from savings</t>
        </is>
      </c>
      <c r="E60" s="3" t="inlineStr">
        <is>
          <t>draw_from_savings</t>
        </is>
      </c>
      <c r="F60" s="3" t="inlineStr">
        <is>
          <t>futurePaycheck</t>
        </is>
      </c>
      <c r="G60" s="3" t="inlineStr">
        <is>
          <t>MK-CF-O-017</t>
        </is>
      </c>
      <c r="H60" s="3" t="inlineStr">
        <is>
          <t>the paycheck year’s level draw from the pot, at the assumed return and horizon</t>
        </is>
      </c>
      <c r="I60" s="3" t="inlineStr">
        <is>
          <t>the paycheck year’s level draw from the pot, at the assumed return and horizon</t>
        </is>
      </c>
      <c r="J60" s="3" t="inlineStr">
        <is>
          <t>MK-NW-I-001 your accounts
MK-XS-I-028 assumed return
MK-XS-I-018 retirement age</t>
        </is>
      </c>
      <c r="K60" s="3" t="inlineStr">
        <is>
          <t>dollars, whole a month</t>
        </is>
      </c>
      <c r="L60" s="3" t="inlineStr">
        <is>
          <t>No pot — no draw; the paycheck is the guaranteed income alone.</t>
        </is>
      </c>
      <c r="M60" s="3" t="inlineStr">
        <is>
          <t>one figure per household</t>
        </is>
      </c>
      <c r="N60" s="3" t="inlineStr">
        <is>
          <t>a month</t>
        </is>
      </c>
      <c r="O60" s="3" t="inlineStr">
        <is>
          <t>1. MK-CF-F-107 (buildPaycheckYear) → PaycheckYear
2. MK-XS-F-180 (declareFigures) → T
3. MK-CF-F-076 (guaranteedOutsideStreams) → GuaranteedStream[]
4. MK-ST-F-039 (on) → ()
5. MK-PL-F-050 (simulate) → NOT DECLARED — the code does not say what it gives back
6. MK-PL-F-001 (taxBucketSplit) → TaxSplit
7. MK-PL-F-067 (willItLastInputs) → RetirementInputs | null
8. MK-PL-F-004 (withdrawalOrder) → OrderStep[]</t>
        </is>
      </c>
      <c r="P60" s="3" t="inlineStr">
        <is>
          <t>Declared by MK-CF-O-017 futurePaycheck</t>
        </is>
      </c>
      <c r="Q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R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S60" s="3" t="inlineStr"/>
      <c r="T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U60" s="3" t="inlineStr"/>
      <c r="V60" s="3" t="inlineStr"/>
      <c r="W60" s="3" t="inlineStr"/>
      <c r="X60" s="3" t="inlineStr"/>
      <c r="Y60" s="3" t="inlineStr"/>
      <c r="Z60" s="3" t="inlineStr">
        <is>
          <t>DECLARED IN THE CODE (rule 11) — printed from the door, not typed. RULED 2026-10-02</t>
        </is>
      </c>
      <c r="AA60" s="3" t="inlineStr"/>
      <c r="AB60" s="3" t="inlineStr"/>
      <c r="AC60" s="3" t="inlineStr"/>
      <c r="AD60" s="3" t="inlineStr"/>
      <c r="AE60" s="3" t="inlineStr"/>
      <c r="AF60" s="3" t="inlineStr">
        <is>
          <t>ACTIVE</t>
        </is>
      </c>
      <c r="AG60" s="3" t="inlineStr">
        <is>
          <t>2026-10-11</t>
        </is>
      </c>
      <c r="AH60" s="3" t="inlineStr"/>
      <c r="AI60" s="3" t="inlineStr"/>
      <c r="AJ60" s="3" t="inlineStr">
        <is>
          <t>1. MK-XS-I-001 account balance — read by MK-CF-O-017, MK-NW-F-031, MK-NW-F-032, MK-NW-F-056, MK-NW-F-078, MK-NW-F-133, MK
2. MK-XS-I-002 account type (taxable, pre-tax, Roth) — read by MK-CF-O-017, MK-NW-F-004, MK-NW-F-011, MK-NW-F-012, MK-NW-F-025, MK-NW-F-120, MK
3. MK-XS-I-003 institution name — read by MK-NW-F-025, MK-NW-F-026, MK-NW-F-072, MK-NW-F-134,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MK-NW-F-041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2026-10-02; the figure, its formula, inputs and refusal live in MK-CF-O-017 futurePaycheck</t>
        </is>
      </c>
      <c r="AN60" s="3" t="inlineStr">
        <is>
          <t>Born in 1981, retiring at 67, with $200,000 in a 401(k) earning 6% and $2,000/month of Social Security from 67.
GIVES: $2,345/month
(the test re-runs this through MK-CF-O-017 futurePaycheck on every build)</t>
        </is>
      </c>
      <c r="AO60" s="3" t="inlineStr">
        <is>
          <t>NOTHING OPEN</t>
        </is>
      </c>
    </row>
    <row r="61" ht="60" customHeight="1">
      <c r="A61" s="3" t="inlineStr">
        <is>
          <t>MK-CF-M-056</t>
        </is>
      </c>
      <c r="B61" s="3" t="inlineStr">
        <is>
          <t>Cashflow</t>
        </is>
      </c>
      <c r="C61" s="3" t="inlineStr">
        <is>
          <t>/cashflow</t>
        </is>
      </c>
      <c r="D61" s="3" t="inlineStr">
        <is>
          <t>left of your budget</t>
        </is>
      </c>
      <c r="E61" s="3" t="inlineStr">
        <is>
          <t>left_of_your_budget</t>
        </is>
      </c>
      <c r="F61" s="3" t="inlineStr">
        <is>
          <t>theMonth</t>
        </is>
      </c>
      <c r="G61" s="3" t="inlineStr">
        <is>
          <t>MK-CF-O-010</t>
        </is>
      </c>
      <c r="H61" s="3" t="inlineStr">
        <is>
          <t>the budget (MK-CF-M-001) − spent so far (MK-CF-M-013); below zero it reads as over</t>
        </is>
      </c>
      <c r="I61" s="3" t="inlineStr">
        <is>
          <t>the budget (MK-CF-M-001) − spent so far (MK-CF-M-013); below zero it reads as over</t>
        </is>
      </c>
      <c r="J61" s="3" t="inlineStr">
        <is>
          <t>MK-CF-I-012 planned expenses
MK-CF-I-001 your logged expenses</t>
        </is>
      </c>
      <c r="K61" s="3" t="inlineStr">
        <is>
          <t>dollars, whole</t>
        </is>
      </c>
      <c r="L61" s="3" t="inlineStr">
        <is>
          <t>No budget set — nothing to be left of.</t>
        </is>
      </c>
      <c r="M61" s="3" t="inlineStr">
        <is>
          <t>one figure per household</t>
        </is>
      </c>
      <c r="N61" s="3" t="inlineStr">
        <is>
          <t>as of today</t>
        </is>
      </c>
      <c r="O61" s="3" t="inlineStr">
        <is>
          <t>1. MK-CF-F-203 (MONTH) → NOT DECLARED — the code does not say what it gives back
2. MK-CF-F-155 (cash) → number
3. MK-CF-O-002 (expenses) → Expenses
4. MK-CF-O-003 (thisMonth) → ThisMonth</t>
        </is>
      </c>
      <c r="P61" s="3" t="inlineStr">
        <is>
          <t>Declared by MK-CF-O-010 theMonth</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2026-10-02</t>
        </is>
      </c>
      <c r="AA61" s="3" t="inlineStr"/>
      <c r="AB61" s="3" t="inlineStr"/>
      <c r="AC61" s="3" t="inlineStr"/>
      <c r="AD61" s="3" t="inlineStr"/>
      <c r="AE61" s="3" t="inlineStr"/>
      <c r="AF61" s="3" t="inlineStr">
        <is>
          <t>ACTIVE</t>
        </is>
      </c>
      <c r="AG61" s="3" t="inlineStr">
        <is>
          <t>2026-10-11</t>
        </is>
      </c>
      <c r="AH61" s="3" t="inlineStr"/>
      <c r="AI61" s="3" t="inlineStr"/>
      <c r="AJ6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2026-10-02; the figure, its formula, inputs and refusal live in MK-CF-O-010 theMonth</t>
        </is>
      </c>
      <c r="AN61"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$402
(the test re-runs this through MK-CF-O-010 theMonth on every build)</t>
        </is>
      </c>
      <c r="AO61" s="3" t="inlineStr">
        <is>
          <t>NOTHING OPEN</t>
        </is>
      </c>
    </row>
    <row r="62" ht="60" customHeight="1">
      <c r="A62" s="3" t="inlineStr">
        <is>
          <t>MK-CF-M-057</t>
        </is>
      </c>
      <c r="B62" s="3" t="inlineStr">
        <is>
          <t>Cashflow</t>
        </is>
      </c>
      <c r="C62" s="3" t="inlineStr">
        <is>
          <t>/cashflow</t>
        </is>
      </c>
      <c r="D62" s="3" t="inlineStr">
        <is>
          <t>/month interest</t>
        </is>
      </c>
      <c r="E62" s="3" t="inlineStr">
        <is>
          <t>month_interest</t>
        </is>
      </c>
      <c r="F62" s="3" t="inlineStr">
        <is>
          <t>theDebts</t>
        </is>
      </c>
      <c r="G62" s="3" t="inlineStr">
        <is>
          <t>MK-CF-O-018</t>
        </is>
      </c>
      <c r="H62" s="3" t="inlineStr">
        <is>
          <t>Σ balance × yearly rate ÷ 12, over every debt still owed</t>
        </is>
      </c>
      <c r="I62" s="3" t="inlineStr">
        <is>
          <t>Σ balance × yearly rate ÷ 12, over every debt still owed</t>
        </is>
      </c>
      <c r="J62" s="3" t="inlineStr">
        <is>
          <t>MK-XS-I-014 debt balance
MK-XS-I-015 debt interest rate</t>
        </is>
      </c>
      <c r="K62" s="3" t="inlineStr">
        <is>
          <t>dollars, whole a month</t>
        </is>
      </c>
      <c r="L62" s="3" t="inlineStr">
        <is>
          <t>No debts — $0.</t>
        </is>
      </c>
      <c r="M62" s="3" t="inlineStr">
        <is>
          <t>one figure per household</t>
        </is>
      </c>
      <c r="N62" s="3" t="inlineStr">
        <is>
          <t>a month</t>
        </is>
      </c>
      <c r="O62" s="3" t="inlineStr">
        <is>
          <t>1. MK-CF-F-025 (minimumDebtService) → number
2. MK-CF-F-034 (payoffPlan) → PayoffResult
3. MK-CF-F-024 (totalDebtMonthly) → number</t>
        </is>
      </c>
      <c r="P62" s="3" t="inlineStr">
        <is>
          <t>Declared by MK-CF-O-018 theDebts</t>
        </is>
      </c>
      <c r="Q62" s="3" t="inlineStr">
        <is>
          <t>NONE RECORDED — the declaration names none.</t>
        </is>
      </c>
      <c r="R62" s="3" t="inlineStr">
        <is>
          <t>NONE RECORDED — the declaration names none.</t>
        </is>
      </c>
      <c r="S62" s="3" t="inlineStr"/>
      <c r="T62" s="3" t="inlineStr">
        <is>
          <t>NONE RECORDED — the declaration names none.</t>
        </is>
      </c>
      <c r="U62" s="3" t="inlineStr"/>
      <c r="V62" s="3" t="inlineStr"/>
      <c r="W62" s="3" t="inlineStr"/>
      <c r="X62" s="3" t="inlineStr"/>
      <c r="Y62" s="3" t="inlineStr"/>
      <c r="Z62" s="3" t="inlineStr">
        <is>
          <t>DECLARED IN THE CODE (rule 11) — printed from the door, not typed. RULED 2026-10-02</t>
        </is>
      </c>
      <c r="AA62" s="3" t="inlineStr"/>
      <c r="AB62" s="3" t="inlineStr"/>
      <c r="AC62" s="3" t="inlineStr"/>
      <c r="AD62" s="3" t="inlineStr"/>
      <c r="AE62" s="3" t="inlineStr"/>
      <c r="AF62" s="3" t="inlineStr">
        <is>
          <t>ACTIVE</t>
        </is>
      </c>
      <c r="AG62" s="3" t="inlineStr">
        <is>
          <t>2026-10-11</t>
        </is>
      </c>
      <c r="AH62" s="3" t="inlineStr"/>
      <c r="AI62" s="3" t="inlineStr"/>
      <c r="AJ6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2026-10-02; the figure, its formula, inputs and refusal live in MK-CF-O-018 theDebts</t>
        </is>
      </c>
      <c r="AN62" s="3" t="inlineStr">
        <is>
          <t>A $9,000 card at 24% with a $200 minimum and a $14,000 car loan at 6.9% with a $250 minimum, nothing extra paid.
GIVES: $261/month
(the test re-runs this through MK-CF-O-018 theDebts on every build)</t>
        </is>
      </c>
      <c r="AO62" s="3" t="inlineStr">
        <is>
          <t>NOTHING OPEN</t>
        </is>
      </c>
    </row>
    <row r="63" ht="60" customHeight="1">
      <c r="A63" s="3" t="inlineStr">
        <is>
          <t>MK-CF-M-058</t>
        </is>
      </c>
      <c r="B63" s="3" t="inlineStr">
        <is>
          <t>Cashflow</t>
        </is>
      </c>
      <c r="C63" s="3" t="inlineStr">
        <is>
          <t>/cashflow</t>
        </is>
      </c>
      <c r="D63" s="3" t="inlineStr">
        <is>
          <t>debt-free</t>
        </is>
      </c>
      <c r="E63" s="3" t="inlineStr">
        <is>
          <t>debtfree</t>
        </is>
      </c>
      <c r="F63" s="3" t="inlineStr">
        <is>
          <t>theDebts</t>
        </is>
      </c>
      <c r="G63" s="3" t="inlineStr">
        <is>
          <t>MK-CF-O-018</t>
        </is>
      </c>
      <c r="H63" s="3" t="inlineStr">
        <is>
          <t>the payoff plan: each month pay every minimum, put the extra on the costliest debt, roll a cleared debt’s payment onto the next</t>
        </is>
      </c>
      <c r="I63" s="3" t="inlineStr">
        <is>
          <t>the payoff plan: each month pay every minimum, put the extra on the costliest debt, roll a cleared debt’s payment onto the next</t>
        </is>
      </c>
      <c r="J63" s="3" t="inlineStr">
        <is>
          <t>MK-XS-I-014 debt balance
MK-XS-I-015 debt interest rate
MK-XS-I-016 debt minimum payment</t>
        </is>
      </c>
      <c r="K63" s="3" t="inlineStr">
        <is>
          <t>a count</t>
        </is>
      </c>
      <c r="L63" s="3" t="inlineStr">
        <is>
          <t>The payments cannot cover the interest — the screen says never, not a number.</t>
        </is>
      </c>
      <c r="M63" s="3" t="inlineStr">
        <is>
          <t>one figure per household</t>
        </is>
      </c>
      <c r="N63" s="3" t="inlineStr">
        <is>
          <t>as of today</t>
        </is>
      </c>
      <c r="O63" s="3" t="inlineStr">
        <is>
          <t>1. MK-CF-F-025 (minimumDebtService) → number
2. MK-CF-F-034 (payoffPlan) → PayoffResult
3. MK-CF-F-024 (totalDebtMonthly) → number</t>
        </is>
      </c>
      <c r="P63" s="3" t="inlineStr">
        <is>
          <t>Declared by MK-CF-O-018 theDebts</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c r="W63" s="3" t="inlineStr"/>
      <c r="X63" s="3" t="inlineStr"/>
      <c r="Y63" s="3" t="inlineStr"/>
      <c r="Z63" s="3" t="inlineStr">
        <is>
          <t>DECLARED IN THE CODE (rule 11) — printed from the door, not typed. RULED 2026-10-02</t>
        </is>
      </c>
      <c r="AA63" s="3" t="inlineStr"/>
      <c r="AB63" s="3" t="inlineStr"/>
      <c r="AC63" s="3" t="inlineStr"/>
      <c r="AD63" s="3" t="inlineStr"/>
      <c r="AE63" s="3" t="inlineStr"/>
      <c r="AF63" s="3" t="inlineStr">
        <is>
          <t>ACTIVE</t>
        </is>
      </c>
      <c r="AG63" s="3" t="inlineStr">
        <is>
          <t>2026-10-11</t>
        </is>
      </c>
      <c r="AH63" s="3" t="inlineStr"/>
      <c r="AI63" s="3" t="inlineStr"/>
      <c r="AJ6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2026-10-02; the figure, its formula, inputs and refusal live in MK-CF-O-018 theDebts</t>
        </is>
      </c>
      <c r="AN63" s="3" t="inlineStr">
        <is>
          <t>A $9,000 card at 24% with a $200 minimum and a $14,000 car loan at 6.9% with a $250 minimum, nothing extra paid.
GIVES: 84
(the test re-runs this through MK-CF-O-018 theDebts on every build)</t>
        </is>
      </c>
      <c r="AO63" s="3" t="inlineStr">
        <is>
          <t>NOTHING OPEN</t>
        </is>
      </c>
    </row>
    <row r="64" ht="60" customHeight="1">
      <c r="A64" s="3" t="inlineStr">
        <is>
          <t>MK-CF-M-059</t>
        </is>
      </c>
      <c r="B64" s="3" t="inlineStr">
        <is>
          <t>Cashflow</t>
        </is>
      </c>
      <c r="C64" s="3" t="inlineStr">
        <is>
          <t>/cashflow</t>
        </is>
      </c>
      <c r="D64" s="3" t="inlineStr">
        <is>
          <t>total interest</t>
        </is>
      </c>
      <c r="E64" s="3" t="inlineStr">
        <is>
          <t>total_interest</t>
        </is>
      </c>
      <c r="F64" s="3" t="inlineStr">
        <is>
          <t>theDebts</t>
        </is>
      </c>
      <c r="G64" s="3" t="inlineStr">
        <is>
          <t>MK-CF-O-018</t>
        </is>
      </c>
      <c r="H64" s="3" t="inlineStr">
        <is>
          <t>the interest paid month by month over the payoff plan, added up</t>
        </is>
      </c>
      <c r="I64" s="3" t="inlineStr">
        <is>
          <t>the interest paid month by month over the payoff plan, added up</t>
        </is>
      </c>
      <c r="J64" s="3" t="inlineStr">
        <is>
          <t>MK-XS-I-014 debt balance
MK-XS-I-015 debt interest rate
MK-XS-I-016 debt minimum payment</t>
        </is>
      </c>
      <c r="K64" s="3" t="inlineStr">
        <is>
          <t>dollars, whole</t>
        </is>
      </c>
      <c r="L64" s="3" t="inlineStr">
        <is>
          <t>The payments cannot cover the interest — the screen says never, not a number.</t>
        </is>
      </c>
      <c r="M64" s="3" t="inlineStr">
        <is>
          <t>one figure per household</t>
        </is>
      </c>
      <c r="N64" s="3" t="inlineStr">
        <is>
          <t>as of today</t>
        </is>
      </c>
      <c r="O64" s="3" t="inlineStr">
        <is>
          <t>1. MK-CF-F-025 (minimumDebtService) → number
2. MK-CF-F-034 (payoffPlan) → PayoffResult
3. MK-CF-F-024 (totalDebtMonthly) → number</t>
        </is>
      </c>
      <c r="P64" s="3" t="inlineStr">
        <is>
          <t>Declared by MK-CF-O-018 theDebts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2026-10-02</t>
        </is>
      </c>
      <c r="AA64" s="3" t="inlineStr"/>
      <c r="AB64" s="3" t="inlineStr"/>
      <c r="AC64" s="3" t="inlineStr"/>
      <c r="AD64" s="3" t="inlineStr"/>
      <c r="AE64" s="3" t="inlineStr"/>
      <c r="AF64" s="3" t="inlineStr">
        <is>
          <t>ACTIVE</t>
        </is>
      </c>
      <c r="AG64" s="3" t="inlineStr">
        <is>
          <t>2026-10-11</t>
        </is>
      </c>
      <c r="AH64" s="3" t="inlineStr"/>
      <c r="AI64" s="3" t="inlineStr"/>
      <c r="AJ6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2026-10-02; the figure, its formula, inputs and refusal live in MK-CF-O-018 theDebts</t>
        </is>
      </c>
      <c r="AN64" s="3" t="inlineStr">
        <is>
          <t>A $9,000 card at 24% with a $200 minimum and a $14,000 car loan at 6.9% with a $250 minimum, nothing extra paid.
GIVES: $14,787
(the test re-runs this through MK-CF-O-018 theDebts on every build)</t>
        </is>
      </c>
      <c r="AO64" s="3" t="inlineStr">
        <is>
          <t>NOTHING OPEN</t>
        </is>
      </c>
    </row>
    <row r="65" ht="60" customHeight="1">
      <c r="A65" s="3" t="inlineStr">
        <is>
          <t>MK-CF-M-060</t>
        </is>
      </c>
      <c r="B65" s="3" t="inlineStr">
        <is>
          <t>Cashflow</t>
        </is>
      </c>
      <c r="C65" s="3" t="inlineStr">
        <is>
          <t>/bill-calendar</t>
        </is>
      </c>
      <c r="D65" s="3" t="inlineStr">
        <is>
          <t>Lowest point</t>
        </is>
      </c>
      <c r="E65" s="3" t="inlineStr">
        <is>
          <t>lowest_point</t>
        </is>
      </c>
      <c r="F65" s="3" t="inlineStr">
        <is>
          <t>whatsComing</t>
        </is>
      </c>
      <c r="G65" s="3" t="inlineStr">
        <is>
          <t>MK-CF-O-008</t>
        </is>
      </c>
      <c r="H65" s="3" t="inlineStr">
        <is>
          <t>the smallest running balance across the twelve month-ends, starting from the balance you gave</t>
        </is>
      </c>
      <c r="I65" s="3" t="inlineStr">
        <is>
          <t>the smallest running balance across the twelve month-ends, starting from the balance you gave</t>
        </is>
      </c>
      <c r="J65" s="3" t="inlineStr">
        <is>
          <t>MK-NW-I-001 your accounts
MK-CF-I-002 your bills
MK-XS-I-023 salary and other income</t>
        </is>
      </c>
      <c r="K65" s="3" t="inlineStr">
        <is>
          <t>dollars, whole</t>
        </is>
      </c>
      <c r="L65" s="3" t="inlineStr">
        <is>
          <t>No starting balance — the table starts from $0 and says so.</t>
        </is>
      </c>
      <c r="M65" s="3" t="inlineStr">
        <is>
          <t>one figure per household</t>
        </is>
      </c>
      <c r="N65" s="3" t="inlineStr">
        <is>
          <t>as of today</t>
        </is>
      </c>
      <c r="O65" s="3" t="inlineStr">
        <is>
          <t>MK-CF-F-019 (upcomingBills) → NOT DECLARED — the code does not say what it gives back</t>
        </is>
      </c>
      <c r="P65" s="3" t="inlineStr">
        <is>
          <t>Declared by MK-CF-O-008 whatsComing</t>
        </is>
      </c>
      <c r="Q65" s="3" t="inlineStr">
        <is>
          <t>NONE RECORDED — the declaration names none.</t>
        </is>
      </c>
      <c r="R65" s="3" t="inlineStr">
        <is>
          <t>NONE RECORDED — the declaration names none.</t>
        </is>
      </c>
      <c r="S65" s="3" t="inlineStr"/>
      <c r="T65" s="3" t="inlineStr">
        <is>
          <t>NONE RECORDED — the declaration names none.</t>
        </is>
      </c>
      <c r="U65" s="3" t="inlineStr"/>
      <c r="V65" s="3" t="inlineStr"/>
      <c r="W65" s="3" t="inlineStr"/>
      <c r="X65" s="3" t="inlineStr"/>
      <c r="Y65" s="3" t="inlineStr"/>
      <c r="Z65" s="3" t="inlineStr">
        <is>
          <t>DECLARED IN THE CODE (rule 11) — printed from the door, not typed. RULED 2026-10-02</t>
        </is>
      </c>
      <c r="AA65" s="3" t="inlineStr"/>
      <c r="AB65" s="3" t="inlineStr"/>
      <c r="AC65" s="3" t="inlineStr"/>
      <c r="AD65" s="3" t="inlineStr"/>
      <c r="AE65" s="3" t="inlineStr"/>
      <c r="AF65" s="3" t="inlineStr">
        <is>
          <t>ACTIVE</t>
        </is>
      </c>
      <c r="AG65" s="3" t="inlineStr">
        <is>
          <t>2026-10-11</t>
        </is>
      </c>
      <c r="AH65" s="3" t="inlineStr"/>
      <c r="AI65" s="3" t="inlineStr"/>
      <c r="AJ65"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2026-10-02; the figure, its formula, inputs and refusal live in MK-CF-O-008 whatsComing</t>
        </is>
      </c>
      <c r="AN65" s="3" t="inlineStr">
        <is>
          <t>On 28 Sep 2026, with $8,000 in the account: car insurance of $1,400 due 15 Oct and property tax of $4,800 due 1 Nov. Nothing else is dated.
GIVES: $1,800
(the test re-runs this through MK-CF-O-008 whatsComing on every build)</t>
        </is>
      </c>
      <c r="AO65" s="3" t="inlineStr">
        <is>
          <t>NOTHING OPEN</t>
        </is>
      </c>
    </row>
    <row r="66" ht="60" customHeight="1">
      <c r="A66" s="3" t="inlineStr">
        <is>
          <t>MK-CF-M-061</t>
        </is>
      </c>
      <c r="B66" s="3" t="inlineStr">
        <is>
          <t>Cashflow</t>
        </is>
      </c>
      <c r="C66" s="3" t="inlineStr">
        <is>
          <t>/bill-calendar</t>
        </is>
      </c>
      <c r="D66" s="3" t="inlineStr">
        <is>
          <t>END — where the month leaves you</t>
        </is>
      </c>
      <c r="E66" s="3" t="inlineStr">
        <is>
          <t>end__where_the_month_leaves_you</t>
        </is>
      </c>
      <c r="F66" s="3" t="inlineStr">
        <is>
          <t>whatsComing</t>
        </is>
      </c>
      <c r="G66" s="3" t="inlineStr">
        <is>
          <t>MK-CF-O-008</t>
        </is>
      </c>
      <c r="H66" s="3" t="inlineStr">
        <is>
          <t>running balance = last month’s end + inflow − outflow, month by month from the starting balance</t>
        </is>
      </c>
      <c r="I66" s="3" t="inlineStr">
        <is>
          <t>running balance = last month’s end + inflow − outflow, month by month from the starting balance</t>
        </is>
      </c>
      <c r="J66" s="3" t="inlineStr">
        <is>
          <t>MK-NW-I-001 your accounts
MK-CF-I-002 your bills
MK-XS-I-023 salary and other income</t>
        </is>
      </c>
      <c r="K66" s="3" t="inlineStr">
        <is>
          <t>dollars, whole</t>
        </is>
      </c>
      <c r="L66" s="3" t="inlineStr">
        <is>
          <t>No starting balance — the chain starts from $0 and says so.</t>
        </is>
      </c>
      <c r="M66" s="3" t="inlineStr">
        <is>
          <t>one month</t>
        </is>
      </c>
      <c r="N66" s="3" t="inlineStr">
        <is>
          <t>as of today</t>
        </is>
      </c>
      <c r="O66" s="3" t="inlineStr">
        <is>
          <t>MK-CF-F-019 (upcomingBills) → NOT DECLARED — the code does not say what it gives back</t>
        </is>
      </c>
      <c r="P66" s="3" t="inlineStr">
        <is>
          <t>Declared by MK-CF-O-008 whatsComing</t>
        </is>
      </c>
      <c r="Q66" s="3" t="inlineStr">
        <is>
          <t>NONE RECORDED — the declaration names none.</t>
        </is>
      </c>
      <c r="R66" s="3" t="inlineStr">
        <is>
          <t>NONE RECORDED — the declaration names none.</t>
        </is>
      </c>
      <c r="S66" s="3" t="inlineStr"/>
      <c r="T66" s="3" t="inlineStr">
        <is>
          <t>NONE RECORDED — the declaration names none.</t>
        </is>
      </c>
      <c r="U66" s="3" t="inlineStr"/>
      <c r="V66" s="3" t="inlineStr"/>
      <c r="W66" s="3" t="inlineStr"/>
      <c r="X66" s="3" t="inlineStr"/>
      <c r="Y66" s="3" t="inlineStr"/>
      <c r="Z66" s="3" t="inlineStr">
        <is>
          <t>DECLARED IN THE CODE (rule 11) — printed from the door, not typed. RULED 2026-10-02</t>
        </is>
      </c>
      <c r="AA66" s="3" t="inlineStr"/>
      <c r="AB66" s="3" t="inlineStr"/>
      <c r="AC66" s="3" t="inlineStr"/>
      <c r="AD66" s="3" t="inlineStr"/>
      <c r="AE66" s="3" t="inlineStr"/>
      <c r="AF66" s="3" t="inlineStr">
        <is>
          <t>ACTIVE</t>
        </is>
      </c>
      <c r="AG66" s="3" t="inlineStr">
        <is>
          <t>2026-10-11</t>
        </is>
      </c>
      <c r="AH66" s="3" t="inlineStr"/>
      <c r="AI66" s="3" t="inlineStr"/>
      <c r="AJ66"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2026-10-02; the figure, its formula, inputs and refusal live in MK-CF-O-008 whatsComing</t>
        </is>
      </c>
      <c r="AN66" s="3" t="inlineStr">
        <is>
          <t>On 28 Sep 2026, with $8,000 in the account: car insurance of $1,400 due 15 Oct and property tax of $4,800 due 1 Nov. Nothing else is dated.
GIVES: $6,600
(the test re-runs this through MK-CF-O-008 whatsComing on every build)</t>
        </is>
      </c>
      <c r="AO66" s="3" t="inlineStr">
        <is>
          <t>NOTHING OPEN</t>
        </is>
      </c>
    </row>
    <row r="67" ht="60" customHeight="1">
      <c r="A67" s="3" t="inlineStr">
        <is>
          <t>MK-CF-M-062</t>
        </is>
      </c>
      <c r="B67" s="3" t="inlineStr">
        <is>
          <t>Cashflow</t>
        </is>
      </c>
      <c r="C67" s="3" t="inlineStr">
        <is>
          <t>/bill-calendar</t>
        </is>
      </c>
      <c r="D67" s="3" t="inlineStr">
        <is>
          <t>Short — set it aside by &lt;date&gt;</t>
        </is>
      </c>
      <c r="E67" s="3" t="inlineStr">
        <is>
          <t>short__set_it_aside_by_date</t>
        </is>
      </c>
      <c r="F67" s="3" t="inlineStr">
        <is>
          <t>whatsComing</t>
        </is>
      </c>
      <c r="G67" s="3" t="inlineStr">
        <is>
          <t>MK-CF-O-008</t>
        </is>
      </c>
      <c r="H67" s="3" t="inlineStr">
        <is>
          <t>the bill − what is projected to be in the account on its need-by date, when that is less</t>
        </is>
      </c>
      <c r="I67" s="3" t="inlineStr">
        <is>
          <t>the bill − what is projected to be in the account on its need-by date, when that is less</t>
        </is>
      </c>
      <c r="J67" s="3" t="inlineStr">
        <is>
          <t>MK-NW-I-001 your accounts
MK-CF-I-002 your bills</t>
        </is>
      </c>
      <c r="K67" s="3" t="inlineStr">
        <is>
          <t>dollars, whole</t>
        </is>
      </c>
      <c r="L67" s="3" t="inlineStr">
        <is>
          <t>Nothing short — the line reads Covered instead.</t>
        </is>
      </c>
      <c r="M67" s="3" t="inlineStr">
        <is>
          <t>one bill</t>
        </is>
      </c>
      <c r="N67" s="3" t="inlineStr">
        <is>
          <t>as of today</t>
        </is>
      </c>
      <c r="O67" s="3" t="inlineStr">
        <is>
          <t>MK-CF-F-019 (upcomingBills) → NOT DECLARED — the code does not say what it gives back</t>
        </is>
      </c>
      <c r="P67" s="3" t="inlineStr">
        <is>
          <t>Declared by MK-CF-O-008 whatsComing</t>
        </is>
      </c>
      <c r="Q67" s="3" t="inlineStr">
        <is>
          <t>NONE RECORDED — the declaration names none.</t>
        </is>
      </c>
      <c r="R67" s="3" t="inlineStr">
        <is>
          <t>NONE RECORDED — the declaration names none.</t>
        </is>
      </c>
      <c r="S67" s="3" t="inlineStr"/>
      <c r="T67" s="3" t="inlineStr">
        <is>
          <t>NONE RECORDED — the declaration names none.</t>
        </is>
      </c>
      <c r="U67" s="3" t="inlineStr"/>
      <c r="V67" s="3" t="inlineStr"/>
      <c r="W67" s="3" t="inlineStr"/>
      <c r="X67" s="3" t="inlineStr"/>
      <c r="Y67" s="3" t="inlineStr"/>
      <c r="Z67" s="3" t="inlineStr">
        <is>
          <t>DECLARED IN THE CODE (rule 11) — printed from the door, not typed. RULED 2026-10-02</t>
        </is>
      </c>
      <c r="AA67" s="3" t="inlineStr"/>
      <c r="AB67" s="3" t="inlineStr"/>
      <c r="AC67" s="3" t="inlineStr"/>
      <c r="AD67" s="3" t="inlineStr"/>
      <c r="AE67" s="3" t="inlineStr"/>
      <c r="AF67" s="3" t="inlineStr">
        <is>
          <t>ACTIVE</t>
        </is>
      </c>
      <c r="AG67" s="3" t="inlineStr">
        <is>
          <t>2026-10-11</t>
        </is>
      </c>
      <c r="AH67" s="3" t="inlineStr"/>
      <c r="AI67" s="3" t="inlineStr"/>
      <c r="AJ67"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2026-10-02; the figure, its formula, inputs and refusal live in MK-CF-O-008 whatsComing</t>
        </is>
      </c>
      <c r="AN67" s="3" t="inlineStr">
        <is>
          <t>On 28 Sep 2026, with $8,000 in the account: car insurance of $1,400 due 15 Oct and property tax of $4,800 due 1 Nov. Nothing else is dated.
GIVES: $0
(the test re-runs this through MK-CF-O-008 whatsComing on every build)</t>
        </is>
      </c>
      <c r="AO67" s="3" t="inlineStr">
        <is>
          <t>NOTHING OPEN</t>
        </is>
      </c>
    </row>
    <row r="68" ht="60" customHeight="1">
      <c r="A68" s="3" t="inlineStr">
        <is>
          <t>MK-CF-M-063</t>
        </is>
      </c>
      <c r="B68" s="3" t="inlineStr">
        <is>
          <t>Cashflow</t>
        </is>
      </c>
      <c r="C68" s="3" t="inlineStr">
        <is>
          <t>/bill-calendar</t>
        </is>
      </c>
      <c r="D68" s="3" t="inlineStr">
        <is>
          <t>Covered — about $X there by &lt;date&gt;</t>
        </is>
      </c>
      <c r="E68" s="3" t="inlineStr">
        <is>
          <t>covered__about_x_there_by_date</t>
        </is>
      </c>
      <c r="F68" s="3" t="inlineStr">
        <is>
          <t>whatsComing</t>
        </is>
      </c>
      <c r="G68" s="3" t="inlineStr">
        <is>
          <t>MK-CF-O-008</t>
        </is>
      </c>
      <c r="H68" s="3" t="inlineStr">
        <is>
          <t>the starting balance, less every earlier dated bill, on the need-by date</t>
        </is>
      </c>
      <c r="I68" s="3" t="inlineStr">
        <is>
          <t>the starting balance, less every earlier dated bill, on the need-by date</t>
        </is>
      </c>
      <c r="J68" s="3" t="inlineStr">
        <is>
          <t>MK-NW-I-001 your accounts
MK-CF-I-002 your bills</t>
        </is>
      </c>
      <c r="K68" s="3" t="inlineStr">
        <is>
          <t>dollars, whole</t>
        </is>
      </c>
      <c r="L68" s="3" t="inlineStr">
        <is>
          <t>No balance to start from — nothing is projected.</t>
        </is>
      </c>
      <c r="M68" s="3" t="inlineStr">
        <is>
          <t>one bill</t>
        </is>
      </c>
      <c r="N68" s="3" t="inlineStr">
        <is>
          <t>as of today</t>
        </is>
      </c>
      <c r="O68" s="3" t="inlineStr">
        <is>
          <t>MK-CF-F-019 (upcomingBills) → NOT DECLARED — the code does not say what it gives back</t>
        </is>
      </c>
      <c r="P68" s="3" t="inlineStr">
        <is>
          <t>Declared by MK-CF-O-008 whatsComing</t>
        </is>
      </c>
      <c r="Q68" s="3" t="inlineStr">
        <is>
          <t>NONE RECORDED — the declaration names none.</t>
        </is>
      </c>
      <c r="R68" s="3" t="inlineStr">
        <is>
          <t>NONE RECORDED — the declaration names none.</t>
        </is>
      </c>
      <c r="S68" s="3" t="inlineStr"/>
      <c r="T68" s="3" t="inlineStr">
        <is>
          <t>NONE RECORDED — the declaration names none.</t>
        </is>
      </c>
      <c r="U68" s="3" t="inlineStr"/>
      <c r="V68" s="3" t="inlineStr"/>
      <c r="W68" s="3" t="inlineStr"/>
      <c r="X68" s="3" t="inlineStr"/>
      <c r="Y68" s="3" t="inlineStr"/>
      <c r="Z68" s="3" t="inlineStr">
        <is>
          <t>DECLARED IN THE CODE (rule 11) — printed from the door, not typed. RULED 2026-10-02</t>
        </is>
      </c>
      <c r="AA68" s="3" t="inlineStr"/>
      <c r="AB68" s="3" t="inlineStr"/>
      <c r="AC68" s="3" t="inlineStr"/>
      <c r="AD68" s="3" t="inlineStr"/>
      <c r="AE68" s="3" t="inlineStr"/>
      <c r="AF68" s="3" t="inlineStr">
        <is>
          <t>ACTIVE</t>
        </is>
      </c>
      <c r="AG68" s="3" t="inlineStr">
        <is>
          <t>2026-10-11</t>
        </is>
      </c>
      <c r="AH68" s="3" t="inlineStr"/>
      <c r="AI68" s="3" t="inlineStr"/>
      <c r="AJ68"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2026-10-02; the figure, its formula, inputs and refusal live in MK-CF-O-008 whatsComing</t>
        </is>
      </c>
      <c r="AN68" s="3" t="inlineStr">
        <is>
          <t>On 28 Sep 2026, with $8,000 in the account: car insurance of $1,400 due 15 Oct and property tax of $4,800 due 1 Nov. Nothing else is dated.
GIVES: $8,000
(the test re-runs this through MK-CF-O-008 whatsComing on every build)</t>
        </is>
      </c>
      <c r="AO68" s="3" t="inlineStr">
        <is>
          <t>NOTHING OPEN</t>
        </is>
      </c>
    </row>
    <row r="69" ht="60" customHeight="1">
      <c r="A69" s="3" t="inlineStr">
        <is>
          <t>MK-CF-M-066</t>
        </is>
      </c>
      <c r="B69" s="3" t="inlineStr">
        <is>
          <t>Cashflow</t>
        </is>
      </c>
      <c r="C69" s="3" t="inlineStr">
        <is>
          <t>/income-manager</t>
        </is>
      </c>
      <c r="D69" s="3" t="inlineStr">
        <is>
          <t>Dividends, interest &amp; coupons</t>
        </is>
      </c>
      <c r="E69" s="3" t="inlineStr">
        <is>
          <t>dividends_interest__coupons</t>
        </is>
      </c>
      <c r="F69" s="3" t="inlineStr">
        <is>
          <t>incomeSummary</t>
        </is>
      </c>
      <c r="G69" s="3" t="inlineStr">
        <is>
          <t>MK-CF-O-004</t>
        </is>
      </c>
      <c r="H69" s="3" t="inlineStr">
        <is>
          <t>the dividend, interest and coupon records of the last twelve months, added up</t>
        </is>
      </c>
      <c r="I69" s="3" t="inlineStr">
        <is>
          <t>the dividend, interest and coupon records of the last twelve months, added up</t>
        </is>
      </c>
      <c r="J69" s="3" t="inlineStr">
        <is>
          <t>MK-NW-I-004 the activity records
MK-NW-I-001 your accounts</t>
        </is>
      </c>
      <c r="K69" s="3" t="inlineStr">
        <is>
          <t>dollars, whole a year</t>
        </is>
      </c>
      <c r="L69" s="3" t="inlineStr">
        <is>
          <t>No record of any — $0, never an estimate.</t>
        </is>
      </c>
      <c r="M69" s="3" t="inlineStr">
        <is>
          <t>one figure per household</t>
        </is>
      </c>
      <c r="N69" s="3" t="inlineStr">
        <is>
          <t>a year</t>
        </is>
      </c>
      <c r="O6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69" s="3" t="inlineStr">
        <is>
          <t>Declared by MK-CF-O-004 incomeSummary</t>
        </is>
      </c>
      <c r="Q69" s="3" t="inlineStr">
        <is>
          <t>NONE RECORDED — the declaration names none.</t>
        </is>
      </c>
      <c r="R69" s="3" t="inlineStr">
        <is>
          <t>NONE RECORDED — the declaration names none.</t>
        </is>
      </c>
      <c r="S69" s="3" t="inlineStr"/>
      <c r="T69" s="3" t="inlineStr">
        <is>
          <t>NONE RECORDED — the declaration names none.</t>
        </is>
      </c>
      <c r="U69" s="3" t="inlineStr"/>
      <c r="V69" s="3" t="inlineStr"/>
      <c r="W69" s="3" t="inlineStr"/>
      <c r="X69" s="3" t="inlineStr"/>
      <c r="Y69" s="3" t="inlineStr"/>
      <c r="Z69" s="3" t="inlineStr">
        <is>
          <t>DECLARED IN THE CODE (rule 11) — printed from the door, not typed. RULED 2026-10-02</t>
        </is>
      </c>
      <c r="AA69" s="3" t="inlineStr"/>
      <c r="AB69" s="3" t="inlineStr"/>
      <c r="AC69" s="3" t="inlineStr"/>
      <c r="AD69" s="3" t="inlineStr"/>
      <c r="AE69" s="3" t="inlineStr"/>
      <c r="AF69" s="3" t="inlineStr">
        <is>
          <t>ACTIVE</t>
        </is>
      </c>
      <c r="AG69" s="3" t="inlineStr">
        <is>
          <t>2026-10-11</t>
        </is>
      </c>
      <c r="AH69" s="3" t="inlineStr"/>
      <c r="AI69" s="3" t="inlineStr"/>
      <c r="AJ6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2026-10-02; the figure, its formula, inputs and refusal live in MK-CF-O-004 incomeSummary</t>
        </is>
      </c>
      <c r="AN69" s="3" t="inlineStr">
        <is>
          <t>One account that recorded a $300 dividend in June and $120 of interest in March.
GIVES: $420/year
(the test re-runs this through MK-CF-O-004 incomeSummary on every build)</t>
        </is>
      </c>
      <c r="AO69" s="3" t="inlineStr">
        <is>
          <t>NOTHING OPEN</t>
        </is>
      </c>
    </row>
    <row r="70" ht="60" customHeight="1">
      <c r="A70" s="3" t="inlineStr">
        <is>
          <t>MK-CF-M-069</t>
        </is>
      </c>
      <c r="B70" s="3" t="inlineStr">
        <is>
          <t>Cashflow</t>
        </is>
      </c>
      <c r="C70" s="3" t="inlineStr">
        <is>
          <t>/monthly-income</t>
        </is>
      </c>
      <c r="D70" s="3" t="inlineStr">
        <is>
          <t>Your guaranteed income</t>
        </is>
      </c>
      <c r="E70" s="3" t="inlineStr">
        <is>
          <t>your_guaranteed_income</t>
        </is>
      </c>
      <c r="F70" s="3" t="inlineStr">
        <is>
          <t>incomeSummary</t>
        </is>
      </c>
      <c r="G70" s="3" t="inlineStr">
        <is>
          <t>MK-CF-O-004</t>
        </is>
      </c>
      <c r="H70" s="3" t="inlineStr">
        <is>
          <t>the sum of each source of guaranteed income (MK-CF-M-024)</t>
        </is>
      </c>
      <c r="I70" s="3" t="inlineStr">
        <is>
          <t>the sum of each source of guaranteed income (MK-CF-M-024)</t>
        </is>
      </c>
      <c r="J70" s="3" t="inlineStr">
        <is>
          <t>MK-XS-I-020 Social Security monthly amount
MK-XS-I-022 pension monthly amount
MK-XS-I-035 annuity income
MK-XS-I-036 other guaranteed income</t>
        </is>
      </c>
      <c r="K70" s="3" t="inlineStr">
        <is>
          <t>dollars, whole a month</t>
        </is>
      </c>
      <c r="L70" s="3" t="inlineStr">
        <is>
          <t>Nothing entered — $0, with the door to enter it.</t>
        </is>
      </c>
      <c r="M70" s="3" t="inlineStr">
        <is>
          <t>one figure per household</t>
        </is>
      </c>
      <c r="N70" s="3" t="inlineStr">
        <is>
          <t>a month</t>
        </is>
      </c>
      <c r="O7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70" s="3" t="inlineStr">
        <is>
          <t>Declared by MK-CF-O-004 incomeSummary</t>
        </is>
      </c>
      <c r="Q70" s="3" t="inlineStr">
        <is>
          <t>NONE RECORDED — the declaration names none.</t>
        </is>
      </c>
      <c r="R70" s="3" t="inlineStr">
        <is>
          <t>NONE RECORDED — the declaration names none.</t>
        </is>
      </c>
      <c r="S70" s="3" t="inlineStr"/>
      <c r="T70" s="3" t="inlineStr">
        <is>
          <t>NONE RECORDED — the declaration names none.</t>
        </is>
      </c>
      <c r="U70" s="3" t="inlineStr"/>
      <c r="V70" s="3" t="inlineStr"/>
      <c r="W70" s="3" t="inlineStr"/>
      <c r="X70" s="3" t="inlineStr"/>
      <c r="Y70" s="3" t="inlineStr"/>
      <c r="Z70" s="3" t="inlineStr">
        <is>
          <t>DECLARED IN THE CODE (rule 11) — printed from the door, not typed. RULED 2026-10-02</t>
        </is>
      </c>
      <c r="AA70" s="3" t="inlineStr"/>
      <c r="AB70" s="3" t="inlineStr"/>
      <c r="AC70" s="3" t="inlineStr"/>
      <c r="AD70" s="3" t="inlineStr"/>
      <c r="AE70" s="3" t="inlineStr"/>
      <c r="AF70" s="3" t="inlineStr">
        <is>
          <t>ACTIVE</t>
        </is>
      </c>
      <c r="AG70" s="3" t="inlineStr">
        <is>
          <t>2026-10-11</t>
        </is>
      </c>
      <c r="AH70" s="3" t="inlineStr"/>
      <c r="AI70" s="3" t="inlineStr"/>
      <c r="AJ7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2026-10-02; the figure, its formula, inputs and refusal live in MK-CF-O-004 incomeSummary</t>
        </is>
      </c>
      <c r="AN70"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70" s="3" t="inlineStr">
        <is>
          <t>NOTHING OPEN</t>
        </is>
      </c>
    </row>
    <row r="71" ht="60" customHeight="1">
      <c r="A71" s="3" t="inlineStr">
        <is>
          <t>MK-CF-M-070</t>
        </is>
      </c>
      <c r="B71" s="3" t="inlineStr">
        <is>
          <t>Cashflow</t>
        </is>
      </c>
      <c r="C71" s="3" t="inlineStr">
        <is>
          <t>/cashflow</t>
        </is>
      </c>
      <c r="D71" s="3" t="inlineStr">
        <is>
          <t>each step of the withdrawal order</t>
        </is>
      </c>
      <c r="E71" s="3" t="inlineStr">
        <is>
          <t>each_step_of_the_withdrawal_order</t>
        </is>
      </c>
      <c r="F71" s="3" t="inlineStr">
        <is>
          <t>futurePaycheck</t>
        </is>
      </c>
      <c r="G71" s="3" t="inlineStr">
        <is>
          <t>MK-CF-O-017</t>
        </is>
      </c>
      <c r="H71" s="3" t="inlineStr">
        <is>
          <t>cash first, then taxable, then pre-tax, then Roth — each with what is earmarked for retirement in it</t>
        </is>
      </c>
      <c r="I71" s="3" t="inlineStr">
        <is>
          <t>cash first, then taxable, then pre-tax, then Roth — each with what is earmarked for retirement in it</t>
        </is>
      </c>
      <c r="J71" s="3" t="inlineStr">
        <is>
          <t>MK-NW-I-001 your accounts
MK-XS-I-002 account type (taxable, pre-tax, Roth)
MK-XS-I-050 the share of an account earmarked for retirement</t>
        </is>
      </c>
      <c r="K71" s="3" t="inlineStr">
        <is>
          <t>dollars, whole</t>
        </is>
      </c>
      <c r="L71" s="3" t="inlineStr">
        <is>
          <t>No retirement money in any pot — no order to explain.</t>
        </is>
      </c>
      <c r="M71" s="3" t="inlineStr">
        <is>
          <t>one step</t>
        </is>
      </c>
      <c r="N71" s="3" t="inlineStr">
        <is>
          <t>as of today</t>
        </is>
      </c>
      <c r="O71" s="3" t="inlineStr">
        <is>
          <t>1. MK-CF-F-107 (buildPaycheckYear) → PaycheckYear
2. MK-XS-F-180 (declareFigures) → T
3. MK-CF-F-076 (guaranteedOutsideStreams) → GuaranteedStream[]
4. MK-ST-F-039 (on) → ()
5. MK-PL-F-050 (simulate) → NOT DECLARED — the code does not say what it gives back
6. MK-PL-F-001 (taxBucketSplit) → TaxSplit
7. MK-PL-F-067 (willItLastInputs) → RetirementInputs | null
8. MK-PL-F-004 (withdrawalOrder) → OrderStep[]</t>
        </is>
      </c>
      <c r="P71" s="3" t="inlineStr">
        <is>
          <t>Declared by MK-CF-O-017 futurePaycheck</t>
        </is>
      </c>
      <c r="Q71" s="3" t="inlineStr">
        <is>
          <t>NONE RECORDED — the declaration names none.</t>
        </is>
      </c>
      <c r="R71" s="3" t="inlineStr">
        <is>
          <t>NONE RECORDED — the declaration names none.</t>
        </is>
      </c>
      <c r="S71" s="3" t="inlineStr"/>
      <c r="T71" s="3" t="inlineStr">
        <is>
          <t>NONE RECORDED — the declaration names none.</t>
        </is>
      </c>
      <c r="U71" s="3" t="inlineStr"/>
      <c r="V71" s="3" t="inlineStr"/>
      <c r="W71" s="3" t="inlineStr"/>
      <c r="X71" s="3" t="inlineStr"/>
      <c r="Y71" s="3" t="inlineStr"/>
      <c r="Z71" s="3" t="inlineStr">
        <is>
          <t>DECLARED IN THE CODE (rule 11) — printed from the door, not typed. RULED 2026-10-02</t>
        </is>
      </c>
      <c r="AA71" s="3" t="inlineStr"/>
      <c r="AB71" s="3" t="inlineStr"/>
      <c r="AC71" s="3" t="inlineStr"/>
      <c r="AD71" s="3" t="inlineStr"/>
      <c r="AE71" s="3" t="inlineStr"/>
      <c r="AF71" s="3" t="inlineStr">
        <is>
          <t>ACTIVE</t>
        </is>
      </c>
      <c r="AG71" s="3" t="inlineStr">
        <is>
          <t>2026-10-11</t>
        </is>
      </c>
      <c r="AH71" s="3" t="inlineStr"/>
      <c r="AI71" s="3" t="inlineStr"/>
      <c r="AJ71" s="3" t="inlineStr">
        <is>
          <t>1. MK-XS-I-001 account balance — read by MK-CF-O-017, MK-NW-F-031, MK-NW-F-032, MK-NW-F-056, MK-NW-F-078, MK-NW-F-133, MK
2. MK-XS-I-002 account type (taxable, pre-tax, Roth) — read by MK-CF-O-017, MK-NW-F-004, MK-NW-F-011, MK-NW-F-012, MK-NW-F-025, MK-NW-F-120, MK
3. MK-XS-I-003 institution name — read by MK-NW-F-025, MK-NW-F-026, MK-NW-F-072, MK-NW-F-134,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MK-NW-F-041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2026-10-02; the figure, its formula, inputs and refusal live in MK-CF-O-017 futurePaycheck</t>
        </is>
      </c>
      <c r="AN71" s="3" t="inlineStr">
        <is>
          <t>A $50,000 taxable brokerage account and a $120,000 pre-tax 401(k), both for retirement, at 68.
GIVES: $50,000
(the test re-runs this through MK-CF-O-017 futurePaycheck on every build)</t>
        </is>
      </c>
      <c r="AO71" s="3" t="inlineStr">
        <is>
          <t>NOTHING OPEN</t>
        </is>
      </c>
    </row>
    <row r="72" ht="60" customHeight="1">
      <c r="A72" s="3" t="inlineStr">
        <is>
          <t>MK-CF-M-071</t>
        </is>
      </c>
      <c r="B72" s="3" t="inlineStr">
        <is>
          <t>Cashflow</t>
        </is>
      </c>
      <c r="C72" s="3" t="inlineStr">
        <is>
          <t>/cashflow</t>
        </is>
      </c>
      <c r="D72" s="3" t="inlineStr">
        <is>
          <t>/month min</t>
        </is>
      </c>
      <c r="E72" s="3" t="inlineStr">
        <is>
          <t>month_min</t>
        </is>
      </c>
      <c r="F72" s="3" t="inlineStr">
        <is>
          <t>theDebts</t>
        </is>
      </c>
      <c r="G72" s="3" t="inlineStr">
        <is>
          <t>MK-CF-O-018</t>
        </is>
      </c>
      <c r="H72" s="3" t="inlineStr">
        <is>
          <t>Σ the minimum monthly payment of every debt still owed</t>
        </is>
      </c>
      <c r="I72" s="3" t="inlineStr">
        <is>
          <t>Σ the minimum monthly payment of every debt still owed</t>
        </is>
      </c>
      <c r="J72" s="3" t="inlineStr">
        <is>
          <t>MK-XS-I-016 debt minimum payment</t>
        </is>
      </c>
      <c r="K72" s="3" t="inlineStr">
        <is>
          <t>dollars, whole a month</t>
        </is>
      </c>
      <c r="L72" s="3" t="inlineStr">
        <is>
          <t>No debts — $0.</t>
        </is>
      </c>
      <c r="M72" s="3" t="inlineStr">
        <is>
          <t>one figure per household</t>
        </is>
      </c>
      <c r="N72" s="3" t="inlineStr">
        <is>
          <t>a month</t>
        </is>
      </c>
      <c r="O72" s="3" t="inlineStr">
        <is>
          <t>1. MK-CF-F-025 (minimumDebtService) → number
2. MK-CF-F-034 (payoffPlan) → PayoffResult
3. MK-CF-F-024 (totalDebtMonthly) → number</t>
        </is>
      </c>
      <c r="P72" s="3" t="inlineStr">
        <is>
          <t>Declared by MK-CF-O-018 theDebts</t>
        </is>
      </c>
      <c r="Q72" s="3" t="inlineStr">
        <is>
          <t>NONE RECORDED — the declaration names none.</t>
        </is>
      </c>
      <c r="R72" s="3" t="inlineStr">
        <is>
          <t>NONE RECORDED — the declaration names none.</t>
        </is>
      </c>
      <c r="S72" s="3" t="inlineStr"/>
      <c r="T72" s="3" t="inlineStr">
        <is>
          <t>NONE RECORDED — the declaration names none.</t>
        </is>
      </c>
      <c r="U72" s="3" t="inlineStr"/>
      <c r="V72" s="3" t="inlineStr"/>
      <c r="W72" s="3" t="inlineStr"/>
      <c r="X72" s="3" t="inlineStr"/>
      <c r="Y72" s="3" t="inlineStr"/>
      <c r="Z72" s="3" t="inlineStr">
        <is>
          <t>DECLARED IN THE CODE (rule 11) — printed from the door, not typed. RULED 2026-10-02</t>
        </is>
      </c>
      <c r="AA72" s="3" t="inlineStr"/>
      <c r="AB72" s="3" t="inlineStr"/>
      <c r="AC72" s="3" t="inlineStr"/>
      <c r="AD72" s="3" t="inlineStr"/>
      <c r="AE72" s="3" t="inlineStr"/>
      <c r="AF72" s="3" t="inlineStr">
        <is>
          <t>ACTIVE</t>
        </is>
      </c>
      <c r="AG72" s="3" t="inlineStr">
        <is>
          <t>2026-10-11</t>
        </is>
      </c>
      <c r="AH72" s="3" t="inlineStr"/>
      <c r="AI72" s="3" t="inlineStr"/>
      <c r="AJ7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2026-10-02; the figure, its formula, inputs and refusal live in MK-CF-O-018 theDebts</t>
        </is>
      </c>
      <c r="AN72" s="3" t="inlineStr">
        <is>
          <t>A $9,000 card at 24% with a $200 minimum and a $14,000 car loan at 6.9% with a $250 minimum, nothing extra paid.
GIVES: $450/month
(the test re-runs this through MK-CF-O-018 theDebts on every build)</t>
        </is>
      </c>
      <c r="AO72" s="3" t="inlineStr">
        <is>
          <t>NOTHING OPEN</t>
        </is>
      </c>
    </row>
    <row r="73" ht="60" customHeight="1">
      <c r="A73" s="3" t="inlineStr">
        <is>
          <t>MK-CF-M-072</t>
        </is>
      </c>
      <c r="B73" s="3" t="inlineStr">
        <is>
          <t>Cashflow</t>
        </is>
      </c>
      <c r="C73" s="3" t="inlineStr">
        <is>
          <t>/cashflow</t>
        </is>
      </c>
      <c r="D73" s="3" t="inlineStr">
        <is>
          <t>/month total</t>
        </is>
      </c>
      <c r="E73" s="3" t="inlineStr">
        <is>
          <t>month_total</t>
        </is>
      </c>
      <c r="F73" s="3" t="inlineStr">
        <is>
          <t>theDebts</t>
        </is>
      </c>
      <c r="G73" s="3" t="inlineStr">
        <is>
          <t>MK-CF-O-018</t>
        </is>
      </c>
      <c r="H73" s="3" t="inlineStr">
        <is>
          <t>the minimums added up (MK-CF-M-071) + the extra a month you set</t>
        </is>
      </c>
      <c r="I73" s="3" t="inlineStr">
        <is>
          <t>the minimums added up (MK-CF-M-071) + the extra a month you set</t>
        </is>
      </c>
      <c r="J73" s="3" t="inlineStr">
        <is>
          <t>MK-XS-I-016 debt minimum payment
MK-XS-I-041 the payment the person chose to make on a debt</t>
        </is>
      </c>
      <c r="K73" s="3" t="inlineStr">
        <is>
          <t>dollars, whole a month</t>
        </is>
      </c>
      <c r="L73" s="3" t="inlineStr">
        <is>
          <t>No debts — $0.</t>
        </is>
      </c>
      <c r="M73" s="3" t="inlineStr">
        <is>
          <t>one figure per household</t>
        </is>
      </c>
      <c r="N73" s="3" t="inlineStr">
        <is>
          <t>a month</t>
        </is>
      </c>
      <c r="O73" s="3" t="inlineStr">
        <is>
          <t>1. MK-CF-F-025 (minimumDebtService) → number
2. MK-CF-F-034 (payoffPlan) → PayoffResult
3. MK-CF-F-024 (totalDebtMonthly) → number</t>
        </is>
      </c>
      <c r="P73" s="3" t="inlineStr">
        <is>
          <t>Declared by MK-CF-O-018 theDebts</t>
        </is>
      </c>
      <c r="Q73" s="3" t="inlineStr">
        <is>
          <t>NONE RECORDED — the declaration names none.</t>
        </is>
      </c>
      <c r="R73" s="3" t="inlineStr">
        <is>
          <t>NONE RECORDED — the declaration names none.</t>
        </is>
      </c>
      <c r="S73" s="3" t="inlineStr"/>
      <c r="T73" s="3" t="inlineStr">
        <is>
          <t>NONE RECORDED — the declaration names none.</t>
        </is>
      </c>
      <c r="U73" s="3" t="inlineStr"/>
      <c r="V73" s="3" t="inlineStr"/>
      <c r="W73" s="3" t="inlineStr"/>
      <c r="X73" s="3" t="inlineStr"/>
      <c r="Y73" s="3" t="inlineStr"/>
      <c r="Z73" s="3" t="inlineStr">
        <is>
          <t>DECLARED IN THE CODE (rule 11) — printed from the door, not typed. RULED 2026-10-02</t>
        </is>
      </c>
      <c r="AA73" s="3" t="inlineStr"/>
      <c r="AB73" s="3" t="inlineStr"/>
      <c r="AC73" s="3" t="inlineStr"/>
      <c r="AD73" s="3" t="inlineStr"/>
      <c r="AE73" s="3" t="inlineStr"/>
      <c r="AF73" s="3" t="inlineStr">
        <is>
          <t>ACTIVE</t>
        </is>
      </c>
      <c r="AG73" s="3" t="inlineStr">
        <is>
          <t>2026-10-11</t>
        </is>
      </c>
      <c r="AH73" s="3" t="inlineStr"/>
      <c r="AI73" s="3" t="inlineStr"/>
      <c r="AJ7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2026-10-02; the figure, its formula, inputs and refusal live in MK-CF-O-018 theDebts</t>
        </is>
      </c>
      <c r="AN73" s="3" t="inlineStr">
        <is>
          <t>A $9,000 card at 24% with a $200 minimum and a $14,000 car loan at 6.9% with a $250 minimum, nothing extra paid.
GIVES: $450/month
(the test re-runs this through MK-CF-O-018 theDebts on every build)</t>
        </is>
      </c>
      <c r="AO73" s="3" t="inlineStr">
        <is>
          <t>NOTHING OPEN</t>
        </is>
      </c>
    </row>
    <row r="74" ht="60" customHeight="1">
      <c r="A74" s="3" t="inlineStr">
        <is>
          <t>MK-CF-M-073</t>
        </is>
      </c>
      <c r="B74" s="3" t="inlineStr">
        <is>
          <t>Cashflow</t>
        </is>
      </c>
      <c r="C74" s="3" t="inlineStr">
        <is>
          <t>/cashflow · /bill-calendar</t>
        </is>
      </c>
      <c r="D74" s="3" t="inlineStr">
        <is>
          <t>/month</t>
        </is>
      </c>
      <c r="E74" s="3" t="inlineStr">
        <is>
          <t>month</t>
        </is>
      </c>
      <c r="F74" s="3" t="inlineStr">
        <is>
          <t>theDebts</t>
        </is>
      </c>
      <c r="G74" s="3" t="inlineStr">
        <is>
          <t>MK-CF-O-018</t>
        </is>
      </c>
      <c r="H74" s="3" t="inlineStr">
        <is>
          <t>the payment you chose for the debt; its minimum monthly payment where none is chosen</t>
        </is>
      </c>
      <c r="I74" s="3" t="inlineStr">
        <is>
          <t>the payment you chose for the debt; its minimum monthly payment where none is chosen</t>
        </is>
      </c>
      <c r="J74" s="3" t="inlineStr">
        <is>
          <t>MK-XS-I-016 debt minimum payment
MK-XS-I-041 the payment the person chose to make on a debt</t>
        </is>
      </c>
      <c r="K74" s="3" t="inlineStr">
        <is>
          <t>dollars, whole a month</t>
        </is>
      </c>
      <c r="L74" s="3" t="inlineStr">
        <is>
          <t>A debt due in full on a date has no monthly payment — the line says when the whole balance is due.</t>
        </is>
      </c>
      <c r="M74" s="3" t="inlineStr">
        <is>
          <t>one debt</t>
        </is>
      </c>
      <c r="N74" s="3" t="inlineStr">
        <is>
          <t>a month</t>
        </is>
      </c>
      <c r="O74" s="3" t="inlineStr">
        <is>
          <t>1. MK-CF-F-025 (minimumDebtService) → number
2. MK-CF-F-034 (payoffPlan) → PayoffResult
3. MK-CF-F-024 (totalDebtMonthly) → number</t>
        </is>
      </c>
      <c r="P74" s="3" t="inlineStr">
        <is>
          <t>Declared by MK-CF-O-018 theDebts</t>
        </is>
      </c>
      <c r="Q74" s="3" t="inlineStr">
        <is>
          <t>NONE RECORDED — the declaration names none.</t>
        </is>
      </c>
      <c r="R74" s="3" t="inlineStr">
        <is>
          <t>NONE RECORDED — the declaration names none.</t>
        </is>
      </c>
      <c r="S74" s="3" t="inlineStr"/>
      <c r="T74" s="3" t="inlineStr">
        <is>
          <t>NONE RECORDED — the declaration names none.</t>
        </is>
      </c>
      <c r="U74" s="3" t="inlineStr"/>
      <c r="V74" s="3" t="inlineStr"/>
      <c r="W74" s="3" t="inlineStr"/>
      <c r="X74" s="3" t="inlineStr"/>
      <c r="Y74" s="3" t="inlineStr"/>
      <c r="Z74" s="3" t="inlineStr">
        <is>
          <t>DECLARED IN THE CODE (rule 11) — printed from the door, not typed. RULED 2026-10-02</t>
        </is>
      </c>
      <c r="AA74" s="3" t="inlineStr"/>
      <c r="AB74" s="3" t="inlineStr"/>
      <c r="AC74" s="3" t="inlineStr"/>
      <c r="AD74" s="3" t="inlineStr"/>
      <c r="AE74" s="3" t="inlineStr"/>
      <c r="AF74" s="3" t="inlineStr">
        <is>
          <t>ACTIVE</t>
        </is>
      </c>
      <c r="AG74" s="3" t="inlineStr">
        <is>
          <t>2026-10-11</t>
        </is>
      </c>
      <c r="AH74" s="3" t="inlineStr"/>
      <c r="AI74" s="3" t="inlineStr"/>
      <c r="AJ7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4" s="3" t="inlineStr">
        <is>
          <t>(the claim now stands in 'Inputs it needs' until the row is approved)</t>
        </is>
      </c>
      <c r="AL74" s="3" t="inlineStr"/>
      <c r="AM74" s="3" t="inlineStr">
        <is>
          <t>TESTED, NOT VERIFIED — you ruled on this row 2026-10-02; the figure, its formula, inputs and refusal live in MK-CF-O-018 theDebts</t>
        </is>
      </c>
      <c r="AN74" s="3" t="inlineStr">
        <is>
          <t>A $9,000 card at 24% with a $200 minimum and a $14,000 car loan at 6.9% with a $250 minimum, nothing extra paid.
GIVES: $200/month
(the test re-runs this through MK-CF-O-018 theDebts on every build)</t>
        </is>
      </c>
      <c r="AO74" s="3" t="inlineStr">
        <is>
          <t>NOTHING OPEN</t>
        </is>
      </c>
    </row>
    <row r="75" ht="60" customHeight="1">
      <c r="A75" s="3" t="inlineStr">
        <is>
          <t>MK-CF-M-074</t>
        </is>
      </c>
      <c r="B75" s="3" t="inlineStr">
        <is>
          <t>Cashflow</t>
        </is>
      </c>
      <c r="C75" s="3" t="inlineStr">
        <is>
          <t>/cashflow</t>
        </is>
      </c>
      <c r="D75" s="3" t="inlineStr">
        <is>
          <t>paid down since &lt;month&gt;</t>
        </is>
      </c>
      <c r="E75" s="3" t="inlineStr">
        <is>
          <t>paid_down_since_month</t>
        </is>
      </c>
      <c r="F75" s="3" t="inlineStr">
        <is>
          <t>theDebts</t>
        </is>
      </c>
      <c r="G75" s="3" t="inlineStr">
        <is>
          <t>MK-CF-O-018</t>
        </is>
      </c>
      <c r="H75" s="3" t="inlineStr">
        <is>
          <t>what every debt together stood at then − what they stand at now</t>
        </is>
      </c>
      <c r="I75" s="3" t="inlineStr">
        <is>
          <t>what every debt together stood at then − what they stand at now</t>
        </is>
      </c>
      <c r="J75" s="3" t="inlineStr">
        <is>
          <t>MK-XS-I-014 debt balance</t>
        </is>
      </c>
      <c r="K75" s="3" t="inlineStr">
        <is>
          <t>dollars, whole</t>
        </is>
      </c>
      <c r="L75" s="3" t="inlineStr">
        <is>
          <t>No earlier total on record, or the debts have not fallen — the line is not drawn.</t>
        </is>
      </c>
      <c r="M75" s="3" t="inlineStr">
        <is>
          <t>one figure per household</t>
        </is>
      </c>
      <c r="N75" s="3" t="inlineStr">
        <is>
          <t>as of today</t>
        </is>
      </c>
      <c r="O75" s="3" t="inlineStr">
        <is>
          <t>1. MK-CF-F-025 (minimumDebtService) → number
2. MK-CF-F-034 (payoffPlan) → PayoffResult
3. MK-CF-F-024 (totalDebtMonthly) → number</t>
        </is>
      </c>
      <c r="P75" s="3" t="inlineStr">
        <is>
          <t>Declared by MK-CF-O-018 theDebts</t>
        </is>
      </c>
      <c r="Q75" s="3" t="inlineStr">
        <is>
          <t>READ FROM TWO RECORDED TOTALS, never estimated from the payments made — interest and new borrowing are inside it.
NOT DRAWN where there is no earlier total to compare with, or the debts have not fallen.</t>
        </is>
      </c>
      <c r="R75" s="3" t="inlineStr">
        <is>
          <t>READ FROM TWO RECORDED TOTALS, never estimated from the payments made — interest and new borrowing are inside it.
NOT DRAWN where there is no earlier total to compare with, or the debts have not fallen.</t>
        </is>
      </c>
      <c r="S75" s="3" t="inlineStr"/>
      <c r="T75" s="3" t="inlineStr">
        <is>
          <t>READ FROM TWO RECORDED TOTALS, never estimated from the payments made — interest and new borrowing are inside it.
NOT DRAWN where there is no earlier total to compare with, or the debts have not fallen.</t>
        </is>
      </c>
      <c r="U75" s="3" t="inlineStr"/>
      <c r="V75" s="3" t="inlineStr"/>
      <c r="W75" s="3" t="inlineStr"/>
      <c r="X75" s="3" t="inlineStr"/>
      <c r="Y75" s="3" t="inlineStr"/>
      <c r="Z75" s="3" t="inlineStr">
        <is>
          <t>DECLARED IN THE CODE (rule 11) — printed from the door, not typed. RULED 2026-10-03</t>
        </is>
      </c>
      <c r="AA75" s="3" t="inlineStr"/>
      <c r="AB75" s="3" t="inlineStr"/>
      <c r="AC75" s="3" t="inlineStr"/>
      <c r="AD75" s="3" t="inlineStr"/>
      <c r="AE75" s="3" t="inlineStr"/>
      <c r="AF75" s="3" t="inlineStr">
        <is>
          <t>ACTIVE</t>
        </is>
      </c>
      <c r="AG75" s="3" t="inlineStr">
        <is>
          <t>2026-10-11</t>
        </is>
      </c>
      <c r="AH75" s="3" t="inlineStr"/>
      <c r="AI75" s="3" t="inlineStr"/>
      <c r="AJ7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5" s="3" t="inlineStr">
        <is>
          <t>(the claim now stands in 'Inputs it needs' until the row is approved)</t>
        </is>
      </c>
      <c r="AL75" s="3" t="inlineStr"/>
      <c r="AM75" s="3" t="inlineStr">
        <is>
          <t>TESTED, NOT VERIFIED — you ruled on this row 2026-10-03; the figure, its formula, inputs and refusal live in MK-CF-O-018 theDebts</t>
        </is>
      </c>
      <c r="AN75" s="3" t="inlineStr">
        <is>
          <t>A $9,000 card at 24% with a $200 minimum and a $14,000 car loan at 6.9% with a $250 minimum, nothing extra paid. They stood at $27,100 at the end of January.
GIVES: $4,100
(the test re-runs this through MK-CF-O-018 theDebts on every build)</t>
        </is>
      </c>
      <c r="AO75" s="3" t="inlineStr">
        <is>
          <t>NOTHING OPEN</t>
        </is>
      </c>
    </row>
    <row r="76" ht="60" customHeight="1">
      <c r="A76" s="3" t="inlineStr">
        <is>
          <t>MK-CF-M-075</t>
        </is>
      </c>
      <c r="B76" s="3" t="inlineStr">
        <is>
          <t>Cashflow</t>
        </is>
      </c>
      <c r="C76" s="3" t="inlineStr">
        <is>
          <t>/cashflow</t>
        </is>
      </c>
      <c r="D76" s="3" t="inlineStr">
        <is>
          <t>% of where you started</t>
        </is>
      </c>
      <c r="E76" s="3" t="inlineStr">
        <is>
          <t>of_where_you_started</t>
        </is>
      </c>
      <c r="F76" s="3" t="inlineStr">
        <is>
          <t>theDebts</t>
        </is>
      </c>
      <c r="G76" s="3" t="inlineStr">
        <is>
          <t>MK-CF-O-018</t>
        </is>
      </c>
      <c r="H76" s="3" t="inlineStr">
        <is>
          <t>paid down (MK-CF-M-074) ÷ what every debt together stood at then</t>
        </is>
      </c>
      <c r="I76" s="3" t="inlineStr">
        <is>
          <t>paid down (MK-CF-M-074) ÷ what every debt together stood at then</t>
        </is>
      </c>
      <c r="J76" s="3" t="inlineStr">
        <is>
          <t>MK-XS-I-014 debt balance</t>
        </is>
      </c>
      <c r="K76" s="3" t="inlineStr">
        <is>
          <t>a percentage, whole</t>
        </is>
      </c>
      <c r="L76" s="3" t="inlineStr">
        <is>
          <t>No earlier total on record, or the debts have not fallen — the line is not drawn.</t>
        </is>
      </c>
      <c r="M76" s="3" t="inlineStr">
        <is>
          <t>one figure per household</t>
        </is>
      </c>
      <c r="N76" s="3" t="inlineStr">
        <is>
          <t>as of today</t>
        </is>
      </c>
      <c r="O76" s="3" t="inlineStr">
        <is>
          <t>1. MK-CF-F-025 (minimumDebtService) → number
2. MK-CF-F-034 (payoffPlan) → PayoffResult
3. MK-CF-F-024 (totalDebtMonthly) → number</t>
        </is>
      </c>
      <c r="P76" s="3" t="inlineStr">
        <is>
          <t>Declared by MK-CF-O-018 theDebts</t>
        </is>
      </c>
      <c r="Q76" s="3" t="inlineStr">
        <is>
          <t>NONE RECORDED — the declaration names none.</t>
        </is>
      </c>
      <c r="R76" s="3" t="inlineStr">
        <is>
          <t>NONE RECORDED — the declaration names none.</t>
        </is>
      </c>
      <c r="S76" s="3" t="inlineStr"/>
      <c r="T76" s="3" t="inlineStr">
        <is>
          <t>NONE RECORDED — the declaration names none.</t>
        </is>
      </c>
      <c r="U76" s="3" t="inlineStr"/>
      <c r="V76" s="3" t="inlineStr"/>
      <c r="W76" s="3" t="inlineStr"/>
      <c r="X76" s="3" t="inlineStr"/>
      <c r="Y76" s="3" t="inlineStr"/>
      <c r="Z76" s="3" t="inlineStr">
        <is>
          <t>DECLARED IN THE CODE (rule 11) — printed from the door, not typed. RULED 2026-10-03</t>
        </is>
      </c>
      <c r="AA76" s="3" t="inlineStr"/>
      <c r="AB76" s="3" t="inlineStr"/>
      <c r="AC76" s="3" t="inlineStr"/>
      <c r="AD76" s="3" t="inlineStr"/>
      <c r="AE76" s="3" t="inlineStr"/>
      <c r="AF76" s="3" t="inlineStr">
        <is>
          <t>ACTIVE</t>
        </is>
      </c>
      <c r="AG76" s="3" t="inlineStr">
        <is>
          <t>2026-10-11</t>
        </is>
      </c>
      <c r="AH76" s="3" t="inlineStr"/>
      <c r="AI76" s="3" t="inlineStr"/>
      <c r="AJ7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6" s="3" t="inlineStr">
        <is>
          <t>(the claim now stands in 'Inputs it needs' until the row is approved)</t>
        </is>
      </c>
      <c r="AL76" s="3" t="inlineStr"/>
      <c r="AM76" s="3" t="inlineStr">
        <is>
          <t>TESTED, NOT VERIFIED — you ruled on this row 2026-10-03; the figure, its formula, inputs and refusal live in MK-CF-O-018 theDebts</t>
        </is>
      </c>
      <c r="AN76" s="3" t="inlineStr">
        <is>
          <t>A $9,000 card at 24% with a $200 minimum and a $14,000 car loan at 6.9% with a $250 minimum, nothing extra paid. They stood at $27,100 at the end of January.
GIVES: 15%
(the test re-runs this through MK-CF-O-018 theDebts on every build)</t>
        </is>
      </c>
      <c r="AO76" s="3" t="inlineStr">
        <is>
          <t>NOTHING OPEN</t>
        </is>
      </c>
    </row>
  </sheetData>
  <autoFilter ref="A1:AO7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MK-MN-M-001</t>
        </is>
      </c>
      <c r="B2" s="3" t="inlineStr">
        <is>
          <t>Menu</t>
        </is>
      </c>
      <c r="C2" s="3" t="inlineStr">
        <is>
          <t>/big-costs</t>
        </is>
      </c>
      <c r="D2" s="3" t="inlineStr">
        <is>
          <t>each big cost and its year</t>
        </is>
      </c>
      <c r="E2" s="3" t="inlineStr">
        <is>
          <t>c.amount</t>
        </is>
      </c>
      <c r="F2" s="3" t="inlineStr">
        <is>
          <t>NOT ON RECORD — no function is recorded for this figure</t>
        </is>
      </c>
      <c r="G2" s="3" t="inlineStr"/>
      <c r="H2" s="3" t="inlineStr">
        <is>
          <t>total = Σ(each big cost);  each one lands in the year it is dated</t>
        </is>
      </c>
      <c r="I2" s="3" t="inlineStr">
        <is>
          <t>Adds up the one-off costs the person has told us about, each sitting in the year it is expected.</t>
        </is>
      </c>
      <c r="J2" s="3" t="inlineStr">
        <is>
          <t>NOT DETERMINED — no input list on record for this function</t>
        </is>
      </c>
      <c r="K2" s="3"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s="3" t="inlineStr">
        <is>
          <t>One figure per person — or per household when two people share one record  [derived by rule — confirm]</t>
        </is>
      </c>
      <c r="N2" s="3" t="inlineStr">
        <is>
          <t>This calendar year, to today  [derived by rule — confirm]</t>
        </is>
      </c>
      <c r="O2" s="3" t="inlineStr">
        <is>
          <t>No function on record — nothing to chain</t>
        </is>
      </c>
      <c r="P2" s="3" t="inlineStr">
        <is>
          <t>No function on record — nothing to chain</t>
        </is>
      </c>
      <c r="Q2" s="3" t="inlineStr">
        <is>
          <t>No function on record — assumptions unknown</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B24 [NOT COMPARABLE] — This figure names no function, so its formula cannot be checked against anything. 69 of the 163 figures are in this position — the audit covers the 94 that name one.</t>
        </is>
      </c>
      <c r="AC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s="3"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s="3" t="inlineStr">
        <is>
          <t>ACTIVE</t>
        </is>
      </c>
      <c r="AG2" s="3" t="inlineStr">
        <is>
          <t>2026-08-27</t>
        </is>
      </c>
      <c r="AH2" s="3" t="n"/>
      <c r="AI2" s="3" t="n"/>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MK-MN-M-002</t>
        </is>
      </c>
      <c r="B3" s="3" t="inlineStr">
        <is>
          <t>Menu</t>
        </is>
      </c>
      <c r="C3" s="3" t="inlineStr">
        <is>
          <t>/big-costs</t>
        </is>
      </c>
      <c r="D3" s="3" t="inlineStr">
        <is>
          <t>the total of your big costs</t>
        </is>
      </c>
      <c r="E3" s="3" t="inlineStr">
        <is>
          <t>total</t>
        </is>
      </c>
      <c r="F3" s="3" t="inlineStr">
        <is>
          <t>NOT ON RECORD — no function is recorded for this figure</t>
        </is>
      </c>
      <c r="G3" s="3" t="inlineStr"/>
      <c r="H3" s="3" t="inlineStr">
        <is>
          <t>total = Σ(each big cost);  each one lands in the year it is dated</t>
        </is>
      </c>
      <c r="I3" s="3" t="inlineStr">
        <is>
          <t>Adds up the one-off costs the person has told us about, each sitting in the year it is expected.</t>
        </is>
      </c>
      <c r="J3" s="3" t="inlineStr">
        <is>
          <t>NOT DETERMINED — no input list on record for this function</t>
        </is>
      </c>
      <c r="K3" s="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s="3" t="inlineStr">
        <is>
          <t>One figure per person — or per household when two people share one record  [derived by rule — confirm]</t>
        </is>
      </c>
      <c r="N3" s="3" t="inlineStr">
        <is>
          <t>As of today, from the latest figures held  [derived by rule — confirm]</t>
        </is>
      </c>
      <c r="O3" s="3" t="inlineStr">
        <is>
          <t>No function on record — nothing to chain</t>
        </is>
      </c>
      <c r="P3" s="3" t="inlineStr">
        <is>
          <t>No function on record — nothing to chain</t>
        </is>
      </c>
      <c r="Q3" s="3" t="inlineStr">
        <is>
          <t>No function on record — assumptions unknown</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B24 [NOT COMPARABLE] — This figure names no function, so its formula cannot be checked against anything. 69 of the 163 figures are in this position — the audit covers the 94 that name one.</t>
        </is>
      </c>
      <c r="AC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s="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s="3" t="inlineStr">
        <is>
          <t>ACTIVE</t>
        </is>
      </c>
      <c r="AG3" s="3" t="inlineStr">
        <is>
          <t>2026-08-27</t>
        </is>
      </c>
      <c r="AH3" s="3" t="n"/>
      <c r="AI3" s="3" t="n"/>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MK-MN-M-007</t>
        </is>
      </c>
      <c r="B4" s="3" t="inlineStr">
        <is>
          <t>Menu</t>
        </is>
      </c>
      <c r="C4" s="3" t="inlineStr">
        <is>
          <t>/expense</t>
        </is>
      </c>
      <c r="D4" s="3" t="inlineStr">
        <is>
          <t>$X of $Y this month · over by $Z</t>
        </is>
      </c>
      <c r="E4" s="3" t="inlineStr">
        <is>
          <t>catSpend / catBudget</t>
        </is>
      </c>
      <c r="F4" s="3" t="inlineStr">
        <is>
          <t>plannedMonthlySpend</t>
        </is>
      </c>
      <c r="G4" s="3" t="inlineStr">
        <is>
          <t>MK-CF-F-002</t>
        </is>
      </c>
      <c r="H4" s="3" t="inlineStr">
        <is>
          <t>planned a month = Σ(each category’s planned amount);  remaining = planned − spent</t>
        </is>
      </c>
      <c r="I4"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4" s="3" t="inlineStr">
        <is>
          <t>1. the categories → SPENDING_BY_KIND  [MK-XS-I-032]
2. the single figure → monthlySpending  [MK-XS-I-024, MK-XS-I-030]</t>
        </is>
      </c>
      <c r="K4" s="3" t="inlineStr">
        <is>
          <t>US dollars · held to the cent · shown as whole dollars  [derived by rule — confirm]</t>
        </is>
      </c>
      <c r="L4" s="3" t="inlineStr">
        <is>
          <t>Adds up to $0 when there is nothing to add. Zero and "nothing recorded yet" look identical on screen — worth a decision.</t>
        </is>
      </c>
      <c r="M4" s="3" t="inlineStr">
        <is>
          <t>One figure per month  [derived by rule — confirm]</t>
        </is>
      </c>
      <c r="N4" s="3" t="inlineStr">
        <is>
          <t>This calendar month, to today  [derived by rule — confirm]</t>
        </is>
      </c>
      <c r="O4" s="3" t="inlineStr">
        <is>
          <t>1. MK-CF-F-092 (incomeMonthlyGrid) → NOT DECLARED — the code does not say what it gives back
2. MK-CF-F-004 (spendBuckets) → NOT DECLARED — the code does not say what it gives back
3. MK-XS-F-027 (takeHomeMonthly) → number
4. MK-ST-F-052 (toNum) → number</t>
        </is>
      </c>
      <c r="P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MK-CF-F-003 — Turns a monthly figure into a year by multiplying by twelve.
18. MK-CF-F-176 — If r[i] is missing it counts as zero, so nothing recorded and a real zero look the same.
19. MK-CF-F-180 — Uses a built-in total of 0.
20. MK-CF-F-180 — Turns a monthly figure into a year by multiplying by twelve.
21. MK-CF-F-089 — Uses today's date from the device clock, so the answer changes by itself overnight.
22. MK-CF-F-082 — Uses today's date from the device clock, so the answer changes by itself overnight.
23. MK-CF-F-101 — Never lets state rate fall below 0.
24. MK-CF-F-101 — The 2026 bands per filing status are the Reference tab's statutory table (IRS Rev. Proc. 2025-32 §4.01), checked by statutory_constants.test.ts.
25. MK-CF-F-084 — Turns a monthly figure into a year by multiplying by twelve.
… and 51 more, on the functions tab</t>
        </is>
      </c>
      <c r="R4" s="3" t="inlineStr"/>
      <c r="S4" s="3" t="inlineStr"/>
      <c r="T4" s="3" t="inlineStr">
        <is>
          <t>NOT DETERMINED — no assumption recorded for this figure yet.</t>
        </is>
      </c>
      <c r="U4" s="3" t="inlineStr">
        <is>
          <t>THE SAME FIGURE AS MK-CF-M-015 — Expenses against plan for a category — the same comparison on Cash flow and on the expense screen. CONFIRM: the expense screen adds the amount being typed, which may make it a different figure.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AGREES — the figure's arithmetic and the arithmetic of the function it names say the same thing. Checked 2026-08-26.</t>
        </is>
      </c>
      <c r="AC4" s="3" t="inlineStr">
        <is>
          <t>HAS A FUNCTION — traceable from the screen to the code.</t>
        </is>
      </c>
      <c r="AD4" s="3" t="inlineStr"/>
      <c r="AE4" s="3" t="inlineStr">
        <is>
          <t>No finding on this row. That is not a statement that the row is right — only that nothing has been written against it.</t>
        </is>
      </c>
      <c r="AF4" s="3" t="inlineStr">
        <is>
          <t>SUPERSEDED BY MK-CF-M-015 — the same figure under another identifier. This number is retired and is never handed to anything else.</t>
        </is>
      </c>
      <c r="AG4" s="3" t="inlineStr">
        <is>
          <t>2026-10-02</t>
        </is>
      </c>
      <c r="AH4" s="3" t="n"/>
      <c r="AI4" s="3" t="n"/>
      <c r="AJ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MK-MN-M-008</t>
        </is>
      </c>
      <c r="B5" s="3" t="inlineStr">
        <is>
          <t>Menu</t>
        </is>
      </c>
      <c r="C5" s="3" t="inlineStr">
        <is>
          <t>/goals</t>
        </is>
      </c>
      <c r="D5" s="3" t="inlineStr">
        <is>
          <t>typical free cash to save $X/mo</t>
        </is>
      </c>
      <c r="E5" s="3" t="inlineStr">
        <is>
          <t>capacity.avg</t>
        </is>
      </c>
      <c r="F5" s="3" t="inlineStr">
        <is>
          <t>NOT ON RECORD — no function is recorded for this figure</t>
        </is>
      </c>
      <c r="G5" s="3" t="inlineStr"/>
      <c r="H5" s="3" t="inlineStr">
        <is>
          <t>typical free cash a month = median over recent months of (money in − money out)</t>
        </is>
      </c>
      <c r="I5" s="3" t="inlineStr">
        <is>
          <t>Looks at recent months and takes the typical amount left after money in and money out — what could realistically be saved, not the best month.</t>
        </is>
      </c>
      <c r="J5" s="3" t="inlineStr">
        <is>
          <t>NOT DETERMINED — no input list on record for this function</t>
        </is>
      </c>
      <c r="K5" s="3" t="inlineStr">
        <is>
          <t>US dollars · held to the cent · shown as whole dollars  [derived by rule — confirm]</t>
        </is>
      </c>
      <c r="L5" s="3" t="inlineStr">
        <is>
          <t>Needs recent months to speak. With too few it says so rather than offering a figure from one month.</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9" t="inlineStr">
        <is>
          <t>Q27 — "Typical free cash to save" uses the middle of recent months. How many months should it look back, and should a one-off windfall be excluded?</t>
        </is>
      </c>
      <c r="W5" s="9"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Q27 · RULED, NOT CODED (Q-PL-6 — one question, one function)</t>
        </is>
      </c>
    </row>
    <row r="6" ht="60" customHeight="1">
      <c r="A6" s="3" t="inlineStr">
        <is>
          <t>MK-MN-M-009</t>
        </is>
      </c>
      <c r="B6" s="3" t="inlineStr">
        <is>
          <t>Menu</t>
        </is>
      </c>
      <c r="C6" s="3" t="inlineStr">
        <is>
          <t>/goals</t>
        </is>
      </c>
      <c r="D6" s="3" t="inlineStr">
        <is>
          <t>each goal — $X of $Y · $Z to go</t>
        </is>
      </c>
      <c r="E6" s="3" t="inlineStr">
        <is>
          <t>g.saved / g.target</t>
        </is>
      </c>
      <c r="F6" s="3" t="inlineStr">
        <is>
          <t>goalStatus</t>
        </is>
      </c>
      <c r="G6" s="3" t="inlineStr">
        <is>
          <t>MK-PL-F-023</t>
        </is>
      </c>
      <c r="H6" s="3" t="inlineStr">
        <is>
          <t>to go = target − saved;  progress = saved ÷ target</t>
        </is>
      </c>
      <c r="I6" s="3" t="inlineStr">
        <is>
          <t>What has been put aside against the target, and what is still to go.</t>
        </is>
      </c>
      <c r="J6" s="3" t="inlineStr">
        <is>
          <t>NOT DETERMINED — no input list on record for this function</t>
        </is>
      </c>
      <c r="K6" s="3" t="inlineStr">
        <is>
          <t>US dollars · held to the cent · shown as whole dollars  [derived by rule — confirm]</t>
        </is>
      </c>
      <c r="L6" s="3" t="inlineStr">
        <is>
          <t>No goal → the list is empty and shows Add a goal ›; a goal with no target shows no percentage.</t>
        </is>
      </c>
      <c r="M6" s="3" t="inlineStr">
        <is>
          <t>One figure per goal  [derived by rule — confirm]</t>
        </is>
      </c>
      <c r="N6" s="3" t="inlineStr">
        <is>
          <t>As of today, from the latest figures held  [derived by rule — confirm]</t>
        </is>
      </c>
      <c r="O6" s="3" t="inlineStr">
        <is>
          <t>MK-PL-F-020 (requiredMonthly) → number | null</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MK-XS-I-027 goals (target, saved, date) — read by MK-PL-F-018, MK-PL-F-019, MK-PL-F-020, MK-PL-F-023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(Q-PL-6 — one question, one function)</t>
        </is>
      </c>
    </row>
    <row r="7" ht="60" customHeight="1">
      <c r="A7" s="3" t="inlineStr">
        <is>
          <t>MK-MN-M-010</t>
        </is>
      </c>
      <c r="B7" s="3" t="inlineStr">
        <is>
          <t>Menu</t>
        </is>
      </c>
      <c r="C7" s="3" t="inlineStr">
        <is>
          <t>/goals</t>
        </is>
      </c>
      <c r="D7" s="3" t="inlineStr">
        <is>
          <t>your non-monthly budget</t>
        </is>
      </c>
      <c r="E7" s="3" t="inlineStr">
        <is>
          <t>sinkBasis</t>
        </is>
      </c>
      <c r="F7" s="3" t="inlineStr">
        <is>
          <t>nonMonthlyBasis</t>
        </is>
      </c>
      <c r="G7" s="3" t="inlineStr">
        <is>
          <t>MK-CF-F-007</t>
        </is>
      </c>
      <c r="H7" s="3" t="inlineStr">
        <is>
          <t>set aside a month = Σ(each non-monthly cost ÷ months until it falls due)</t>
        </is>
      </c>
      <c r="I7" s="3" t="inlineStr">
        <is>
          <t>Takes the costs that do not arrive monthly and spreads each one across the months until it falls due.</t>
        </is>
      </c>
      <c r="J7" s="3" t="inlineStr">
        <is>
          <t>NOT DETERMINED — no input list on record for this function</t>
        </is>
      </c>
      <c r="K7" s="3" t="inlineStr">
        <is>
          <t>US dollars · held to the cent · shown as whole dollars  [derived by rule — confirm]</t>
        </is>
      </c>
      <c r="L7" s="3" t="inlineStr">
        <is>
          <t>$0, and under it the one line "Nothing entered yet. Add a goal ›" (mock approved 2026-09-12). A real zero that was entered shows a plain $0 with no line.</t>
        </is>
      </c>
      <c r="M7" s="3" t="inlineStr">
        <is>
          <t>One figure per month  [derived by rule — confirm]</t>
        </is>
      </c>
      <c r="N7" s="3" t="inlineStr">
        <is>
          <t>As of today, from the latest figures held  [derived by rule — confirm]</t>
        </is>
      </c>
      <c r="O7" s="3" t="inlineStr">
        <is>
          <t>MK-ST-F-052 (toNum) → number</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s="3" t="inlineStr"/>
      <c r="AE7"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7" s="3" t="inlineStr">
        <is>
          <t>ACTIVE</t>
        </is>
      </c>
      <c r="AG7" s="3" t="inlineStr">
        <is>
          <t>2026-08-27</t>
        </is>
      </c>
      <c r="AH7" s="3" t="n"/>
      <c r="AI7" s="3" t="n"/>
      <c r="AJ7"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(Q-PL-6 — one question, one function)</t>
        </is>
      </c>
    </row>
    <row r="8" ht="60" customHeight="1">
      <c r="A8" s="3" t="inlineStr">
        <is>
          <t>MK-MN-M-011</t>
        </is>
      </c>
      <c r="B8" s="3" t="inlineStr">
        <is>
          <t>Menu</t>
        </is>
      </c>
      <c r="C8" s="3" t="inlineStr">
        <is>
          <t>/income-detail</t>
        </is>
      </c>
      <c r="D8" s="3" t="inlineStr">
        <is>
          <t>TAKE-HOME / YEAR</t>
        </is>
      </c>
      <c r="E8" s="3" t="inlineStr">
        <is>
          <t>state.total_net_annual</t>
        </is>
      </c>
      <c r="F8" s="3" t="inlineStr">
        <is>
          <t>totalGrossAnnual</t>
        </is>
      </c>
      <c r="G8" s="3" t="inlineStr">
        <is>
          <t>MK-CF-O-004</t>
        </is>
      </c>
      <c r="H8" s="3" t="inlineStr">
        <is>
          <t>gross a year = salary + self-employment + bonus + equity vesting + rental + other;  take-home /month = (gross − tax withheld − pre-tax contributions) ÷ 12</t>
        </is>
      </c>
      <c r="I8"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s="3" t="inlineStr">
        <is>
          <t>each part → its own function above  [NOT AN INPUT — another function’s answer; see the dependency column]</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This calendar year, to today  [derived by rule — confirm]</t>
        </is>
      </c>
      <c r="O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8"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8"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8" s="3" t="inlineStr">
        <is>
          <t>HAS A FUNCTION — traceable from the screen to the code.</t>
        </is>
      </c>
      <c r="AD8" s="3" t="inlineStr"/>
      <c r="AE8" s="3" t="inlineStr">
        <is>
          <t>B17 — FIXED 2026-09-12
G32 / Q48 — 2026-09-09: the 'division with nothing on the bottom' boilerplate is gone; this cell now states the row's real refusal. Where it says 'built', the screen already does it; the rest follow the empty-state mock.</t>
        </is>
      </c>
      <c r="AF8" s="3" t="inlineStr">
        <is>
          <t>ACTIVE</t>
        </is>
      </c>
      <c r="AG8" s="3" t="inlineStr">
        <is>
          <t>2026-10-02</t>
        </is>
      </c>
      <c r="AH8" s="3" t="n"/>
      <c r="AI8" s="3" t="n"/>
      <c r="AJ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(Q-CF-1 — one question, one function)</t>
        </is>
      </c>
    </row>
    <row r="9" ht="60" customHeight="1">
      <c r="A9" s="3" t="inlineStr">
        <is>
          <t>MK-MN-M-012</t>
        </is>
      </c>
      <c r="B9" s="3" t="inlineStr">
        <is>
          <t>Menu</t>
        </is>
      </c>
      <c r="C9" s="3" t="inlineStr">
        <is>
          <t>/income-detail</t>
        </is>
      </c>
      <c r="D9" s="3" t="inlineStr">
        <is>
          <t>Gross / year</t>
        </is>
      </c>
      <c r="E9" s="3" t="inlineStr">
        <is>
          <t>state.total_gross_annual</t>
        </is>
      </c>
      <c r="F9" s="3" t="inlineStr">
        <is>
          <t>totalGrossAnnual</t>
        </is>
      </c>
      <c r="G9" s="3" t="inlineStr">
        <is>
          <t>MK-CF-O-004</t>
        </is>
      </c>
      <c r="H9" s="3" t="inlineStr">
        <is>
          <t>gross a year = salary + self-employment + bonus + equity vesting + rental + other;  take-home /month = (gross − tax withheld − pre-tax contributions) ÷ 12</t>
        </is>
      </c>
      <c r="I9"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s="3" t="inlineStr">
        <is>
          <t>each part → its own function above  [NOT AN INPUT — another function’s answer; see the dependency column]</t>
        </is>
      </c>
      <c r="K9" s="3"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s="3" t="inlineStr">
        <is>
          <t>One figure per person — or per household when two people share one record  [derived by rule — confirm]</t>
        </is>
      </c>
      <c r="N9" s="3" t="inlineStr">
        <is>
          <t>This calendar year, to today  [derived by rule — confirm]</t>
        </is>
      </c>
      <c r="O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9"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9"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s="3" t="inlineStr">
        <is>
          <t>HAS A FUNCTION — traceable from the screen to the code.</t>
        </is>
      </c>
      <c r="AD9" s="3" t="inlineStr"/>
      <c r="AE9" s="3" t="inlineStr">
        <is>
          <t>B17 — FIXED 2026-09-12
G32 / Q48 — 2026-09-09: the 'division with nothing on the bottom' boilerplate is gone; this cell now states the row's real refusal. Where it says 'built', the screen already does it; the rest follow the empty-state mock.</t>
        </is>
      </c>
      <c r="AF9" s="3" t="inlineStr">
        <is>
          <t>ACTIVE</t>
        </is>
      </c>
      <c r="AG9" s="3" t="inlineStr">
        <is>
          <t>2026-10-02</t>
        </is>
      </c>
      <c r="AH9" s="3" t="n"/>
      <c r="AI9" s="3" t="n"/>
      <c r="AJ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(Q-CF-1 — one question, one function)</t>
        </is>
      </c>
    </row>
    <row r="10" ht="60" customHeight="1">
      <c r="A10" s="3" t="inlineStr">
        <is>
          <t>MK-MN-M-013</t>
        </is>
      </c>
      <c r="B10" s="3" t="inlineStr">
        <is>
          <t>Menu</t>
        </is>
      </c>
      <c r="C10" s="3" t="inlineStr">
        <is>
          <t>/income-detail</t>
        </is>
      </c>
      <c r="D10" s="3" t="inlineStr">
        <is>
          <t>Take-home / month</t>
        </is>
      </c>
      <c r="E10" s="3" t="inlineStr">
        <is>
          <t>state.net_monthly_income</t>
        </is>
      </c>
      <c r="F10" s="3" t="inlineStr">
        <is>
          <t>totalGrossAnnual</t>
        </is>
      </c>
      <c r="G10" s="3" t="inlineStr">
        <is>
          <t>MK-CF-O-004</t>
        </is>
      </c>
      <c r="H10" s="3" t="inlineStr">
        <is>
          <t>gross a year = salary + self-employment + bonus + equity vesting + rental + other;  take-home /month = (gross − tax withheld − pre-tax contributions) ÷ 12</t>
        </is>
      </c>
      <c r="I1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s="3" t="inlineStr">
        <is>
          <t>each part → its own function above  [NOT AN INPUT — another function’s answer; see the dependency column]</t>
        </is>
      </c>
      <c r="K10" s="3"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s="3" t="inlineStr">
        <is>
          <t>One figure per month  [derived by rule — confirm]</t>
        </is>
      </c>
      <c r="N10" s="3" t="inlineStr">
        <is>
          <t>As of today, from the latest figures held  [derived by rule — confirm]</t>
        </is>
      </c>
      <c r="O1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1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s="3" t="inlineStr">
        <is>
          <t>HAS A FUNCTION — traceable from the screen to the code.</t>
        </is>
      </c>
      <c r="AD10" s="3" t="inlineStr"/>
      <c r="AE10" s="3" t="inlineStr">
        <is>
          <t>B17 — FIXED 2026-09-12
G32 / Q48 — 2026-09-09: the 'division with nothing on the bottom' boilerplate is gone; this cell now states the row's real refusal. Where it says 'built', the screen already does it; the rest follow the empty-state mock.</t>
        </is>
      </c>
      <c r="AF10" s="3" t="inlineStr">
        <is>
          <t>ACTIVE</t>
        </is>
      </c>
      <c r="AG10" s="3" t="inlineStr">
        <is>
          <t>2026-10-02</t>
        </is>
      </c>
      <c r="AH10" s="3" t="n"/>
      <c r="AI10" s="3" t="n"/>
      <c r="AJ1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(Q-CF-1 — one question, one function)</t>
        </is>
      </c>
    </row>
    <row r="11" ht="60" customHeight="1">
      <c r="A11" s="3" t="inlineStr">
        <is>
          <t>MK-MN-M-014</t>
        </is>
      </c>
      <c r="B11" s="3" t="inlineStr">
        <is>
          <t>Menu</t>
        </is>
      </c>
      <c r="C11" s="3" t="inlineStr">
        <is>
          <t>/income-detail</t>
        </is>
      </c>
      <c r="D11" s="3" t="inlineStr">
        <is>
          <t>Employer 401(k) match</t>
        </is>
      </c>
      <c r="E11" s="3" t="inlineStr">
        <is>
          <t>state.employer_match_annual</t>
        </is>
      </c>
      <c r="F11" s="3" t="inlineStr">
        <is>
          <t>employerMatchMonthly</t>
        </is>
      </c>
      <c r="G11" s="3" t="inlineStr">
        <is>
          <t>MK-CF-F-078</t>
        </is>
      </c>
      <c r="H11" s="3" t="inlineStr">
        <is>
          <t>match a year = the employer’s stated rate × pay, capped at the stated limit</t>
        </is>
      </c>
      <c r="I11" s="3" t="inlineStr">
        <is>
          <t>Either a percentage of what the person contributes to their 401(k), or a flat monthly amount — whichever way they described it.</t>
        </is>
      </c>
      <c r="J11" s="3" t="inlineStr">
        <is>
          <t>1. the match → employerMatchValue  [NOT AN INPUT — another function’s answer; see the dependency column]
2. percent or dollars → employerMatchMode  [MK-XS-I-046]
3. their own contribution → c_401k  [MK-XS-I-043]</t>
        </is>
      </c>
      <c r="K11" s="3" t="inlineStr">
        <is>
          <t>US dollars · held to the cent · shown as whole dollars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1. MK-CF-F-175 (sumOverEarners) → number
2. MK-CF-F-178 (wageMatchMonthly) → number</t>
        </is>
      </c>
      <c r="P11" s="3" t="inlineStr">
        <is>
          <t>1. MK-ST-F-056 has → MK-CF-F-172 hasWage → MK-CF-F-173 earnerWages → MK-CF-F-175 sumOverEarners → MK-CF-F-078 employerMatchMonthly
2. MK-XS-F-122 n → MK-ST-F-052 toNum → MK-CF-F-178 wageMatchMonthly → MK-CF-F-078 employerMatchMonthly</t>
        </is>
      </c>
      <c r="Q11" s="3" t="inlineStr">
        <is>
          <t>None found anywhere in this chain</t>
        </is>
      </c>
      <c r="R11" s="3" t="inlineStr"/>
      <c r="S11" s="3" t="inlineStr"/>
      <c r="T11" s="3" t="inlineStr">
        <is>
          <t>NOT DETERMINED — no assumption recorded for this figure yet.</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1" s="3" t="inlineStr">
        <is>
          <t>HAS A FUNCTION — traceable from the screen to the code.</t>
        </is>
      </c>
      <c r="AD11" s="3" t="inlineStr">
        <is>
          <t>B29 — Base salary — three copies of the match arithmetic, free to drift apart</t>
        </is>
      </c>
      <c r="AE11" s="3" t="inlineStr">
        <is>
          <t>B29 — FIXED 2026-08-27
B04 — FIXED 2026-08-27</t>
        </is>
      </c>
      <c r="AF11" s="3" t="inlineStr">
        <is>
          <t>ACTIVE</t>
        </is>
      </c>
      <c r="AG11" s="3" t="inlineStr">
        <is>
          <t>2026-09-30</t>
        </is>
      </c>
      <c r="AH11" s="3" t="n"/>
      <c r="AI11" s="3" t="n"/>
      <c r="AJ11"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(Q-CF-1 — one question, one function)</t>
        </is>
      </c>
    </row>
    <row r="12" ht="60" customHeight="1">
      <c r="A12" s="3" t="inlineStr">
        <is>
          <t>MK-MN-M-015</t>
        </is>
      </c>
      <c r="B12" s="3" t="inlineStr">
        <is>
          <t>Menu</t>
        </is>
      </c>
      <c r="C12" s="3" t="inlineStr">
        <is>
          <t>/insights</t>
        </is>
      </c>
      <c r="D12" s="3" t="inlineStr">
        <is>
          <t>each insight and the dollars behind it</t>
        </is>
      </c>
      <c r="E12" s="3" t="inlineStr">
        <is>
          <t>shareOf(v)</t>
        </is>
      </c>
      <c r="F12" s="3" t="inlineStr">
        <is>
          <t>NOT ON RECORD — no function is recorded for this figure</t>
        </is>
      </c>
      <c r="G12" s="3" t="inlineStr"/>
      <c r="H12" s="3" t="inlineStr">
        <is>
          <t>each insight scores its own dollars at stake; the list = the highest few, ranked</t>
        </is>
      </c>
      <c r="I12" s="3" t="inlineStr">
        <is>
          <t>Works out what is worth saying today, puts a dollar amount against each, and shows the few that matter most.</t>
        </is>
      </c>
      <c r="J12" s="3" t="inlineStr">
        <is>
          <t>NOT DETERMINED — no input list on record for this function</t>
        </is>
      </c>
      <c r="K12" s="3" t="inlineStr">
        <is>
          <t>US dollars · held to the cent · shown as whole dollars  [derived by rule — confirm]</t>
        </is>
      </c>
      <c r="L12" s="3" t="inlineStr">
        <is>
          <t>NOT DETERMINED — this function has not been read for its refusal yet.</t>
        </is>
      </c>
      <c r="M12" s="3" t="inlineStr">
        <is>
          <t>One figure per person — or per household when two people share one record  [derived by rule — confirm]</t>
        </is>
      </c>
      <c r="N12" s="3" t="inlineStr">
        <is>
          <t>As of today, from the latest figures held  [derived by rule — confirm]</t>
        </is>
      </c>
      <c r="O12" s="3" t="inlineStr">
        <is>
          <t>No function on record — nothing to chain</t>
        </is>
      </c>
      <c r="P12" s="3" t="inlineStr">
        <is>
          <t>No function on record — nothing to chain</t>
        </is>
      </c>
      <c r="Q12" s="3" t="inlineStr">
        <is>
          <t>No function on record — assumptions unknown</t>
        </is>
      </c>
      <c r="R12" s="3" t="inlineStr"/>
      <c r="S12" s="3" t="inlineStr"/>
      <c r="T12" s="3" t="inlineStr">
        <is>
          <t>NOT DETERMINED — no assumption recorded for this figure yet.</t>
        </is>
      </c>
      <c r="U12" s="3" t="inlineStr">
        <is>
          <t>THE SURVIVING IDENTIFIER for this figure. Folded in: MK-HM-M-003. The insights list. Home shows the top three of the same list the Insights screen shows in full.</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B24 [NOT COMPARABLE] — This figure names no function, so its formula cannot be checked against anything. 69 of the 163 figures are in this position — the audit covers the 94 that name one.</t>
        </is>
      </c>
      <c r="AC1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2" s="3" t="inlineStr"/>
      <c r="AE12" s="3" t="inlineStr">
        <is>
          <t>No finding on this row. That is not a statement that the row is right — only that nothing has been written against it.</t>
        </is>
      </c>
      <c r="AF12" s="3" t="inlineStr">
        <is>
          <t>ACTIVE</t>
        </is>
      </c>
      <c r="AG12" s="3" t="inlineStr">
        <is>
          <t>2026-08-27</t>
        </is>
      </c>
      <c r="AH12" s="3" t="n"/>
      <c r="AI12" s="3" t="n"/>
      <c r="AJ12" s="3" t="inlineStr">
        <is>
          <t>No function on record — nothing to read from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(Q-HM-1 — one question, one function)</t>
        </is>
      </c>
    </row>
    <row r="13" ht="60" customHeight="1">
      <c r="A13" s="3" t="inlineStr">
        <is>
          <t>MK-MN-M-017</t>
        </is>
      </c>
      <c r="B13" s="3" t="inlineStr">
        <is>
          <t>Menu</t>
        </is>
      </c>
      <c r="C13" s="3" t="inlineStr">
        <is>
          <t>/insurance</t>
        </is>
      </c>
      <c r="D13" s="3" t="inlineStr">
        <is>
          <t>the life-cover gap</t>
        </is>
      </c>
      <c r="E13" s="3" t="inlineStr">
        <is>
          <t>need.gap</t>
        </is>
      </c>
      <c r="F13" s="3" t="inlineStr">
        <is>
          <t>NOT ON RECORD — no function is recorded for this figure</t>
        </is>
      </c>
      <c r="G13" s="3" t="inlineStr"/>
      <c r="H13" s="3" t="inlineStr">
        <is>
          <t>need = income to replace × years + debts + goals + final expenses;  gap = need − cover already held</t>
        </is>
      </c>
      <c r="I13" s="3" t="inlineStr">
        <is>
          <t>Adds the income that would need replacing for the chosen number of years to debts, goals and final expenses, then subtracts cover already held.</t>
        </is>
      </c>
      <c r="J13" s="3" t="inlineStr">
        <is>
          <t>NOT DETERMINED — no input list on record for this function</t>
        </is>
      </c>
      <c r="K13" s="3" t="inlineStr">
        <is>
          <t>US dollars · held to the cent · shown as whole dollars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As of today, from the latest figures held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NOT DETERMINED — no assumption recorded for this figure yet.</t>
        </is>
      </c>
      <c r="U13" s="3" t="inlineStr"/>
      <c r="V13" s="9" t="inlineStr">
        <is>
          <t>Q25 — How many years of income should the default life-cover estimate replace, and does it assume the mortgage is cleared?</t>
        </is>
      </c>
      <c r="W13" s="9" t="inlineStr"/>
      <c r="X13" s="3" t="inlineStr"/>
      <c r="Y13" s="3" t="inlineStr">
        <is>
          <t>NOT DETERMINED</t>
        </is>
      </c>
      <c r="Z13" s="3" t="inlineStr">
        <is>
          <t>VERIFIED 2026-08-22</t>
        </is>
      </c>
      <c r="AA1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No finding on this row. That is not a statement that the row is right — only that nothing has been written against it.</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9" t="inlineStr">
        <is>
          <t>WAITING ON YOU — question Q25</t>
        </is>
      </c>
    </row>
    <row r="14" ht="60" customHeight="1">
      <c r="A14" s="3" t="inlineStr">
        <is>
          <t>MK-MN-M-018</t>
        </is>
      </c>
      <c r="B14" s="3" t="inlineStr">
        <is>
          <t>Menu</t>
        </is>
      </c>
      <c r="C14" s="3" t="inlineStr">
        <is>
          <t>/insurance</t>
        </is>
      </c>
      <c r="D14" s="3" t="inlineStr">
        <is>
          <t>Income replacement (N yrs)</t>
        </is>
      </c>
      <c r="E14" s="3" t="inlineStr">
        <is>
          <t>need.incomeReplacement</t>
        </is>
      </c>
      <c r="F14" s="3" t="inlineStr">
        <is>
          <t>NOT ON RECORD — no function is recorded for this figure</t>
        </is>
      </c>
      <c r="G14" s="3" t="inlineStr"/>
      <c r="H14" s="3" t="inlineStr">
        <is>
          <t>need = income to replace × years + debts + goals + final expenses;  gap = need − cover already held</t>
        </is>
      </c>
      <c r="I14" s="3" t="inlineStr">
        <is>
          <t>Adds the income that would need replacing for the chosen number of years to debts, goals and final expenses, then subtracts cover already held.</t>
        </is>
      </c>
      <c r="J14" s="3" t="inlineStr">
        <is>
          <t>NOT DETERMINED — no input list on record for this function</t>
        </is>
      </c>
      <c r="K14" s="3" t="inlineStr">
        <is>
          <t>US dollars · held to the cent · shown as whole dollars  [derived by rule — confirm]</t>
        </is>
      </c>
      <c r="L14" s="3" t="inlineStr">
        <is>
          <t>NOT DETERMINED — this function has not been read for its refusal yet.</t>
        </is>
      </c>
      <c r="M14" s="3" t="inlineStr">
        <is>
          <t>One figure per person — or per household when two people share one record  [derived by rule — confirm]</t>
        </is>
      </c>
      <c r="N14" s="3" t="inlineStr">
        <is>
          <t>As of today, from the latest figures held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3" t="inlineStr">
        <is>
          <t>NOTHING OPEN</t>
        </is>
      </c>
    </row>
    <row r="15" ht="60" customHeight="1">
      <c r="A15" s="3" t="inlineStr">
        <is>
          <t>MK-MN-M-019</t>
        </is>
      </c>
      <c r="B15" s="3" t="inlineStr">
        <is>
          <t>Menu</t>
        </is>
      </c>
      <c r="C15" s="3" t="inlineStr">
        <is>
          <t>/insurance</t>
        </is>
      </c>
      <c r="D15" s="3" t="inlineStr">
        <is>
          <t>+ Debts, goals &amp; final expenses · Total need</t>
        </is>
      </c>
      <c r="E15" s="3" t="inlineStr">
        <is>
          <t>need.total</t>
        </is>
      </c>
      <c r="F15" s="3" t="inlineStr">
        <is>
          <t>NOT ON RECORD — no function is recorded for this figure</t>
        </is>
      </c>
      <c r="G15" s="3" t="inlineStr"/>
      <c r="H15" s="3" t="inlineStr">
        <is>
          <t>need = income to replace × years + debts + goals + final expenses;  gap = need − cover already held</t>
        </is>
      </c>
      <c r="I15" s="3" t="inlineStr">
        <is>
          <t>Adds the income that would need replacing for the chosen number of years to debts, goals and final expenses, then subtracts cover already held.</t>
        </is>
      </c>
      <c r="J15" s="3" t="inlineStr">
        <is>
          <t>NOT DETERMINED — no input list on record for this function</t>
        </is>
      </c>
      <c r="K15" s="3" t="inlineStr">
        <is>
          <t>US dollars · held to the cent · shown as whole dollars  [derived by rule — confirm]</t>
        </is>
      </c>
      <c r="L15" s="3" t="inlineStr">
        <is>
          <t>NOT DETERMINED — this function has not been read for its refusal yet.</t>
        </is>
      </c>
      <c r="M15" s="3" t="inlineStr">
        <is>
          <t>One figure per debt, and one total per person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c r="B16" s="3" t="inlineStr">
        <is>
          <t>Menu</t>
        </is>
      </c>
      <c r="C16" s="3" t="inlineStr">
        <is>
          <t>/auth</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no calculated figure on this screen</t>
        </is>
      </c>
      <c r="Z16" s="3" t="n"/>
      <c r="AA16" s="3" t="n"/>
      <c r="AB16" s="3" t="n"/>
      <c r="AC16" s="3" t="n"/>
      <c r="AD16" s="3" t="n"/>
      <c r="AE16" s="3" t="n"/>
      <c r="AF16" s="3" t="n"/>
      <c r="AG16" s="3" t="n"/>
      <c r="AH16" s="3" t="n"/>
      <c r="AI16" s="3" t="n"/>
      <c r="AJ16" s="3" t="n"/>
      <c r="AK16" s="3" t="n"/>
      <c r="AL16" s="3" t="n"/>
      <c r="AM16" s="3" t="n"/>
      <c r="AN16" s="3" t="n"/>
      <c r="AO16" s="3" t="n"/>
    </row>
    <row r="17" ht="45" customHeight="1">
      <c r="A17" s="3" t="inlineStr"/>
      <c r="B17" s="3" t="inlineStr">
        <is>
          <t>Menu</t>
        </is>
      </c>
      <c r="C17" s="3" t="inlineStr">
        <is>
          <t>/contribution-room</t>
        </is>
      </c>
      <c r="D17" s="3" t="inlineStr"/>
      <c r="E17" s="3" t="inlineStr"/>
      <c r="F17" s="3" t="inlineStr"/>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STARTED — screen not yet read</t>
        </is>
      </c>
      <c r="Y17" s="3" t="n"/>
      <c r="Z17" s="3" t="n"/>
      <c r="AA17" s="3" t="n"/>
      <c r="AB17" s="3" t="n"/>
      <c r="AC17" s="3" t="n"/>
      <c r="AD17" s="3" t="n"/>
      <c r="AE17" s="3" t="n"/>
      <c r="AF17" s="3" t="n"/>
      <c r="AG17" s="3" t="n"/>
      <c r="AH17" s="3" t="n"/>
      <c r="AI17" s="3" t="n"/>
      <c r="AJ17" s="3" t="n"/>
      <c r="AK17" s="3" t="n"/>
      <c r="AL17" s="3" t="n"/>
      <c r="AM17" s="3" t="n"/>
      <c r="AN17" s="3" t="n"/>
      <c r="AO17" s="3" t="n"/>
    </row>
    <row r="18" ht="45" customHeight="1">
      <c r="A18" s="3" t="inlineStr"/>
      <c r="B18" s="3" t="inlineStr">
        <is>
          <t>Menu</t>
        </is>
      </c>
      <c r="C18" s="3" t="inlineStr">
        <is>
          <t>/credit</t>
        </is>
      </c>
      <c r="D18" s="3" t="inlineStr"/>
      <c r="E18" s="3" t="inlineStr"/>
      <c r="F18" s="3" t="inlineStr"/>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STARTED — screen not yet read</t>
        </is>
      </c>
      <c r="Y18" s="3" t="n"/>
      <c r="Z18" s="3" t="n"/>
      <c r="AA18" s="3" t="n"/>
      <c r="AB18" s="3" t="n"/>
      <c r="AC18" s="3" t="n"/>
      <c r="AD18" s="3" t="n"/>
      <c r="AE18" s="3" t="n"/>
      <c r="AF18" s="3" t="n"/>
      <c r="AG18" s="3" t="n"/>
      <c r="AH18" s="3" t="n"/>
      <c r="AI18" s="3" t="n"/>
      <c r="AJ18" s="3" t="n"/>
      <c r="AK18" s="3" t="n"/>
      <c r="AL18" s="3" t="n"/>
      <c r="AM18" s="3" t="n"/>
      <c r="AN18" s="3" t="n"/>
      <c r="AO18" s="3" t="n"/>
    </row>
    <row r="19" ht="60" customHeight="1">
      <c r="A19" s="3" t="inlineStr"/>
      <c r="B19" s="3" t="inlineStr">
        <is>
          <t>Menu</t>
        </is>
      </c>
      <c r="C19" s="3" t="inlineStr">
        <is>
          <t>/estate</t>
        </is>
      </c>
      <c r="D19" s="3" t="inlineStr">
        <is>
          <t>—</t>
        </is>
      </c>
      <c r="E19" s="3" t="inlineStr">
        <is>
          <t>—</t>
        </is>
      </c>
      <c r="F19" s="3" t="inlineStr">
        <is>
          <t>—</t>
        </is>
      </c>
      <c r="G19" s="3" t="inlineStr"/>
      <c r="H19" s="3" t="inlineStr"/>
      <c r="I19" s="3" t="inlineStr"/>
      <c r="J19" s="3" t="inlineStr"/>
      <c r="K19" s="3" t="inlineStr"/>
      <c r="L19" s="3" t="inlineStr"/>
      <c r="M19" s="3" t="inlineStr"/>
      <c r="N19" s="3" t="inlineStr"/>
      <c r="O19" s="3" t="inlineStr"/>
      <c r="P19" s="3" t="inlineStr"/>
      <c r="Q19" s="3" t="inlineStr"/>
      <c r="R19" s="3" t="inlineStr"/>
      <c r="S19" s="3" t="inlineStr"/>
      <c r="T19" s="3" t="inlineStr"/>
      <c r="U19" s="3" t="inlineStr"/>
      <c r="V19" s="3" t="inlineStr"/>
      <c r="W19" s="3" t="inlineStr"/>
      <c r="X19" s="3" t="inlineStr">
        <is>
          <t>NOT DETERMINED</t>
        </is>
      </c>
      <c r="Y19" s="3" t="inlineStr">
        <is>
          <t>READ 2026-08-22 — no calculated figure on this screen</t>
        </is>
      </c>
      <c r="Z19" s="3" t="n"/>
      <c r="AA19" s="3" t="n"/>
      <c r="AB19" s="3" t="n"/>
      <c r="AC19" s="3" t="n"/>
      <c r="AD19" s="3" t="n"/>
      <c r="AE19" s="3" t="n"/>
      <c r="AF19" s="3" t="n"/>
      <c r="AG19" s="3" t="n"/>
      <c r="AH19" s="3" t="n"/>
      <c r="AI19" s="3" t="n"/>
      <c r="AJ19" s="3" t="n"/>
      <c r="AK19" s="3" t="n"/>
      <c r="AL19" s="3" t="n"/>
      <c r="AM19" s="3" t="n"/>
      <c r="AN19" s="3" t="n"/>
      <c r="AO19" s="3" t="n"/>
    </row>
    <row r="20" ht="60" customHeight="1">
      <c r="A20" s="3" t="inlineStr"/>
      <c r="B20" s="3" t="inlineStr">
        <is>
          <t>Menu</t>
        </is>
      </c>
      <c r="C20" s="3" t="inlineStr">
        <is>
          <t>/first-run</t>
        </is>
      </c>
      <c r="D20" s="3" t="inlineStr">
        <is>
          <t>—</t>
        </is>
      </c>
      <c r="E20" s="3" t="inlineStr">
        <is>
          <t>—</t>
        </is>
      </c>
      <c r="F20" s="3" t="inlineStr">
        <is>
          <t>—</t>
        </is>
      </c>
      <c r="G20" s="3" t="inlineStr"/>
      <c r="H20" s="3" t="inlineStr"/>
      <c r="I20" s="3" t="inlineStr"/>
      <c r="J20" s="3" t="inlineStr"/>
      <c r="K20" s="3" t="inlineStr"/>
      <c r="L20" s="3" t="inlineStr"/>
      <c r="M20" s="3" t="inlineStr"/>
      <c r="N20" s="3" t="inlineStr"/>
      <c r="O20" s="3" t="inlineStr"/>
      <c r="P20" s="3" t="inlineStr"/>
      <c r="Q20" s="3" t="inlineStr"/>
      <c r="R20" s="3" t="inlineStr"/>
      <c r="S20" s="3" t="inlineStr"/>
      <c r="T20" s="3" t="inlineStr"/>
      <c r="U20" s="3" t="inlineStr"/>
      <c r="V20" s="3" t="inlineStr"/>
      <c r="W20" s="3" t="inlineStr"/>
      <c r="X20" s="3" t="inlineStr">
        <is>
          <t>NOT DETERMINED</t>
        </is>
      </c>
      <c r="Y20" s="3" t="inlineStr">
        <is>
          <t>READ 2026-08-22 — no calculated figure on this screen</t>
        </is>
      </c>
      <c r="Z20" s="3" t="n"/>
      <c r="AA20" s="3" t="n"/>
      <c r="AB20" s="3" t="n"/>
      <c r="AC20" s="3" t="n"/>
      <c r="AD20" s="3" t="n"/>
      <c r="AE20" s="3" t="n"/>
      <c r="AF20" s="3" t="n"/>
      <c r="AG20" s="3" t="n"/>
      <c r="AH20" s="3" t="n"/>
      <c r="AI20" s="3" t="n"/>
      <c r="AJ20" s="3" t="n"/>
      <c r="AK20" s="3" t="n"/>
      <c r="AL20" s="3" t="n"/>
      <c r="AM20" s="3" t="n"/>
      <c r="AN20" s="3" t="n"/>
      <c r="AO20" s="3" t="n"/>
    </row>
    <row r="21" ht="45" customHeight="1">
      <c r="A21" s="3" t="inlineStr"/>
      <c r="B21" s="3" t="inlineStr">
        <is>
          <t>Menu</t>
        </is>
      </c>
      <c r="C21" s="3" t="inlineStr">
        <is>
          <t>/jobsafety</t>
        </is>
      </c>
      <c r="D21" s="3" t="inlineStr"/>
      <c r="E21" s="3" t="inlineStr"/>
      <c r="F21" s="3" t="inlineStr"/>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STARTED — screen not yet read</t>
        </is>
      </c>
      <c r="Y21" s="3" t="n"/>
      <c r="Z21" s="3" t="n"/>
      <c r="AA21" s="3" t="n"/>
      <c r="AB21" s="3" t="n"/>
      <c r="AC21" s="3" t="n"/>
      <c r="AD21" s="3" t="n"/>
      <c r="AE21" s="3" t="n"/>
      <c r="AF21" s="3" t="n"/>
      <c r="AG21" s="3" t="n"/>
      <c r="AH21" s="3" t="n"/>
      <c r="AI21" s="3" t="n"/>
      <c r="AJ21" s="3" t="n"/>
      <c r="AK21" s="3" t="n"/>
      <c r="AL21" s="3" t="n"/>
      <c r="AM21" s="3" t="n"/>
      <c r="AN21" s="3" t="n"/>
      <c r="AO21" s="3" t="n"/>
    </row>
    <row r="22" ht="45" customHeight="1">
      <c r="A22" s="3" t="inlineStr"/>
      <c r="B22" s="3" t="inlineStr">
        <is>
          <t>Menu</t>
        </is>
      </c>
      <c r="C22" s="3" t="inlineStr">
        <is>
          <t>/other-investments</t>
        </is>
      </c>
      <c r="D22" s="3" t="inlineStr"/>
      <c r="E22" s="3" t="inlineStr"/>
      <c r="F22" s="3" t="inlineStr"/>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STARTED — screen not yet read</t>
        </is>
      </c>
      <c r="Y22" s="3" t="n"/>
      <c r="Z22" s="3" t="n"/>
      <c r="AA22" s="3" t="n"/>
      <c r="AB22" s="3" t="n"/>
      <c r="AC22" s="3" t="n"/>
      <c r="AD22" s="3" t="n"/>
      <c r="AE22" s="3" t="n"/>
      <c r="AF22" s="3" t="n"/>
      <c r="AG22" s="3" t="n"/>
      <c r="AH22" s="3" t="n"/>
      <c r="AI22" s="3" t="n"/>
      <c r="AJ22" s="3" t="n"/>
      <c r="AK22" s="3" t="n"/>
      <c r="AL22" s="3" t="n"/>
      <c r="AM22" s="3" t="n"/>
      <c r="AN22" s="3" t="n"/>
      <c r="AO22" s="3" t="n"/>
    </row>
    <row r="23" ht="60" customHeight="1">
      <c r="A23" s="3" t="inlineStr"/>
      <c r="B23" s="3" t="inlineStr">
        <is>
          <t>Menu</t>
        </is>
      </c>
      <c r="C23" s="3" t="inlineStr">
        <is>
          <t>/rewards</t>
        </is>
      </c>
      <c r="D23" s="3" t="inlineStr">
        <is>
          <t>—</t>
        </is>
      </c>
      <c r="E23" s="3" t="inlineStr">
        <is>
          <t>—</t>
        </is>
      </c>
      <c r="F23" s="3" t="inlineStr">
        <is>
          <t>—</t>
        </is>
      </c>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DETERMINED</t>
        </is>
      </c>
      <c r="Y23" s="3" t="inlineStr">
        <is>
          <t>READ 2026-08-22 — no calculated figure on this screen</t>
        </is>
      </c>
      <c r="Z23" s="3" t="n"/>
      <c r="AA23" s="3" t="n"/>
      <c r="AB23" s="3" t="n"/>
      <c r="AC23" s="3" t="n"/>
      <c r="AD23" s="3" t="n"/>
      <c r="AE23" s="3" t="n"/>
      <c r="AF23" s="3" t="n"/>
      <c r="AG23" s="3" t="n"/>
      <c r="AH23" s="3" t="n"/>
      <c r="AI23" s="3" t="n"/>
      <c r="AJ23" s="3" t="n"/>
      <c r="AK23" s="3" t="n"/>
      <c r="AL23" s="3" t="n"/>
      <c r="AM23" s="3" t="n"/>
      <c r="AN23" s="3" t="n"/>
      <c r="AO23" s="3" t="n"/>
    </row>
    <row r="24" ht="60" customHeight="1">
      <c r="A24" s="3" t="inlineStr"/>
      <c r="B24" s="3" t="inlineStr">
        <is>
          <t>Menu</t>
        </is>
      </c>
      <c r="C24" s="3" t="inlineStr">
        <is>
          <t>/settings</t>
        </is>
      </c>
      <c r="D24" s="3" t="inlineStr">
        <is>
          <t>—</t>
        </is>
      </c>
      <c r="E24" s="3" t="inlineStr">
        <is>
          <t>—</t>
        </is>
      </c>
      <c r="F24" s="3" t="inlineStr">
        <is>
          <t>—</t>
        </is>
      </c>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DETERMINED</t>
        </is>
      </c>
      <c r="Y24" s="3" t="inlineStr">
        <is>
          <t>READ 2026-08-22 — no calculated figure on this screen</t>
        </is>
      </c>
      <c r="Z24" s="3" t="n"/>
      <c r="AA24" s="3" t="n"/>
      <c r="AB24" s="3" t="n"/>
      <c r="AC24" s="3" t="n"/>
      <c r="AD24" s="3" t="n"/>
      <c r="AE24" s="3" t="n"/>
      <c r="AF24" s="3" t="n"/>
      <c r="AG24" s="3" t="n"/>
      <c r="AH24" s="3" t="n"/>
      <c r="AI24" s="3" t="n"/>
      <c r="AJ24" s="3" t="n"/>
      <c r="AK24" s="3" t="n"/>
      <c r="AL24" s="3" t="n"/>
      <c r="AM24" s="3" t="n"/>
      <c r="AN24" s="3" t="n"/>
      <c r="AO24" s="3" t="n"/>
    </row>
    <row r="25" ht="45" customHeight="1">
      <c r="A25" s="3" t="inlineStr"/>
      <c r="B25" s="3" t="inlineStr">
        <is>
          <t>Menu</t>
        </is>
      </c>
      <c r="C25" s="3" t="inlineStr">
        <is>
          <t>/stress-test</t>
        </is>
      </c>
      <c r="D25" s="3" t="inlineStr"/>
      <c r="E25" s="3" t="inlineStr"/>
      <c r="F25" s="3" t="inlineStr"/>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STARTED — screen not yet read</t>
        </is>
      </c>
      <c r="Y25" s="3" t="n"/>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Menu</t>
        </is>
      </c>
      <c r="C26" s="3" t="inlineStr">
        <is>
          <t>/tax-organizer</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60" customHeight="1">
      <c r="A27" s="3" t="inlineStr"/>
      <c r="B27" s="3" t="inlineStr">
        <is>
          <t>Menu</t>
        </is>
      </c>
      <c r="C27" s="3" t="inlineStr">
        <is>
          <t>/tips</t>
        </is>
      </c>
      <c r="D27" s="3" t="inlineStr">
        <is>
          <t>—</t>
        </is>
      </c>
      <c r="E27" s="3" t="inlineStr">
        <is>
          <t>—</t>
        </is>
      </c>
      <c r="F27" s="3" t="inlineStr">
        <is>
          <t>—</t>
        </is>
      </c>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DETERMINED</t>
        </is>
      </c>
      <c r="Y27" s="3" t="inlineStr">
        <is>
          <t>READ 2026-08-22 — no calculated figure on this screen</t>
        </is>
      </c>
      <c r="Z27" s="3" t="n"/>
      <c r="AA27" s="3" t="n"/>
      <c r="AB27" s="3" t="n"/>
      <c r="AC27" s="3" t="n"/>
      <c r="AD27" s="3" t="n"/>
      <c r="AE27" s="3" t="n"/>
      <c r="AF27" s="3" t="n"/>
      <c r="AG27" s="3" t="n"/>
      <c r="AH27" s="3" t="n"/>
      <c r="AI27" s="3" t="n"/>
      <c r="AJ27" s="3" t="n"/>
      <c r="AK27" s="3" t="n"/>
      <c r="AL27" s="3" t="n"/>
      <c r="AM27" s="3" t="n"/>
      <c r="AN27" s="3" t="n"/>
      <c r="AO27" s="3" t="n"/>
    </row>
    <row r="28" ht="60" customHeight="1">
      <c r="A28" s="3" t="inlineStr">
        <is>
          <t>MK-MN-M-003</t>
        </is>
      </c>
      <c r="B28" s="3" t="inlineStr">
        <is>
          <t>Menu</t>
        </is>
      </c>
      <c r="C28" s="3" t="inlineStr">
        <is>
          <t>/contribution-room · /home</t>
        </is>
      </c>
      <c r="D28" s="3" t="inlineStr">
        <is>
          <t>$X left / up to $Y</t>
        </is>
      </c>
      <c r="E28" s="3" t="inlineStr">
        <is>
          <t>x_left__up_to_y</t>
        </is>
      </c>
      <c r="F28" s="3" t="inlineStr">
        <is>
          <t>1. k401Headroom (the 401(k) card)
2. annualIraLimit (the IRA card)
3. annualHsaLimit (the HSA card)</t>
        </is>
      </c>
      <c r="G28" s="3" t="inlineStr">
        <is>
          <t>1. MK-CF-F-056
2. MK-CF-F-054
3. MK-CF-F-055
4. MK-CF-F-196
5. MK-CF-F-195</t>
        </is>
      </c>
      <c r="H28" s="3" t="inlineStr">
        <is>
          <t>the IRS limit for your age this year, less what has gone in already</t>
        </is>
      </c>
      <c r="I28"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8" s="3" t="inlineStr">
        <is>
          <t>MK-XS-I-030 tax filing status and age
MK-XS-I-023 salary and other income</t>
        </is>
      </c>
      <c r="K28" s="3" t="inlineStr">
        <is>
          <t>dollars, whole</t>
        </is>
      </c>
      <c r="L28" s="3" t="inlineStr">
        <is>
          <t>No contribution entered → 'up to $X' (the full-year cap), never '$X left'; the note says contributions are not tracked (built).</t>
        </is>
      </c>
      <c r="M28" s="3" t="inlineStr">
        <is>
          <t>one figure per household</t>
        </is>
      </c>
      <c r="N28" s="3" t="inlineStr">
        <is>
          <t>as of today</t>
        </is>
      </c>
      <c r="O28" s="3" t="inlineStr">
        <is>
          <t>MK-CF-F-195 (monthsLeftInYear) → number</t>
        </is>
      </c>
      <c r="P28" s="3" t="inlineStr">
        <is>
          <t>Declared by MK-CF-O-005 theContributionRoom</t>
        </is>
      </c>
      <c r="Q28" s="3" t="inlineStr">
        <is>
          <t>The age tested is the age ATTAINED IN THE YEAR (his ruling G1) — someone turning 50 in December gets the catch-up for the whole year.</t>
        </is>
      </c>
      <c r="R28" s="3" t="inlineStr">
        <is>
          <t>The age tested is the age ATTAINED IN THE YEAR (his ruling G1) — someone turning 50 in December gets the catch-up for the whole year.</t>
        </is>
      </c>
      <c r="S28" s="3" t="inlineStr"/>
      <c r="T28" s="3" t="inlineStr">
        <is>
          <t>The age tested is the age ATTAINED IN THE YEAR (his ruling G1) — someone turning 50 in December gets the catch-up for the whole year.
[Founder] G10, 2026-09-08 — the HSA card at 65+: the limit is shown only with the words 'If you are not enrolled in Medicare'; enrolled (MK-XS-I-062, asked on the card) → no contribution allowed, shown as $0 with the reason (IRS Publication 969).</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8" s="3" t="inlineStr">
        <is>
          <t>ACTIVE</t>
        </is>
      </c>
      <c r="AG28" s="3" t="inlineStr">
        <is>
          <t>2026-10-11</t>
        </is>
      </c>
      <c r="AH28" s="3" t="inlineStr"/>
      <c r="AI28" s="3" t="inlineStr"/>
      <c r="AJ28" s="3" t="inlineStr">
        <is>
          <t>NONE — no function in this chain reads a stored input the sweep knows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MK-CF-O-005 theContributionRoom</t>
        </is>
      </c>
      <c r="AN28" s="3" t="inlineStr">
        <is>
          <t>Born 1965 — so 61 during 2026. Paying in $1,200/month to a 401(k), $300 to a Roth IRA and $150 to an HSA; not on Medicare. Read on 29 September 2026, so four months of the year are left.
GIVES: $21,350
(the test re-runs this through MK-CF-O-005 theContributionRoom on every build)</t>
        </is>
      </c>
      <c r="AO28" s="7" t="inlineStr">
        <is>
          <t>RULED, NOT CODED (Q-CF-4 — one question, one function)</t>
        </is>
      </c>
    </row>
    <row r="29" ht="60" customHeight="1">
      <c r="A29" s="3" t="inlineStr">
        <is>
          <t>MK-MN-M-004</t>
        </is>
      </c>
      <c r="B29" s="3" t="inlineStr">
        <is>
          <t>Menu</t>
        </is>
      </c>
      <c r="C29" s="3" t="inlineStr">
        <is>
          <t>/contribution-room</t>
        </is>
      </c>
      <c r="D29" s="3" t="inlineStr">
        <is>
          <t>about $X of the $Y limit</t>
        </is>
      </c>
      <c r="E29" s="3" t="inlineStr">
        <is>
          <t>about_x_of_the_y_limit</t>
        </is>
      </c>
      <c r="F29" s="3" t="inlineStr">
        <is>
          <t>1. k401Headroom (the 401(k) card)
2. annualIraLimit (the IRA card)
3. annualHsaLimit (the HSA card)</t>
        </is>
      </c>
      <c r="G29" s="3" t="inlineStr">
        <is>
          <t>1. MK-CF-F-056
2. MK-CF-F-054
3. MK-CF-F-055
4. MK-CF-F-196
5. MK-CF-F-195</t>
        </is>
      </c>
      <c r="H29" s="3" t="inlineStr">
        <is>
          <t>what you entered per month × 12, capped at the limit</t>
        </is>
      </c>
      <c r="I29"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9" s="3" t="inlineStr">
        <is>
          <t>MK-XS-I-023 salary and other income</t>
        </is>
      </c>
      <c r="K29" s="3" t="inlineStr">
        <is>
          <t>dollars, whole</t>
        </is>
      </c>
      <c r="L29" s="3" t="inlineStr">
        <is>
          <t>No contribution entered → the 'about $X of the limit' line is not shown; 'up to $X' stands.</t>
        </is>
      </c>
      <c r="M29" s="3" t="inlineStr">
        <is>
          <t>one figure per household</t>
        </is>
      </c>
      <c r="N29" s="3" t="inlineStr">
        <is>
          <t>as of today</t>
        </is>
      </c>
      <c r="O29" s="3" t="inlineStr">
        <is>
          <t>MK-CF-F-195 (monthsLeftInYear) → number</t>
        </is>
      </c>
      <c r="P29" s="3" t="inlineStr">
        <is>
          <t>Declared by MK-CF-O-005 theContributionRoom</t>
        </is>
      </c>
      <c r="Q29" s="3" t="inlineStr">
        <is>
          <t>Capped at the limit: a figure above it would be describing a contribution the law does not permit.</t>
        </is>
      </c>
      <c r="R29" s="3" t="inlineStr">
        <is>
          <t>Capped at the limit: a figure above it would be describing a contribution the law does not permit.</t>
        </is>
      </c>
      <c r="S29" s="3" t="inlineStr"/>
      <c r="T29" s="3" t="inlineStr">
        <is>
          <t>Capped at the limit: a figure above it would be describing a contribution the law does not permit.
[Founder] G10, 2026-09-08 — the HSA card at 65+: the limit is shown only with the words 'If you are not enrolled in Medicare'; enrolled (MK-XS-I-062, asked on the card) → no contribution allowed, shown as $0 with the reason (IRS Publication 969).</t>
        </is>
      </c>
      <c r="U29" s="3" t="inlineStr"/>
      <c r="V29" s="3" t="inlineStr"/>
      <c r="W29" s="3" t="inlineStr"/>
      <c r="X29" s="3" t="inlineStr"/>
      <c r="Y29" s="3" t="inlineStr"/>
      <c r="Z29" s="3" t="inlineStr">
        <is>
          <t>DECLARED IN THE CODE (rule 11) — printed from the door, not typed. RULED 2026-09-27</t>
        </is>
      </c>
      <c r="AA29" s="3" t="inlineStr"/>
      <c r="AB29" s="3" t="inlineStr"/>
      <c r="AC29" s="3" t="inlineStr"/>
      <c r="AD29" s="3" t="inlineStr"/>
      <c r="AE29"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9" s="3" t="inlineStr">
        <is>
          <t>ACTIVE</t>
        </is>
      </c>
      <c r="AG29" s="3" t="inlineStr">
        <is>
          <t>2026-10-11</t>
        </is>
      </c>
      <c r="AH29" s="3" t="inlineStr"/>
      <c r="AI29" s="3" t="inlineStr"/>
      <c r="AJ29" s="3" t="inlineStr">
        <is>
          <t>NONE — no function in this chain reads a stored input the sweep knows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MK-CF-O-005 theContributionRoom</t>
        </is>
      </c>
      <c r="AN29" s="3" t="inlineStr">
        <is>
          <t>Born 1965 — so 61 during 2026. Paying in $1,200/month to a 401(k), $300 to a Roth IRA and $150 to an HSA; not on Medicare. Read on 29 September 2026, so four months of the year are left.
GIVES: $14,400
(the test re-runs this through MK-CF-O-005 theContributionRoom on every build)</t>
        </is>
      </c>
      <c r="AO29" s="7" t="inlineStr">
        <is>
          <t>RULED, NOT CODED (Q-CF-4 — one question, one function)</t>
        </is>
      </c>
    </row>
    <row r="30" ht="60" customHeight="1">
      <c r="A30" s="3" t="inlineStr">
        <is>
          <t>MK-MN-M-005</t>
        </is>
      </c>
      <c r="B30" s="3" t="inlineStr">
        <is>
          <t>Menu</t>
        </is>
      </c>
      <c r="C30" s="3" t="inlineStr">
        <is>
          <t>/contribution-room</t>
        </is>
      </c>
      <c r="D30" s="3" t="inlineStr">
        <is>
          <t>about $X for the rest of the year</t>
        </is>
      </c>
      <c r="E30" s="3" t="inlineStr">
        <is>
          <t>about_x_for_the_rest_of_the_year</t>
        </is>
      </c>
      <c r="F30" s="3" t="inlineStr">
        <is>
          <t>1. k401Headroom (the 401(k) card)
2. annualIraLimit (the IRA card)
3. annualHsaLimit (the HSA card)</t>
        </is>
      </c>
      <c r="G30" s="3" t="inlineStr">
        <is>
          <t>1. MK-CF-F-196
2. MK-CF-F-195</t>
        </is>
      </c>
      <c r="H30" s="3" t="inlineStr">
        <is>
          <t>per month = round((room left ÷ months left) ÷ 100) × 100;  months left = max(1, 12 − month index) — the current month counts</t>
        </is>
      </c>
      <c r="I30" s="3" t="inlineStr">
        <is>
          <t>Per month = room left ÷ the months remaining in the year, the current month counted (December → 1), rounded to $100 for display — perMonthToFill in src/domain/income/limits.ts (G36). No longer worked out on the screen.</t>
        </is>
      </c>
      <c r="J30" s="3" t="inlineStr">
        <is>
          <t>MK-XS-I-023 salary and other income</t>
        </is>
      </c>
      <c r="K30" s="3" t="inlineStr">
        <is>
          <t>dollars, whole a month</t>
        </is>
      </c>
      <c r="L30" s="3" t="inlineStr">
        <is>
          <t>Nothing left to fill.</t>
        </is>
      </c>
      <c r="M30" s="3" t="inlineStr">
        <is>
          <t>one figure per household</t>
        </is>
      </c>
      <c r="N30" s="3" t="inlineStr">
        <is>
          <t>a month</t>
        </is>
      </c>
      <c r="O30" s="3" t="inlineStr">
        <is>
          <t>MK-CF-F-195 (monthsLeftInYear) → number</t>
        </is>
      </c>
      <c r="P30" s="3" t="inlineStr">
        <is>
          <t>Declared by MK-CF-O-005 theContributionRoom</t>
        </is>
      </c>
      <c r="Q30" s="3" t="inlineStr">
        <is>
          <t>THIS MONTH COUNTS (his ruling G36). Leaving it out told people to save more per month than they need to.</t>
        </is>
      </c>
      <c r="R30" s="3" t="inlineStr">
        <is>
          <t>THIS MONTH COUNTS (his ruling G36). Leaving it out told people to save more per month than they need to.</t>
        </is>
      </c>
      <c r="S30" s="3" t="inlineStr"/>
      <c r="T30" s="3" t="inlineStr">
        <is>
          <t>THIS MONTH COUNTS (his ruling G36). Leaving it out told people to save more per month than they need to.
[Founder] G10, 2026-09-08 — the HSA card at 65+: the limit is shown only with the words 'If you are not enrolled in Medicare'; enrolled (MK-XS-I-062, asked on the card) → no contribution allowed, shown as $0 with the reason (IRS Publication 969).</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t>
        </is>
      </c>
      <c r="AF30" s="3" t="inlineStr">
        <is>
          <t>ACTIVE</t>
        </is>
      </c>
      <c r="AG30" s="3" t="inlineStr">
        <is>
          <t>2026-10-11</t>
        </is>
      </c>
      <c r="AH30" s="3" t="inlineStr"/>
      <c r="AI30" s="3" t="inlineStr"/>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MK-CF-O-005 theContributionRoom</t>
        </is>
      </c>
      <c r="AN30" s="3" t="inlineStr">
        <is>
          <t>Born 1965 — so 61 during 2026. Paying in $1,200/month to a 401(k), $300 to a Roth IRA and $150 to an HSA; not on Medicare. Read on 29 September 2026, so four months of the year are left.
GIVES: $5,300/month
(the test re-runs this through MK-CF-O-005 theContributionRoom on every build)</t>
        </is>
      </c>
      <c r="AO30" s="7" t="inlineStr">
        <is>
          <t>RULED, NOT CODED (Q-CF-4 — one question, one function)</t>
        </is>
      </c>
    </row>
    <row r="31" ht="60" customHeight="1">
      <c r="A31" s="3" t="inlineStr">
        <is>
          <t>MK-MN-M-006</t>
        </is>
      </c>
      <c r="B31" s="3" t="inlineStr">
        <is>
          <t>Menu</t>
        </is>
      </c>
      <c r="C31" s="3" t="inlineStr">
        <is>
          <t>/credit</t>
        </is>
      </c>
      <c r="D31" s="3" t="inlineStr">
        <is>
          <t>$X of $Y used — the line marks 30%</t>
        </is>
      </c>
      <c r="E31" s="3" t="inlineStr">
        <is>
          <t>x_of_y_used__the_line_marks_30</t>
        </is>
      </c>
      <c r="F31" s="3" t="inlineStr">
        <is>
          <t>theCreditLine</t>
        </is>
      </c>
      <c r="G31" s="3" t="inlineStr">
        <is>
          <t>MK-CF-O-006</t>
        </is>
      </c>
      <c r="H31" s="3" t="inlineStr">
        <is>
          <t>what is owed on your cards ÷ the total limit across them</t>
        </is>
      </c>
      <c r="I31" s="3" t="inlineStr">
        <is>
          <t>what is owed on your cards ÷ the total limit across them</t>
        </is>
      </c>
      <c r="J31" s="3" t="inlineStr">
        <is>
          <t>MK-NW-I-002 your debts</t>
        </is>
      </c>
      <c r="K31" s="3" t="inlineStr">
        <is>
          <t>dollars, whole</t>
        </is>
      </c>
      <c r="L31" s="3" t="inlineStr">
        <is>
          <t>No card limit → no percentage; the line says 'add your card's limit'. A real $0 balance shows 0% used.</t>
        </is>
      </c>
      <c r="M31" s="3" t="inlineStr">
        <is>
          <t>one figure per household</t>
        </is>
      </c>
      <c r="N31" s="3" t="inlineStr">
        <is>
          <t>as of today</t>
        </is>
      </c>
      <c r="O31" s="3" t="inlineStr">
        <is>
          <t>1. MK-CF-F-031 (creditUtilization) → CreditUtil
2. MK-CF-F-204 (line) → NOT DECLARED — the code does not say what it gives back</t>
        </is>
      </c>
      <c r="P31" s="3" t="inlineStr">
        <is>
          <t>Declared by MK-CF-O-006 theCreditLine</t>
        </is>
      </c>
      <c r="Q31" s="3" t="inlineStr">
        <is>
          <t>Under 30% is the mark the line shows, because that is the level credit scoring treats as unstretched.</t>
        </is>
      </c>
      <c r="R31" s="3" t="inlineStr">
        <is>
          <t>Under 30% is the mark the line shows, because that is the level credit scoring treats as unstretched.</t>
        </is>
      </c>
      <c r="S31" s="3" t="inlineStr"/>
      <c r="T31" s="3" t="inlineStr">
        <is>
          <t>Under 30% is the mark the line shows, because that is the level credit scoring treats as unstretched.</t>
        </is>
      </c>
      <c r="U31" s="3" t="inlineStr"/>
      <c r="V31" s="3" t="inlineStr"/>
      <c r="W31" s="3" t="inlineStr"/>
      <c r="X31" s="3" t="inlineStr"/>
      <c r="Y31" s="3" t="inlineStr"/>
      <c r="Z31" s="3" t="inlineStr">
        <is>
          <t>DECLARED IN THE CODE (rule 11) — printed from the door, not typed. RULED 2026-09-28</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2026-10-11</t>
        </is>
      </c>
      <c r="AH31" s="3" t="inlineStr"/>
      <c r="AI31" s="3" t="inlineStr"/>
      <c r="AJ31" s="3" t="inlineStr">
        <is>
          <t>1. MK-XS-I-001 account balance — read by MK-CF-F-031, MK-CF-O-006,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2026-09-28; the figure, its formula, inputs and refusal live in MK-CF-O-006 theCreditLine</t>
        </is>
      </c>
      <c r="AN31" s="3" t="inlineStr">
        <is>
          <t>$3,100 owed on the cards against $12,000 of total limit — 25.8% of the line in use.
GIVES: $3,100
(the test re-runs this through MK-CF-O-006 theCreditLine on every build)</t>
        </is>
      </c>
      <c r="AO31" s="3" t="inlineStr">
        <is>
          <t>NOTHING OPEN</t>
        </is>
      </c>
    </row>
    <row r="32" ht="60" customHeight="1">
      <c r="A32" s="3" t="inlineStr">
        <is>
          <t>MK-MN-M-016</t>
        </is>
      </c>
      <c r="B32" s="3" t="inlineStr">
        <is>
          <t>Menu</t>
        </is>
      </c>
      <c r="C32" s="3" t="inlineStr">
        <is>
          <t>/insights</t>
        </is>
      </c>
      <c r="D32" s="3" t="inlineStr">
        <is>
          <t>Total invested · Cash total · Investable total</t>
        </is>
      </c>
      <c r="E32" s="3" t="inlineStr">
        <is>
          <t>total_invested__cash_total__investable_t</t>
        </is>
      </c>
      <c r="F32" s="3" t="inlineStr">
        <is>
          <t>theNetWorth</t>
        </is>
      </c>
      <c r="G32" s="3" t="inlineStr">
        <is>
          <t>MK-NW-O-003</t>
        </is>
      </c>
      <c r="H32" s="3" t="inlineStr">
        <is>
          <t>investments, cash, and everything that is not a house or a car</t>
        </is>
      </c>
      <c r="I32" s="3" t="inlineStr">
        <is>
          <t>investments, cash, and everything that is not a house or a car</t>
        </is>
      </c>
      <c r="J32" s="3" t="inlineStr">
        <is>
          <t>MK-NW-I-001 your accounts</t>
        </is>
      </c>
      <c r="K32" s="3" t="inlineStr">
        <is>
          <t>dollars, whole</t>
        </is>
      </c>
      <c r="L32" s="3" t="inlineStr">
        <is>
          <t>Nothing entered yet.</t>
        </is>
      </c>
      <c r="M32" s="3" t="inlineStr">
        <is>
          <t>one figure per household</t>
        </is>
      </c>
      <c r="N32" s="3" t="inlineStr">
        <is>
          <t>as of today</t>
        </is>
      </c>
      <c r="O3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32" s="3" t="inlineStr">
        <is>
          <t>Declared by MK-NW-O-003 theNetWorth</t>
        </is>
      </c>
      <c r="Q32" s="3" t="inlineStr">
        <is>
          <t>Insights took these its own way before 2026-09-27; his ruling on Q-NW-1 made all three screens read one answer.</t>
        </is>
      </c>
      <c r="R32" s="3" t="inlineStr">
        <is>
          <t>Insights took these its own way before 2026-09-27; his ruling on Q-NW-1 made all three screens read one answer.</t>
        </is>
      </c>
      <c r="S32" s="3" t="inlineStr"/>
      <c r="T32" s="3" t="inlineStr">
        <is>
          <t>Insights took these its own way before 2026-09-27; his ruling on Q-NW-1 made all three screens read one answer.</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2026-10-11</t>
        </is>
      </c>
      <c r="AH32" s="3" t="inlineStr"/>
      <c r="AI32" s="3" t="inlineStr"/>
      <c r="AJ32"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MK-NW-O-003 theNetWorth</t>
        </is>
      </c>
      <c r="AN3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$193,200
(the test re-runs this through MK-NW-O-003 theNetWorth on every build)</t>
        </is>
      </c>
      <c r="AO32" s="7" t="inlineStr">
        <is>
          <t>RULED, NOT CODED (Q-NW-1 — one question, one function)</t>
        </is>
      </c>
    </row>
    <row r="33" ht="60" customHeight="1">
      <c r="A33" s="3" t="inlineStr">
        <is>
          <t>MK-MN-M-020</t>
        </is>
      </c>
      <c r="B33" s="3" t="inlineStr">
        <is>
          <t>Menu</t>
        </is>
      </c>
      <c r="C33" s="3" t="inlineStr">
        <is>
          <t>/jobsafety</t>
        </is>
      </c>
      <c r="D33" s="3" t="inlineStr">
        <is>
          <t>N months of essentials is $X ($Y/month)</t>
        </is>
      </c>
      <c r="E33" s="3" t="inlineStr">
        <is>
          <t>n_months_of_essentials_is_x_ymonth</t>
        </is>
      </c>
      <c r="F33" s="3" t="inlineStr">
        <is>
          <t>essentialsFromLoggedSpending (through Job safety)</t>
        </is>
      </c>
      <c r="G33" s="3" t="inlineStr">
        <is>
          <t>MK-CF-F-189</t>
        </is>
      </c>
      <c r="H33" s="3" t="inlineStr">
        <is>
          <t>runway in months = cash ÷ essentials a month; target = months wanted × essentials a month; essentials a month = the typed figure on this screen if given, else the logged average (MK-CF-F-189)</t>
        </is>
      </c>
      <c r="I33"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33" s="3" t="inlineStr">
        <is>
          <t>1. every logged expense → expenses [MK-XS-I-024]
2. the typed fallback → typed monthly expenses / essentials [MK-XS-I-025]
3. cash on hand → the Cash class [MK-XS-I-001]</t>
        </is>
      </c>
      <c r="K33" s="3" t="inlineStr">
        <is>
          <t>a sentence</t>
        </is>
      </c>
      <c r="L33" s="3" t="inlineStr">
        <is>
          <t>No essentials figure → the screen asks 'What do your essential bills come to in a typical month?' (built); no months chosen → 6.</t>
        </is>
      </c>
      <c r="M33" s="3" t="inlineStr">
        <is>
          <t>one figure per household</t>
        </is>
      </c>
      <c r="N33" s="3" t="inlineStr">
        <is>
          <t>as of today</t>
        </is>
      </c>
      <c r="O33" s="3" t="inlineStr">
        <is>
          <t>1. MK-ST-F-056 (has) → NOT DECLARED — the code does not say what it gives back
2. MK-XS-F-122 (n) → number
3. MK-ST-F-052 (toNum) → number
4. MK-CF-F-191 (ym) → NOT DECLARED — the code does not say what it gives back</t>
        </is>
      </c>
      <c r="P33" s="3" t="inlineStr">
        <is>
          <t>Declared by MK-NW-O-004 theEmergencyFund</t>
        </is>
      </c>
      <c r="Q33" s="3" t="inlineStr">
        <is>
          <t>NONE RECORDED — the declaration names none.</t>
        </is>
      </c>
      <c r="R33" s="3" t="inlineStr">
        <is>
          <t>NONE RECORDED — the declaration names none.</t>
        </is>
      </c>
      <c r="S33" s="3" t="inlineStr"/>
      <c r="T33"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3" s="3" t="inlineStr"/>
      <c r="V33" s="9" t="inlineStr">
        <is>
          <t>Q28 — How many months of essentials should the app treat as safe by default — and is that number yours to set per person, or one figure for everyone?</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2026-10-11</t>
        </is>
      </c>
      <c r="AH33" s="3" t="inlineStr"/>
      <c r="AI33" s="3" t="inlineStr"/>
      <c r="AJ33" s="3" t="inlineStr">
        <is>
          <t>MK-XS-I-024 logged expenses — read by MK-CF-F-189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MK-NW-O-004 theEmergencyFund</t>
        </is>
      </c>
      <c r="AN3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6 months of essentials is $20,820 ($3,470/month)
(the test re-runs this through MK-NW-O-004 theEmergencyFund on every build)</t>
        </is>
      </c>
      <c r="AO33" s="9" t="inlineStr">
        <is>
          <t>WAITING ON YOU — question Q28 · RULED, NOT CODED (Q-NW-5 — one question, one function)</t>
        </is>
      </c>
    </row>
    <row r="34" ht="60" customHeight="1">
      <c r="A34" s="3" t="inlineStr">
        <is>
          <t>MK-MN-M-021</t>
        </is>
      </c>
      <c r="B34" s="3" t="inlineStr">
        <is>
          <t>Menu</t>
        </is>
      </c>
      <c r="C34" s="3" t="inlineStr">
        <is>
          <t>/jobsafety</t>
        </is>
      </c>
      <c r="D34" s="3" t="inlineStr">
        <is>
          <t>Using $X/month from your logged expenses</t>
        </is>
      </c>
      <c r="E34" s="3" t="inlineStr">
        <is>
          <t>using_xmonth_from_your_logged_expenses</t>
        </is>
      </c>
      <c r="F34" s="3" t="inlineStr">
        <is>
          <t>essentialsFromLoggedSpending</t>
        </is>
      </c>
      <c r="G34" s="3" t="inlineStr">
        <is>
          <t>MK-CF-F-189</t>
        </is>
      </c>
      <c r="H34" s="3" t="inlineStr">
        <is>
          <t>baseline = the average of logged expenses over the months logged, mortgage and big items included; label = 'N month average'</t>
        </is>
      </c>
      <c r="I34"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34" s="3" t="inlineStr">
        <is>
          <t>1. every logged expense → expenses [MK-XS-I-024]
2. the typed fallback → typed monthly expenses / essentials [MK-XS-I-025]
3. cash on hand → the Cash class [MK-XS-I-001]</t>
        </is>
      </c>
      <c r="K34" s="3" t="inlineStr">
        <is>
          <t>a sentence</t>
        </is>
      </c>
      <c r="L34" s="3" t="inlineStr">
        <is>
          <t>$0, and under it the one line "Nothing entered yet. Log your expenses ›" (mock approved 2026-09-12). A real zero that was entered shows a plain $0 with no line.</t>
        </is>
      </c>
      <c r="M34" s="3" t="inlineStr">
        <is>
          <t>one figure per household</t>
        </is>
      </c>
      <c r="N34" s="3" t="inlineStr">
        <is>
          <t>as of today</t>
        </is>
      </c>
      <c r="O34" s="3" t="inlineStr">
        <is>
          <t>1. MK-ST-F-056 (has) → NOT DECLARED — the code does not say what it gives back
2. MK-XS-F-122 (n) → number
3. MK-ST-F-052 (toNum) → number
4. MK-CF-F-191 (ym) → NOT DECLARED — the code does not say what it gives back</t>
        </is>
      </c>
      <c r="P34" s="3" t="inlineStr">
        <is>
          <t>Declared by MK-NW-O-004 theEmergencyFund</t>
        </is>
      </c>
      <c r="Q34" s="3" t="inlineStr">
        <is>
          <t>The label names the basis so nobody has to guess whether it is one month or a year (his ruling G21).</t>
        </is>
      </c>
      <c r="R34" s="3" t="inlineStr">
        <is>
          <t>The label names the basis so nobody has to guess whether it is one month or a year (his ruling G21).</t>
        </is>
      </c>
      <c r="S34" s="3" t="inlineStr"/>
      <c r="T34" s="3" t="inlineStr">
        <is>
          <t>The label names the basis so nobody has to guess whether it is one month or a year (his ruling G21).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4" s="3" t="inlineStr">
        <is>
          <t>ACTIVE</t>
        </is>
      </c>
      <c r="AG34" s="3" t="inlineStr">
        <is>
          <t>2026-10-11</t>
        </is>
      </c>
      <c r="AH34" s="3" t="inlineStr"/>
      <c r="AI34" s="3" t="inlineStr"/>
      <c r="AJ34" s="3" t="inlineStr">
        <is>
          <t>MK-XS-I-024 logged expenses — read by MK-CF-F-189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MK-NW-O-004 theEmergencyFund</t>
        </is>
      </c>
      <c r="AN3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Using $3,470/month — you entered
(the test re-runs this through MK-NW-O-004 theEmergencyFund on every build)</t>
        </is>
      </c>
      <c r="AO34" s="7" t="inlineStr">
        <is>
          <t>RULED, NOT CODED (Q-NW-5 — one question, one function)</t>
        </is>
      </c>
    </row>
    <row r="35" ht="60" customHeight="1">
      <c r="A35" s="3" t="inlineStr">
        <is>
          <t>MK-MN-M-024</t>
        </is>
      </c>
      <c r="B35" s="3" t="inlineStr">
        <is>
          <t>Menu</t>
        </is>
      </c>
      <c r="C35" s="3" t="inlineStr">
        <is>
          <t>/stress-test</t>
        </is>
      </c>
      <c r="D35" s="3" t="inlineStr">
        <is>
          <t>You could cover a $X hit</t>
        </is>
      </c>
      <c r="E35" s="3" t="inlineStr">
        <is>
          <t>you_could_cover_a_x_hit</t>
        </is>
      </c>
      <c r="F35" s="3" t="inlineStr">
        <is>
          <t>emergencyTest (with the essentials figure from essentialsMonthly)</t>
        </is>
      </c>
      <c r="G35" s="3" t="inlineStr">
        <is>
          <t>MK-CF-F-010 (← MK-CF-F-190)</t>
        </is>
      </c>
      <c r="H35" s="3" t="inlineStr">
        <is>
          <t>cash after = cash − the shock; runway after = cash after ÷ essentials a month, where essentials a month = MK-CF-F-190 (logged average, else the typed categories)</t>
        </is>
      </c>
      <c r="I35" s="3" t="inlineStr">
        <is>
          <t>Takes a one-off hit out of the cash on hand and shows what would be left and how many months of essentials it would cover — dividing by the same essentials figure the other cards use, labelled with the months it stands on.</t>
        </is>
      </c>
      <c r="J35" s="3" t="inlineStr">
        <is>
          <t>1. every logged expense → expenses [MK-XS-I-024]
2. the typed fallback → typed monthly expenses / essentials [MK-XS-I-025]
3. cash on hand → the Cash class [MK-XS-I-001]</t>
        </is>
      </c>
      <c r="K35" s="3" t="inlineStr">
        <is>
          <t>dollars, whole</t>
        </is>
      </c>
      <c r="L35" s="3" t="inlineStr">
        <is>
          <t>$0, and under it the one line "Nothing entered yet. Add your accounts ›" (mock approved 2026-09-12). A real zero that was entered shows a plain $0 with no line.</t>
        </is>
      </c>
      <c r="M35" s="3" t="inlineStr">
        <is>
          <t>one figure per household</t>
        </is>
      </c>
      <c r="N35" s="3" t="inlineStr">
        <is>
          <t>as of today</t>
        </is>
      </c>
      <c r="O35" s="3" t="inlineStr">
        <is>
          <t>1. MK-CF-F-155 (cash) → number
2. MK-CF-F-009 (monthlyEssentials) → number
3. MK-CF-F-189 (essentialsFromLoggedSpending) → EssentialsAverage | null
4. MK-CF-O-002 (expenses) → Expenses</t>
        </is>
      </c>
      <c r="P35" s="3" t="inlineStr">
        <is>
          <t>Declared by MK-NW-O-004 theEmergencyFund</t>
        </is>
      </c>
      <c r="Q35" s="3" t="inlineStr">
        <is>
          <t>NONE RECORDED — the declaration names none.</t>
        </is>
      </c>
      <c r="R35" s="3" t="inlineStr">
        <is>
          <t>NONE RECORDED — the declaration names none.</t>
        </is>
      </c>
      <c r="S35" s="3" t="inlineStr"/>
      <c r="T35"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5" s="3" t="inlineStr"/>
      <c r="V35" s="9" t="inlineStr">
        <is>
          <t>Q29 — What size of shock should the test use by default, and should it be a fixed dollar figure or a share of the person's expenses?</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5" s="3" t="inlineStr">
        <is>
          <t>ACTIVE</t>
        </is>
      </c>
      <c r="AG35" s="3" t="inlineStr">
        <is>
          <t>2026-10-11</t>
        </is>
      </c>
      <c r="AH35" s="3" t="inlineStr"/>
      <c r="AI35" s="3" t="inlineStr"/>
      <c r="AJ3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MK-NW-O-004 theEmergencyFund</t>
        </is>
      </c>
      <c r="AN35"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 could cover a $5,000 hit
(the test re-runs this through MK-NW-O-004 theEmergencyFund on every build)</t>
        </is>
      </c>
      <c r="AO35" s="9" t="inlineStr">
        <is>
          <t>WAITING ON YOU — question Q29 · RULED, NOT CODED (Q-NW-5 — one question, one function)</t>
        </is>
      </c>
    </row>
    <row r="36" ht="60" customHeight="1">
      <c r="A36" s="3" t="inlineStr">
        <is>
          <t>MK-MN-M-025</t>
        </is>
      </c>
      <c r="B36" s="3" t="inlineStr">
        <is>
          <t>Menu</t>
        </is>
      </c>
      <c r="C36" s="3" t="inlineStr">
        <is>
          <t>/stress-test</t>
        </is>
      </c>
      <c r="D36" s="3" t="inlineStr">
        <is>
          <t>You'd have $X left — about N months of essentials</t>
        </is>
      </c>
      <c r="E36" s="3" t="inlineStr">
        <is>
          <t>youd_have_x_left__about_n_months_of_esse</t>
        </is>
      </c>
      <c r="F36" s="3" t="inlineStr">
        <is>
          <t>emergencyTest (with the essentials figure from essentialsMonthly)</t>
        </is>
      </c>
      <c r="G36" s="3" t="inlineStr">
        <is>
          <t>MK-CF-F-010 (← MK-CF-F-190)</t>
        </is>
      </c>
      <c r="H36" s="3" t="inlineStr">
        <is>
          <t>runway after = max(0, cash − shock) ÷ essentials a month (MK-CF-F-190)</t>
        </is>
      </c>
      <c r="I36" s="3" t="inlineStr">
        <is>
          <t>'You'd have $X left — about N months of essentials ($Y/mo — 7 month average).'</t>
        </is>
      </c>
      <c r="J36" s="3" t="inlineStr">
        <is>
          <t>1. every logged expense → expenses [MK-XS-I-024]
2. the typed fallback → typed monthly expenses / essentials [MK-XS-I-025]
3. cash on hand → the Cash class [MK-XS-I-001]</t>
        </is>
      </c>
      <c r="K36" s="3" t="inlineStr">
        <is>
          <t>a sentence</t>
        </is>
      </c>
      <c r="L36" s="3" t="inlineStr">
        <is>
          <t>$0, and under it the one line "Nothing entered yet. Add your accounts ›" (mock approved 2026-09-12). A real zero that was entered shows a plain $0 with no line.</t>
        </is>
      </c>
      <c r="M36" s="3" t="inlineStr">
        <is>
          <t>one figure per household</t>
        </is>
      </c>
      <c r="N36" s="3" t="inlineStr">
        <is>
          <t>as of today</t>
        </is>
      </c>
      <c r="O36" s="3" t="inlineStr">
        <is>
          <t>1. MK-CF-F-155 (cash) → number
2. MK-CF-F-009 (monthlyEssentials) → number
3. MK-CF-F-189 (essentialsFromLoggedSpending) → EssentialsAverage | null
4. MK-CF-O-002 (expenses) → Expenses</t>
        </is>
      </c>
      <c r="P36" s="3" t="inlineStr">
        <is>
          <t>Declared by MK-NW-O-004 theEmergencyFund</t>
        </is>
      </c>
      <c r="Q36" s="3" t="inlineStr">
        <is>
          <t>NONE RECORDED — the declaration names none.</t>
        </is>
      </c>
      <c r="R36" s="3" t="inlineStr">
        <is>
          <t>NONE RECORDED — the declaration names none.</t>
        </is>
      </c>
      <c r="S36" s="3" t="inlineStr"/>
      <c r="T36"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6" s="3" t="inlineStr">
        <is>
          <t>ACTIVE</t>
        </is>
      </c>
      <c r="AG36" s="3" t="inlineStr">
        <is>
          <t>2026-10-11</t>
        </is>
      </c>
      <c r="AH36" s="3" t="inlineStr"/>
      <c r="AI36" s="3" t="inlineStr"/>
      <c r="AJ3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MK-NW-O-004 theEmergencyFund</t>
        </is>
      </c>
      <c r="AN36"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You'd have $13,000 left — about 3.7 months of essentials
(the test re-runs this through MK-NW-O-004 theEmergencyFund on every build)</t>
        </is>
      </c>
      <c r="AO36" s="7" t="inlineStr">
        <is>
          <t>RULED, NOT CODED (Q-NW-5 — one question, one function)</t>
        </is>
      </c>
    </row>
    <row r="37" ht="60" customHeight="1">
      <c r="A37" s="3" t="inlineStr">
        <is>
          <t>MK-MN-M-026</t>
        </is>
      </c>
      <c r="B37" s="3" t="inlineStr">
        <is>
          <t>Menu</t>
        </is>
      </c>
      <c r="C37" s="3" t="inlineStr">
        <is>
          <t>/stress-test</t>
        </is>
      </c>
      <c r="D37" s="3" t="inlineStr">
        <is>
          <t>your $X/month of essentials</t>
        </is>
      </c>
      <c r="E37" s="3" t="inlineStr">
        <is>
          <t>your_xmonth_of_essentials</t>
        </is>
      </c>
      <c r="F37" s="3" t="inlineStr">
        <is>
          <t>essentialsMonthly</t>
        </is>
      </c>
      <c r="G37" s="3" t="inlineStr">
        <is>
          <t>MK-CF-F-190</t>
        </is>
      </c>
      <c r="H37" s="3" t="inlineStr">
        <is>
          <t>essentials a month = the logged average over the months logged (MK-CF-F-189), else the typed categories (monthlyEssentials)</t>
        </is>
      </c>
      <c r="I37" s="3" t="inlineStr">
        <is>
          <t>'Covering your $Y/mo of essentials (7 month average) with no paycheck coming in.' The larger-of rule (plannedMonthlySpend) no longer produces this figure.</t>
        </is>
      </c>
      <c r="J37" s="3" t="inlineStr">
        <is>
          <t>1. every logged expense → expenses [MK-XS-I-024]
2. the typed fallback → typed monthly expenses / essentials [MK-XS-I-025]
3. cash on hand → the Cash class [MK-XS-I-001]</t>
        </is>
      </c>
      <c r="K37" s="3" t="inlineStr">
        <is>
          <t>dollars, whole a month</t>
        </is>
      </c>
      <c r="L37" s="3" t="inlineStr">
        <is>
          <t>$0, and under it the one line "Nothing entered yet. Log your expenses ›" (mock approved 2026-09-12). A real zero that was entered shows a plain $0 with no line.</t>
        </is>
      </c>
      <c r="M37" s="3" t="inlineStr">
        <is>
          <t>one figure per household</t>
        </is>
      </c>
      <c r="N37" s="3" t="inlineStr">
        <is>
          <t>a month</t>
        </is>
      </c>
      <c r="O37" s="3" t="inlineStr">
        <is>
          <t>1. MK-CF-F-189 (essentialsFromLoggedSpending) → EssentialsAverage | null
2. MK-CF-O-002 (expenses) → Expenses</t>
        </is>
      </c>
      <c r="P37" s="3" t="inlineStr">
        <is>
          <t>Declared by MK-NW-O-004 theEmergencyFund</t>
        </is>
      </c>
      <c r="Q37" s="3" t="inlineStr">
        <is>
          <t>NONE RECORDED — the declaration names none.</t>
        </is>
      </c>
      <c r="R37" s="3" t="inlineStr">
        <is>
          <t>NONE RECORDED — the declaration names none.</t>
        </is>
      </c>
      <c r="S37" s="3" t="inlineStr"/>
      <c r="T37"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7" s="3" t="inlineStr">
        <is>
          <t>ACTIVE</t>
        </is>
      </c>
      <c r="AG37" s="3" t="inlineStr">
        <is>
          <t>2026-10-11</t>
        </is>
      </c>
      <c r="AH37" s="3" t="inlineStr"/>
      <c r="AI37" s="3" t="inlineStr"/>
      <c r="AJ37"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MK-NW-O-004 theEmergencyFund</t>
        </is>
      </c>
      <c r="AN37"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$3,470/month
(the test re-runs this through MK-NW-O-004 theEmergencyFund on every build)</t>
        </is>
      </c>
      <c r="AO37" s="7" t="inlineStr">
        <is>
          <t>RULED, NOT CODED (Q-NW-5 — one question, one function)</t>
        </is>
      </c>
    </row>
    <row r="38" ht="60" customHeight="1">
      <c r="A38" s="3" t="inlineStr">
        <is>
          <t>MK-MN-M-027</t>
        </is>
      </c>
      <c r="B38" s="3" t="inlineStr">
        <is>
          <t>Menu</t>
        </is>
      </c>
      <c r="C38" s="3" t="inlineStr">
        <is>
          <t>/tax-organizer</t>
        </is>
      </c>
      <c r="D38" s="3" t="inlineStr">
        <is>
          <t>each taxable line and its amount</t>
        </is>
      </c>
      <c r="E38" s="3" t="inlineStr">
        <is>
          <t>each_taxable_line_and_its_amount</t>
        </is>
      </c>
      <c r="F38" s="3" t="inlineStr">
        <is>
          <t>1. taxOrganizer
2. taxableIncomeSteps</t>
        </is>
      </c>
      <c r="G38" s="3" t="inlineStr">
        <is>
          <t>1. MK-PL-F-031
2. MK-PL-F-082</t>
        </is>
      </c>
      <c r="H38"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8"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8" s="3" t="inlineStr">
        <is>
          <t>1. the organizer's income lines [MK-XS-I-023 and the other income inputs]
2. each earner's 401(k) contribution [MK-XS-I-043]
3. how they file and who is 65+ [MK-XS-I-030]</t>
        </is>
      </c>
      <c r="K38" s="3" t="inlineStr">
        <is>
          <t>dollars, whole</t>
        </is>
      </c>
      <c r="L38" s="3" t="inlineStr">
        <is>
          <t>A line with nothing behind it does not appear at all.</t>
        </is>
      </c>
      <c r="M38" s="3" t="inlineStr">
        <is>
          <t>one line</t>
        </is>
      </c>
      <c r="N38" s="3" t="inlineStr">
        <is>
          <t>as of today</t>
        </is>
      </c>
      <c r="O38"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8" s="3" t="inlineStr">
        <is>
          <t>Declared by MK-CF-O-007 theTaxOrganizer</t>
        </is>
      </c>
      <c r="Q38" s="3" t="inlineStr">
        <is>
          <t>Interest and dividends come from the RECORDS where they exist, not from an estimate — an estimate on a tax page reads as a figure to file.</t>
        </is>
      </c>
      <c r="R38" s="3" t="inlineStr">
        <is>
          <t>Interest and dividends come from the RECORDS where they exist, not from an estimate — an estimate on a tax page reads as a figure to file.</t>
        </is>
      </c>
      <c r="S38" s="3" t="inlineStr"/>
      <c r="T38" s="3" t="inlineStr">
        <is>
          <t>Interest and dividends come from the RECORDS where they exist, not from an estimate — an estimate on a tax page reads as a figure to file.
[Founder] Q46, 2026-09-08: the tax organizer shows gross income, the 401(k) contribution, the standard deduction and taxable income.</t>
        </is>
      </c>
      <c r="U38" s="3" t="inlineStr"/>
      <c r="V38" s="3" t="inlineStr">
        <is>
          <t>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38" s="3" t="inlineStr">
        <is>
          <t>Q46: Tax organizer should show — gross income, 401(k) contribution, standard deduction, and taxable income. (answered in chat, 2026-09-08)</t>
        </is>
      </c>
      <c r="X38" s="3" t="inlineStr"/>
      <c r="Y38" s="3" t="inlineStr"/>
      <c r="Z38" s="3" t="inlineStr">
        <is>
          <t>DECLARED IN THE CODE (rule 11) — printed from the door, not typed. RULED 2026-09-27</t>
        </is>
      </c>
      <c r="AA38" s="3" t="inlineStr"/>
      <c r="AB38" s="3" t="inlineStr"/>
      <c r="AC38" s="3" t="inlineStr"/>
      <c r="AD38" s="3" t="inlineStr"/>
      <c r="AE38"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38" s="3" t="inlineStr">
        <is>
          <t>ACTIVE</t>
        </is>
      </c>
      <c r="AG38" s="3" t="inlineStr">
        <is>
          <t>2026-10-11</t>
        </is>
      </c>
      <c r="AH38" s="3" t="inlineStr"/>
      <c r="AI38" s="3" t="inlineStr"/>
      <c r="AJ38"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MK-CF-O-007 theTaxOrganizer</t>
        </is>
      </c>
      <c r="AN38" s="3" t="inlineStr">
        <is>
          <t>Filing jointly for 2026 on $169,200 of wages, with $19,200 paid into 401(k)s between the two of them and the $32,200 standard deduction.
GIVES: $169,200
(the test re-runs this through MK-CF-O-007 theTaxOrganizer on every build)</t>
        </is>
      </c>
      <c r="AO38" s="8" t="inlineStr">
        <is>
          <t>VERIFIED — TESTED, NOT VERIFIED — you ruled on this row 2026-09-27; the</t>
        </is>
      </c>
    </row>
    <row r="39" ht="60" customHeight="1">
      <c r="A39" s="3" t="inlineStr">
        <is>
          <t>MK-MN-M-028</t>
        </is>
      </c>
      <c r="B39" s="3" t="inlineStr">
        <is>
          <t>Menu</t>
        </is>
      </c>
      <c r="C39" s="3" t="inlineStr">
        <is>
          <t>/tax-organizer</t>
        </is>
      </c>
      <c r="D39" s="3" t="inlineStr">
        <is>
          <t>Gross income · 401(k) contribution · Standard deduction · Taxable income · Non-taxable</t>
        </is>
      </c>
      <c r="E39" s="3" t="inlineStr">
        <is>
          <t>gross_income__401k_contribution__standar</t>
        </is>
      </c>
      <c r="F39" s="3" t="inlineStr">
        <is>
          <t>1. taxOrganizer
2. taxableIncomeSteps</t>
        </is>
      </c>
      <c r="G39" s="3" t="inlineStr">
        <is>
          <t>1. MK-PL-F-031
2. MK-PL-F-082</t>
        </is>
      </c>
      <c r="H39"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9"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9" s="3" t="inlineStr">
        <is>
          <t>1. the organizer's income lines [MK-XS-I-023 and the other income inputs]
2. each earner's 401(k) contribution [MK-XS-I-043]
3. how they file and who is 65+ [MK-XS-I-030]</t>
        </is>
      </c>
      <c r="K39" s="3" t="inlineStr">
        <is>
          <t>dollars, whole</t>
        </is>
      </c>
      <c r="L39" s="3" t="inlineStr">
        <is>
          <t>No income entered yet.</t>
        </is>
      </c>
      <c r="M39" s="3" t="inlineStr">
        <is>
          <t>one figure per household</t>
        </is>
      </c>
      <c r="N39" s="3" t="inlineStr">
        <is>
          <t>as of today</t>
        </is>
      </c>
      <c r="O39"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9" s="3" t="inlineStr">
        <is>
          <t>Declared by MK-CF-O-007 theTaxOrganizer</t>
        </is>
      </c>
      <c r="Q39" s="3" t="inlineStr">
        <is>
          <t>ONE tax function across the app (rule 2) — the same one that sets the band on your pay.</t>
        </is>
      </c>
      <c r="R39" s="3" t="inlineStr">
        <is>
          <t>ONE tax function across the app (rule 2) — the same one that sets the band on your pay.</t>
        </is>
      </c>
      <c r="S39" s="3" t="inlineStr"/>
      <c r="T39" s="3" t="inlineStr">
        <is>
          <t>ONE tax function across the app (rule 2) — the same one that sets the band on your pay.
[Founder] Q46, 2026-09-08: the tax organizer shows gross income, the 401(k) contribution, the standard deduction and taxable income.</t>
        </is>
      </c>
      <c r="U39" s="3" t="inlineStr"/>
      <c r="V39" s="9" t="inlineStr">
        <is>
          <t>Q24 — State tax is applied to taxable accounts only. Do you want a state rate captured per person, or to keep the single blended figure we use now?</t>
        </is>
      </c>
      <c r="W39" s="9" t="inlineStr">
        <is>
          <t>Q46: Tax organizer should show — gross income, 401(k) contribution, standard deduction, and taxable income. (answered in chat, 2026-09-08)</t>
        </is>
      </c>
      <c r="X39" s="3" t="inlineStr"/>
      <c r="Y39" s="3" t="inlineStr"/>
      <c r="Z39" s="3" t="inlineStr">
        <is>
          <t>DECLARED IN THE CODE (rule 11) — printed from the door, not typed. RULED 2026-09-27</t>
        </is>
      </c>
      <c r="AA39" s="3" t="inlineStr"/>
      <c r="AB39" s="3" t="inlineStr"/>
      <c r="AC39" s="3" t="inlineStr"/>
      <c r="AD39" s="3" t="inlineStr"/>
      <c r="AE39"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39" s="3" t="inlineStr">
        <is>
          <t>ACTIVE</t>
        </is>
      </c>
      <c r="AG39" s="3" t="inlineStr">
        <is>
          <t>2026-10-11</t>
        </is>
      </c>
      <c r="AH39" s="3" t="inlineStr"/>
      <c r="AI39" s="3" t="inlineStr"/>
      <c r="AJ39"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MK-CF-O-007 theTaxOrganizer</t>
        </is>
      </c>
      <c r="AN39" s="3" t="inlineStr">
        <is>
          <t>Filing jointly for 2026 on $169,200 of wages, with $19,200 paid into 401(k)s between the two of them and the $32,200 standard deduction.
GIVES: $117,800
(the test re-runs this through MK-CF-O-007 theTaxOrganizer on every build)</t>
        </is>
      </c>
      <c r="AO39" s="9" t="inlineStr">
        <is>
          <t>WAITING ON YOU — question Q24 · TESTED, NOT VERIFIED (G22 / Q46, G3)</t>
        </is>
      </c>
    </row>
    <row r="40" ht="60" customHeight="1">
      <c r="A40" s="3" t="inlineStr">
        <is>
          <t>MK-MN-M-029</t>
        </is>
      </c>
      <c r="B40" s="3" t="inlineStr">
        <is>
          <t>Menu</t>
        </is>
      </c>
      <c r="C40" s="3" t="inlineStr">
        <is>
          <t>/contribution-room</t>
        </is>
      </c>
      <c r="D40" s="3" t="inlineStr">
        <is>
          <t>each contribution and its amount</t>
        </is>
      </c>
      <c r="E40" s="3" t="inlineStr">
        <is>
          <t>each_contribution_and_its_amount</t>
        </is>
      </c>
      <c r="F40" s="3" t="inlineStr">
        <is>
          <t>theContributionRoom</t>
        </is>
      </c>
      <c r="G40" s="3" t="inlineStr">
        <is>
          <t xml:space="preserve">
4. MK-CF-F-196
5. MK-CF-F-195</t>
        </is>
      </c>
      <c r="H40" s="3" t="inlineStr">
        <is>
          <t>the monthly amount you entered for that account × 12</t>
        </is>
      </c>
      <c r="I4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0" s="3" t="inlineStr">
        <is>
          <t>MK-XS-I-023 salary and other income</t>
        </is>
      </c>
      <c r="K40" s="3" t="inlineStr">
        <is>
          <t>dollars, whole</t>
        </is>
      </c>
      <c r="L40" s="3" t="inlineStr">
        <is>
          <t>No contribution entered → the RETIREMENT CONTRIBUTIONS card is not shown; never a $0 line.</t>
        </is>
      </c>
      <c r="M40" s="3" t="inlineStr">
        <is>
          <t>one account</t>
        </is>
      </c>
      <c r="N40" s="3" t="inlineStr">
        <is>
          <t>as of today</t>
        </is>
      </c>
      <c r="O40" s="3" t="inlineStr">
        <is>
          <t>MK-CF-F-195 (monthsLeftInYear) → number</t>
        </is>
      </c>
      <c r="P40" s="3" t="inlineStr">
        <is>
          <t>Declared by MK-CF-O-005 theContributionRoom</t>
        </is>
      </c>
      <c r="Q40" s="3" t="inlineStr">
        <is>
          <t>Enrolled in Medicare means NO HSA contribution is allowed at all — not a smaller one (his ruling G10, 2026-09-08).</t>
        </is>
      </c>
      <c r="R40" s="3" t="inlineStr">
        <is>
          <t>Enrolled in Medicare means NO HSA contribution is allowed at all — not a smaller one (his ruling G10, 2026-09-08).</t>
        </is>
      </c>
      <c r="S40" s="3" t="inlineStr"/>
      <c r="T40" s="3" t="inlineStr">
        <is>
          <t>Enrolled in Medicare means NO HSA contribution is allowed at all — not a smaller one (his ruling G10, 2026-09-08).</t>
        </is>
      </c>
      <c r="U40" s="3" t="inlineStr"/>
      <c r="V40" s="3" t="inlineStr"/>
      <c r="W40" s="3" t="inlineStr"/>
      <c r="X40" s="3" t="inlineStr"/>
      <c r="Y40" s="3" t="inlineStr"/>
      <c r="Z40" s="3" t="inlineStr">
        <is>
          <t>DECLARED IN THE CODE (rule 11) — printed from the door, not typed. RULED 2026-09-27</t>
        </is>
      </c>
      <c r="AA40" s="3" t="inlineStr"/>
      <c r="AB40" s="3" t="inlineStr"/>
      <c r="AC40" s="3" t="inlineStr"/>
      <c r="AD40" s="3" t="inlineStr"/>
      <c r="AE40" s="3" t="inlineStr">
        <is>
          <t>G32 / Q48 — 2026-09-09: the 'division with nothing on the bottom' boilerplate is gone; this cell now states the row's real refusal. Where it says 'built', the screen already does it; the rest follow the empty-state mock.</t>
        </is>
      </c>
      <c r="AF40" s="3" t="inlineStr">
        <is>
          <t>ACTIVE</t>
        </is>
      </c>
      <c r="AG40" s="3" t="inlineStr">
        <is>
          <t>2026-10-11</t>
        </is>
      </c>
      <c r="AH40" s="3" t="inlineStr"/>
      <c r="AI40" s="3" t="inlineStr"/>
      <c r="AJ40" s="3" t="inlineStr">
        <is>
          <t>NONE — no function in this chain reads a stored input the sweep knows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2026-09-27; the figure, its formula, inputs and refusal live in MK-CF-O-005 theContributionRoom</t>
        </is>
      </c>
      <c r="AN40" s="3" t="inlineStr">
        <is>
          <t>Born 1965 — so 61 during 2026. Paying in $1,200/month to a 401(k), $300 to a Roth IRA and $150 to an HSA; not on Medicare. Read on 29 September 2026, so four months of the year are left.
GIVES: $5,000
(the test re-runs this through MK-CF-O-005 theContributionRoom on every build)</t>
        </is>
      </c>
      <c r="AO40" s="7" t="inlineStr">
        <is>
          <t>RULED, NOT CODED (Q-CF-4 — one question, one function)</t>
        </is>
      </c>
    </row>
    <row r="41" ht="60" customHeight="1">
      <c r="A41" s="3" t="inlineStr">
        <is>
          <t>MK-MN-M-030</t>
        </is>
      </c>
      <c r="B41" s="3" t="inlineStr">
        <is>
          <t>Menu</t>
        </is>
      </c>
      <c r="C41" s="3" t="inlineStr">
        <is>
          <t>/bill-calendar</t>
        </is>
      </c>
      <c r="D41" s="3" t="inlineStr">
        <is>
          <t>$X left &lt;account&gt; on &lt;date&gt;</t>
        </is>
      </c>
      <c r="E41" s="3" t="inlineStr">
        <is>
          <t>x_left_account_on_date</t>
        </is>
      </c>
      <c r="F41" s="3" t="inlineStr">
        <is>
          <t>whatsComing</t>
        </is>
      </c>
      <c r="G41" s="3" t="inlineStr">
        <is>
          <t>MK-CF-O-008</t>
        </is>
      </c>
      <c r="H41" s="3" t="inlineStr">
        <is>
          <t>the balance you start with, less each bill as its date passes</t>
        </is>
      </c>
      <c r="I41" s="3" t="inlineStr">
        <is>
          <t>the balance you start with, less each bill as its date passes</t>
        </is>
      </c>
      <c r="J41" s="3" t="inlineStr">
        <is>
          <t>MK-NW-I-001 your accounts
MK-CF-I-002 your bills</t>
        </is>
      </c>
      <c r="K41" s="3" t="inlineStr">
        <is>
          <t>dollars, whole</t>
        </is>
      </c>
      <c r="L41" s="3" t="inlineStr">
        <is>
          <t>No balance to start from.</t>
        </is>
      </c>
      <c r="M41" s="3" t="inlineStr">
        <is>
          <t>one date</t>
        </is>
      </c>
      <c r="N41" s="3" t="inlineStr">
        <is>
          <t>as of today</t>
        </is>
      </c>
      <c r="O41" s="3" t="inlineStr">
        <is>
          <t>MK-CF-F-019 (upcomingBills) → NOT DECLARED — the code does not say what it gives back</t>
        </is>
      </c>
      <c r="P41" s="3" t="inlineStr">
        <is>
          <t>Declared by MK-CF-O-008 whatsComing</t>
        </is>
      </c>
      <c r="Q41" s="3" t="inlineStr">
        <is>
          <t>NONE RECORDED — the declaration names none.</t>
        </is>
      </c>
      <c r="R41" s="3" t="inlineStr">
        <is>
          <t>NONE RECORDED — the declaration names none.</t>
        </is>
      </c>
      <c r="S41" s="3" t="inlineStr"/>
      <c r="T41" s="3" t="inlineStr">
        <is>
          <t>NONE RECORDED — the declaration names none.</t>
        </is>
      </c>
      <c r="U41" s="3" t="inlineStr"/>
      <c r="V41" s="3" t="inlineStr"/>
      <c r="W41" s="3" t="inlineStr"/>
      <c r="X41" s="3" t="inlineStr"/>
      <c r="Y41" s="3" t="inlineStr"/>
      <c r="Z41" s="3" t="inlineStr">
        <is>
          <t>DECLARED IN THE CODE (rule 11) — printed from the door, not typed. RULED 2026-09-27</t>
        </is>
      </c>
      <c r="AA41" s="3" t="inlineStr"/>
      <c r="AB41" s="3" t="inlineStr"/>
      <c r="AC41" s="3" t="inlineStr"/>
      <c r="AD41" s="3" t="inlineStr"/>
      <c r="AE41" s="3" t="inlineStr"/>
      <c r="AF41" s="3" t="inlineStr">
        <is>
          <t>ACTIVE</t>
        </is>
      </c>
      <c r="AG41" s="3" t="inlineStr">
        <is>
          <t>2026-10-11</t>
        </is>
      </c>
      <c r="AH41" s="3" t="inlineStr"/>
      <c r="AI41" s="3" t="inlineStr"/>
      <c r="AJ41"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2026-09-27; the figure, its formula, inputs and refusal live in MK-CF-O-008 whatsComing</t>
        </is>
      </c>
      <c r="AN41" s="3" t="inlineStr">
        <is>
          <t>On 28 Sep 2026, with $8,000 in the account: car insurance of $1,400 due 15 Oct and property tax of $4,800 due 1 Nov. Nothing else is dated.
GIVES: $6,600
(the test re-runs this through MK-CF-O-008 whatsComing on every build)</t>
        </is>
      </c>
      <c r="AO41" s="7" t="inlineStr">
        <is>
          <t>RULED, NOT CODED (Q-CF-3 — one question, one function)</t>
        </is>
      </c>
    </row>
  </sheetData>
  <autoFilter ref="A1:AO4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6"/>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52" customWidth="1" min="5" max="5"/>
    <col width="30" customWidth="1" min="6" max="6"/>
    <col width="26" customWidth="1" min="7" max="7"/>
    <col width="34" customWidth="1" min="8" max="8"/>
    <col width="20" customWidth="1" min="9" max="9"/>
    <col width="30" customWidth="1" min="10" max="10"/>
  </cols>
  <sheetData>
    <row r="1" ht="15" customHeight="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 t="inlineStr">
        <is>
          <t>STATUS — this row</t>
        </is>
      </c>
    </row>
    <row r="2" ht="60" customHeight="1">
      <c r="A2" s="3" t="inlineStr">
        <is>
          <t>MK-XS-I-001</t>
        </is>
      </c>
      <c r="B2" s="3" t="inlineStr">
        <is>
          <t>account balance</t>
        </is>
      </c>
      <c r="C2" s="3" t="inlineStr">
        <is>
          <t>the institution download, a connection, or typed by hand</t>
        </is>
      </c>
      <c r="D2" s="3" t="inlineStr">
        <is>
          <t>balance · cash_balance · total_asset_value</t>
        </is>
      </c>
      <c r="E2" s="3" t="inlineStr">
        <is>
          <t>1. MK-NW-F-075 ACC
2. MK-NW-F-076 ALT
3. MK-NW-F-088 BENCH
4. MK-CF-F-211 DEBTS
5. MK-NW-F-079 EF
6. MK-NW-F-080 HOLD
7. MK-CF-F-200 LINE
8. MK-NW-F-082 NW
9. MK-NW-F-078 ONE
10. MK-NW-F-101 PLAN
11. MK-NW-F-027 accountClassBreakdown
12. MK-ST-F-027 accountId
13. MK-NW-F-113 altPartsOf
14. MK-CF-F-125 amortise
… and 52 more — the full list is on functions_from_code</t>
        </is>
      </c>
      <c r="F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2" s="3" t="inlineStr">
        <is>
          <t>SWEPT FROM THE CODE 2026-08-26</t>
        </is>
      </c>
      <c r="H2" s="3" t="inlineStr">
        <is>
          <t>ACTIVE</t>
        </is>
      </c>
      <c r="I2" s="3" t="inlineStr">
        <is>
          <t>2026-10-10</t>
        </is>
      </c>
      <c r="J2" s="3" t="inlineStr">
        <is>
          <t>reach generated from the code each build</t>
        </is>
      </c>
    </row>
    <row r="3" ht="60" customHeight="1">
      <c r="A3" s="3" t="inlineStr">
        <is>
          <t>MK-XS-I-002</t>
        </is>
      </c>
      <c r="B3" s="3" t="inlineStr">
        <is>
          <t>account type (taxable, pre-tax, Roth)</t>
        </is>
      </c>
      <c r="C3" s="3" t="inlineStr">
        <is>
          <t>typed at setup, or guessed from the account name</t>
        </is>
      </c>
      <c r="D3" s="3" t="inlineStr">
        <is>
          <t>tax_bucket · tax_treatment · taxBucket</t>
        </is>
      </c>
      <c r="E3" s="3" t="inlineStr">
        <is>
          <t>1. MK-NW-F-082 NW
2. MK-NW-F-005 accountAllowsTicker
3. MK-NW-F-027 accountClassBreakdown
4. MK-NW-F-025 accountDisplayName
5. MK-NW-F-011 assetClassOf
6. MK-NW-F-040 assetsFromOnboarding
7. MK-NW-F-052 buildItemizedAccounts
8. MK-CF-F-136 bumpCash
9. MK-NW-F-120 classEvidenceOf
10. MK-XS-F-103 confirmWrapper
11. MK-XS-F-002 dataGaps
12. MK-NW-F-038 earmarkedKinds
13. MK-CF-O-017 futurePaycheck
14. MK-XS-F-102 ingestSync
… and 17 more — the full list is on functions_from_code</t>
        </is>
      </c>
      <c r="F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3" s="3" t="inlineStr">
        <is>
          <t>SWEPT FROM THE CODE 2026-08-26</t>
        </is>
      </c>
      <c r="H3" s="3" t="inlineStr">
        <is>
          <t>ACTIVE</t>
        </is>
      </c>
      <c r="I3" s="3" t="inlineStr">
        <is>
          <t>2026-10-10</t>
        </is>
      </c>
      <c r="J3" s="3" t="inlineStr">
        <is>
          <t>reach generated from the code each build</t>
        </is>
      </c>
    </row>
    <row r="4" ht="60" customHeight="1">
      <c r="A4" s="3" t="inlineStr">
        <is>
          <t>MK-XS-I-003</t>
        </is>
      </c>
      <c r="B4" s="3" t="inlineStr">
        <is>
          <t>institution name</t>
        </is>
      </c>
      <c r="C4" s="3" t="inlineStr">
        <is>
          <t>the download or the connection</t>
        </is>
      </c>
      <c r="D4" s="3" t="inlineStr">
        <is>
          <t>institution</t>
        </is>
      </c>
      <c r="E4" s="3" t="inlineStr">
        <is>
          <t>1. MK-NW-F-088 BENCH
2. MK-NW-F-097 LEDGER
3. MK-NW-F-082 NW
4. MK-NW-F-101 PLAN
5. MK-NW-F-025 accountDisplayName
6. MK-NW-F-026 accountDisplayNames
7. MK-NW-F-052 buildItemizedAccounts
8. MK-NW-F-134 carValueNotEnteredNotes
9. MK-XS-F-014 classifyHolding
10. MK-ST-F-011 classifyHoldingClass
11. MK-XS-F-002 dataGaps
12. MK-NW-F-135 earmarkLeavesOut
13. MK-NW-F-046 historyCoverage
14. MK-CF-F-184 incomeFromAccounts
… and 11 more — the full list is on functions_from_code</t>
        </is>
      </c>
      <c r="F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4" s="3" t="inlineStr">
        <is>
          <t>SWEPT FROM THE CODE 2026-08-26</t>
        </is>
      </c>
      <c r="H4" s="3" t="inlineStr">
        <is>
          <t>ACTIVE</t>
        </is>
      </c>
      <c r="I4" s="3" t="inlineStr">
        <is>
          <t>2026-10-10</t>
        </is>
      </c>
      <c r="J4" s="3" t="inlineStr">
        <is>
          <t>reach generated from the code each build</t>
        </is>
      </c>
    </row>
    <row r="5" ht="60" customHeight="1">
      <c r="A5" s="3" t="inlineStr">
        <is>
          <t>MK-XS-I-004</t>
        </is>
      </c>
      <c r="B5" s="3" t="inlineStr">
        <is>
          <t>holding quantity (shares)</t>
        </is>
      </c>
      <c r="C5" s="3" t="inlineStr">
        <is>
          <t>the download, a connection, or typed</t>
        </is>
      </c>
      <c r="D5" s="3" t="inlineStr">
        <is>
          <t>shares · totalShares · quantity</t>
        </is>
      </c>
      <c r="E5" s="3" t="inlineStr">
        <is>
          <t>1. MK-NW-F-075 ACC
2. MK-NW-F-088 BENCH
3. MK-NW-F-087 CAT
4. MK-NW-F-080 HOLD
5. MK-CF-F-201 INCOME
6. MK-NW-F-101 PLAN
7. MK-NW-F-027 accountClassBreakdown
8. MK-ST-F-027 accountId
9. MK-CF-F-138 addLot
10. MK-NW-F-113 altPartsOf
11. MK-CF-F-210 annualOfSource
12. MK-CF-F-111 applyTransaction
13. MK-PF-F-003 avgCost
14. MK-ST-F-028 buildDayFromAccounts
… and 31 more — the full list is on functions_from_code</t>
        </is>
      </c>
      <c r="F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5" s="3" t="inlineStr">
        <is>
          <t>SWEPT FROM THE CODE 2026-08-26</t>
        </is>
      </c>
      <c r="H5" s="3" t="inlineStr">
        <is>
          <t>ACTIVE</t>
        </is>
      </c>
      <c r="I5" s="3" t="inlineStr">
        <is>
          <t>2026-10-09</t>
        </is>
      </c>
      <c r="J5" s="3" t="inlineStr">
        <is>
          <t>reach generated from the code each build</t>
        </is>
      </c>
    </row>
    <row r="6" ht="60" customHeight="1">
      <c r="A6" s="3" t="inlineStr">
        <is>
          <t>MK-XS-I-005</t>
        </is>
      </c>
      <c r="B6" s="3" t="inlineStr">
        <is>
          <t>holding price</t>
        </is>
      </c>
      <c r="C6" s="3" t="inlineStr">
        <is>
          <t>the price feed</t>
        </is>
      </c>
      <c r="D6" s="3" t="inlineStr">
        <is>
          <t>last_price · close · latestClose · priceOf</t>
        </is>
      </c>
      <c r="E6" s="3" t="inlineStr">
        <is>
          <t>1. MK-NW-F-088 BENCH
2. MK-NW-F-080 HOLD
3. MK-NW-F-027 accountClassBreakdown
4. MK-ST-F-027 accountId
5. MK-NW-F-113 altPartsOf
6. MK-ST-F-028 buildDayFromAccounts
7. MK-PF-F-014 buildPerformance
8. MK-NW-F-084 categoryEarnings
9. MK-PF-F-029 closeAsOf
10. MK-PF-F-034 closeOnOrBefore
11. MK-CF-F-043 compareMortgageToTreasury
12. MK-PF-F-022 factorOverMonths
13. MK-ST-F-084 fillBetweenObservations
14. MK-NW-F-128 heldValueOf
… and 15 more — the full list is on functions_from_code</t>
        </is>
      </c>
      <c r="F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G6" s="3" t="inlineStr">
        <is>
          <t>SWEPT FROM THE CODE 2026-08-26</t>
        </is>
      </c>
      <c r="H6" s="3" t="inlineStr">
        <is>
          <t>ACTIVE</t>
        </is>
      </c>
      <c r="I6" s="3" t="inlineStr">
        <is>
          <t>2026-10-09</t>
        </is>
      </c>
      <c r="J6" s="3" t="inlineStr">
        <is>
          <t>reach generated from the code each build</t>
        </is>
      </c>
    </row>
    <row r="7" ht="60" customHeight="1">
      <c r="A7" s="3" t="inlineStr">
        <is>
          <t>MK-XS-I-006</t>
        </is>
      </c>
      <c r="B7" s="3" t="inlineStr">
        <is>
          <t>price fetched at</t>
        </is>
      </c>
      <c r="C7" s="3" t="inlineStr">
        <is>
          <t>the app, when it last asked for prices</t>
        </is>
      </c>
      <c r="D7" s="3" t="inlineStr">
        <is>
          <t>fetchedAt · last_synced · pricesFetchedAt</t>
        </is>
      </c>
      <c r="E7" s="3" t="inlineStr">
        <is>
          <t>1. MK-XS-F-002 dataGaps
2. MK-XS-F-056 fetchEconomicData
3. MK-XS-F-102 ingestSync
4. MK-XS-F-082 priceFreshness
5. MK-XS-F-174 recomputeBalances
6. MK-NW-F-045 sourceWording
7. MK-XS-F-175 uid</t>
        </is>
      </c>
      <c r="F7" s="3" t="inlineStr">
        <is>
          <t>MK-HM-M-001 · MK-MN-M-016 · MK-NW-M-001 · MK-NW-M-002 · MK-NW-M-003 · MK-NW-M-004 · MK-NW-M-005 · MK-NW-M-006 · MK-NW-M-007 · MK-NW-M-008 · MK-NW-M-009 · MK-NW-M-011 · MK-NW-M-015 · MK-NW-M-016 · MK-NW-M-017 · MK-NW-M-049 · MK-NW-M-063 · MK-XS-M-001 · MK-XS-M-003</t>
        </is>
      </c>
      <c r="G7" s="3" t="inlineStr">
        <is>
          <t>SWEPT FROM THE CODE 2026-08-26</t>
        </is>
      </c>
      <c r="H7" s="3" t="inlineStr">
        <is>
          <t>ACTIVE</t>
        </is>
      </c>
      <c r="I7" s="3" t="inlineStr">
        <is>
          <t>2026-09-12</t>
        </is>
      </c>
      <c r="J7" s="3" t="inlineStr">
        <is>
          <t>reach generated from the code each build</t>
        </is>
      </c>
    </row>
    <row r="8" ht="60" customHeight="1">
      <c r="A8" s="3" t="inlineStr">
        <is>
          <t>MK-XS-I-007</t>
        </is>
      </c>
      <c r="B8" s="3" t="inlineStr">
        <is>
          <t>purchase price and date (per lot)</t>
        </is>
      </c>
      <c r="C8" s="3" t="inlineStr">
        <is>
          <t>the download or typed</t>
        </is>
      </c>
      <c r="D8" s="3" t="inlineStr">
        <is>
          <t>cost_per_share · purchase_date · cost_basis · costBasis</t>
        </is>
      </c>
      <c r="E8" s="3" t="inlineStr">
        <is>
          <t>1. MK-NW-F-027 accountClassBreakdown
2. MK-ST-F-027 accountId
3. MK-CF-F-138 addLot
4. MK-PF-F-003 avgCost
5. MK-PF-F-013 benchmarkTicker
6. MK-ST-F-028 buildDayFromAccounts
7. MK-PF-F-014 buildPerformance
8. MK-PF-F-006 capGains
9. MK-PF-F-002 costBasis
10. MK-PF-F-012 earliestPurchaseDate
11. MK-XS-F-145 flatSymbol
12. MK-XS-F-102 ingestSync
13. MK-NW-F-073 itemising
14. MK-XS-F-106 mapOptionHolding
… and 11 more — the full list is on functions_from_code</t>
        </is>
      </c>
      <c r="F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8" s="3" t="inlineStr">
        <is>
          <t>SWEPT FROM THE CODE 2026-08-26</t>
        </is>
      </c>
      <c r="H8" s="3" t="inlineStr">
        <is>
          <t>ACTIVE</t>
        </is>
      </c>
      <c r="I8" s="3" t="inlineStr">
        <is>
          <t>2026-10-07</t>
        </is>
      </c>
      <c r="J8" s="3" t="inlineStr">
        <is>
          <t>reach generated from the code each build</t>
        </is>
      </c>
    </row>
    <row r="9" ht="60" customHeight="1">
      <c r="A9" s="3" t="inlineStr">
        <is>
          <t>MK-XS-I-008</t>
        </is>
      </c>
      <c r="B9" s="3" t="inlineStr">
        <is>
          <t>transaction amount</t>
        </is>
      </c>
      <c r="C9" s="3" t="inlineStr">
        <is>
          <t>the institution download</t>
        </is>
      </c>
      <c r="D9" s="3" t="inlineStr">
        <is>
          <t>t.amount · txn.amount · transaction.amount</t>
        </is>
      </c>
      <c r="E9" s="3" t="inlineStr">
        <is>
          <t>1. MK-CF-F-111 applyTransaction
2. MK-CF-F-118 cashEffect
3. MK-NW-F-084 categoryEarnings
4. MK-CF-F-119 investmentIncomeAnnual
5. MK-CF-F-183 paidOutByAccount
6. MK-CF-F-109 reviewTransactions
7. MK-PL-F-009 rmdTakenThisYear
8. MK-NW-O-002 theAccount
9. MK-ST-F-072 undo</t>
        </is>
      </c>
      <c r="F9" s="3" t="inlineStr">
        <is>
          <t>MK-MN-M-016 · MK-NW-M-001 · MK-NW-M-002 · MK-NW-M-003 · MK-NW-M-004 · MK-NW-M-005 · MK-NW-M-006 · MK-NW-M-007 · MK-NW-M-008 · MK-NW-M-009 · MK-NW-M-011 · MK-NW-M-015 · MK-NW-M-016 · MK-NW-M-017 · MK-NW-M-019 · MK-NW-M-020 · MK-NW-M-021 · MK-NW-M-038 · MK-NW-M-039 · MK-NW-M-040 · MK-NW-M-049 · MK-NW-M-062 · MK-NW-M-063 · MK-XS-M-001 · MK-XS-M-003</t>
        </is>
      </c>
      <c r="G9" s="3" t="inlineStr">
        <is>
          <t>SWEPT FROM THE CODE 2026-08-26</t>
        </is>
      </c>
      <c r="H9" s="3" t="inlineStr">
        <is>
          <t>ACTIVE</t>
        </is>
      </c>
      <c r="I9" s="3" t="inlineStr">
        <is>
          <t>2026-10-04</t>
        </is>
      </c>
      <c r="J9" s="3" t="inlineStr">
        <is>
          <t>reach generated from the code each build</t>
        </is>
      </c>
    </row>
    <row r="10" ht="60" customHeight="1">
      <c r="A10" s="3" t="inlineStr">
        <is>
          <t>MK-XS-I-009</t>
        </is>
      </c>
      <c r="B10" s="3" t="inlineStr">
        <is>
          <t>transaction date</t>
        </is>
      </c>
      <c r="C10" s="3" t="inlineStr">
        <is>
          <t>the institution download</t>
        </is>
      </c>
      <c r="D10" s="3" t="inlineStr">
        <is>
          <t>t.date · txn.date · posted_at</t>
        </is>
      </c>
      <c r="E10" s="3" t="inlineStr">
        <is>
          <t>1. MK-CF-F-138 addLot
2. MK-CF-F-119 investmentIncomeAnnual
3. MK-PF-F-028 realizedFromLedger
4. MK-ST-F-073 rebuildDays
5. MK-ST-F-071 rebuildableFrom
6. MK-CF-F-109 reviewTransactions
7. MK-PL-F-009 rmdTakenThisYear
8. MK-NW-O-002 theAccount
9. MK-NW-O-006 theHolding
10. MK-NW-O-008 thePerformance
11. MK-XS-F-175 uid</t>
        </is>
      </c>
      <c r="F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G10" s="3" t="inlineStr">
        <is>
          <t>SWEPT FROM THE CODE 2026-08-26</t>
        </is>
      </c>
      <c r="H10" s="3" t="inlineStr">
        <is>
          <t>ACTIVE</t>
        </is>
      </c>
      <c r="I10" s="3" t="inlineStr">
        <is>
          <t>2026-10-05</t>
        </is>
      </c>
      <c r="J10" s="3" t="inlineStr">
        <is>
          <t>reach generated from the code each build</t>
        </is>
      </c>
    </row>
    <row r="11" ht="60" customHeight="1">
      <c r="A11" s="3" t="inlineStr">
        <is>
          <t>MK-XS-I-010</t>
        </is>
      </c>
      <c r="B11" s="3" t="inlineStr">
        <is>
          <t>transaction words (the institution's own wording)</t>
        </is>
      </c>
      <c r="C11" s="3" t="inlineStr">
        <is>
          <t>the institution download</t>
        </is>
      </c>
      <c r="D11" s="3" t="inlineStr">
        <is>
          <t>description · merchant · raw_description · payee</t>
        </is>
      </c>
      <c r="E11" s="3" t="inlineStr">
        <is>
          <t>1. MK-XS-F-108 activityKey
2. MK-CF-F-110 flagComparisonText
3. MK-NW-F-123 holdingNameEvidence
4. MK-XS-F-015 importHoldings
5. MK-ST-F-014 importKey
6. MK-XS-F-102 ingestSync
7. MK-XS-F-105 mapPosition
8. MK-XS-F-097 ocrReceipt
9. MK-XS-F-058 parseReceipt
10. MK-ST-F-013 personalFlowTotals
11. MK-XS-F-174 recomputeBalances
12. MK-CF-F-109 reviewTransactions
13. MK-ST-F-012 toLedgerRow
14. MK-XS-F-175 uid</t>
        </is>
      </c>
      <c r="F11"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G11" s="3" t="inlineStr">
        <is>
          <t>SWEPT FROM THE CODE 2026-08-26</t>
        </is>
      </c>
      <c r="H11" s="3" t="inlineStr">
        <is>
          <t>ACTIVE</t>
        </is>
      </c>
      <c r="I11" s="3" t="inlineStr">
        <is>
          <t>2026-10-09</t>
        </is>
      </c>
      <c r="J11" s="3" t="inlineStr">
        <is>
          <t>reach generated from the code each build</t>
        </is>
      </c>
    </row>
    <row r="12" ht="60" customHeight="1">
      <c r="A12" s="3" t="inlineStr">
        <is>
          <t>MK-XS-I-011</t>
        </is>
      </c>
      <c r="B12" s="3" t="inlineStr">
        <is>
          <t>bond face value</t>
        </is>
      </c>
      <c r="C12" s="3" t="inlineStr">
        <is>
          <t>typed, or the download</t>
        </is>
      </c>
      <c r="D12" s="3" t="inlineStr">
        <is>
          <t>face_value · face</t>
        </is>
      </c>
      <c r="E12" s="3" t="inlineStr">
        <is>
          <t>1. MK-NW-F-078 ONE
2. MK-NW-F-057 annualCoupon
3. MK-NW-F-060 approxYTM
4. MK-NW-F-056 bondInfo
5. MK-NW-F-064 bondRateSensitivity
6. MK-NW-F-061 bondSummary
7. MK-NW-F-052 buildItemizedAccounts
8. MK-NW-F-119 estimatedAccrued
9. MK-CF-F-184 incomeFromAccounts
10. MK-NW-F-071 isCertificateOfDeposit
11. MK-NW-F-069 priceAtYield
12. MK-NW-F-072 rowOf
13. MK-NW-O-001 theBonds
14. MK-NW-F-112 yearlyInterest</t>
        </is>
      </c>
      <c r="F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2" s="3" t="inlineStr">
        <is>
          <t>SWEPT FROM THE CODE 2026-08-26</t>
        </is>
      </c>
      <c r="H12" s="3" t="inlineStr">
        <is>
          <t>ACTIVE</t>
        </is>
      </c>
      <c r="I12" s="3" t="inlineStr">
        <is>
          <t>2026-10-09</t>
        </is>
      </c>
      <c r="J12" s="3" t="inlineStr">
        <is>
          <t>reach generated from the code each build</t>
        </is>
      </c>
    </row>
    <row r="13" ht="60" customHeight="1">
      <c r="A13" s="3" t="inlineStr">
        <is>
          <t>MK-XS-I-012</t>
        </is>
      </c>
      <c r="B13" s="3" t="inlineStr">
        <is>
          <t>bond coupon rate</t>
        </is>
      </c>
      <c r="C13" s="3" t="inlineStr">
        <is>
          <t>typed, or the download</t>
        </is>
      </c>
      <c r="D13" s="3" t="inlineStr">
        <is>
          <t>coupon_rate · couponRate</t>
        </is>
      </c>
      <c r="E13" s="3" t="inlineStr">
        <is>
          <t>1. MK-NW-F-078 ONE
2. MK-NW-F-070 accruedInterestCaveat
3. MK-NW-F-057 annualCoupon
4. MK-NW-F-060 approxYTM
5. MK-NW-F-056 bondInfo
6. MK-NW-F-064 bondRateSensitivity
7. MK-NW-F-052 buildItemizedAccounts
8. MK-NW-F-084 categoryEarnings
9. MK-NW-F-119 estimatedAccrued
10. MK-NW-F-127 gainOfRow
11. MK-CF-F-184 incomeFromAccounts
12. MK-NW-F-063 interestIncomeAnnual
13. MK-NW-F-071 isCertificateOfDeposit
14. MK-NW-F-091 pricedGainOf
… and 4 more — the full list is on functions_from_code</t>
        </is>
      </c>
      <c r="F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3" s="3" t="inlineStr">
        <is>
          <t>SWEPT FROM THE CODE 2026-08-26</t>
        </is>
      </c>
      <c r="H13" s="3" t="inlineStr">
        <is>
          <t>ACTIVE</t>
        </is>
      </c>
      <c r="I13" s="3" t="inlineStr">
        <is>
          <t>2026-10-09</t>
        </is>
      </c>
      <c r="J13" s="3" t="inlineStr">
        <is>
          <t>reach generated from the code each build</t>
        </is>
      </c>
    </row>
    <row r="14" ht="60" customHeight="1">
      <c r="A14" s="3" t="inlineStr">
        <is>
          <t>MK-XS-I-013</t>
        </is>
      </c>
      <c r="B14" s="3" t="inlineStr">
        <is>
          <t>bond maturity date</t>
        </is>
      </c>
      <c r="C14" s="3" t="inlineStr">
        <is>
          <t>typed, or the download</t>
        </is>
      </c>
      <c r="D14" s="3" t="inlineStr">
        <is>
          <t>maturity_date · maturity</t>
        </is>
      </c>
      <c r="E14" s="3" t="inlineStr">
        <is>
          <t>1. MK-NW-F-078 ONE
2. MK-NW-F-060 approxYTM
3. MK-NW-F-056 bondInfo
4. MK-NW-F-061 bondSummary
5. MK-NW-F-052 buildItemizedAccounts
6. MK-NW-F-120 classEvidenceOf
7. MK-ST-F-011 classifyHoldingClass
8. MK-NW-F-119 estimatedAccrued
9. MK-NW-F-071 isCertificateOfDeposit
10. MK-NW-F-125 isPastMaturity
11. MK-XS-F-107 mapActivityType
12. MK-NW-F-124 maturityParts
13. MK-ST-F-010 nameEvidence
14. MK-NW-F-069 priceAtYield
… and 4 more — the full list is on functions_from_code</t>
        </is>
      </c>
      <c r="F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14" s="3" t="inlineStr">
        <is>
          <t>SWEPT FROM THE CODE 2026-08-26</t>
        </is>
      </c>
      <c r="H14" s="3" t="inlineStr">
        <is>
          <t>ACTIVE</t>
        </is>
      </c>
      <c r="I14" s="3" t="inlineStr">
        <is>
          <t>2026-10-09</t>
        </is>
      </c>
      <c r="J14" s="3" t="inlineStr">
        <is>
          <t>reach generated from the code each build</t>
        </is>
      </c>
    </row>
    <row r="15" ht="60" customHeight="1">
      <c r="A15" s="3" t="inlineStr">
        <is>
          <t>MK-XS-I-014</t>
        </is>
      </c>
      <c r="B15" s="3" t="inlineStr">
        <is>
          <t>debt balance</t>
        </is>
      </c>
      <c r="C15" s="3" t="inlineStr">
        <is>
          <t>typed, or a connection</t>
        </is>
      </c>
      <c r="D15" s="3" t="inlineStr">
        <is>
          <t>remaining_balance</t>
        </is>
      </c>
      <c r="E15" s="3" t="inlineStr">
        <is>
          <t>1. MK-XS-F-004 buildDatedGrid
2. MK-CF-F-036 buildDebtState
3. MK-XS-F-002 dataGaps
4. MK-CF-F-157 debtPaymentsByDebt
5. MK-CF-F-038 debtsFromOnboarding
6. MK-NW-F-094 ledgerGroups
7. MK-CF-F-034 payoffPlan
8. MK-CF-O-018 theDebts
9. MK-NW-O-004 theEmergencyFund
10. MK-CF-O-010 theMonth
11. MK-NW-O-003 theNetWorth
12. MK-CF-F-027 totalDebtBalance
13. MK-PL-F-036 weighGoals</t>
        </is>
      </c>
      <c r="F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G15" s="3" t="inlineStr">
        <is>
          <t>SWEPT FROM THE CODE 2026-08-26</t>
        </is>
      </c>
      <c r="H15" s="3" t="inlineStr">
        <is>
          <t>ACTIVE</t>
        </is>
      </c>
      <c r="I15" s="3" t="inlineStr">
        <is>
          <t>2026-10-09</t>
        </is>
      </c>
      <c r="J15" s="3" t="inlineStr">
        <is>
          <t>reach generated from the code each build</t>
        </is>
      </c>
    </row>
    <row r="16" ht="60" customHeight="1">
      <c r="A16" s="3" t="inlineStr">
        <is>
          <t>MK-XS-I-015</t>
        </is>
      </c>
      <c r="B16" s="3" t="inlineStr">
        <is>
          <t>debt interest rate</t>
        </is>
      </c>
      <c r="C16" s="3" t="inlineStr">
        <is>
          <t>typed</t>
        </is>
      </c>
      <c r="D16" s="3" t="inlineStr">
        <is>
          <t>interest_rate_apr</t>
        </is>
      </c>
      <c r="E16" s="3" t="inlineStr">
        <is>
          <t>1. MK-CF-F-036 buildDebtState
2. MK-CF-F-157 debtPaymentsByDebt
3. MK-CF-F-038 debtsFromOnboarding
4. MK-NW-F-094 ledgerGroups
5. MK-CF-F-034 payoffPlan
6. MK-CF-O-018 theDebts
7. MK-NW-O-004 theEmergencyFund
8. MK-CF-O-010 theMonth</t>
        </is>
      </c>
      <c r="F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G16" s="3" t="inlineStr">
        <is>
          <t>SWEPT FROM THE CODE 2026-08-26</t>
        </is>
      </c>
      <c r="H16" s="3" t="inlineStr">
        <is>
          <t>ACTIVE</t>
        </is>
      </c>
      <c r="I16" s="3" t="inlineStr">
        <is>
          <t>2026-10-02</t>
        </is>
      </c>
      <c r="J16" s="3" t="inlineStr">
        <is>
          <t>reach generated from the code each build</t>
        </is>
      </c>
    </row>
    <row r="17" ht="60" customHeight="1">
      <c r="A17" s="3" t="inlineStr">
        <is>
          <t>MK-XS-I-016</t>
        </is>
      </c>
      <c r="B17" s="3" t="inlineStr">
        <is>
          <t>debt minimum payment</t>
        </is>
      </c>
      <c r="C17" s="3" t="inlineStr">
        <is>
          <t>typed</t>
        </is>
      </c>
      <c r="D17" s="3" t="inlineStr">
        <is>
          <t>minimum_monthly_payment</t>
        </is>
      </c>
      <c r="E17" s="3" t="inlineStr">
        <is>
          <t>1. MK-CF-F-157 debtPaymentsByDebt
2. MK-CF-F-038 debtsFromOnboarding
3. MK-NW-F-094 ledgerGroups
4. MK-CF-F-025 minimumDebtService
5. MK-CF-F-034 payoffPlan
6. MK-CF-F-023 requiredPayment
7. MK-CF-O-018 theDebts
8. MK-NW-O-004 theEmergencyFund
9. MK-CF-O-010 theMonth</t>
        </is>
      </c>
      <c r="F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G17" s="3" t="inlineStr">
        <is>
          <t>SWEPT FROM THE CODE 2026-08-26</t>
        </is>
      </c>
      <c r="H17" s="3" t="inlineStr">
        <is>
          <t>ACTIVE</t>
        </is>
      </c>
      <c r="I17" s="3" t="inlineStr">
        <is>
          <t>2026-10-02</t>
        </is>
      </c>
      <c r="J17" s="3" t="inlineStr">
        <is>
          <t>reach generated from the code each build</t>
        </is>
      </c>
    </row>
    <row r="18" ht="60" customHeight="1">
      <c r="A18" s="3" t="inlineStr">
        <is>
          <t>MK-XS-I-017</t>
        </is>
      </c>
      <c r="B18" s="3" t="inlineStr">
        <is>
          <t>birth year</t>
        </is>
      </c>
      <c r="C18" s="3" t="inlineStr">
        <is>
          <t>typed at setup</t>
        </is>
      </c>
      <c r="D18" s="3" t="inlineStr">
        <is>
          <t>birthYear · birth_year</t>
        </is>
      </c>
      <c r="E18" s="3" t="inlineStr">
        <is>
          <t>1. MK-CF-F-197 ageAttainedInYear
2. MK-XS-F-179 ageToday
3. MK-PL-F-064 claimWindow
4. MK-XS-F-017 currentAge
5. MK-PL-F-063 fraLabel
6. MK-PL-F-057 fullRetirementAge
7. MK-CF-O-017 futurePaycheck
8. MK-NW-F-041 monthlyContributionsFromOnboarding
9. MK-PL-F-027 nextDecision
10. MK-CF-F-089 over65CountOf
11. MK-PL-F-026 planDoor
12. MK-XS-F-026 profileFromOnboarding
13. MK-PL-F-006 rmdDivisor
14. MK-ST-F-024 rmdStartAge
… and 6 more — the full list is on functions_from_code</t>
        </is>
      </c>
      <c r="F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G18" s="3" t="inlineStr">
        <is>
          <t>SWEPT FROM THE CODE 2026-08-26</t>
        </is>
      </c>
      <c r="H18" s="3" t="inlineStr">
        <is>
          <t>ACTIVE</t>
        </is>
      </c>
      <c r="I18" s="3" t="inlineStr">
        <is>
          <t>2026-10-07</t>
        </is>
      </c>
      <c r="J18" s="3" t="inlineStr">
        <is>
          <t>reach generated from the code each build</t>
        </is>
      </c>
    </row>
    <row r="19" ht="60" customHeight="1">
      <c r="A19" s="3" t="inlineStr">
        <is>
          <t>MK-XS-I-018</t>
        </is>
      </c>
      <c r="B19" s="3" t="inlineStr">
        <is>
          <t>retirement age</t>
        </is>
      </c>
      <c r="C19" s="3" t="inlineStr">
        <is>
          <t>typed, or the dial on Plan</t>
        </is>
      </c>
      <c r="D19" s="3" t="inlineStr">
        <is>
          <t>retireAge · retire_age · targetRetirementAge</t>
        </is>
      </c>
      <c r="E19" s="3" t="inlineStr">
        <is>
          <t>1. MK-NW-F-101 PLAN
2. MK-XS-F-031 buildSnapshot
3. MK-PL-F-048 capitalNeeded
4. MK-CF-O-017 futurePaycheck
5. MK-PL-F-043 howTheGapCloses
6. MK-PL-F-046 leverDeltas
7. MK-PL-F-030 onCourseSentence
8. MK-PL-F-044 planTarget
9. MK-XS-F-026 profileFromOnboarding
10. MK-PL-F-055 projectNestEgg
11. MK-XS-F-174 recomputeBalances
12. MK-PL-F-035 retireAgeWithContribution
13. MK-XS-F-019 retirementHorizonYears
14. MK-PL-F-049 retirementSpendMonthly
… and 10 more — the full list is on functions_from_code</t>
        </is>
      </c>
      <c r="F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19" s="3" t="inlineStr">
        <is>
          <t>SWEPT FROM THE CODE 2026-08-26</t>
        </is>
      </c>
      <c r="H19" s="3" t="inlineStr">
        <is>
          <t>ACTIVE</t>
        </is>
      </c>
      <c r="I19" s="3" t="inlineStr">
        <is>
          <t>2026-10-03</t>
        </is>
      </c>
      <c r="J19" s="3" t="inlineStr">
        <is>
          <t>reach generated from the code each build</t>
        </is>
      </c>
    </row>
    <row r="20" ht="60" customHeight="1">
      <c r="A20" s="3" t="inlineStr">
        <is>
          <t>MK-XS-I-019</t>
        </is>
      </c>
      <c r="B20" s="3" t="inlineStr">
        <is>
          <t>monthly expenses in retirement</t>
        </is>
      </c>
      <c r="C20" s="3" t="inlineStr">
        <is>
          <t>typed</t>
        </is>
      </c>
      <c r="D20" s="3" t="inlineStr">
        <is>
          <t>expectedRetirementSpending · spendingChangeLater · travelBudget · medicalBudget</t>
        </is>
      </c>
      <c r="E20" s="3" t="inlineStr">
        <is>
          <t>MK-PL-F-049 retirementSpendMonthly</t>
        </is>
      </c>
      <c r="F20" s="3" t="inlineStr">
        <is>
          <t>MK-CF-M-055 · MK-CF-M-070 · MK-PL-M-008 · MK-PL-M-009 · MK-PL-M-011 · MK-PL-M-029 · MK-PL-M-034 · MK-XS-M-002</t>
        </is>
      </c>
      <c r="G20" s="3" t="inlineStr">
        <is>
          <t>SWEPT FROM THE CODE 2026-08-26</t>
        </is>
      </c>
      <c r="H20" s="3" t="inlineStr">
        <is>
          <t>ACTIVE</t>
        </is>
      </c>
      <c r="I20" s="3" t="inlineStr">
        <is>
          <t>2026-08-27</t>
        </is>
      </c>
      <c r="J20" s="3" t="inlineStr">
        <is>
          <t>reach generated from the code each build</t>
        </is>
      </c>
    </row>
    <row r="21" ht="60" customHeight="1">
      <c r="A21" s="3" t="inlineStr">
        <is>
          <t>MK-XS-I-020</t>
        </is>
      </c>
      <c r="B21" s="3" t="inlineStr">
        <is>
          <t>Social Security monthly amount</t>
        </is>
      </c>
      <c r="C21" s="3" t="inlineStr">
        <is>
          <t>typed from the statement, or a worked example</t>
        </is>
      </c>
      <c r="D21" s="3" t="inlineStr">
        <is>
          <t>socialSecurityMonthly · ssMonthly · statementMonthly</t>
        </is>
      </c>
      <c r="E21" s="3" t="inlineStr">
        <is>
          <t>1. MK-CF-F-072 currentRetirementIncomeMonthly
2. MK-CF-F-076 guaranteedOutsideStreams
3. MK-XS-F-174 recomputeBalances
4. MK-CF-F-075 retirementIncomeMonthly
5. MK-PL-F-060 ssBenefitAt
6. MK-PL-F-061 ssBenefitAtClaimAge
7. MK-PL-F-062 ssLifetimeTotal
8. MK-XS-F-175 uid
9. MK-PL-F-067 willItLastInputs</t>
        </is>
      </c>
      <c r="F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G21" s="3" t="inlineStr">
        <is>
          <t>SWEPT FROM THE CODE 2026-08-26</t>
        </is>
      </c>
      <c r="H21" s="3" t="inlineStr">
        <is>
          <t>ACTIVE</t>
        </is>
      </c>
      <c r="I21" s="3" t="inlineStr">
        <is>
          <t>2026-09-12</t>
        </is>
      </c>
      <c r="J21" s="3" t="inlineStr">
        <is>
          <t>reach generated from the code each build</t>
        </is>
      </c>
    </row>
    <row r="22" ht="60" customHeight="1">
      <c r="A22" s="3" t="inlineStr">
        <is>
          <t>MK-XS-I-021</t>
        </is>
      </c>
      <c r="B22" s="3" t="inlineStr">
        <is>
          <t>Social Security claim age</t>
        </is>
      </c>
      <c r="C22" s="3" t="inlineStr">
        <is>
          <t>typed</t>
        </is>
      </c>
      <c r="D22" s="3" t="inlineStr">
        <is>
          <t>claimAge · ssClaimAge</t>
        </is>
      </c>
      <c r="E22" s="3" t="inlineStr">
        <is>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is>
      </c>
      <c r="F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G22" s="3" t="inlineStr">
        <is>
          <t>SWEPT FROM THE CODE 2026-08-26</t>
        </is>
      </c>
      <c r="H22" s="3" t="inlineStr">
        <is>
          <t>ACTIVE</t>
        </is>
      </c>
      <c r="I22" s="3" t="inlineStr">
        <is>
          <t>2026-09-12</t>
        </is>
      </c>
      <c r="J22" s="3" t="inlineStr">
        <is>
          <t>reach generated from the code each build</t>
        </is>
      </c>
    </row>
    <row r="23" ht="60" customHeight="1">
      <c r="A23" s="3" t="inlineStr">
        <is>
          <t>MK-XS-I-022</t>
        </is>
      </c>
      <c r="B23" s="3" t="inlineStr">
        <is>
          <t>pension monthly amount</t>
        </is>
      </c>
      <c r="C23" s="3" t="inlineStr">
        <is>
          <t>typed</t>
        </is>
      </c>
      <c r="D23" s="3" t="inlineStr">
        <is>
          <t>pensionMonthly · ri_pension · pension</t>
        </is>
      </c>
      <c r="E23" s="3" t="inlineStr">
        <is>
          <t>1. MK-CF-F-210 annualOfSource
2. MK-CF-F-072 currentRetirementIncomeMonthly
3. MK-CF-O-017 futurePaycheck
4. MK-CF-F-076 guaranteedOutsideStreams
5. MK-CF-O-016 incomeSources
6. MK-CF-O-004 incomeSummary
7. MK-CF-F-075 retirementIncomeMonthly
8. MK-PL-F-049 retirementSpendMonthly
9. MK-PL-F-031 taxOrganizer</t>
        </is>
      </c>
      <c r="F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23" s="3" t="inlineStr">
        <is>
          <t>SWEPT FROM THE CODE 2026-08-26</t>
        </is>
      </c>
      <c r="H23" s="3" t="inlineStr">
        <is>
          <t>ACTIVE</t>
        </is>
      </c>
      <c r="I23" s="3" t="inlineStr">
        <is>
          <t>2026-10-04</t>
        </is>
      </c>
      <c r="J23" s="3" t="inlineStr">
        <is>
          <t>reach generated from the code each build</t>
        </is>
      </c>
    </row>
    <row r="24" ht="60" customHeight="1">
      <c r="A24" s="3" t="inlineStr">
        <is>
          <t>MK-XS-I-023</t>
        </is>
      </c>
      <c r="B24" s="3" t="inlineStr">
        <is>
          <t>salary and other income</t>
        </is>
      </c>
      <c r="C24" s="3" t="inlineStr">
        <is>
          <t>typed at setup</t>
        </is>
      </c>
      <c r="D24" s="3" t="inlineStr">
        <is>
          <t>salaryByMonth · bonusAnnual · tipsMonthly · signingOnetime · salaryAnnual</t>
        </is>
      </c>
      <c r="E24" s="3" t="inlineStr">
        <is>
          <t>1. MK-CF-F-201 INCOME
2. MK-CF-F-210 annualOfSource
3. MK-XS-F-004 buildDatedGrid
4. MK-CF-F-020 cashflowYear
5. MK-CF-F-172 hasWage
6. MK-CF-F-079 incomeFromOnboarding
7. MK-CF-F-092 incomeMonthlyGrid
8. MK-CF-O-016 incomeSources
9. MK-CF-O-004 incomeSummary
10. MK-CF-F-181 rateInForce
11. MK-CF-F-082 salaryAnnual
12. MK-CF-F-165 salaryMonths
13. MK-PL-F-031 taxOrganizer
14. MK-CF-F-084 taxableAnnual
… and 5 more — the full list is on functions_from_code</t>
        </is>
      </c>
      <c r="F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24" s="3" t="inlineStr">
        <is>
          <t>SWEPT FROM THE CODE 2026-08-26</t>
        </is>
      </c>
      <c r="H24" s="3" t="inlineStr">
        <is>
          <t>ACTIVE</t>
        </is>
      </c>
      <c r="I24" s="3" t="inlineStr">
        <is>
          <t>2026-10-04</t>
        </is>
      </c>
      <c r="J24" s="3" t="inlineStr">
        <is>
          <t>reach generated from the code each build</t>
        </is>
      </c>
    </row>
    <row r="25" ht="60" customHeight="1">
      <c r="A25" s="3" t="inlineStr">
        <is>
          <t>MK-XS-I-024</t>
        </is>
      </c>
      <c r="B25" s="3" t="inlineStr">
        <is>
          <t>logged expenses</t>
        </is>
      </c>
      <c r="C25" s="3" t="inlineStr">
        <is>
          <t>typed, or read from a download</t>
        </is>
      </c>
      <c r="D25" s="3" t="inlineStr">
        <is>
          <t>loggedSpend · expenses · txns · transactions</t>
        </is>
      </c>
      <c r="E25" s="3" t="inlineStr">
        <is>
          <t>1. MK-NW-F-075 ACC
2. MK-NW-F-079 EF
3. MK-NW-F-080 HOLD
4. MK-CF-F-201 INCOME
5. MK-NW-F-085 PERF_ONE
6. MK-NW-F-101 PLAN
7. MK-NW-F-100 TREND
8. MK-CF-F-005 actualMonthFlow
9. MK-CF-F-151 actualSpending
10. MK-XS-F-057 analyzeExpenses
11. MK-CF-F-014 budgetVsActual
12. MK-XS-F-004 buildDatedGrid
13. MK-CF-F-107 buildPaycheckYear
14. MK-NW-F-084 categoryEarnings
… and 42 more — the full list is on functions_from_code</t>
        </is>
      </c>
      <c r="F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MK-NW-M-050 · MK-NW-M-051 · MK-NW-M-052 · MK-NW-M-059 · MK-NW-M-060 · MK-NW-M-061 · MK-NW-M-062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G25" s="3" t="inlineStr">
        <is>
          <t>SWEPT FROM THE CODE 2026-08-26</t>
        </is>
      </c>
      <c r="H25" s="3" t="inlineStr">
        <is>
          <t>ACTIVE</t>
        </is>
      </c>
      <c r="I25" s="3" t="inlineStr">
        <is>
          <t>2026-10-10</t>
        </is>
      </c>
      <c r="J25" s="3" t="inlineStr">
        <is>
          <t>reach generated from the code each build</t>
        </is>
      </c>
    </row>
    <row r="26" ht="60" customHeight="1">
      <c r="A26" s="3" t="inlineStr">
        <is>
          <t>MK-XS-I-025</t>
        </is>
      </c>
      <c r="B26" s="3" t="inlineStr">
        <is>
          <t>typical monthly essentials</t>
        </is>
      </c>
      <c r="C26" s="3" t="inlineStr">
        <is>
          <t>typed</t>
        </is>
      </c>
      <c r="D26" s="3" t="inlineStr">
        <is>
          <t>monthlyEssentials · essentials</t>
        </is>
      </c>
      <c r="E26" s="3" t="inlineStr">
        <is>
          <t>1. MK-NW-F-079 EF
2. MK-CF-F-010 emergencyTest
3. MK-CF-F-009 monthlyEssentials
4. MK-NW-O-004 theEmergencyFund</t>
        </is>
      </c>
      <c r="F26" s="3" t="inlineStr">
        <is>
          <t>MK-MN-M-024 · MK-MN-M-025 · MK-NW-M-046 · MK-NW-M-047 · MK-NW-M-048 · MK-NW-M-064</t>
        </is>
      </c>
      <c r="G26" s="3" t="inlineStr">
        <is>
          <t>SWEPT FROM THE CODE 2026-08-26</t>
        </is>
      </c>
      <c r="H26" s="3" t="inlineStr">
        <is>
          <t>ACTIVE</t>
        </is>
      </c>
      <c r="I26" s="3" t="inlineStr">
        <is>
          <t>2026-09-28</t>
        </is>
      </c>
      <c r="J26" s="3" t="inlineStr">
        <is>
          <t>reach generated from the code each build</t>
        </is>
      </c>
    </row>
    <row r="27" ht="60" customHeight="1">
      <c r="A27" s="3" t="inlineStr">
        <is>
          <t>MK-XS-I-026</t>
        </is>
      </c>
      <c r="B27" s="3" t="inlineStr">
        <is>
          <t>big costs (amount and year)</t>
        </is>
      </c>
      <c r="C27" s="3" t="inlineStr">
        <is>
          <t>typed</t>
        </is>
      </c>
      <c r="D27" s="3" t="inlineStr">
        <is>
          <t>bigCosts · oneOffs</t>
        </is>
      </c>
      <c r="E27" s="3" t="inlineStr">
        <is>
          <t>1. MK-XS-F-004 buildDatedGrid
2. MK-CF-O-017 futurePaycheck
3. MK-XS-F-174 recomputeBalances
4. MK-XS-F-175 uid
5. MK-PL-F-065 volOf
6. MK-PL-F-067 willItLastInputs</t>
        </is>
      </c>
      <c r="F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G27" s="3" t="inlineStr">
        <is>
          <t>SWEPT FROM THE CODE 2026-08-26</t>
        </is>
      </c>
      <c r="H27" s="3" t="inlineStr">
        <is>
          <t>ACTIVE</t>
        </is>
      </c>
      <c r="I27" s="3" t="inlineStr">
        <is>
          <t>2026-10-03</t>
        </is>
      </c>
      <c r="J27" s="3" t="inlineStr">
        <is>
          <t>reach generated from the code each build</t>
        </is>
      </c>
    </row>
    <row r="28" ht="60" customHeight="1">
      <c r="A28" s="3" t="inlineStr">
        <is>
          <t>MK-XS-I-027</t>
        </is>
      </c>
      <c r="B28" s="3" t="inlineStr">
        <is>
          <t>goals (target, saved, date)</t>
        </is>
      </c>
      <c r="C28" s="3" t="inlineStr">
        <is>
          <t>typed</t>
        </is>
      </c>
      <c r="D28" s="3" t="inlineStr">
        <is>
          <t>goals · targetDate · g.saved · g.target</t>
        </is>
      </c>
      <c r="E28" s="3" t="inlineStr">
        <is>
          <t>1. MK-PL-F-011 buildGoalsState
2. MK-XS-F-031 buildSnapshot
3. MK-PL-F-019 goalMonthsRemaining
4. MK-PL-F-022 goalProgressPct
5. MK-PL-F-023 goalStatus
6. MK-PL-F-013 goalsFromOnboarding
7. MK-CF-F-204 line
8. MK-HM-F-006 money0
9. MK-PL-F-021 monthsToGoal
10. MK-PL-F-018 monthsUntil
11. MK-XS-F-001 planCompleteness
12. MK-XS-F-174 recomputeBalances
13. MK-PL-F-020 requiredMonthly
14. MK-PL-F-017 sinkingFund
… and 2 more — the full list is on functions_from_code</t>
        </is>
      </c>
      <c r="F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28" s="3" t="inlineStr">
        <is>
          <t>SWEPT FROM THE CODE 2026-08-26</t>
        </is>
      </c>
      <c r="H28" s="3" t="inlineStr">
        <is>
          <t>ACTIVE</t>
        </is>
      </c>
      <c r="I28" s="3" t="inlineStr">
        <is>
          <t>2026-10-02</t>
        </is>
      </c>
      <c r="J28" s="3" t="inlineStr">
        <is>
          <t>reach generated from the code each build</t>
        </is>
      </c>
    </row>
    <row r="29" ht="60" customHeight="1">
      <c r="A29" s="3" t="inlineStr">
        <is>
          <t>MK-XS-I-028</t>
        </is>
      </c>
      <c r="B29" s="3" t="inlineStr">
        <is>
          <t>assumed return</t>
        </is>
      </c>
      <c r="C29" s="3" t="inlineStr">
        <is>
          <t>built in, and adjustable on the cockpit</t>
        </is>
      </c>
      <c r="D29" s="3" t="inlineStr">
        <is>
          <t>mean_return · target_return · assumedReturn · meanReturn</t>
        </is>
      </c>
      <c r="E29" s="3" t="inlineStr">
        <is>
          <t>1. MK-NW-F-082 NW
2. MK-NW-F-101 PLAN
3. MK-NW-F-040 assetsFromOnboarding
4. MK-NW-F-039 buildAssetsState
5. MK-NW-F-052 buildItemizedAccounts
6. MK-PL-F-053 buildRetirementState
7. MK-XS-F-031 buildSnapshot
8. MK-CF-O-017 futurePaycheck
9. MK-XS-F-102 ingestSync
10. MK-NW-F-073 itemising
11. MK-NW-F-094 ledgerGroups
12. MK-NW-F-132 notClassifiedWords
13. MK-PL-F-055 projectNestEgg
14. MK-PL-F-049 retirementSpendMonthly
… and 5 more — the full list is on functions_from_code</t>
        </is>
      </c>
      <c r="F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9" s="3" t="inlineStr">
        <is>
          <t>SWEPT FROM THE CODE 2026-08-26</t>
        </is>
      </c>
      <c r="H29" s="3" t="inlineStr">
        <is>
          <t>ACTIVE</t>
        </is>
      </c>
      <c r="I29" s="3" t="inlineStr">
        <is>
          <t>2026-10-10</t>
        </is>
      </c>
      <c r="J29" s="3" t="inlineStr">
        <is>
          <t>reach generated from the code each build</t>
        </is>
      </c>
    </row>
    <row r="30" ht="60" customHeight="1">
      <c r="A30" s="3" t="inlineStr">
        <is>
          <t>MK-XS-I-029</t>
        </is>
      </c>
      <c r="B30" s="3"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s="3" t="inlineStr">
        <is>
          <t>inflation · inflationRate</t>
        </is>
      </c>
      <c r="E30" s="3" t="inlineStr">
        <is>
          <t>1. MK-NW-F-101 PLAN
2. MK-NW-F-100 TREND
3. MK-XS-F-057 analyzeExpenses
4. MK-PL-F-053 buildRetirementState
5. MK-XS-F-031 buildSnapshot
6. MK-PL-F-003 depletionAge
7. MK-XS-F-056 fetchEconomicData
8. MK-CF-O-017 futurePaycheck
9. MK-PL-F-055 projectNestEgg
10. MK-XS-F-174 recomputeBalances
11. MK-PL-F-049 retirementSpendMonthly
12. MK-PL-F-050 simulate
13. MK-CF-F-106 solveSafeDraw
14. MK-XS-F-175 uid
… and 3 more — the full list is on functions_from_code</t>
        </is>
      </c>
      <c r="F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30" s="3" t="inlineStr">
        <is>
          <t>SWEPT FROM THE CODE 2026-08-26</t>
        </is>
      </c>
      <c r="H30" s="3" t="inlineStr">
        <is>
          <t>ACTIVE</t>
        </is>
      </c>
      <c r="I30" s="3" t="inlineStr">
        <is>
          <t>2026-10-03</t>
        </is>
      </c>
      <c r="J30" s="6" t="inlineStr">
        <is>
          <t>TESTED, NOT VERIFIED (G30) · reach generated from the code each build</t>
        </is>
      </c>
    </row>
    <row r="31" ht="60" customHeight="1">
      <c r="A31" s="3" t="inlineStr">
        <is>
          <t>MK-XS-I-030</t>
        </is>
      </c>
      <c r="B31" s="3" t="inlineStr">
        <is>
          <t>tax filing status and age</t>
        </is>
      </c>
      <c r="C31" s="3" t="inlineStr">
        <is>
          <t>typed at setup</t>
        </is>
      </c>
      <c r="D31" s="3" t="inlineStr">
        <is>
          <t>filingStatus · over65 · FilingStatus</t>
        </is>
      </c>
      <c r="E31" s="3" t="inlineStr">
        <is>
          <t>1. MK-CF-O-011 PAY
2. MK-CF-O-012 PAY_ESTIMATED
3. MK-CF-O-013 PAY_LANDS_TYPED
4. MK-CF-O-001 basePay
5. MK-CF-F-099 deductionFor
6. MK-CF-F-171 earnerPay
7. MK-CF-F-102 effectiveRateOnGrossFor
8. MK-CF-F-048 effectiveTaxRate
9. MK-CF-F-085 filingStatusOf
10. MK-CF-F-097 grossFromNet
11. MK-CF-O-004 incomeSummary
12. MK-CF-F-104 ltcgRateFor
13. MK-CF-F-103 marginalBracketFor
14. MK-CF-F-089 over65CountOf
… and 10 more — the full list is on functions_from_code</t>
        </is>
      </c>
      <c r="F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31" s="3" t="inlineStr">
        <is>
          <t>SWEPT FROM THE CODE 2026-08-26</t>
        </is>
      </c>
      <c r="H31" s="3" t="inlineStr">
        <is>
          <t>ACTIVE</t>
        </is>
      </c>
      <c r="I31" s="3" t="inlineStr">
        <is>
          <t>2026-10-04</t>
        </is>
      </c>
      <c r="J31" s="3" t="inlineStr">
        <is>
          <t>reach generated from the code each build</t>
        </is>
      </c>
    </row>
    <row r="32" ht="60" customHeight="1">
      <c r="A32" s="3" t="inlineStr">
        <is>
          <t>MK-XS-I-031</t>
        </is>
      </c>
      <c r="B32" s="3" t="inlineStr">
        <is>
          <t>daily and monthly snapshots</t>
        </is>
      </c>
      <c r="C32" s="3" t="inlineStr">
        <is>
          <t>the app itself, once a day</t>
        </is>
      </c>
      <c r="D32" s="3" t="inlineStr">
        <is>
          <t>nwDaily · readHistory · SnapshotDay · recordSnapshotDay</t>
        </is>
      </c>
      <c r="E32" s="3" t="inlineStr">
        <is>
          <t>1. MK-ST-F-083 accountValuesOn
2. MK-ST-F-028 buildDayFromAccounts
3. MK-ST-F-035 covers
4. MK-ST-F-084 fillBetweenObservations
5. MK-ST-F-037 pendingUpload
6. MK-ST-F-029 prune
7. MK-XS-F-009 readHistory
8. MK-ST-F-073 rebuildDays
9. MK-XS-F-174 recomputeBalances
10. MK-ST-F-036 reconcile
11. MK-ST-F-030 record
12. MK-XS-F-005 trendPoints
13. MK-XS-F-175 uid
14. MK-ST-F-072 undo
… and 2 more — the full list is on functions_from_code</t>
        </is>
      </c>
      <c r="F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MK-NW-M-050 · MK-NW-M-051 · MK-NW-M-052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G32" s="3" t="inlineStr">
        <is>
          <t>SWEPT FROM THE CODE 2026-08-26</t>
        </is>
      </c>
      <c r="H32" s="3" t="inlineStr">
        <is>
          <t>ACTIVE</t>
        </is>
      </c>
      <c r="I32" s="3" t="inlineStr">
        <is>
          <t>2026-10-04</t>
        </is>
      </c>
      <c r="J32" s="3" t="inlineStr">
        <is>
          <t>reach generated from the code each build</t>
        </is>
      </c>
    </row>
    <row r="33" ht="60" customHeight="1">
      <c r="A33" s="3" t="inlineStr">
        <is>
          <t>MK-XS-I-032</t>
        </is>
      </c>
      <c r="B33" s="3" t="inlineStr">
        <is>
          <t>expenses categories the person set up</t>
        </is>
      </c>
      <c r="C33" s="3" t="inlineStr">
        <is>
          <t>Typed by the person when they set up their budget</t>
        </is>
      </c>
      <c r="D33" s="3" t="inlineStr">
        <is>
          <t>spendCats · b_fixed · b_nonmonthly · b_flexible</t>
        </is>
      </c>
      <c r="E33" s="3" t="inlineStr">
        <is>
          <t>1. MK-CF-F-014 budgetVsActual
2. MK-XS-F-004 buildDatedGrid
3. MK-XS-F-030 effectiveAnnualContribution
4. MK-CF-F-009 monthlyEssentials
5. MK-CF-F-007 nonMonthlyBasis
6. MK-CF-F-004 spendBuckets
7. MK-CF-F-008 spendByMonth
8. MK-CF-O-020 theBudgetCounted
9. MK-NW-O-004 theEmergencyFund
10. MK-CF-F-019 upcomingBills
11. MK-CF-O-008 whatsComing</t>
        </is>
      </c>
      <c r="F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33" s="3" t="inlineStr">
        <is>
          <t>SWEPT FROM THE CODE 2026-08-26</t>
        </is>
      </c>
      <c r="H33" s="3" t="inlineStr">
        <is>
          <t>ACTIVE</t>
        </is>
      </c>
      <c r="I33" s="3" t="inlineStr">
        <is>
          <t>2026-10-05</t>
        </is>
      </c>
      <c r="J33" s="3" t="inlineStr">
        <is>
          <t>reach generated from the code each build</t>
        </is>
      </c>
    </row>
    <row r="34" ht="45" customHeight="1">
      <c r="A34" s="3" t="inlineStr">
        <is>
          <t>MK-XS-I-033</t>
        </is>
      </c>
      <c r="B34" s="3" t="inlineStr">
        <is>
          <t>the date a hand-typed value was set</t>
        </is>
      </c>
      <c r="C34" s="3" t="inlineStr">
        <is>
          <t>Typed by the person, stamped when they save it</t>
        </is>
      </c>
      <c r="D34" s="3" t="inlineStr">
        <is>
          <t>value_as_of</t>
        </is>
      </c>
      <c r="E34" s="3" t="inlineStr">
        <is>
          <t>1. MK-XS-F-002 dataGaps
2. MK-XS-F-102 ingestSync
3. MK-NW-F-003 valueFreshness</t>
        </is>
      </c>
      <c r="F34" s="3" t="inlineStr">
        <is>
          <t>NONE ON RECORD — the functions above serve no figure that names them. See S21.</t>
        </is>
      </c>
      <c r="G34" s="3" t="inlineStr">
        <is>
          <t>SWEPT FROM THE CODE 2026-08-26</t>
        </is>
      </c>
      <c r="H34" s="3" t="inlineStr">
        <is>
          <t>ACTIVE</t>
        </is>
      </c>
      <c r="I34" s="3" t="inlineStr">
        <is>
          <t>2026-08-27</t>
        </is>
      </c>
      <c r="J34" s="3" t="inlineStr">
        <is>
          <t>reach generated from the code each build</t>
        </is>
      </c>
    </row>
    <row r="35" ht="60" customHeight="1">
      <c r="A35" s="3" t="inlineStr">
        <is>
          <t>MK-XS-I-034</t>
        </is>
      </c>
      <c r="B35" s="3" t="inlineStr">
        <is>
          <t>option positions — contracts, strike, expiry, put or call</t>
        </is>
      </c>
      <c r="C35" s="3" t="inlineStr">
        <is>
          <t>An institution download, a connection, or typed</t>
        </is>
      </c>
      <c r="D35" s="3" t="inlineStr">
        <is>
          <t>option_holdings · contracts · strike · expiry</t>
        </is>
      </c>
      <c r="E35" s="3" t="inlineStr">
        <is>
          <t>1. MK-NW-F-027 accountClassBreakdown
2. MK-NW-F-113 altPartsOf
3. MK-NW-F-028 classPortionLabel
4. MK-CF-F-062 equityRowValue
5. MK-XS-F-102 ingestSync
6. MK-XS-F-106 mapOptionHolding
7. MK-XS-F-146 prettyExpiry
8. MK-PF-F-032 quantityUnit</t>
        </is>
      </c>
      <c r="F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G35" s="3" t="inlineStr">
        <is>
          <t>SWEPT FROM THE CODE 2026-08-26</t>
        </is>
      </c>
      <c r="H35" s="3" t="inlineStr">
        <is>
          <t>ACTIVE</t>
        </is>
      </c>
      <c r="I35" s="3" t="inlineStr">
        <is>
          <t>2026-10-07</t>
        </is>
      </c>
      <c r="J35" s="6" t="inlineStr">
        <is>
          <t>TESTED, NOT VERIFIED (Q06) · reach generated from the code each build</t>
        </is>
      </c>
    </row>
    <row r="36" ht="60" customHeight="1">
      <c r="A36" s="3" t="inlineStr">
        <is>
          <t>MK-XS-I-035</t>
        </is>
      </c>
      <c r="B36" s="3" t="inlineStr">
        <is>
          <t>annuity income</t>
        </is>
      </c>
      <c r="C36" s="3" t="inlineStr">
        <is>
          <t>Typed by the person</t>
        </is>
      </c>
      <c r="D36" s="3" t="inlineStr">
        <is>
          <t>annuityMonthly · ri_annuity · annuity</t>
        </is>
      </c>
      <c r="E36" s="3" t="inlineStr">
        <is>
          <t>1. MK-CF-F-210 annualOfSource
2. MK-NW-F-035 blendedVolatility
3. MK-CF-F-072 currentRetirementIncomeMonthly
4. MK-CF-O-017 futurePaycheck
5. MK-CF-F-076 guaranteedOutsideStreams
6. MK-CF-F-075 retirementIncomeMonthly
7. MK-PL-F-049 retirementSpendMonthly</t>
        </is>
      </c>
      <c r="F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36" s="3" t="inlineStr">
        <is>
          <t>SWEPT FROM THE CODE 2026-08-26</t>
        </is>
      </c>
      <c r="H36" s="3" t="inlineStr">
        <is>
          <t>ACTIVE</t>
        </is>
      </c>
      <c r="I36" s="3" t="inlineStr">
        <is>
          <t>2026-10-03</t>
        </is>
      </c>
      <c r="J36" s="3" t="inlineStr">
        <is>
          <t>reach generated from the code each build</t>
        </is>
      </c>
    </row>
    <row r="37" ht="60" customHeight="1">
      <c r="A37" s="3" t="inlineStr">
        <is>
          <t>MK-XS-I-036</t>
        </is>
      </c>
      <c r="B37" s="3" t="inlineStr">
        <is>
          <t>other guaranteed income</t>
        </is>
      </c>
      <c r="C37" s="3" t="inlineStr">
        <is>
          <t>Typed by the person</t>
        </is>
      </c>
      <c r="D37" s="3" t="inlineStr">
        <is>
          <t>otherGuaranteed · guaranteed_streams · guaranteedOutside</t>
        </is>
      </c>
      <c r="E37" s="3"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G37" s="3" t="inlineStr">
        <is>
          <t>SWEPT FROM THE CODE 2026-08-26</t>
        </is>
      </c>
      <c r="H37" s="3" t="inlineStr">
        <is>
          <t>ACTIVE</t>
        </is>
      </c>
      <c r="I37" s="3" t="inlineStr">
        <is>
          <t>2026-09-09</t>
        </is>
      </c>
      <c r="J37" s="3" t="inlineStr">
        <is>
          <t>reach generated from the code each build</t>
        </is>
      </c>
    </row>
    <row r="38" ht="60" customHeight="1">
      <c r="A38" s="3" t="inlineStr">
        <is>
          <t>MK-XS-I-037</t>
        </is>
      </c>
      <c r="B38" s="3" t="inlineStr">
        <is>
          <t>required-withdrawal income stream (ri_rmd)</t>
        </is>
      </c>
      <c r="C38" s="3" t="inlineStr">
        <is>
          <t>Worked out from balances, not typed</t>
        </is>
      </c>
      <c r="D38" s="3" t="inlineStr">
        <is>
          <t>ri_rmd</t>
        </is>
      </c>
      <c r="E38" s="3" t="inlineStr">
        <is>
          <t>MK-CF-F-075 retirementIncomeMonthly</t>
        </is>
      </c>
      <c r="F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8" s="3" t="inlineStr">
        <is>
          <t>SWEPT FROM THE CODE 2026-08-26</t>
        </is>
      </c>
      <c r="H38" s="3" t="inlineStr">
        <is>
          <t>ACTIVE</t>
        </is>
      </c>
      <c r="I38" s="3" t="inlineStr">
        <is>
          <t>2026-09-09</t>
        </is>
      </c>
      <c r="J38" s="3" t="inlineStr">
        <is>
          <t>reach generated from the code each build</t>
        </is>
      </c>
    </row>
    <row r="39" ht="60" customHeight="1">
      <c r="A39" s="3" t="inlineStr">
        <is>
          <t>MK-XS-I-038</t>
        </is>
      </c>
      <c r="B39" s="3" t="inlineStr">
        <is>
          <t>withdrawal income stream (ri_withdrawals)</t>
        </is>
      </c>
      <c r="C39" s="3" t="inlineStr">
        <is>
          <t>Worked out from the plan, not typed</t>
        </is>
      </c>
      <c r="D39" s="3" t="inlineStr">
        <is>
          <t>ri_withdrawals</t>
        </is>
      </c>
      <c r="E39" s="3" t="inlineStr">
        <is>
          <t>MK-CF-F-075 retirementIncomeMonthly</t>
        </is>
      </c>
      <c r="F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9" s="3" t="inlineStr">
        <is>
          <t>SWEPT FROM THE CODE 2026-08-26</t>
        </is>
      </c>
      <c r="H39" s="3" t="inlineStr">
        <is>
          <t>ACTIVE</t>
        </is>
      </c>
      <c r="I39" s="3" t="inlineStr">
        <is>
          <t>2026-09-09</t>
        </is>
      </c>
      <c r="J39" s="3" t="inlineStr">
        <is>
          <t>reach generated from the code each build</t>
        </is>
      </c>
    </row>
    <row r="40" ht="60" customHeight="1">
      <c r="A40" s="3" t="inlineStr">
        <is>
          <t>MK-XS-I-039</t>
        </is>
      </c>
      <c r="B40" s="3" t="inlineStr">
        <is>
          <t>how often each income arrives</t>
        </is>
      </c>
      <c r="C40" s="3" t="inlineStr">
        <is>
          <t>Typed by the person</t>
        </is>
      </c>
      <c r="D40" s="3" t="inlineStr">
        <is>
          <t>frequency · payment_frequency · cadence · salaryFreq · seFreq · otherFreq · _freqb · RI_CAD_DIV</t>
        </is>
      </c>
      <c r="E40" s="3" t="inlineStr">
        <is>
          <t>1. MK-CF-F-201 INCOME
2. MK-CF-F-044 annualNet
3. MK-CF-F-059 annualizedEnteredSalary
4. MK-XS-F-004 buildDatedGrid
5. MK-CF-F-020 cashflowYear
6. MK-CF-F-186 convertTakeHomeMode
7. MK-CF-F-072 currentRetirementIncomeMonthly
8. MK-CF-F-046 employerMatchAnnual
9. MK-CF-F-130 enteredMonthlyRaw
10. MK-CF-F-179 entryFromWage
11. MK-CF-F-071 extraIncome
12. MK-CF-F-076 guaranteedOutsideStreams
13. MK-CF-F-105 guaranteedRows
14. MK-CF-F-079 incomeFromOnboarding
… and 10 more — the full list is on functions_from_code</t>
        </is>
      </c>
      <c r="F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0" s="3" t="inlineStr">
        <is>
          <t>SWEPT FROM THE CODE 2026-08-26</t>
        </is>
      </c>
      <c r="H40" s="3" t="inlineStr">
        <is>
          <t>ACTIVE</t>
        </is>
      </c>
      <c r="I40" s="3" t="inlineStr">
        <is>
          <t>2026-10-04</t>
        </is>
      </c>
      <c r="J40" s="3" t="inlineStr">
        <is>
          <t>reach generated from the code each build</t>
        </is>
      </c>
    </row>
    <row r="41" ht="60" customHeight="1">
      <c r="A41" s="3" t="inlineStr">
        <is>
          <t>MK-XS-I-040</t>
        </is>
      </c>
      <c r="B41" s="3" t="inlineStr">
        <is>
          <t>whether a stream is already being received</t>
        </is>
      </c>
      <c r="C41" s="3" t="inlineStr">
        <is>
          <t>Typed by the person</t>
        </is>
      </c>
      <c r="D41" s="3" t="inlineStr">
        <is>
          <t>alreadyReceiving · income_sources · incomeSources</t>
        </is>
      </c>
      <c r="E41" s="3" t="inlineStr">
        <is>
          <t>1. MK-CF-F-207 SOURCE
2. MK-CF-F-072 currentRetirementIncomeMonthly
3. MK-CF-O-017 futurePaycheck
4. MK-CF-F-105 guaranteedRows
5. MK-CF-O-016 incomeSources
6. MK-CF-F-019 upcomingBills</t>
        </is>
      </c>
      <c r="F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1" s="3" t="inlineStr">
        <is>
          <t>SWEPT FROM THE CODE 2026-08-26</t>
        </is>
      </c>
      <c r="H41" s="3" t="inlineStr">
        <is>
          <t>ACTIVE</t>
        </is>
      </c>
      <c r="I41" s="3" t="inlineStr">
        <is>
          <t>2026-10-03</t>
        </is>
      </c>
      <c r="J41" s="3" t="inlineStr">
        <is>
          <t>reach generated from the code each build</t>
        </is>
      </c>
    </row>
    <row r="42" ht="60" customHeight="1">
      <c r="A42" s="3" t="inlineStr">
        <is>
          <t>MK-XS-I-041</t>
        </is>
      </c>
      <c r="B42" s="3" t="inlineStr">
        <is>
          <t>the payment the person chose to make on a debt</t>
        </is>
      </c>
      <c r="C42" s="3" t="inlineStr">
        <is>
          <t>Typed by the person, and it can exceed the minimum</t>
        </is>
      </c>
      <c r="D42" s="3" t="inlineStr">
        <is>
          <t>monthly_payment</t>
        </is>
      </c>
      <c r="E42" s="3" t="inlineStr">
        <is>
          <t>MK-CF-F-023 requiredPayment</t>
        </is>
      </c>
      <c r="F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G42" s="3" t="inlineStr">
        <is>
          <t>SWEPT FROM THE CODE 2026-08-26</t>
        </is>
      </c>
      <c r="H42" s="3" t="inlineStr">
        <is>
          <t>ACTIVE</t>
        </is>
      </c>
      <c r="I42" s="3" t="inlineStr">
        <is>
          <t>2026-08-27</t>
        </is>
      </c>
      <c r="J42" s="3" t="inlineStr">
        <is>
          <t>reach generated from the code each build</t>
        </is>
      </c>
    </row>
    <row r="43" ht="60" customHeight="1">
      <c r="A43" s="3" t="inlineStr">
        <is>
          <t>MK-XS-I-042</t>
        </is>
      </c>
      <c r="B43" s="3" t="inlineStr">
        <is>
          <t>how a stream is paid — monthly, yearly or one lump</t>
        </is>
      </c>
      <c r="C43" s="3" t="inlineStr">
        <is>
          <t>Typed by the person</t>
        </is>
      </c>
      <c r="D43" s="3" t="inlineStr">
        <is>
          <t>payment_type · paymentShape</t>
        </is>
      </c>
      <c r="E43" s="3" t="inlineStr">
        <is>
          <t>1. MK-XS-F-004 buildDatedGrid
2. MK-CF-F-157 debtPaymentsByDebt
3. MK-CF-F-150 debtPaymentsCountedAsExpenses
4. MK-CF-F-021 defaultPaymentType
5. MK-CF-F-152 isRadarItem
6. MK-CF-F-159 isRecurringDebt
7. MK-CF-F-025 minimumDebtService
8. MK-CF-F-022 paymentShape
9. MK-CF-F-034 payoffPlan
10. MK-CF-F-149 recurringDebtPayments
11. MK-CF-F-023 requiredPayment
12. MK-NW-O-004 theEmergencyFund
13. MK-CF-O-010 theMonth</t>
        </is>
      </c>
      <c r="F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G43" s="3" t="inlineStr">
        <is>
          <t>SWEPT FROM THE CODE 2026-08-26</t>
        </is>
      </c>
      <c r="H43" s="3" t="inlineStr">
        <is>
          <t>ACTIVE</t>
        </is>
      </c>
      <c r="I43" s="3" t="inlineStr">
        <is>
          <t>2026-10-05</t>
        </is>
      </c>
      <c r="J43" s="3" t="inlineStr">
        <is>
          <t>reach generated from the code each build</t>
        </is>
      </c>
    </row>
    <row r="44" ht="60" customHeight="1">
      <c r="A44" s="3" t="inlineStr">
        <is>
          <t>MK-XS-I-043</t>
        </is>
      </c>
      <c r="B44" s="3" t="inlineStr">
        <is>
          <t>their own retirement contribution</t>
        </is>
      </c>
      <c r="C44" s="3" t="inlineStr">
        <is>
          <t>Typed by the person</t>
        </is>
      </c>
      <c r="D44" s="3" t="inlineStr">
        <is>
          <t>c_401k · c_roth · c_invest · c_property · annual_contribution</t>
        </is>
      </c>
      <c r="E44" s="3" t="inlineStr">
        <is>
          <t>1. MK-NW-F-101 PLAN
2. MK-XS-F-031 buildSnapshot
3. MK-XS-F-030 effectiveAnnualContribution
4. MK-CF-F-179 entryFromWage
5. MK-CF-F-206 householdK401ByMonth
6. MK-CF-F-188 householdPreTaxContributionsAnnual
7. MK-PL-F-043 howTheGapCloses
8. MK-CF-F-092 incomeMonthlyGrid
9. MK-NW-F-041 monthlyContributionsFromOnboarding
10. MK-PL-F-044 planTarget
11. MK-PL-F-055 projectNestEgg
12. MK-CF-F-181 rateInForce
13. MK-PL-F-041 requiredAnnualSaving
14. MK-PL-F-035 retireAgeWithContribution
… and 12 more — the full list is on functions_from_code</t>
        </is>
      </c>
      <c r="F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44" s="3" t="inlineStr">
        <is>
          <t>SWEPT FROM THE CODE 2026-08-26</t>
        </is>
      </c>
      <c r="H44" s="3" t="inlineStr">
        <is>
          <t>ACTIVE</t>
        </is>
      </c>
      <c r="I44" s="3" t="inlineStr">
        <is>
          <t>2026-10-04</t>
        </is>
      </c>
      <c r="J44" s="3" t="inlineStr">
        <is>
          <t>reach generated from the code each build</t>
        </is>
      </c>
    </row>
    <row r="45" ht="60" customHeight="1">
      <c r="A45" s="3" t="inlineStr">
        <is>
          <t>MK-XS-I-044</t>
        </is>
      </c>
      <c r="B45" s="3" t="inlineStr">
        <is>
          <t>the person’s own plan overrides</t>
        </is>
      </c>
      <c r="C45" s="3" t="inlineStr">
        <is>
          <t>Set by the person on the Plan screen</t>
        </is>
      </c>
      <c r="D45" s="3" t="inlineStr">
        <is>
          <t>assumptions · planOverrides</t>
        </is>
      </c>
      <c r="E45" s="3" t="inlineStr">
        <is>
          <t>1. MK-PL-F-053 buildRetirementState
2. MK-CF-O-017 futurePaycheck
3. MK-XS-F-174 recomputeBalances
4. MK-PL-F-049 retirementSpendMonthly
5. MK-PL-F-068 selectWillItLast
6. MK-XS-F-175 uid
7. MK-PL-F-065 volOf
8. MK-PL-F-067 willItLastInputs</t>
        </is>
      </c>
      <c r="F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G45" s="3" t="inlineStr">
        <is>
          <t>SWEPT FROM THE CODE 2026-08-26</t>
        </is>
      </c>
      <c r="H45" s="3" t="inlineStr">
        <is>
          <t>ACTIVE</t>
        </is>
      </c>
      <c r="I45" s="3" t="inlineStr">
        <is>
          <t>2026-10-03</t>
        </is>
      </c>
      <c r="J45" s="3" t="inlineStr">
        <is>
          <t>reach generated from the code each build</t>
        </is>
      </c>
    </row>
    <row r="46" ht="60" customHeight="1">
      <c r="A46" s="3" t="inlineStr">
        <is>
          <t>MK-XS-I-045</t>
        </is>
      </c>
      <c r="B46" s="3" t="inlineStr">
        <is>
          <t>where they will live in retirement</t>
        </is>
      </c>
      <c r="C46" s="3" t="inlineStr">
        <is>
          <t>Typed by the person</t>
        </is>
      </c>
      <c r="D46" s="3" t="inlineStr">
        <is>
          <t>retLocation</t>
        </is>
      </c>
      <c r="E46" s="3" t="inlineStr">
        <is>
          <t>1. MK-XS-F-026 profileFromOnboarding
2. MK-PL-F-049 retirementSpendMonthly</t>
        </is>
      </c>
      <c r="F46" s="3" t="inlineStr">
        <is>
          <t>MK-CF-M-055 · MK-CF-M-070 · MK-PL-M-008 · MK-PL-M-009 · MK-PL-M-011 · MK-PL-M-029 · MK-PL-M-034 · MK-XS-M-002</t>
        </is>
      </c>
      <c r="G46" s="3" t="inlineStr">
        <is>
          <t>SWEPT FROM THE CODE 2026-08-26</t>
        </is>
      </c>
      <c r="H46" s="3" t="inlineStr">
        <is>
          <t>ACTIVE</t>
        </is>
      </c>
      <c r="I46" s="3" t="inlineStr">
        <is>
          <t>2026-08-27</t>
        </is>
      </c>
      <c r="J46" s="3" t="inlineStr">
        <is>
          <t>reach generated from the code each build</t>
        </is>
      </c>
    </row>
    <row r="47" ht="60" customHeight="1">
      <c r="A47" s="3" t="inlineStr">
        <is>
          <t>MK-XS-I-046</t>
        </is>
      </c>
      <c r="B47" s="3" t="inlineStr">
        <is>
          <t>how the employer match is expressed — percent or dollars</t>
        </is>
      </c>
      <c r="C47" s="3" t="inlineStr">
        <is>
          <t>Typed by the person</t>
        </is>
      </c>
      <c r="D47" s="3" t="inlineStr">
        <is>
          <t>employerMatchMode · employerMatchValue</t>
        </is>
      </c>
      <c r="E47" s="3" t="inlineStr">
        <is>
          <t>1. MK-NW-F-041 monthlyContributionsFromOnboarding
2. MK-CF-F-178 wageMatchMonthly</t>
        </is>
      </c>
      <c r="F47" s="3" t="inlineStr">
        <is>
          <t>MK-CF-M-055 · MK-CF-M-070 · MK-MN-M-014 · MK-PL-M-008 · MK-PL-M-011 · MK-PL-M-029 · MK-PL-M-034 · MK-XS-M-002</t>
        </is>
      </c>
      <c r="G47" s="3" t="inlineStr">
        <is>
          <t>SWEPT FROM THE CODE 2026-08-26</t>
        </is>
      </c>
      <c r="H47" s="3" t="inlineStr">
        <is>
          <t>ACTIVE</t>
        </is>
      </c>
      <c r="I47" s="3" t="inlineStr">
        <is>
          <t>2026-10-07</t>
        </is>
      </c>
      <c r="J47" s="3" t="inlineStr">
        <is>
          <t>reach generated from the code each build</t>
        </is>
      </c>
    </row>
    <row r="48" ht="60" customHeight="1">
      <c r="A48" s="3" t="inlineStr">
        <is>
          <t>MK-XS-I-047</t>
        </is>
      </c>
      <c r="B48" s="3" t="inlineStr">
        <is>
          <t>money to leave behind</t>
        </is>
      </c>
      <c r="C48" s="3" t="inlineStr">
        <is>
          <t>Typed by the person</t>
        </is>
      </c>
      <c r="D48" s="3" t="inlineStr">
        <is>
          <t>bequest</t>
        </is>
      </c>
      <c r="E48" s="3" t="inlineStr">
        <is>
          <t>1. MK-PL-F-048 capitalNeeded
2. MK-PL-F-067 willItLastInputs</t>
        </is>
      </c>
      <c r="F48" s="3" t="inlineStr">
        <is>
          <t>MK-CF-M-055 · MK-CF-M-070 · MK-PL-M-008 · MK-PL-M-011 · MK-PL-M-029 · MK-PL-M-034 · MK-XS-M-002</t>
        </is>
      </c>
      <c r="G48" s="3" t="inlineStr">
        <is>
          <t>SWEPT FROM THE CODE 2026-08-26</t>
        </is>
      </c>
      <c r="H48" s="3" t="inlineStr">
        <is>
          <t>ACTIVE</t>
        </is>
      </c>
      <c r="I48" s="3" t="inlineStr">
        <is>
          <t>2026-08-27</t>
        </is>
      </c>
      <c r="J48" s="3" t="inlineStr">
        <is>
          <t>reach generated from the code each build</t>
        </is>
      </c>
    </row>
    <row r="49" ht="60" customHeight="1">
      <c r="A49" s="3" t="inlineStr">
        <is>
          <t>MK-XS-I-048</t>
        </is>
      </c>
      <c r="B49" s="3" t="inlineStr">
        <is>
          <t>the person’s own asset-class answer</t>
        </is>
      </c>
      <c r="C49" s="3" t="inlineStr">
        <is>
          <t>Typed by the person, and it outranks the institution</t>
        </is>
      </c>
      <c r="D49" s="3" t="inlineStr">
        <is>
          <t>asset_class · class_source · stated</t>
        </is>
      </c>
      <c r="E49" s="3" t="inlineStr">
        <is>
          <t>1. MK-NW-F-096 CLASS_KEY_OF
2. MK-NW-F-095 CLASS_LABEL_OF
3. MK-NW-F-079 EF
4. MK-NW-F-080 HOLD
5. MK-NW-F-081 LB
6. MK-NW-F-082 NW
7. MK-NW-F-085 PERF_ONE
8. MK-NW-F-101 PLAN
9. MK-ST-F-027 accountId
10. MK-NW-F-011 assetClassOf
11. MK-NW-F-040 assetsFromOnboarding
12. MK-ST-F-028 buildDayFromAccounts
13. MK-NW-F-052 buildItemizedAccounts
14. MK-NW-F-084 categoryEarnings
… and 18 more — the full list is on functions_from_code</t>
        </is>
      </c>
      <c r="F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49" s="3" t="inlineStr">
        <is>
          <t>SWEPT FROM THE CODE 2026-08-26</t>
        </is>
      </c>
      <c r="H49" s="3" t="inlineStr">
        <is>
          <t>ACTIVE</t>
        </is>
      </c>
      <c r="I49" s="3" t="inlineStr">
        <is>
          <t>2026-10-10</t>
        </is>
      </c>
      <c r="J49" s="3" t="inlineStr">
        <is>
          <t>reach generated from the code each build</t>
        </is>
      </c>
    </row>
    <row r="50" ht="60" customHeight="1">
      <c r="A50" s="3" t="inlineStr">
        <is>
          <t>MK-XS-I-049</t>
        </is>
      </c>
      <c r="B50" s="3" t="inlineStr">
        <is>
          <t>bond price — what the bond is worth today</t>
        </is>
      </c>
      <c r="C50" s="3" t="inlineStr">
        <is>
          <t>the download, a connection, or typed</t>
        </is>
      </c>
      <c r="D50" s="3" t="inlineStr">
        <is>
          <t>b.value · bond.value · BondInfo</t>
        </is>
      </c>
      <c r="E50" s="3" t="inlineStr">
        <is>
          <t>1. MK-NW-F-070 accruedInterestCaveat
2. MK-PF-F-017 allocation
3. MK-NW-F-057 annualCoupon
4. MK-NW-F-060 approxYTM
5. MK-NW-F-056 bondInfo
6. MK-NW-F-064 bondRateSensitivity
7. MK-NW-F-061 bondSummary
8. MK-NW-F-059 currentYield
9. MK-NW-F-119 estimatedAccrued
10. MK-NW-F-069 priceAtYield
11. MK-NW-F-131 pricedLikeBond
12. MK-NW-F-072 rowOf
13. MK-NW-O-001 theBonds
14. MK-NW-F-112 yearlyInterest
… and 1 more — the full list is on functions_from_code</t>
        </is>
      </c>
      <c r="F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50" s="3" t="inlineStr">
        <is>
          <t>SWEPT FROM THE CODE 2026-08-26</t>
        </is>
      </c>
      <c r="H50" s="3" t="inlineStr">
        <is>
          <t>ACTIVE</t>
        </is>
      </c>
      <c r="I50" s="3" t="inlineStr">
        <is>
          <t>2026-10-10</t>
        </is>
      </c>
      <c r="J50" s="3" t="inlineStr">
        <is>
          <t>reach generated from the code each build</t>
        </is>
      </c>
    </row>
    <row r="51" ht="60" customHeight="1">
      <c r="A51" s="3" t="inlineStr">
        <is>
          <t>MK-XS-I-050</t>
        </is>
      </c>
      <c r="B51" s="3" t="inlineStr">
        <is>
          <t>the share of an account earmarked for retirement</t>
        </is>
      </c>
      <c r="C51" s="3" t="inlineStr">
        <is>
          <t>typed by the person, per account</t>
        </is>
      </c>
      <c r="D51" s="3" t="inlineStr">
        <is>
          <t>retirement_pct</t>
        </is>
      </c>
      <c r="E51" s="3" t="inlineStr">
        <is>
          <t>1. MK-NW-F-052 buildItemizedAccounts
2. MK-NW-F-135 earmarkLeavesOut
3. MK-NW-F-032 earmarkedAmount
4. MK-CF-O-017 futurePaycheck</t>
        </is>
      </c>
      <c r="F51" s="3" t="inlineStr">
        <is>
          <t>MK-CF-M-022 · MK-CF-M-055 · MK-CF-M-070 · MK-NW-M-050 · MK-NW-M-051 · MK-NW-M-052 · MK-PL-M-001 · MK-PL-M-002 · MK-PL-M-008 · MK-PL-M-009 · MK-PL-M-011 · MK-PL-M-029 · MK-PL-M-034 · MK-XS-M-002</t>
        </is>
      </c>
      <c r="G51" s="3" t="inlineStr">
        <is>
          <t>SWEPT FROM THE CODE 2026-08-26</t>
        </is>
      </c>
      <c r="H51" s="3" t="inlineStr">
        <is>
          <t>ACTIVE</t>
        </is>
      </c>
      <c r="I51" s="3" t="inlineStr">
        <is>
          <t>2026-10-10</t>
        </is>
      </c>
      <c r="J51" s="3" t="inlineStr">
        <is>
          <t>reach generated from the code each build</t>
        </is>
      </c>
    </row>
    <row r="52" ht="60" customHeight="1">
      <c r="A52" s="3" t="inlineStr">
        <is>
          <t>MK-XS-I-051</t>
        </is>
      </c>
      <c r="B52" s="3" t="inlineStr">
        <is>
          <t>what an account actually returned over the last twelve months</t>
        </is>
      </c>
      <c r="C52" s="3" t="inlineStr">
        <is>
          <t>typed by the person, per account</t>
        </is>
      </c>
      <c r="D52" s="3" t="inlineStr">
        <is>
          <t>actual_ttm</t>
        </is>
      </c>
      <c r="E52" s="3" t="inlineStr">
        <is>
          <t>MK-NW-F-004 portfolioActualReturn</t>
        </is>
      </c>
      <c r="F52" s="3" t="inlineStr">
        <is>
          <t>MK-CF-M-055 · MK-CF-M-070 · MK-PL-M-008 · MK-PL-M-011 · MK-PL-M-029 · MK-PL-M-034 · MK-XS-M-002</t>
        </is>
      </c>
      <c r="G52" s="3" t="inlineStr">
        <is>
          <t>SWEPT FROM THE CODE 2026-08-26</t>
        </is>
      </c>
      <c r="H52" s="3" t="inlineStr">
        <is>
          <t>ACTIVE</t>
        </is>
      </c>
      <c r="I52" s="3" t="inlineStr">
        <is>
          <t>2026-08-27</t>
        </is>
      </c>
      <c r="J52" s="3" t="inlineStr">
        <is>
          <t>reach generated from the code each build</t>
        </is>
      </c>
    </row>
    <row r="53" ht="60" customHeight="1">
      <c r="A53" s="3" t="inlineStr">
        <is>
          <t>MK-XS-I-052</t>
        </is>
      </c>
      <c r="B53" s="3" t="inlineStr">
        <is>
          <t>the day of the month a debt payment is due</t>
        </is>
      </c>
      <c r="C53" s="3" t="inlineStr">
        <is>
          <t>typed, or a connection</t>
        </is>
      </c>
      <c r="D53" s="3" t="inlineStr">
        <is>
          <t>due_day</t>
        </is>
      </c>
      <c r="E53" s="3" t="inlineStr">
        <is>
          <t>1. MK-CF-F-005 actualMonthFlow
2. MK-XS-F-004 buildDatedGrid</t>
        </is>
      </c>
      <c r="F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53" s="3" t="inlineStr">
        <is>
          <t>SWEPT FROM THE CODE 2026-08-26</t>
        </is>
      </c>
      <c r="H53" s="3" t="inlineStr">
        <is>
          <t>ACTIVE</t>
        </is>
      </c>
      <c r="I53" s="3" t="inlineStr">
        <is>
          <t>2026-09-30</t>
        </is>
      </c>
      <c r="J53" s="3" t="inlineStr">
        <is>
          <t>reach generated from the code each build</t>
        </is>
      </c>
    </row>
    <row r="54" ht="60" customHeight="1">
      <c r="A54" s="3" t="inlineStr">
        <is>
          <t>MK-XS-I-053</t>
        </is>
      </c>
      <c r="B54" s="3" t="inlineStr">
        <is>
          <t>the month a debt is first paid</t>
        </is>
      </c>
      <c r="C54" s="3" t="inlineStr">
        <is>
          <t>typed by the person</t>
        </is>
      </c>
      <c r="D54" s="3" t="inlineStr">
        <is>
          <t>first_payment_date</t>
        </is>
      </c>
      <c r="E54" s="3" t="inlineStr">
        <is>
          <t>1. MK-XS-F-004 buildDatedGrid
2. MK-CF-F-034 payoffPlan</t>
        </is>
      </c>
      <c r="F54" s="3" t="inlineStr">
        <is>
          <t>MK-CF-M-022 · MK-CF-M-055 · MK-CF-M-057 · MK-CF-M-058 · MK-CF-M-059 · MK-CF-M-070 · MK-CF-M-071 · MK-CF-M-072 · MK-CF-M-073 · MK-CF-M-074 · MK-CF-M-075 · MK-PL-M-031</t>
        </is>
      </c>
      <c r="G54" s="3" t="inlineStr">
        <is>
          <t>SWEPT FROM THE CODE 2026-08-26</t>
        </is>
      </c>
      <c r="H54" s="3" t="inlineStr">
        <is>
          <t>ACTIVE</t>
        </is>
      </c>
      <c r="I54" s="3" t="inlineStr">
        <is>
          <t>2026-08-27</t>
        </is>
      </c>
      <c r="J54" s="3" t="inlineStr">
        <is>
          <t>reach generated from the code each build</t>
        </is>
      </c>
    </row>
    <row r="55" ht="60" customHeight="1">
      <c r="A55" s="3" t="inlineStr">
        <is>
          <t>MK-XS-I-054</t>
        </is>
      </c>
      <c r="B55" s="3" t="inlineStr">
        <is>
          <t>the date a debt is due to be paid off in full</t>
        </is>
      </c>
      <c r="C55" s="3" t="inlineStr">
        <is>
          <t>typed by the person</t>
        </is>
      </c>
      <c r="D55" s="3" t="inlineStr">
        <is>
          <t>payoff_date</t>
        </is>
      </c>
      <c r="E55" s="3" t="inlineStr">
        <is>
          <t>1. MK-XS-F-004 buildDatedGrid
2. MK-CF-F-034 payoffPlan</t>
        </is>
      </c>
      <c r="F55" s="3" t="inlineStr">
        <is>
          <t>MK-CF-M-022 · MK-CF-M-055 · MK-CF-M-057 · MK-CF-M-058 · MK-CF-M-059 · MK-CF-M-070 · MK-CF-M-071 · MK-CF-M-072 · MK-CF-M-073 · MK-CF-M-074 · MK-CF-M-075 · MK-PL-M-031</t>
        </is>
      </c>
      <c r="G55" s="3" t="inlineStr">
        <is>
          <t>SWEPT FROM THE CODE 2026-08-26</t>
        </is>
      </c>
      <c r="H55" s="3" t="inlineStr">
        <is>
          <t>ACTIVE</t>
        </is>
      </c>
      <c r="I55" s="3" t="inlineStr">
        <is>
          <t>2026-08-27</t>
        </is>
      </c>
      <c r="J55" s="3" t="inlineStr">
        <is>
          <t>reach generated from the code each build</t>
        </is>
      </c>
    </row>
    <row r="56" ht="60" customHeight="1">
      <c r="A56" s="3" t="inlineStr">
        <is>
          <t>MK-XS-I-055</t>
        </is>
      </c>
      <c r="B56" s="3" t="inlineStr">
        <is>
          <t>the wrapper an account sits in — ISA, 401(k), IRA and the rest</t>
        </is>
      </c>
      <c r="C56" s="3" t="inlineStr">
        <is>
          <t>typed at setup, or from the connection</t>
        </is>
      </c>
      <c r="D56" s="3" t="inlineStr">
        <is>
          <t>wrapper_confirmed · kind</t>
        </is>
      </c>
      <c r="E56" s="3" t="inlineStr">
        <is>
          <t>1. MK-NW-F-075 ACC
2. MK-NW-F-076 ALT
3. MK-NW-F-088 BENCH
4. MK-NW-F-082 NW
5. MK-NW-F-101 PLAN
6. MK-CF-F-207 SOURCE
7. MK-CF-F-202 TAX
8. MK-NW-F-005 accountAllowsTicker
9. MK-NW-F-025 accountDisplayName
10. MK-CF-F-005 actualMonthFlow
11. MK-CF-F-138 addLot
12. MK-PF-F-017 allocation
13. MK-NW-F-113 altPartsOf
14. MK-NW-F-002 alternativesSummary
… and 61 more — the full list is on functions_from_code</t>
        </is>
      </c>
      <c r="F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G56" s="3" t="inlineStr">
        <is>
          <t>SWEPT FROM THE CODE 2026-08-26</t>
        </is>
      </c>
      <c r="H56" s="3" t="inlineStr">
        <is>
          <t>ACTIVE</t>
        </is>
      </c>
      <c r="I56" s="3" t="inlineStr">
        <is>
          <t>2026-10-10</t>
        </is>
      </c>
      <c r="J56" s="3" t="inlineStr">
        <is>
          <t>reach generated from the code each build</t>
        </is>
      </c>
    </row>
    <row r="57" ht="60" customHeight="1">
      <c r="A57" s="3" t="inlineStr">
        <is>
          <t>MK-XS-I-056</t>
        </is>
      </c>
      <c r="B57" s="3" t="inlineStr">
        <is>
          <t>how a holding was classified, and by whom</t>
        </is>
      </c>
      <c r="C57" s="3" t="inlineStr">
        <is>
          <t>the function, the institution, or the person</t>
        </is>
      </c>
      <c r="D57" s="3" t="inlineStr">
        <is>
          <t>class_source · class_flag</t>
        </is>
      </c>
      <c r="E57" s="3" t="inlineStr">
        <is>
          <t>1. MK-NW-F-053 correctClassOf
2. MK-NW-F-109 holdingClassOf
3. MK-XS-F-102 ingestSync
4. MK-NW-F-054 reclassifyAccounts
5. MK-NW-O-003 theNetWorth
6. MK-XS-F-175 uid</t>
        </is>
      </c>
      <c r="F57"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MK-XS-M-001 · MK-XS-M-003</t>
        </is>
      </c>
      <c r="G57" s="3" t="inlineStr">
        <is>
          <t>SWEPT FROM THE CODE 2026-08-26</t>
        </is>
      </c>
      <c r="H57" s="3" t="inlineStr">
        <is>
          <t>ACTIVE</t>
        </is>
      </c>
      <c r="I57" s="3" t="inlineStr">
        <is>
          <t>2026-10-09</t>
        </is>
      </c>
      <c r="J57" s="3" t="inlineStr">
        <is>
          <t>reach generated from the code each build</t>
        </is>
      </c>
    </row>
    <row r="58" ht="45" customHeight="1">
      <c r="A58" s="3" t="inlineStr">
        <is>
          <t>MK-XS-I-057</t>
        </is>
      </c>
      <c r="B58" s="3" t="inlineStr">
        <is>
          <t>the date an account history begins</t>
        </is>
      </c>
      <c r="C58" s="3" t="inlineStr">
        <is>
          <t>the institution download</t>
        </is>
      </c>
      <c r="D58" s="3" t="inlineStr">
        <is>
          <t>history_from</t>
        </is>
      </c>
      <c r="E58" s="3" t="inlineStr">
        <is>
          <t>1. MK-NW-F-046 historyCoverage
2. MK-XS-F-102 ingestSync</t>
        </is>
      </c>
      <c r="F58" s="3" t="inlineStr">
        <is>
          <t>NONE ON RECORD — the functions above serve no figure that names them. See S21.</t>
        </is>
      </c>
      <c r="G58" s="3" t="inlineStr">
        <is>
          <t>SWEPT FROM THE CODE 2026-08-26</t>
        </is>
      </c>
      <c r="H58" s="3" t="inlineStr">
        <is>
          <t>ACTIVE</t>
        </is>
      </c>
      <c r="I58" s="3" t="inlineStr">
        <is>
          <t>2026-08-27</t>
        </is>
      </c>
      <c r="J58" s="3" t="inlineStr">
        <is>
          <t>reach generated from the code each build</t>
        </is>
      </c>
    </row>
    <row r="59" ht="45" customHeight="1">
      <c r="A59" s="3" t="inlineStr">
        <is>
          <t>MK-XS-I-058</t>
        </is>
      </c>
      <c r="B59" s="3" t="inlineStr">
        <is>
          <t>a break between our figure and the institution's</t>
        </is>
      </c>
      <c r="C59" s="3" t="inlineStr">
        <is>
          <t>worked out when a download is read</t>
        </is>
      </c>
      <c r="D59" s="3" t="inlineStr">
        <is>
          <t>recon_break</t>
        </is>
      </c>
      <c r="E59" s="3" t="inlineStr">
        <is>
          <t>MK-XS-F-102 ingestSync</t>
        </is>
      </c>
      <c r="F59" s="3" t="inlineStr">
        <is>
          <t>NONE ON RECORD — the functions above serve no figure that names them. See S21.</t>
        </is>
      </c>
      <c r="G59" s="3" t="inlineStr">
        <is>
          <t>SWEPT FROM THE CODE 2026-08-26</t>
        </is>
      </c>
      <c r="H59" s="3" t="inlineStr">
        <is>
          <t>ACTIVE</t>
        </is>
      </c>
      <c r="I59" s="3" t="inlineStr">
        <is>
          <t>2026-08-27</t>
        </is>
      </c>
      <c r="J59" s="3" t="inlineStr">
        <is>
          <t>reach generated from the code each build</t>
        </is>
      </c>
    </row>
    <row r="60" ht="60" customHeight="1">
      <c r="A60" s="3" t="inlineStr">
        <is>
          <t>MK-XS-I-059</t>
        </is>
      </c>
      <c r="B60" s="3" t="inlineStr">
        <is>
          <t>the month a bonus lands</t>
        </is>
      </c>
      <c r="C60" s="3" t="inlineStr">
        <is>
          <t>typed by the person</t>
        </is>
      </c>
      <c r="D60" s="3" t="inlineStr">
        <is>
          <t>bonusMonth</t>
        </is>
      </c>
      <c r="E60" s="3" t="inlineStr">
        <is>
          <t>1. MK-CF-F-201 INCOME
2. MK-XS-F-004 buildDatedGrid
3. MK-CF-F-020 cashflowYear
4. MK-CF-F-079 incomeFromOnboarding
5. MK-CF-F-092 incomeMonthlyGrid
6. MK-CF-O-016 incomeSources
7. MK-CF-O-004 incomeSummary
8. MK-CF-F-088 taxableByCalendarMonth
9. MK-CF-O-019 theIncomeManager</t>
        </is>
      </c>
      <c r="F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60" s="3" t="inlineStr">
        <is>
          <t>SWEPT FROM THE CODE 2026-08-26</t>
        </is>
      </c>
      <c r="H60" s="3" t="inlineStr">
        <is>
          <t>ACTIVE</t>
        </is>
      </c>
      <c r="I60" s="3" t="inlineStr">
        <is>
          <t>2026-10-04</t>
        </is>
      </c>
      <c r="J60" s="3" t="inlineStr">
        <is>
          <t>reach generated from the code each build</t>
        </is>
      </c>
    </row>
    <row r="61" ht="60" customHeight="1">
      <c r="A61" s="3" t="inlineStr">
        <is>
          <t>MK-XS-I-060</t>
        </is>
      </c>
      <c r="B61" s="3" t="inlineStr">
        <is>
          <t>how a person is paid — weekly, fortnightly, monthly</t>
        </is>
      </c>
      <c r="C61" s="3" t="inlineStr">
        <is>
          <t>typed at setup</t>
        </is>
      </c>
      <c r="D61" s="3" t="inlineStr">
        <is>
          <t>salaryMode · SALARY_PERIODS</t>
        </is>
      </c>
      <c r="E61" s="3" t="inlineStr">
        <is>
          <t>1. MK-CF-F-059 annualizedEnteredSalary
2. MK-CF-F-186 convertTakeHomeMode
3. MK-CF-F-130 enteredMonthlyRaw
4. MK-CF-O-016 incomeSources
5. MK-CF-F-185 needsTakeHomeConversion
6. MK-CF-O-007 theTaxOrganizer</t>
        </is>
      </c>
      <c r="F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61" s="3" t="inlineStr">
        <is>
          <t>SWEPT FROM THE CODE 2026-08-26</t>
        </is>
      </c>
      <c r="H61" s="3" t="inlineStr">
        <is>
          <t>ACTIVE</t>
        </is>
      </c>
      <c r="I61" s="3" t="inlineStr">
        <is>
          <t>2026-10-01</t>
        </is>
      </c>
      <c r="J61" s="3" t="inlineStr">
        <is>
          <t>reach generated from the code each build</t>
        </is>
      </c>
    </row>
    <row r="62" ht="45" customHeight="1">
      <c r="A62" s="3" t="inlineStr">
        <is>
          <t>MK-XS-I-061</t>
        </is>
      </c>
      <c r="B62" s="3" t="inlineStr">
        <is>
          <t>pre-tax balance on 31 December last year</t>
        </is>
      </c>
      <c r="C62" s="3" t="inlineStr">
        <is>
          <t>typed by the person on the Required-withdrawals screen</t>
        </is>
      </c>
      <c r="D62" s="3" t="inlineStr">
        <is>
          <t>rmdPriorYearEndPreTax · priorYearEndPreTax</t>
        </is>
      </c>
      <c r="E62" s="3" t="inlineStr">
        <is>
          <t>1. MK-PL-F-027 nextDecision
2. MK-PL-F-080 rmdRequiredThisYear</t>
        </is>
      </c>
      <c r="F62" s="3" t="inlineStr">
        <is>
          <t>MK-PL-M-013</t>
        </is>
      </c>
      <c r="G62" s="3" t="inlineStr">
        <is>
          <t>SWEPT FROM THE CODE 2026-08-26</t>
        </is>
      </c>
      <c r="H62" s="3" t="inlineStr">
        <is>
          <t>ACTIVE</t>
        </is>
      </c>
      <c r="I62" s="3" t="inlineStr">
        <is>
          <t>2026-09-08</t>
        </is>
      </c>
      <c r="J62" s="6" t="inlineStr">
        <is>
          <t>TESTED, NOT VERIFIED (G8) · reach generated from the code each build</t>
        </is>
      </c>
    </row>
    <row r="63" ht="45" customHeight="1">
      <c r="A63" s="3" t="inlineStr">
        <is>
          <t>MK-XS-I-062</t>
        </is>
      </c>
      <c r="B63" s="3" t="inlineStr">
        <is>
          <t>enrolled in Medicare (yes / no)</t>
        </is>
      </c>
      <c r="C63" s="3" t="inlineStr">
        <is>
          <t>typed by the person on the Contribution-room screen (HSA card, shown at 65+)</t>
        </is>
      </c>
      <c r="D63" s="3" t="inlineStr">
        <is>
          <t>medicareEnrolled</t>
        </is>
      </c>
      <c r="E63" s="3" t="inlineStr">
        <is>
          <t>1. MK-CF-F-055 annualHsaLimit
2. MK-CF-O-005 theContributionRoom</t>
        </is>
      </c>
      <c r="F63" s="3" t="inlineStr">
        <is>
          <t>NONE ON RECORD — the functions above serve no figure that names them. See S21.</t>
        </is>
      </c>
      <c r="G63" s="3" t="inlineStr">
        <is>
          <t>SWEPT FROM THE CODE 2026-08-26</t>
        </is>
      </c>
      <c r="H63" s="3" t="inlineStr">
        <is>
          <t>ACTIVE</t>
        </is>
      </c>
      <c r="I63" s="3" t="inlineStr">
        <is>
          <t>2026-09-28</t>
        </is>
      </c>
      <c r="J63" s="6" t="inlineStr">
        <is>
          <t>TESTED, NOT VERIFIED (G10) · reach generated from the code each build</t>
        </is>
      </c>
    </row>
    <row r="64" ht="60" customHeight="1">
      <c r="A64" s="3" t="inlineStr">
        <is>
          <t>MK-XS-I-063</t>
        </is>
      </c>
      <c r="B64" s="3" t="inlineStr">
        <is>
          <t>option contract multiplier — 100 unless the broker or the person states otherwise</t>
        </is>
      </c>
      <c r="C64" s="3" t="inlineStr">
        <is>
          <t>set by the broker on a connected holding, or typed by the person</t>
        </is>
      </c>
      <c r="D64" s="3" t="inlineStr">
        <is>
          <t>multiplier · OPTION_CONTRACT_MULTIPLIER · contractMultiplier</t>
        </is>
      </c>
      <c r="E64" s="3" t="inlineStr">
        <is>
          <t>1. MK-PF-F-003 avgCost
2. MK-PF-F-006 capGains
3. MK-PF-F-031 contractMultiplier
4. MK-PF-F-002 costBasis
5. MK-XS-F-106 mapOptionHolding
6. MK-PF-F-004 marketValue
7. MK-NW-O-006 theHolding</t>
        </is>
      </c>
      <c r="F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MK-PF-M-002 · MK-PF-M-003 · MK-PF-M-005 · MK-PF-M-006 · MK-PF-M-007 · MK-PF-M-008 · MK-PF-M-013 · MK-PF-M-014 · MK-PF-M-015 · MK-PF-M-016 · MK-PF-M-017 · MK-PF-M-018 · MK-PF-M-019 · MK-PF-M-020 · MK-XS-M-001 · MK-XS-M-003 · MK-XS-M-004</t>
        </is>
      </c>
      <c r="G64" s="3" t="inlineStr">
        <is>
          <t>SWEPT FROM THE CODE 2026-08-26</t>
        </is>
      </c>
      <c r="H64" s="3" t="inlineStr">
        <is>
          <t>ACTIVE</t>
        </is>
      </c>
      <c r="I64" s="3" t="inlineStr">
        <is>
          <t>2026-10-04</t>
        </is>
      </c>
      <c r="J64" s="6" t="inlineStr">
        <is>
          <t>TESTED, NOT VERIFIED (Q06) · reach generated from the code each build</t>
        </is>
      </c>
    </row>
    <row r="65" ht="60" customHeight="1">
      <c r="A65" s="3" t="inlineStr">
        <is>
          <t>MK-XS-I-064</t>
        </is>
      </c>
      <c r="B65" s="3" t="inlineStr">
        <is>
          <t>the unit beside a quantity — shares, coins, contracts, ounces or units</t>
        </is>
      </c>
      <c r="C65" s="3" t="inlineStr">
        <is>
          <t>typed by the person on the holding; otherwise the unit the kind implies</t>
        </is>
      </c>
      <c r="D65" s="3" t="inlineStr">
        <is>
          <t>unit · quantityUnit · quantityWithUnit</t>
        </is>
      </c>
      <c r="E65" s="3" t="inlineStr">
        <is>
          <t>1. MK-NW-F-075 ACC
2. MK-NW-F-076 ALT
3. MK-NW-F-088 BENCH
4. MK-CF-F-211 DEBTS
5. MK-NW-F-079 EF
6. MK-NW-F-080 HOLD
7. MK-NW-F-081 LB
8. MK-CF-F-200 LINE
9. MK-NW-F-078 ONE
10. MK-CF-O-013 PAY_LANDS_TYPED
11. MK-NW-F-101 PLAN
12. MK-CF-F-199 ROOM
13. MK-CF-F-202 TAX
14. MK-CF-F-210 annualOfSource
… and 16 more — the full list is on functions_from_code</t>
        </is>
      </c>
      <c r="F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MK-NW-M-050 · MK-NW-M-051 · MK-NW-M-052 · MK-NW-M-059 · MK-NW-M-060 · MK-NW-M-061 · MK-NW-M-063 · MK-NW-M-064 · MK-PF-M-002 · MK-PF-M-003 · MK-PF-M-005 · MK-PF-M-006 · MK-PF-M-007 · MK-PF-M-008 · MK-PF-M-013 · MK-PF-M-014 · MK-PF-M-015 · MK-PF-M-016 · MK-PF-M-017 · MK-PF-M-018 · MK-PF-M-019 · MK-PF-M-020 · MK-XS-M-001 · MK-XS-M-003 · MK-XS-M-004 · MK-XS-M-005 · MK-XS-M-006</t>
        </is>
      </c>
      <c r="G65" s="3" t="inlineStr">
        <is>
          <t>SWEPT FROM THE CODE 2026-08-26</t>
        </is>
      </c>
      <c r="H65" s="3" t="inlineStr">
        <is>
          <t>ACTIVE</t>
        </is>
      </c>
      <c r="I65" s="3" t="inlineStr">
        <is>
          <t>2026-10-03</t>
        </is>
      </c>
      <c r="J65" s="6" t="inlineStr">
        <is>
          <t>TESTED, NOT VERIFIED (Q09) · reach generated from the code each build</t>
        </is>
      </c>
    </row>
    <row r="66" ht="60" customHeight="1">
      <c r="A66" s="3" t="inlineStr">
        <is>
          <t>MK-XS-I-065</t>
        </is>
      </c>
      <c r="B66" s="3" t="inlineStr">
        <is>
          <t>accrued interest on a bond — interest earned since the last coupon</t>
        </is>
      </c>
      <c r="C66" s="3" t="inlineStr">
        <is>
          <t>typed by the person on the Bonds screen (optional)</t>
        </is>
      </c>
      <c r="D66" s="3" t="inlineStr">
        <is>
          <t>accrued_interest · accruedInterest · accruedInterestCaveat</t>
        </is>
      </c>
      <c r="E66" s="3" t="inlineStr">
        <is>
          <t>1. MK-NW-F-070 accruedInterestCaveat
2. MK-NW-F-060 approxYTM
3. MK-NW-F-056 bondInfo
4. MK-NW-F-072 rowOf</t>
        </is>
      </c>
      <c r="F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66" s="3" t="inlineStr">
        <is>
          <t>SWEPT FROM THE CODE 2026-08-26</t>
        </is>
      </c>
      <c r="H66" s="3" t="inlineStr">
        <is>
          <t>ACTIVE</t>
        </is>
      </c>
      <c r="I66" s="3" t="inlineStr">
        <is>
          <t>2026-10-09</t>
        </is>
      </c>
      <c r="J66" s="6" t="inlineStr">
        <is>
          <t>TESTED, NOT VERIFIED (A47) · reach generated from the code each build</t>
        </is>
      </c>
    </row>
  </sheetData>
  <autoFilter ref="A1:J6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52" customWidth="1" min="3" max="3"/>
    <col width="44" customWidth="1" min="4" max="4"/>
    <col width="44" customWidth="1" min="5" max="5"/>
    <col width="44" customWidth="1" min="6" max="6"/>
    <col width="26" customWidth="1" min="7" max="7"/>
  </cols>
  <sheetData>
    <row r="1" ht="15" customHeight="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ht="45" customHeight="1">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ht="30" customHeight="1">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ht="30" customHeight="1">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ht="30" customHeight="1">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ht="30" customHeight="1">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ht="15" customHeight="1">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ht="15" customHeight="1">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ht="15" customHeight="1">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ht="30" customHeight="1">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ht="30" customHeight="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ht="30" customHeight="1">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ht="30" customHeight="1">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ht="30" customHeight="1">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ht="30" customHeight="1">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ht="30" customHeight="1">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ht="30" customHeight="1">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ht="45" customHeight="1">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ht="30" customHeight="1">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ht="30" customHeight="1">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ht="30" customHeight="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ht="30" customHeight="1">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ht="30" customHeight="1">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ht="30" customHeight="1">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ht="30" customHeight="1">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ht="30" customHeight="1">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ht="60" customHeight="1">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ht="30" customHeight="1">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ht="60" customHeight="1">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ht="30" customHeight="1">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ht="60" customHeight="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autoFilter ref="A1:G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6"/>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ht="15" customHeight="1">
      <c r="A1" s="1" t="inlineStr">
        <is>
          <t>Screen name</t>
        </is>
      </c>
      <c r="B1" s="1" t="inlineStr">
        <is>
          <t>Parent screen</t>
        </is>
      </c>
      <c r="C1" s="1" t="inlineStr">
        <is>
          <t>Core or not — my recommendation</t>
        </is>
      </c>
      <c r="D1" s="1" t="inlineStr">
        <is>
          <t>JJ — Decision (Y/N)</t>
        </is>
      </c>
    </row>
    <row r="2" ht="30" customHeight="1">
      <c r="A2" s="3" t="inlineStr">
        <is>
          <t>/account-detail</t>
        </is>
      </c>
      <c r="B2" s="3" t="inlineStr">
        <is>
          <t>Cashflow · Home · Networth · Performance · Plan</t>
        </is>
      </c>
      <c r="C2" s="3" t="inlineStr">
        <is>
          <t>Yes — where a wrong balance is chased</t>
        </is>
      </c>
      <c r="D2" s="3" t="inlineStr"/>
    </row>
    <row r="3" ht="30" customHeight="1">
      <c r="A3" s="3" t="inlineStr">
        <is>
          <t>/add-account</t>
        </is>
      </c>
      <c r="B3" s="3" t="inlineStr">
        <is>
          <t>Cashflow · Home · Networth · Performance · Plan</t>
        </is>
      </c>
      <c r="C3" s="3" t="inlineStr">
        <is>
          <t>Yes</t>
        </is>
      </c>
      <c r="D3" s="3" t="inlineStr"/>
    </row>
    <row r="4" ht="15" customHeight="1">
      <c r="A4" s="3" t="inlineStr">
        <is>
          <t>/analytics</t>
        </is>
      </c>
      <c r="B4" s="3" t="inlineStr">
        <is>
          <t>Networth</t>
        </is>
      </c>
      <c r="C4" s="3" t="inlineStr">
        <is>
          <t>Yes — Net worth</t>
        </is>
      </c>
      <c r="D4" s="3" t="inlineStr"/>
    </row>
    <row r="5" ht="15" customHeight="1">
      <c r="A5" s="3" t="inlineStr">
        <is>
          <t>/auth</t>
        </is>
      </c>
      <c r="B5" s="3" t="inlineStr">
        <is>
          <t>Menu</t>
        </is>
      </c>
      <c r="C5" s="3" t="inlineStr">
        <is>
          <t>Yes — the way in</t>
        </is>
      </c>
      <c r="D5" s="3" t="inlineStr"/>
    </row>
    <row r="6" ht="15" customHeight="1">
      <c r="A6" s="3" t="inlineStr">
        <is>
          <t>/big-costs</t>
        </is>
      </c>
      <c r="B6" s="3" t="inlineStr">
        <is>
          <t>Menu</t>
        </is>
      </c>
      <c r="C6" s="3" t="inlineStr">
        <is>
          <t>Yes — the costs that break a plan</t>
        </is>
      </c>
      <c r="D6" s="3" t="inlineStr"/>
    </row>
    <row r="7" ht="15" customHeight="1">
      <c r="A7" s="3" t="inlineStr">
        <is>
          <t>/bill-calendar</t>
        </is>
      </c>
      <c r="B7" s="3" t="inlineStr">
        <is>
          <t>Cashflow · Home</t>
        </is>
      </c>
      <c r="C7" s="3" t="inlineStr">
        <is>
          <t>Yes</t>
        </is>
      </c>
      <c r="D7" s="3" t="inlineStr"/>
    </row>
    <row r="8" ht="30" customHeight="1">
      <c r="A8" s="3" t="inlineStr">
        <is>
          <t>/bonds</t>
        </is>
      </c>
      <c r="B8" s="3" t="inlineStr">
        <is>
          <t>Cashflow · Home · Networth · Performance · Plan</t>
        </is>
      </c>
      <c r="C8" s="3" t="inlineStr">
        <is>
          <t>Yes — this age group holds them</t>
        </is>
      </c>
      <c r="D8" s="3" t="inlineStr"/>
    </row>
    <row r="9" ht="15" customHeight="1">
      <c r="A9" s="3" t="inlineStr">
        <is>
          <t>/cashflow</t>
        </is>
      </c>
      <c r="B9" s="3" t="inlineStr">
        <is>
          <t>Cashflow</t>
        </is>
      </c>
      <c r="C9" s="3" t="inlineStr">
        <is>
          <t>Yes — Cash flow</t>
        </is>
      </c>
      <c r="D9" s="3" t="inlineStr"/>
    </row>
    <row r="10" ht="15" customHeight="1">
      <c r="A10" s="3" t="inlineStr">
        <is>
          <t>/connect</t>
        </is>
      </c>
      <c r="B10" s="3" t="inlineStr">
        <is>
          <t>Home</t>
        </is>
      </c>
      <c r="C10" s="3" t="inlineStr">
        <is>
          <t>Yes</t>
        </is>
      </c>
      <c r="D10" s="3" t="inlineStr"/>
    </row>
    <row r="11" ht="15" customHeight="1">
      <c r="A11" s="3" t="inlineStr">
        <is>
          <t>/contribution-room</t>
        </is>
      </c>
      <c r="B11" s="3" t="inlineStr">
        <is>
          <t>Menu</t>
        </is>
      </c>
      <c r="C11" s="3" t="inlineStr">
        <is>
          <t>Yes — still relevant while working</t>
        </is>
      </c>
      <c r="D11" s="3" t="inlineStr"/>
    </row>
    <row r="12" ht="15" customHeight="1">
      <c r="A12" s="3" t="inlineStr">
        <is>
          <t>/credit</t>
        </is>
      </c>
      <c r="B12" s="3" t="inlineStr">
        <is>
          <t>Menu</t>
        </is>
      </c>
      <c r="C12" s="3" t="inlineStr">
        <is>
          <t>No — a working-age worry</t>
        </is>
      </c>
      <c r="D12" s="3" t="inlineStr"/>
    </row>
    <row r="13" ht="15" customHeight="1">
      <c r="A13" s="3" t="inlineStr">
        <is>
          <t>/education</t>
        </is>
      </c>
      <c r="B13" s="3" t="inlineStr">
        <is>
          <t>Plan</t>
        </is>
      </c>
      <c r="C13" s="3" t="inlineStr">
        <is>
          <t>No — college costs belong to the younger group</t>
        </is>
      </c>
      <c r="D13" s="3" t="inlineStr"/>
    </row>
    <row r="14" ht="15" customHeight="1">
      <c r="A14" s="3" t="inlineStr">
        <is>
          <t>/estate</t>
        </is>
      </c>
      <c r="B14" s="3" t="inlineStr">
        <is>
          <t>Menu</t>
        </is>
      </c>
      <c r="C14" s="3" t="inlineStr">
        <is>
          <t>Yes — squarely a 55-70 concern</t>
        </is>
      </c>
      <c r="D14" s="3" t="inlineStr"/>
    </row>
    <row r="15" ht="15" customHeight="1">
      <c r="A15" s="3" t="inlineStr">
        <is>
          <t>/expense</t>
        </is>
      </c>
      <c r="B15" s="3" t="inlineStr">
        <is>
          <t>Menu</t>
        </is>
      </c>
      <c r="C15" s="3" t="inlineStr">
        <is>
          <t>Yes</t>
        </is>
      </c>
      <c r="D15" s="3" t="inlineStr"/>
    </row>
    <row r="16" ht="15" customHeight="1">
      <c r="A16" s="3" t="inlineStr">
        <is>
          <t>/first-run</t>
        </is>
      </c>
      <c r="B16" s="3" t="inlineStr">
        <is>
          <t>Menu</t>
        </is>
      </c>
      <c r="C16" s="3" t="inlineStr">
        <is>
          <t>Yes</t>
        </is>
      </c>
      <c r="D16" s="3" t="inlineStr"/>
    </row>
    <row r="17" ht="15" customHeight="1">
      <c r="A17" s="3" t="inlineStr">
        <is>
          <t>/goals</t>
        </is>
      </c>
      <c r="B17" s="3" t="inlineStr">
        <is>
          <t>Menu</t>
        </is>
      </c>
      <c r="C17" s="3" t="inlineStr">
        <is>
          <t>Yes</t>
        </is>
      </c>
      <c r="D17" s="3" t="inlineStr"/>
    </row>
    <row r="18" ht="30" customHeight="1">
      <c r="A18" s="3" t="inlineStr">
        <is>
          <t>/holding-detail</t>
        </is>
      </c>
      <c r="B18" s="3" t="inlineStr">
        <is>
          <t>Cashflow · Home · Networth · Performance · Plan</t>
        </is>
      </c>
      <c r="C18" s="3" t="inlineStr">
        <is>
          <t>Yes — where a wrong gain is chased</t>
        </is>
      </c>
      <c r="D18" s="3" t="inlineStr"/>
    </row>
    <row r="19" ht="15" customHeight="1">
      <c r="A19" s="3" t="inlineStr">
        <is>
          <t>/home</t>
        </is>
      </c>
      <c r="B19" s="3" t="inlineStr">
        <is>
          <t>Home</t>
        </is>
      </c>
      <c r="C19" s="3" t="inlineStr">
        <is>
          <t>Yes — the first screen</t>
        </is>
      </c>
      <c r="D19" s="3" t="inlineStr"/>
    </row>
    <row r="20" ht="15" customHeight="1">
      <c r="A20" s="3" t="inlineStr">
        <is>
          <t>/import-holdings</t>
        </is>
      </c>
      <c r="B20" s="3" t="inlineStr">
        <is>
          <t>Home</t>
        </is>
      </c>
      <c r="C20" s="3" t="inlineStr">
        <is>
          <t>Yes — the way real data gets in</t>
        </is>
      </c>
      <c r="D20" s="3" t="inlineStr"/>
    </row>
    <row r="21" ht="15" customHeight="1">
      <c r="A21" s="3" t="inlineStr">
        <is>
          <t>/income-detail</t>
        </is>
      </c>
      <c r="B21" s="3" t="inlineStr">
        <is>
          <t>Menu</t>
        </is>
      </c>
      <c r="C21" s="3" t="inlineStr">
        <is>
          <t>Yes</t>
        </is>
      </c>
      <c r="D21" s="3" t="inlineStr"/>
    </row>
    <row r="22" ht="15" customHeight="1">
      <c r="A22" s="3" t="inlineStr">
        <is>
          <t>/income-manager</t>
        </is>
      </c>
      <c r="B22" s="3" t="inlineStr">
        <is>
          <t>Cashflow · Home · Networth</t>
        </is>
      </c>
      <c r="C22" s="3" t="inlineStr">
        <is>
          <t>Yes</t>
        </is>
      </c>
      <c r="D22" s="3" t="inlineStr"/>
    </row>
    <row r="23" ht="15" customHeight="1">
      <c r="A23" s="3" t="inlineStr">
        <is>
          <t>/insights</t>
        </is>
      </c>
      <c r="B23" s="3" t="inlineStr">
        <is>
          <t>Menu</t>
        </is>
      </c>
      <c r="C23" s="3" t="inlineStr">
        <is>
          <t>Yes — what needs you today</t>
        </is>
      </c>
      <c r="D23" s="3" t="inlineStr"/>
    </row>
    <row r="24" ht="15" customHeight="1">
      <c r="A24" s="3" t="inlineStr">
        <is>
          <t>/insurance</t>
        </is>
      </c>
      <c r="B24" s="3" t="inlineStr">
        <is>
          <t>Menu</t>
        </is>
      </c>
      <c r="C24" s="3" t="inlineStr">
        <is>
          <t>Borderline — matters at 55, less at 70</t>
        </is>
      </c>
      <c r="D24" s="3" t="inlineStr"/>
    </row>
    <row r="25" ht="15" customHeight="1">
      <c r="A25" s="3" t="inlineStr">
        <is>
          <t>/invest</t>
        </is>
      </c>
      <c r="B25" s="3" t="inlineStr">
        <is>
          <t>Performance</t>
        </is>
      </c>
      <c r="C25" s="3" t="inlineStr">
        <is>
          <t>Yes — Performance</t>
        </is>
      </c>
      <c r="D25" s="3" t="inlineStr"/>
    </row>
    <row r="26" ht="30" customHeight="1">
      <c r="A26" s="3" t="inlineStr">
        <is>
          <t>/itemize</t>
        </is>
      </c>
      <c r="B26" s="3" t="inlineStr">
        <is>
          <t>Cashflow · Home · Networth · Performance · Plan</t>
        </is>
      </c>
      <c r="C26" s="3" t="inlineStr">
        <is>
          <t>Yes — splitting one lump into holdings</t>
        </is>
      </c>
      <c r="D26" s="3" t="inlineStr"/>
    </row>
    <row r="27" ht="15" customHeight="1">
      <c r="A27" s="3" t="inlineStr">
        <is>
          <t>/jobsafety</t>
        </is>
      </c>
      <c r="B27" s="3" t="inlineStr">
        <is>
          <t>Menu</t>
        </is>
      </c>
      <c r="C27" s="3" t="inlineStr">
        <is>
          <t>No — a working-age worry</t>
        </is>
      </c>
      <c r="D27" s="3" t="inlineStr"/>
    </row>
    <row r="28" ht="30" customHeight="1">
      <c r="A28" s="3" t="inlineStr">
        <is>
          <t>/look-back</t>
        </is>
      </c>
      <c r="B28" s="3" t="inlineStr">
        <is>
          <t>Cashflow · Home · Networth · Performance · Plan</t>
        </is>
      </c>
      <c r="C28" s="3" t="inlineStr">
        <is>
          <t>Borderline — interesting, not needed to trust a number</t>
        </is>
      </c>
      <c r="D28" s="3" t="inlineStr"/>
    </row>
    <row r="29" ht="30" customHeight="1">
      <c r="A29" s="3" t="inlineStr">
        <is>
          <t>/monthly-income</t>
        </is>
      </c>
      <c r="B29" s="3" t="inlineStr">
        <is>
          <t>Cashflow · Home · Networth · Plan</t>
        </is>
      </c>
      <c r="C29" s="3" t="inlineStr">
        <is>
          <t>Yes</t>
        </is>
      </c>
      <c r="D29" s="3" t="inlineStr"/>
    </row>
    <row r="30" ht="15" customHeight="1">
      <c r="A30" s="3" t="inlineStr">
        <is>
          <t>/multi-goal</t>
        </is>
      </c>
      <c r="B30" s="3" t="inlineStr">
        <is>
          <t>Plan</t>
        </is>
      </c>
      <c r="C30" s="3" t="inlineStr">
        <is>
          <t>Yes</t>
        </is>
      </c>
      <c r="D30" s="3" t="inlineStr"/>
    </row>
    <row r="31" ht="15" customHeight="1">
      <c r="A31" s="3" t="inlineStr">
        <is>
          <t>/onboarding</t>
        </is>
      </c>
      <c r="B31" s="3" t="inlineStr">
        <is>
          <t>Cashflow · Home</t>
        </is>
      </c>
      <c r="C31" s="3" t="inlineStr">
        <is>
          <t>Yes</t>
        </is>
      </c>
      <c r="D31" s="3" t="inlineStr"/>
    </row>
    <row r="32" ht="15" customHeight="1">
      <c r="A32" s="3" t="inlineStr">
        <is>
          <t>/other-investments</t>
        </is>
      </c>
      <c r="B32" s="3" t="inlineStr">
        <is>
          <t>Menu</t>
        </is>
      </c>
      <c r="C32" s="3" t="inlineStr">
        <is>
          <t>Yes — the things with no market price</t>
        </is>
      </c>
      <c r="D32" s="3" t="inlineStr"/>
    </row>
    <row r="33" ht="30" customHeight="1">
      <c r="A33" s="3" t="inlineStr">
        <is>
          <t>/performance</t>
        </is>
      </c>
      <c r="B33" s="3" t="inlineStr">
        <is>
          <t>Cashflow · Home · Networth · Plan</t>
        </is>
      </c>
      <c r="C33" s="3" t="inlineStr">
        <is>
          <t>Yes — a second route to Performance</t>
        </is>
      </c>
      <c r="D33" s="3" t="inlineStr"/>
    </row>
    <row r="34" ht="15" customHeight="1">
      <c r="A34" s="3" t="inlineStr">
        <is>
          <t>/plan</t>
        </is>
      </c>
      <c r="B34" s="3" t="inlineStr">
        <is>
          <t>Plan</t>
        </is>
      </c>
      <c r="C34" s="3" t="inlineStr">
        <is>
          <t>Yes — Plan</t>
        </is>
      </c>
      <c r="D34" s="3" t="inlineStr"/>
    </row>
    <row r="35" ht="15" customHeight="1">
      <c r="A35" s="3" t="inlineStr">
        <is>
          <t>/required-withdrawals</t>
        </is>
      </c>
      <c r="B35" s="3" t="inlineStr">
        <is>
          <t>Plan</t>
        </is>
      </c>
      <c r="C35" s="3" t="inlineStr">
        <is>
          <t>Yes — a 73+ obligation</t>
        </is>
      </c>
      <c r="D35" s="3" t="inlineStr"/>
    </row>
    <row r="36" ht="30" customHeight="1">
      <c r="A36" s="3" t="inlineStr">
        <is>
          <t>/retirement</t>
        </is>
      </c>
      <c r="B36" s="3" t="inlineStr">
        <is>
          <t>Cashflow · Home · Networth · Plan</t>
        </is>
      </c>
      <c r="C36" s="3" t="inlineStr">
        <is>
          <t>Yes — the cockpit</t>
        </is>
      </c>
      <c r="D36" s="3" t="inlineStr"/>
    </row>
    <row r="37" ht="15" customHeight="1">
      <c r="A37" s="3" t="inlineStr">
        <is>
          <t>/rewards</t>
        </is>
      </c>
      <c r="B37" s="3" t="inlineStr">
        <is>
          <t>Menu</t>
        </is>
      </c>
      <c r="C37" s="3" t="inlineStr">
        <is>
          <t>No — encouragement, not a number</t>
        </is>
      </c>
      <c r="D37" s="3" t="inlineStr"/>
    </row>
    <row r="38" ht="15" customHeight="1">
      <c r="A38" s="3" t="inlineStr">
        <is>
          <t>/roth</t>
        </is>
      </c>
      <c r="B38" s="3" t="inlineStr">
        <is>
          <t>Plan</t>
        </is>
      </c>
      <c r="C38" s="3" t="inlineStr">
        <is>
          <t>Yes — a 55-70 decision</t>
        </is>
      </c>
      <c r="D38" s="3" t="inlineStr"/>
    </row>
    <row r="39" ht="15" customHeight="1">
      <c r="A39" s="3" t="inlineStr">
        <is>
          <t>/settings</t>
        </is>
      </c>
      <c r="B39" s="3" t="inlineStr">
        <is>
          <t>Menu</t>
        </is>
      </c>
      <c r="C39" s="3" t="inlineStr">
        <is>
          <t>Yes — carries hide-balances and the lock</t>
        </is>
      </c>
      <c r="D39" s="3" t="inlineStr"/>
    </row>
    <row r="40" ht="15" customHeight="1">
      <c r="A40" s="3" t="inlineStr">
        <is>
          <t>/sharpen</t>
        </is>
      </c>
      <c r="B40" s="3" t="inlineStr">
        <is>
          <t>Plan</t>
        </is>
      </c>
      <c r="C40" s="3" t="inlineStr">
        <is>
          <t>Borderline — a way in, not a figure</t>
        </is>
      </c>
      <c r="D40" s="3" t="inlineStr"/>
    </row>
    <row r="41" ht="15" customHeight="1">
      <c r="A41" s="3" t="inlineStr">
        <is>
          <t>/ss-timing</t>
        </is>
      </c>
      <c r="B41" s="3" t="inlineStr">
        <is>
          <t>Plan</t>
        </is>
      </c>
      <c r="C41" s="3" t="inlineStr">
        <is>
          <t>Yes — a 55-70 decision</t>
        </is>
      </c>
      <c r="D41" s="3" t="inlineStr"/>
    </row>
    <row r="42" ht="15" customHeight="1">
      <c r="A42" s="3" t="inlineStr">
        <is>
          <t>/stress-test</t>
        </is>
      </c>
      <c r="B42" s="3" t="inlineStr">
        <is>
          <t>Menu</t>
        </is>
      </c>
      <c r="C42" s="3" t="inlineStr">
        <is>
          <t>Borderline</t>
        </is>
      </c>
      <c r="D42" s="3" t="inlineStr"/>
    </row>
    <row r="43" ht="15" customHeight="1">
      <c r="A43" s="3" t="inlineStr">
        <is>
          <t>/tax-organizer</t>
        </is>
      </c>
      <c r="B43" s="3" t="inlineStr">
        <is>
          <t>Menu</t>
        </is>
      </c>
      <c r="C43" s="3" t="inlineStr">
        <is>
          <t>Yes</t>
        </is>
      </c>
      <c r="D43" s="3" t="inlineStr"/>
    </row>
    <row r="44" ht="15" customHeight="1">
      <c r="A44" s="3" t="inlineStr">
        <is>
          <t>/tips</t>
        </is>
      </c>
      <c r="B44" s="3" t="inlineStr">
        <is>
          <t>Menu</t>
        </is>
      </c>
      <c r="C44" s="3" t="inlineStr">
        <is>
          <t>No — encouragement, not a number</t>
        </is>
      </c>
      <c r="D44" s="3" t="inlineStr"/>
    </row>
    <row r="45" ht="15" customHeight="1">
      <c r="A45" s="3" t="inlineStr">
        <is>
          <t>/what-if</t>
        </is>
      </c>
      <c r="B45" s="3" t="inlineStr">
        <is>
          <t>Menu</t>
        </is>
      </c>
      <c r="C45" s="3" t="inlineStr">
        <is>
          <t>Yes</t>
        </is>
      </c>
      <c r="D45" s="3" t="inlineStr"/>
    </row>
    <row r="46" ht="15" customHeight="1">
      <c r="A46" s="3" t="inlineStr">
        <is>
          <t>/will-it-last</t>
        </is>
      </c>
      <c r="B46" s="3" t="inlineStr">
        <is>
          <t>Plan</t>
        </is>
      </c>
      <c r="C46" s="3" t="inlineStr">
        <is>
          <t>Yes — the question the whole plan answers</t>
        </is>
      </c>
      <c r="D46" s="3" t="inlineStr"/>
    </row>
  </sheetData>
  <autoFilter ref="A1:D46"/>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8"/>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52" customWidth="1" min="5" max="5"/>
  </cols>
  <sheetData>
    <row r="1" ht="45" customHeight="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ht="60" customHeight="1">
      <c r="A2" s="3" t="inlineStr">
        <is>
          <t>MK-XS-I-001</t>
        </is>
      </c>
      <c r="B2" s="3" t="inlineStr">
        <is>
          <t>account balance</t>
        </is>
      </c>
      <c r="C2" s="3" t="inlineStr">
        <is>
          <t>MK-NW-M-051 · MK-NW-M-052 · MK-NW-M-053 · MK-NW-M-054 · MK-NW-M-056 · MK-NW-M-057 · MK-NW-M-058 · MK-NW-M-059 · MK-NW-M-061 · MK-NW-M-063 · MK-PL-M-016 · MK-PL-M-026 · MK-PL-M-033</t>
        </is>
      </c>
      <c r="D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2" s="3" t="inlineStr">
        <is>
          <t>PARTLY AGREES — declared but not reached: MK-NW-M-059, MK-NW-M-061, MK-PL-M-016, MK-PL-M-026, MK-PL-M-033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MK-NW-M-055, MK-NW-M-062,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3" ht="60" customHeight="1">
      <c r="A3" s="3" t="inlineStr">
        <is>
          <t>MK-XS-I-002</t>
        </is>
      </c>
      <c r="B3" s="3" t="inlineStr">
        <is>
          <t>account type (taxable, pre-tax, Roth)</t>
        </is>
      </c>
      <c r="C3" s="3" t="inlineStr">
        <is>
          <t>MK-CF-M-070</t>
        </is>
      </c>
      <c r="D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MK-NW-M-051, MK-NW-M-052, MK-NW-M-053, MK-NW-M-054, MK-NW-M-055, MK-NW-M-056, MK-NW-M-057, MK-NW-M-058, MK-NW-M-062, MK-NW-M-063, MK-NW-M-064, MK-PF-M-002, MK-PF-M-003, MK-PF-M-005, MK-PF-M-006, MK-PF-M-007, MK-PF-M-008, MK-PF-M-013, MK-PF-M-014, MK-PF-M-015, MK-PF-M-016, MK-PF-M-017, MK-PF-M-018, MK-PF-M-019, MK-PF-M-020, MK-PL-M-001, MK-PL-M-002, MK-PL-M-008, MK-PL-M-009, MK-PL-M-011, MK-PL-M-029, MK-PL-M-034, MK-XS-M-001, MK-XS-M-002, MK-XS-M-003, MK-XS-M-004, MK-XS-M-005, MK-XS-M-006</t>
        </is>
      </c>
    </row>
    <row r="4" ht="60" customHeight="1">
      <c r="A4" s="3" t="inlineStr">
        <is>
          <t>MK-XS-I-003</t>
        </is>
      </c>
      <c r="B4" s="3" t="inlineStr">
        <is>
          <t>institution name</t>
        </is>
      </c>
      <c r="C4" s="3" t="inlineStr">
        <is>
          <t>MK-NW-M-008</t>
        </is>
      </c>
      <c r="D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MK-PL-M-001, MK-PL-M-002, MK-PL-M-008, MK-PL-M-009, MK-PL-M-011, MK-PL-M-029, MK-PL-M-034, MK-XS-M-001, MK-XS-M-002, MK-XS-M-003, MK-XS-M-004, MK-XS-M-005, MK-XS-M-006</t>
        </is>
      </c>
    </row>
    <row r="5" ht="60" customHeight="1">
      <c r="A5" s="3" t="inlineStr">
        <is>
          <t>MK-XS-I-004</t>
        </is>
      </c>
      <c r="B5" s="3" t="inlineStr">
        <is>
          <t>holding quantity (shares)</t>
        </is>
      </c>
      <c r="C5" s="3" t="inlineStr">
        <is>
          <t>MK-NW-M-040</t>
        </is>
      </c>
      <c r="D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6" ht="60" customHeight="1">
      <c r="A6" s="3" t="inlineStr">
        <is>
          <t>MK-XS-I-005</t>
        </is>
      </c>
      <c r="B6" s="3" t="inlineStr">
        <is>
          <t>holding price</t>
        </is>
      </c>
      <c r="C6" s="3" t="inlineStr">
        <is>
          <t>MK-CF-M-009 · MK-NW-M-040</t>
        </is>
      </c>
      <c r="D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E6" s="3" t="inlineStr">
        <is>
          <t>PARTLY AGREES — reached but not declared: MK-CF-M-001, MK-CF-M-002, MK-CF-M-003, MK-CF-M-006, MK-CF-M-007, MK-CF-M-008,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MK-NW-M-014, MK-NW-M-015, MK-NW-M-016, MK-NW-M-017, MK-NW-M-019, MK-NW-M-020, MK-NW-M-021, MK-NW-M-023, MK-NW-M-024, MK-NW-M-025, MK-NW-M-026, MK-NW-M-027, MK-NW-M-029, MK-NW-M-030, MK-NW-M-031,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MK-PF-M-010, MK-PF-M-011, MK-PF-M-012, MK-PF-M-013, MK-PF-M-014, MK-PF-M-015, MK-PF-M-016, MK-PF-M-017, MK-PF-M-018, MK-PF-M-019, MK-PF-M-020, MK-PL-M-001, MK-PL-M-002, MK-PL-M-008, MK-PL-M-009, MK-PL-M-011, MK-PL-M-029, MK-PL-M-034, MK-XS-M-001, MK-XS-M-002, MK-XS-M-003, MK-XS-M-004, MK-XS-M-005, MK-XS-M-006</t>
        </is>
      </c>
    </row>
    <row r="7" ht="60" customHeight="1">
      <c r="A7" s="3" t="inlineStr">
        <is>
          <t>MK-XS-I-006</t>
        </is>
      </c>
      <c r="B7" s="3" t="inlineStr">
        <is>
          <t>price fetched at</t>
        </is>
      </c>
      <c r="C7" s="3" t="inlineStr">
        <is>
          <t>MK-HM-M-001 · MK-NW-M-060 · MK-PF-M-006 · MK-PF-M-008 · MK-XS-M-004</t>
        </is>
      </c>
      <c r="D7" s="3" t="inlineStr">
        <is>
          <t>MK-HM-M-001 · MK-MN-M-016 · MK-NW-M-001 · MK-NW-M-002 · MK-NW-M-003 · MK-NW-M-004 · MK-NW-M-005 · MK-NW-M-006 · MK-NW-M-007 · MK-NW-M-008 · MK-NW-M-009 · MK-NW-M-011 · MK-NW-M-015 · MK-NW-M-016 · MK-NW-M-017 · MK-NW-M-049 · MK-NW-M-063 · MK-XS-M-001 · MK-XS-M-003</t>
        </is>
      </c>
      <c r="E7" s="3" t="inlineStr">
        <is>
          <t>PARTLY AGREES — declared but not reached: MK-NW-M-060, MK-PF-M-006, MK-PF-M-008, MK-XS-M-004  |  reached but not declared: MK-MN-M-016, MK-NW-M-001, MK-NW-M-002, MK-NW-M-003, MK-NW-M-004, MK-NW-M-005, MK-NW-M-006, MK-NW-M-007, MK-NW-M-008, MK-NW-M-009, MK-NW-M-011, MK-NW-M-015, MK-NW-M-016, MK-NW-M-017, MK-NW-M-049, MK-NW-M-063, MK-XS-M-001, MK-XS-M-003</t>
        </is>
      </c>
    </row>
    <row r="8" ht="60" customHeight="1">
      <c r="A8" s="3" t="inlineStr">
        <is>
          <t>MK-XS-I-007</t>
        </is>
      </c>
      <c r="B8" s="3" t="inlineStr">
        <is>
          <t>purchase price and date (per lot)</t>
        </is>
      </c>
      <c r="C8" s="3" t="inlineStr">
        <is>
          <t>—</t>
        </is>
      </c>
      <c r="D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8" s="3" t="inlineStr">
        <is>
          <t>REACHED BUT NOT DECLARED — functions reading this input serve these figures, but no figure lists it among its inputs.</t>
        </is>
      </c>
    </row>
    <row r="9" ht="60" customHeight="1">
      <c r="A9" s="3" t="inlineStr">
        <is>
          <t>MK-XS-I-008</t>
        </is>
      </c>
      <c r="B9" s="3" t="inlineStr">
        <is>
          <t>transaction amount</t>
        </is>
      </c>
      <c r="C9" s="3" t="inlineStr">
        <is>
          <t>MK-PL-M-017 · MK-PL-M-018 · MK-PL-M-019 · MK-PL-M-032</t>
        </is>
      </c>
      <c r="D9" s="3" t="inlineStr">
        <is>
          <t>MK-MN-M-016 · MK-NW-M-001 · MK-NW-M-002 · MK-NW-M-003 · MK-NW-M-004 · MK-NW-M-005 · MK-NW-M-006 · MK-NW-M-007 · MK-NW-M-008 · MK-NW-M-009 · MK-NW-M-011 · MK-NW-M-015 · MK-NW-M-016 · MK-NW-M-017 · MK-NW-M-019 · MK-NW-M-020 · MK-NW-M-021 · MK-NW-M-038 · MK-NW-M-039 · MK-NW-M-040 · MK-NW-M-049 · MK-NW-M-062 · MK-NW-M-063 · MK-XS-M-001 · MK-XS-M-003</t>
        </is>
      </c>
      <c r="E9" s="3" t="inlineStr">
        <is>
          <t>PARTLY AGREES — declared but not reached: MK-PL-M-017, MK-PL-M-018, MK-PL-M-019, MK-PL-M-032  |  reached but not declared: MK-MN-M-016, MK-NW-M-001, MK-NW-M-002, MK-NW-M-003, MK-NW-M-004, MK-NW-M-005, MK-NW-M-006, MK-NW-M-007, MK-NW-M-008, MK-NW-M-009, MK-NW-M-011, MK-NW-M-015, MK-NW-M-016, MK-NW-M-017, MK-NW-M-019, MK-NW-M-020, MK-NW-M-021, MK-NW-M-038, MK-NW-M-039, MK-NW-M-040, MK-NW-M-049, MK-NW-M-062, MK-NW-M-063, MK-XS-M-001, MK-XS-M-003</t>
        </is>
      </c>
    </row>
    <row r="10" ht="60" customHeight="1">
      <c r="A10" s="3" t="inlineStr">
        <is>
          <t>MK-XS-I-009</t>
        </is>
      </c>
      <c r="B10" s="3" t="inlineStr">
        <is>
          <t>transaction date</t>
        </is>
      </c>
      <c r="C10" s="3" t="inlineStr">
        <is>
          <t>—</t>
        </is>
      </c>
      <c r="D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E10" s="3" t="inlineStr">
        <is>
          <t>REACHED BUT NOT DECLARED — functions reading this input serve these figures, but no figure lists it among its inputs.</t>
        </is>
      </c>
    </row>
    <row r="11" ht="60" customHeight="1">
      <c r="A11" s="3" t="inlineStr">
        <is>
          <t>MK-XS-I-010</t>
        </is>
      </c>
      <c r="B11" s="3" t="inlineStr">
        <is>
          <t>transaction words (the institution's own wording)</t>
        </is>
      </c>
      <c r="C11" s="3" t="inlineStr">
        <is>
          <t>—</t>
        </is>
      </c>
      <c r="D11"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E11" s="3" t="inlineStr">
        <is>
          <t>REACHED BUT NOT DECLARED — functions reading this input serve these figures, but no figure lists it among its inputs.</t>
        </is>
      </c>
    </row>
    <row r="12" ht="60" customHeight="1">
      <c r="A12" s="3" t="inlineStr">
        <is>
          <t>MK-XS-I-011</t>
        </is>
      </c>
      <c r="B12" s="3" t="inlineStr">
        <is>
          <t>bond face value</t>
        </is>
      </c>
      <c r="C12" s="3" t="inlineStr">
        <is>
          <t>MK-NW-M-055</t>
        </is>
      </c>
      <c r="D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MK-NW-M-028, MK-NW-M-041, MK-NW-M-042, MK-NW-M-043, MK-NW-M-044, MK-NW-M-045, MK-NW-M-046, MK-NW-M-047, MK-NW-M-048, MK-NW-M-049, MK-NW-M-050, MK-NW-M-051, MK-NW-M-052, MK-NW-M-053, MK-NW-M-054, MK-NW-M-056, MK-NW-M-057, MK-NW-M-058, MK-NW-M-063, MK-NW-M-064, MK-PF-M-002, MK-PF-M-003, MK-PF-M-005, MK-PF-M-006, MK-PF-M-007, MK-PF-M-008, MK-PF-M-013, MK-PF-M-014, MK-PF-M-015, MK-PF-M-016, MK-PF-M-017, MK-PF-M-018, MK-PF-M-019, MK-PF-M-020, MK-XS-M-001, MK-XS-M-003, MK-XS-M-004, MK-XS-M-005, MK-XS-M-006</t>
        </is>
      </c>
    </row>
    <row r="13" ht="60" customHeight="1">
      <c r="A13" s="3" t="inlineStr">
        <is>
          <t>MK-XS-I-012</t>
        </is>
      </c>
      <c r="B13" s="3" t="inlineStr">
        <is>
          <t>bond coupon rate</t>
        </is>
      </c>
      <c r="C13" s="3" t="inlineStr">
        <is>
          <t>—</t>
        </is>
      </c>
      <c r="D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3" s="3" t="inlineStr">
        <is>
          <t>REACHED BUT NOT DECLARED — functions reading this input serve these figures, but no figure lists it among its inputs.</t>
        </is>
      </c>
    </row>
    <row r="14" ht="60" customHeight="1">
      <c r="A14" s="3" t="inlineStr">
        <is>
          <t>MK-XS-I-013</t>
        </is>
      </c>
      <c r="B14" s="3" t="inlineStr">
        <is>
          <t>bond maturity date</t>
        </is>
      </c>
      <c r="C14" s="3" t="inlineStr">
        <is>
          <t>—</t>
        </is>
      </c>
      <c r="D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14" s="3" t="inlineStr">
        <is>
          <t>REACHED BUT NOT DECLARED — functions reading this input serve these figures, but no figure lists it among its inputs.</t>
        </is>
      </c>
    </row>
    <row r="15" ht="60" customHeight="1">
      <c r="A15" s="3" t="inlineStr">
        <is>
          <t>MK-XS-I-014</t>
        </is>
      </c>
      <c r="B15" s="3" t="inlineStr">
        <is>
          <t>debt balance</t>
        </is>
      </c>
      <c r="C15" s="3" t="inlineStr">
        <is>
          <t>MK-CF-M-057 · MK-CF-M-058 · MK-CF-M-059 · MK-CF-M-074 · MK-CF-M-075 · MK-NW-M-016</t>
        </is>
      </c>
      <c r="D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E1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MK-MN-M-006, MK-MN-M-007, MK-MN-M-011, MK-MN-M-012, MK-MN-M-013, MK-MN-M-016, MK-MN-M-024, MK-MN-M-025, MK-MN-M-030, MK-NW-M-001, MK-NW-M-002, MK-NW-M-003, MK-NW-M-004, MK-NW-M-005, MK-NW-M-006, MK-NW-M-007, MK-NW-M-008, MK-NW-M-009, MK-NW-M-011, MK-NW-M-012, MK-NW-M-015, MK-NW-M-017, MK-NW-M-046, MK-NW-M-047, MK-NW-M-048, MK-NW-M-049, MK-NW-M-050, MK-NW-M-051, MK-NW-M-052, MK-NW-M-063, MK-NW-M-064, MK-PF-M-002, MK-PF-M-003, MK-PF-M-005, MK-PF-M-006, MK-PF-M-007, MK-PF-M-008, MK-PF-M-013, MK-PF-M-014, MK-PF-M-015, MK-PF-M-016, MK-PF-M-017, MK-PF-M-018, MK-PF-M-019, MK-PF-M-020, MK-PL-M-031, MK-XS-M-001, MK-XS-M-003, MK-XS-M-004, MK-XS-M-005, MK-XS-M-006</t>
        </is>
      </c>
    </row>
    <row r="16" ht="60" customHeight="1">
      <c r="A16" s="3" t="inlineStr">
        <is>
          <t>MK-XS-I-015</t>
        </is>
      </c>
      <c r="B16" s="3" t="inlineStr">
        <is>
          <t>debt interest rate</t>
        </is>
      </c>
      <c r="C16" s="3" t="inlineStr">
        <is>
          <t>MK-CF-M-057 · MK-CF-M-058 · MK-CF-M-059</t>
        </is>
      </c>
      <c r="D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E1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MK-PL-M-031, MK-XS-M-001, MK-XS-M-003, MK-XS-M-004, MK-XS-M-005, MK-XS-M-006</t>
        </is>
      </c>
    </row>
    <row r="17" ht="60" customHeight="1">
      <c r="A17" s="3" t="inlineStr">
        <is>
          <t>MK-XS-I-016</t>
        </is>
      </c>
      <c r="B17" s="3" t="inlineStr">
        <is>
          <t>debt minimum payment</t>
        </is>
      </c>
      <c r="C17" s="3" t="inlineStr">
        <is>
          <t>MK-CF-M-058 · MK-CF-M-059 · MK-CF-M-071 · MK-CF-M-072 · MK-CF-M-073</t>
        </is>
      </c>
      <c r="D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E17"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MK-CF-M-060, MK-CF-M-061, MK-CF-M-062, MK-CF-M-063, MK-CF-M-066, MK-CF-M-069, MK-CF-M-070,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MK-NW-M-050, MK-NW-M-051, MK-NW-M-052, MK-NW-M-063, MK-NW-M-064, MK-PF-M-002, MK-PF-M-003, MK-PF-M-005, MK-PF-M-006, MK-PF-M-007, MK-PF-M-008, MK-PF-M-013, MK-PF-M-014, MK-PF-M-015, MK-PF-M-016, MK-PF-M-017, MK-PF-M-018, MK-PF-M-019, MK-PF-M-020, MK-PL-M-001, MK-PL-M-002, MK-PL-M-008, MK-PL-M-009, MK-PL-M-011, MK-PL-M-026, MK-PL-M-029, MK-PL-M-031, MK-PL-M-033, MK-PL-M-034, MK-XS-M-001, MK-XS-M-002, MK-XS-M-003, MK-XS-M-004, MK-XS-M-005, MK-XS-M-006</t>
        </is>
      </c>
    </row>
    <row r="18" ht="60" customHeight="1">
      <c r="A18" s="3" t="inlineStr">
        <is>
          <t>MK-XS-I-017</t>
        </is>
      </c>
      <c r="B18" s="3" t="inlineStr">
        <is>
          <t>birth year</t>
        </is>
      </c>
      <c r="C18" s="3" t="inlineStr">
        <is>
          <t>MK-CF-M-022 · MK-PL-M-001 · MK-PL-M-002 · MK-PL-M-008 · MK-PL-M-011 · MK-PL-M-017 · MK-PL-M-019 · MK-PL-M-029</t>
        </is>
      </c>
      <c r="D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E18"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MK-PL-M-026, MK-PL-M-033, MK-PL-M-034, MK-XS-M-001, MK-XS-M-002, MK-XS-M-003, MK-XS-M-004, MK-XS-M-005, MK-XS-M-006</t>
        </is>
      </c>
    </row>
    <row r="19" ht="60" customHeight="1">
      <c r="A19" s="3" t="inlineStr">
        <is>
          <t>MK-XS-I-018</t>
        </is>
      </c>
      <c r="B19" s="3" t="inlineStr">
        <is>
          <t>retirement age</t>
        </is>
      </c>
      <c r="C19" s="3" t="inlineStr">
        <is>
          <t>MK-CF-M-022 · MK-CF-M-055 · MK-PL-M-017 · MK-PL-M-019</t>
        </is>
      </c>
      <c r="D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19" s="3" t="inlineStr">
        <is>
          <t>PARTLY AGREES — declared but not reached: MK-PL-M-017, MK-PL-M-019  |  reached but not declared: MK-CF-M-070, MK-MN-M-016, MK-NW-M-001, MK-NW-M-002, MK-NW-M-003, MK-NW-M-004, MK-NW-M-005, MK-NW-M-006, MK-NW-M-007, MK-NW-M-008, MK-NW-M-009, MK-NW-M-011, MK-NW-M-015, MK-NW-M-016, MK-NW-M-017, MK-NW-M-049, MK-NW-M-063, MK-PL-M-008, MK-PL-M-009, MK-PL-M-011, MK-PL-M-026, MK-PL-M-029, MK-PL-M-033, MK-PL-M-034, MK-XS-M-001, MK-XS-M-002, MK-XS-M-003</t>
        </is>
      </c>
    </row>
    <row r="20" ht="45" customHeight="1">
      <c r="A20" s="3" t="inlineStr">
        <is>
          <t>MK-XS-I-019</t>
        </is>
      </c>
      <c r="B20" s="3" t="inlineStr">
        <is>
          <t>monthly expenses in retirement</t>
        </is>
      </c>
      <c r="C20" s="3" t="inlineStr">
        <is>
          <t>—</t>
        </is>
      </c>
      <c r="D20" s="3" t="inlineStr">
        <is>
          <t>MK-CF-M-055 · MK-CF-M-070 · MK-PL-M-008 · MK-PL-M-009 · MK-PL-M-011 · MK-PL-M-029 · MK-PL-M-034 · MK-XS-M-002</t>
        </is>
      </c>
      <c r="E20" s="3" t="inlineStr">
        <is>
          <t>REACHED BUT NOT DECLARED — functions reading this input serve these figures, but no figure lists it among its inputs.</t>
        </is>
      </c>
    </row>
    <row r="21" ht="60" customHeight="1">
      <c r="A21" s="3" t="inlineStr">
        <is>
          <t>MK-XS-I-020</t>
        </is>
      </c>
      <c r="B21" s="3" t="inlineStr">
        <is>
          <t>Social Security monthly amount</t>
        </is>
      </c>
      <c r="C21" s="3" t="inlineStr">
        <is>
          <t>MK-CF-M-011 · MK-CF-M-022 · MK-CF-M-023 · MK-CF-M-024 · MK-CF-M-069 · MK-PF-M-007 · MK-PL-M-017 · MK-PL-M-019 · MK-XS-M-004</t>
        </is>
      </c>
      <c r="D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E21" s="3" t="inlineStr">
        <is>
          <t>PARTLY AGREES — reached but not declared: MK-CF-M-001, MK-CF-M-002, MK-CF-M-003, MK-CF-M-006, MK-CF-M-007, MK-CF-M-008, MK-CF-M-009, MK-CF-M-010, MK-CF-M-012, MK-CF-M-013, MK-CF-M-014, MK-CF-M-015, MK-CF-M-016, MK-CF-M-020, MK-CF-M-021,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MK-PF-M-008, MK-PF-M-013, MK-PF-M-014, MK-PF-M-015, MK-PF-M-016, MK-PF-M-017, MK-PF-M-018, MK-PF-M-019, MK-PF-M-020, MK-PL-M-008, MK-PL-M-011, MK-PL-M-018, MK-PL-M-029, MK-PL-M-032, MK-PL-M-034, MK-XS-M-001, MK-XS-M-002, MK-XS-M-003, MK-XS-M-005, MK-XS-M-006</t>
        </is>
      </c>
    </row>
    <row r="22" ht="60" customHeight="1">
      <c r="A22" s="3" t="inlineStr">
        <is>
          <t>MK-XS-I-021</t>
        </is>
      </c>
      <c r="B22" s="3" t="inlineStr">
        <is>
          <t>Social Security claim age</t>
        </is>
      </c>
      <c r="C22" s="3" t="inlineStr">
        <is>
          <t>MK-CF-M-030 · MK-PL-M-017 · MK-PL-M-019</t>
        </is>
      </c>
      <c r="D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E22" s="3" t="inlineStr">
        <is>
          <t>PARTLY AGREES — declared but not reached: MK-CF-M-030  |  reached but not declared: MK-CF-M-055, MK-CF-M-070, MK-MN-M-016, MK-NW-M-001, MK-NW-M-002, MK-NW-M-003, MK-NW-M-004, MK-NW-M-005, MK-NW-M-006, MK-NW-M-007, MK-NW-M-008, MK-NW-M-009, MK-NW-M-011, MK-NW-M-015, MK-NW-M-016, MK-NW-M-017, MK-NW-M-049, MK-NW-M-063, MK-PL-M-008, MK-PL-M-011, MK-PL-M-029, MK-PL-M-034, MK-XS-M-001, MK-XS-M-002, MK-XS-M-003</t>
        </is>
      </c>
    </row>
    <row r="23" ht="60" customHeight="1">
      <c r="A23" s="3" t="inlineStr">
        <is>
          <t>MK-XS-I-022</t>
        </is>
      </c>
      <c r="B23" s="3" t="inlineStr">
        <is>
          <t>pension monthly amount</t>
        </is>
      </c>
      <c r="C23" s="3" t="inlineStr">
        <is>
          <t>MK-CF-M-011 · MK-CF-M-023 · MK-CF-M-024 · MK-CF-M-069</t>
        </is>
      </c>
      <c r="D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23"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MK-PL-M-029, MK-PL-M-032, MK-PL-M-034, MK-XS-M-001, MK-XS-M-002, MK-XS-M-003, MK-XS-M-004, MK-XS-M-005, MK-XS-M-006</t>
        </is>
      </c>
    </row>
    <row r="24" ht="60" customHeight="1">
      <c r="A24" s="3" t="inlineStr">
        <is>
          <t>MK-XS-I-023</t>
        </is>
      </c>
      <c r="B24" s="3" t="inlineStr">
        <is>
          <t>salary and other income</t>
        </is>
      </c>
      <c r="C24" s="3" t="inlineStr">
        <is>
          <t>MK-CF-M-002 · MK-CF-M-004 · MK-CF-M-006 · MK-CF-M-007 · MK-CF-M-020 · MK-CF-M-027 · MK-CF-M-060 · MK-CF-M-061 · MK-MN-M-003 · MK-MN-M-004 · MK-MN-M-005 · MK-MN-M-027 · MK-MN-M-028 · MK-MN-M-029</t>
        </is>
      </c>
      <c r="D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24" s="3" t="inlineStr">
        <is>
          <t>PARTLY AGREES — declared but not reached: MK-CF-M-004, MK-MN-M-003, MK-MN-M-004, MK-MN-M-005, MK-MN-M-029  |  reached but not declared: MK-CF-M-001, MK-CF-M-003, MK-CF-M-008, MK-CF-M-009, MK-CF-M-010, MK-CF-M-011, MK-CF-M-012, MK-CF-M-013, MK-CF-M-014, MK-CF-M-015, MK-CF-M-016, MK-CF-M-021, MK-CF-M-022, MK-CF-M-024,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MK-CF-M-062, MK-CF-M-063, MK-CF-M-066, MK-CF-M-069, MK-CF-M-070, MK-CF-M-071, MK-CF-M-072, MK-CF-M-073, MK-CF-M-074, MK-CF-M-075, MK-MN-M-006, MK-MN-M-007, MK-MN-M-011, MK-MN-M-012, MK-MN-M-013, MK-MN-M-014,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25" ht="60" customHeight="1">
      <c r="A25" s="3" t="inlineStr">
        <is>
          <t>MK-XS-I-024</t>
        </is>
      </c>
      <c r="B25" s="3" t="inlineStr">
        <is>
          <t>logged expenses</t>
        </is>
      </c>
      <c r="C25" s="3" t="inlineStr">
        <is>
          <t>MK-CF-M-032 · MK-CF-M-033 · MK-CF-M-043 · MK-CF-M-044 · MK-MN-M-007 · MK-PL-M-001 · MK-PL-M-002 · MK-PL-M-008 · MK-PL-M-009 · MK-PL-M-011 · MK-PL-M-029</t>
        </is>
      </c>
      <c r="D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MK-NW-M-050 · MK-NW-M-051 · MK-NW-M-052 · MK-NW-M-059 · MK-NW-M-060 · MK-NW-M-061 · MK-NW-M-062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E25" s="3" t="inlineStr">
        <is>
          <t>PARTLY AGREES — reached but not declared: MK-CF-M-001, MK-CF-M-002, MK-CF-M-003, MK-CF-M-006, MK-CF-M-007, MK-CF-M-008, MK-CF-M-009, MK-CF-M-010, MK-CF-M-011, MK-CF-M-012, MK-CF-M-013, MK-CF-M-014, MK-CF-M-015, MK-CF-M-016, MK-CF-M-020, MK-CF-M-021, MK-CF-M-022, MK-CF-M-024, MK-CF-M-027, MK-CF-M-028, MK-CF-M-030, MK-CF-M-031, MK-CF-M-034, MK-CF-M-035, MK-CF-M-036, MK-CF-M-037, MK-CF-M-038, MK-CF-M-039, MK-CF-M-040, MK-CF-M-041, MK-CF-M-042,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MK-MN-M-020, MK-MN-M-021, MK-MN-M-024, MK-MN-M-025, MK-MN-M-026, MK-MN-M-027, MK-MN-M-028, MK-MN-M-030, MK-NW-M-001, MK-NW-M-002, MK-NW-M-003, MK-NW-M-004, MK-NW-M-005, MK-NW-M-006, MK-NW-M-007, MK-NW-M-008, MK-NW-M-009, MK-NW-M-011, MK-NW-M-012, MK-NW-M-013, MK-NW-M-014, MK-NW-M-015, MK-NW-M-016, MK-NW-M-017, MK-NW-M-019, MK-NW-M-020, MK-NW-M-021, MK-NW-M-029, MK-NW-M-030, MK-NW-M-031, MK-NW-M-033, MK-NW-M-034, MK-NW-M-035, MK-NW-M-036, MK-NW-M-037, MK-NW-M-038, MK-NW-M-039, MK-NW-M-040, MK-NW-M-046, MK-NW-M-047, MK-NW-M-048, MK-NW-M-049, MK-NW-M-050, MK-NW-M-051, MK-NW-M-052, MK-NW-M-059, MK-NW-M-060, MK-NW-M-061, MK-NW-M-062, MK-NW-M-063, MK-NW-M-064, MK-PF-M-002, MK-PF-M-003, MK-PF-M-005, MK-PF-M-006, MK-PF-M-007, MK-PF-M-008, MK-PF-M-013, MK-PF-M-014, MK-PF-M-015, MK-PF-M-016, MK-PF-M-017, MK-PF-M-018, MK-PF-M-019, MK-PF-M-020, MK-PL-M-026, MK-PL-M-033, MK-PL-M-034, MK-XS-M-001, MK-XS-M-002, MK-XS-M-003, MK-XS-M-004, MK-XS-M-005, MK-XS-M-006</t>
        </is>
      </c>
    </row>
    <row r="26" ht="60" customHeight="1">
      <c r="A26" s="3" t="inlineStr">
        <is>
          <t>MK-XS-I-025</t>
        </is>
      </c>
      <c r="B26" s="3" t="inlineStr">
        <is>
          <t>typical monthly essentials</t>
        </is>
      </c>
      <c r="C26" s="3" t="inlineStr">
        <is>
          <t>MK-CF-M-033</t>
        </is>
      </c>
      <c r="D26" s="3" t="inlineStr">
        <is>
          <t>MK-MN-M-024 · MK-MN-M-025 · MK-NW-M-046 · MK-NW-M-047 · MK-NW-M-048 · MK-NW-M-064</t>
        </is>
      </c>
      <c r="E26" s="3" t="inlineStr">
        <is>
          <t>PARTLY AGREES — declared but not reached: MK-CF-M-033  |  reached but not declared: MK-MN-M-024, MK-MN-M-025, MK-NW-M-046, MK-NW-M-047, MK-NW-M-048, MK-NW-M-064</t>
        </is>
      </c>
    </row>
    <row r="27" ht="60" customHeight="1">
      <c r="A27" s="3" t="inlineStr">
        <is>
          <t>MK-XS-I-026</t>
        </is>
      </c>
      <c r="B27" s="3" t="inlineStr">
        <is>
          <t>big costs (amount and year)</t>
        </is>
      </c>
      <c r="C27" s="3" t="inlineStr">
        <is>
          <t>—</t>
        </is>
      </c>
      <c r="D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E27" s="3" t="inlineStr">
        <is>
          <t>REACHED BUT NOT DECLARED — functions reading this input serve these figures, but no figure lists it among its inputs.</t>
        </is>
      </c>
    </row>
    <row r="28" ht="60" customHeight="1">
      <c r="A28" s="3" t="inlineStr">
        <is>
          <t>MK-XS-I-027</t>
        </is>
      </c>
      <c r="B28" s="3" t="inlineStr">
        <is>
          <t>goals (target, saved, date)</t>
        </is>
      </c>
      <c r="C28" s="3" t="inlineStr">
        <is>
          <t>MK-CF-M-020 · MK-CF-M-021</t>
        </is>
      </c>
      <c r="D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28" s="3" t="inlineStr">
        <is>
          <t>PARTLY AGREES — reached but not declared: MK-CF-M-001, MK-CF-M-002, MK-CF-M-003, MK-CF-M-006, MK-CF-M-007, MK-CF-M-008, MK-CF-M-009, MK-CF-M-010, MK-CF-M-011, MK-CF-M-012, MK-CF-M-013, MK-CF-M-014, MK-CF-M-015, MK-CF-M-016,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MK-MN-M-009,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29" ht="60" customHeight="1">
      <c r="A29" s="3" t="inlineStr">
        <is>
          <t>MK-XS-I-028</t>
        </is>
      </c>
      <c r="B29" s="3" t="inlineStr">
        <is>
          <t>assumed return</t>
        </is>
      </c>
      <c r="C29" s="3" t="inlineStr">
        <is>
          <t>MK-CF-M-022 · MK-CF-M-055</t>
        </is>
      </c>
      <c r="D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9"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MK-PL-M-008, MK-PL-M-009, MK-PL-M-011, MK-PL-M-026, MK-PL-M-029, MK-PL-M-033, MK-PL-M-034, MK-XS-M-001, MK-XS-M-002, MK-XS-M-003, MK-XS-M-004, MK-XS-M-005, MK-XS-M-006</t>
        </is>
      </c>
    </row>
    <row r="30" ht="60" customHeight="1">
      <c r="A30" s="3" t="inlineStr">
        <is>
          <t>MK-XS-I-029</t>
        </is>
      </c>
      <c r="B30" s="3" t="inlineStr">
        <is>
          <t>inflation rate</t>
        </is>
      </c>
      <c r="C30" s="3" t="inlineStr">
        <is>
          <t>—</t>
        </is>
      </c>
      <c r="D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30" s="3" t="inlineStr">
        <is>
          <t>REACHED BUT NOT DECLARED — functions reading this input serve these figures, but no figure lists it among its inputs.</t>
        </is>
      </c>
    </row>
    <row r="31" ht="60" customHeight="1">
      <c r="A31" s="3" t="inlineStr">
        <is>
          <t>MK-XS-I-030</t>
        </is>
      </c>
      <c r="B31" s="3" t="inlineStr">
        <is>
          <t>tax filing status and age</t>
        </is>
      </c>
      <c r="C31" s="3" t="inlineStr">
        <is>
          <t>MK-MN-M-003 · MK-MN-M-007 · MK-MN-M-028</t>
        </is>
      </c>
      <c r="D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31" s="3" t="inlineStr">
        <is>
          <t>PARTLY AGREES — declared but not reached: MK-MN-M-003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MK-MN-M-024, MK-MN-M-025, MK-MN-M-027,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32" ht="60" customHeight="1">
      <c r="A32" s="3" t="inlineStr">
        <is>
          <t>MK-XS-I-031</t>
        </is>
      </c>
      <c r="B32" s="3" t="inlineStr">
        <is>
          <t>daily and monthly snapshots</t>
        </is>
      </c>
      <c r="C32" s="3" t="inlineStr">
        <is>
          <t>MK-NW-M-001 · MK-NW-M-003</t>
        </is>
      </c>
      <c r="D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MK-NW-M-050 · MK-NW-M-051 · MK-NW-M-052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E3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MK-NW-M-002, MK-NW-M-004, MK-NW-M-005, MK-NW-M-006, MK-NW-M-007, MK-NW-M-008, MK-NW-M-009, MK-NW-M-011, MK-NW-M-012, MK-NW-M-015, MK-NW-M-016, MK-NW-M-017, MK-NW-M-019, MK-NW-M-020, MK-NW-M-021, MK-NW-M-038, MK-NW-M-039, MK-NW-M-040, MK-NW-M-046, MK-NW-M-047, MK-NW-M-048, MK-NW-M-049, MK-NW-M-050, MK-NW-M-051, MK-NW-M-052, MK-NW-M-062, MK-NW-M-063, MK-NW-M-064, MK-PF-M-001, MK-PF-M-002, MK-PF-M-003, MK-PF-M-004, MK-PF-M-005, MK-PF-M-006, MK-PF-M-007, MK-PF-M-008, MK-PF-M-013, MK-PF-M-014, MK-PF-M-015, MK-PF-M-016, MK-PF-M-017, MK-PF-M-018, MK-PF-M-019, MK-PF-M-020, MK-PL-M-008, MK-PL-M-011, MK-PL-M-029, MK-PL-M-034, MK-XS-M-001, MK-XS-M-002, MK-XS-M-003, MK-XS-M-004, MK-XS-M-005, MK-XS-M-006</t>
        </is>
      </c>
    </row>
    <row r="33" ht="60" customHeight="1">
      <c r="A33" s="3" t="inlineStr">
        <is>
          <t>MK-XS-I-032</t>
        </is>
      </c>
      <c r="B33" s="3" t="inlineStr">
        <is>
          <t>expenses categories the person set up</t>
        </is>
      </c>
      <c r="C33" s="3" t="inlineStr">
        <is>
          <t>MK-MN-M-007</t>
        </is>
      </c>
      <c r="D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3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MK-MN-M-010,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34" ht="45" customHeight="1">
      <c r="A34" s="3" t="inlineStr">
        <is>
          <t>MK-XS-I-033</t>
        </is>
      </c>
      <c r="B34" s="3" t="inlineStr">
        <is>
          <t>the date a hand-typed value was set</t>
        </is>
      </c>
      <c r="C34" s="3" t="inlineStr">
        <is>
          <t>MK-PL-M-016</t>
        </is>
      </c>
      <c r="D34" s="3" t="inlineStr">
        <is>
          <t>—</t>
        </is>
      </c>
      <c r="E34" s="3" t="inlineStr">
        <is>
          <t>DECLARED BUT NOT REACHED — figures name this input, but no function that reads it serves any of them. Unproved in one direction.</t>
        </is>
      </c>
    </row>
    <row r="35" ht="60" customHeight="1">
      <c r="A35" s="3" t="inlineStr">
        <is>
          <t>MK-XS-I-034</t>
        </is>
      </c>
      <c r="B35" s="3" t="inlineStr">
        <is>
          <t>option positions — contracts, strike, expiry, put or call</t>
        </is>
      </c>
      <c r="C35" s="3" t="inlineStr">
        <is>
          <t>—</t>
        </is>
      </c>
      <c r="D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E35" s="3" t="inlineStr">
        <is>
          <t>REACHED BUT NOT DECLARED — functions reading this input serve these figures, but no figure lists it among its inputs.</t>
        </is>
      </c>
    </row>
    <row r="36" ht="60" customHeight="1">
      <c r="A36" s="3" t="inlineStr">
        <is>
          <t>MK-XS-I-035</t>
        </is>
      </c>
      <c r="B36" s="3" t="inlineStr">
        <is>
          <t>annuity income</t>
        </is>
      </c>
      <c r="C36" s="3" t="inlineStr">
        <is>
          <t>MK-CF-M-011 · MK-CF-M-023 · MK-CF-M-024 · MK-CF-M-069</t>
        </is>
      </c>
      <c r="D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36"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MK-PL-M-029, MK-PL-M-032, MK-PL-M-034, MK-XS-M-001, MK-XS-M-002, MK-XS-M-003, MK-XS-M-004, MK-XS-M-005, MK-XS-M-006</t>
        </is>
      </c>
    </row>
    <row r="37" ht="60" customHeight="1">
      <c r="A37" s="3" t="inlineStr">
        <is>
          <t>MK-XS-I-036</t>
        </is>
      </c>
      <c r="B37" s="3" t="inlineStr">
        <is>
          <t>other guaranteed income</t>
        </is>
      </c>
      <c r="C37" s="3" t="inlineStr">
        <is>
          <t>MK-CF-M-011 · MK-CF-M-023 · MK-CF-M-024 · MK-CF-M-069</t>
        </is>
      </c>
      <c r="D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E37"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MK-PL-M-026, MK-PL-M-029, MK-PL-M-032, MK-PL-M-033, MK-PL-M-034, MK-XS-M-001, MK-XS-M-002, MK-XS-M-003, MK-XS-M-004, MK-XS-M-005, MK-XS-M-006</t>
        </is>
      </c>
    </row>
    <row r="38" ht="60" customHeight="1">
      <c r="A38" s="3" t="inlineStr">
        <is>
          <t>MK-XS-I-037</t>
        </is>
      </c>
      <c r="B38" s="3" t="inlineStr">
        <is>
          <t>required-withdrawal income stream (ri_rmd)</t>
        </is>
      </c>
      <c r="C38" s="3" t="inlineStr">
        <is>
          <t>—</t>
        </is>
      </c>
      <c r="D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8" s="3" t="inlineStr">
        <is>
          <t>REACHED BUT NOT DECLARED — functions reading this input serve these figures, but no figure lists it among its inputs.</t>
        </is>
      </c>
    </row>
    <row r="39" ht="60" customHeight="1">
      <c r="A39" s="3" t="inlineStr">
        <is>
          <t>MK-XS-I-038</t>
        </is>
      </c>
      <c r="B39" s="3" t="inlineStr">
        <is>
          <t>withdrawal income stream (ri_withdrawals)</t>
        </is>
      </c>
      <c r="C39" s="3" t="inlineStr">
        <is>
          <t>—</t>
        </is>
      </c>
      <c r="D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9" s="3" t="inlineStr">
        <is>
          <t>REACHED BUT NOT DECLARED — functions reading this input serve these figures, but no figure lists it among its inputs.</t>
        </is>
      </c>
    </row>
    <row r="40" ht="60" customHeight="1">
      <c r="A40" s="3" t="inlineStr">
        <is>
          <t>MK-XS-I-039</t>
        </is>
      </c>
      <c r="B40" s="3" t="inlineStr">
        <is>
          <t>how often each income arrives</t>
        </is>
      </c>
      <c r="C40" s="3" t="inlineStr">
        <is>
          <t>—</t>
        </is>
      </c>
      <c r="D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0" s="3" t="inlineStr">
        <is>
          <t>REACHED BUT NOT DECLARED — functions reading this input serve these figures, but no figure lists it among its inputs.</t>
        </is>
      </c>
    </row>
    <row r="41" ht="60" customHeight="1">
      <c r="A41" s="3" t="inlineStr">
        <is>
          <t>MK-XS-I-040</t>
        </is>
      </c>
      <c r="B41" s="3" t="inlineStr">
        <is>
          <t>whether a stream is already being received</t>
        </is>
      </c>
      <c r="C41" s="3" t="inlineStr">
        <is>
          <t>MK-PL-M-018 · MK-PL-M-032</t>
        </is>
      </c>
      <c r="D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1"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42" ht="60" customHeight="1">
      <c r="A42" s="3" t="inlineStr">
        <is>
          <t>MK-XS-I-041</t>
        </is>
      </c>
      <c r="B42" s="3" t="inlineStr">
        <is>
          <t>the payment the person chose to make on a debt</t>
        </is>
      </c>
      <c r="C42" s="3" t="inlineStr">
        <is>
          <t>MK-CF-M-072 · MK-CF-M-073</t>
        </is>
      </c>
      <c r="D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E4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MK-NW-M-050, MK-NW-M-051, MK-NW-M-052, MK-NW-M-063, MK-NW-M-064, MK-PF-M-002, MK-PF-M-003, MK-PF-M-005, MK-PF-M-006, MK-PF-M-007, MK-PF-M-008, MK-PF-M-013, MK-PF-M-014, MK-PF-M-015, MK-PF-M-016, MK-PF-M-017, MK-PF-M-018, MK-PF-M-019, MK-PF-M-020, MK-PL-M-001, MK-PL-M-002, MK-PL-M-008, MK-PL-M-009, MK-PL-M-011, MK-PL-M-026, MK-PL-M-029, MK-PL-M-033, MK-PL-M-034, MK-XS-M-001, MK-XS-M-002, MK-XS-M-003, MK-XS-M-004, MK-XS-M-005, MK-XS-M-006</t>
        </is>
      </c>
    </row>
    <row r="43" ht="60" customHeight="1">
      <c r="A43" s="3" t="inlineStr">
        <is>
          <t>MK-XS-I-042</t>
        </is>
      </c>
      <c r="B43" s="3" t="inlineStr">
        <is>
          <t>how a stream is paid — monthly, yearly or one lump</t>
        </is>
      </c>
      <c r="C43" s="3" t="inlineStr">
        <is>
          <t>—</t>
        </is>
      </c>
      <c r="D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E43" s="3" t="inlineStr">
        <is>
          <t>REACHED BUT NOT DECLARED — functions reading this input serve these figures, but no figure lists it among its inputs.</t>
        </is>
      </c>
    </row>
    <row r="44" ht="60" customHeight="1">
      <c r="A44" s="3" t="inlineStr">
        <is>
          <t>MK-XS-I-043</t>
        </is>
      </c>
      <c r="B44" s="3" t="inlineStr">
        <is>
          <t>their own retirement contribution</t>
        </is>
      </c>
      <c r="C44" s="3" t="inlineStr">
        <is>
          <t>MK-MN-M-014</t>
        </is>
      </c>
      <c r="D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4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MK-PL-M-026, MK-PL-M-029, MK-PL-M-033, MK-PL-M-034, MK-XS-M-001, MK-XS-M-002, MK-XS-M-003, MK-XS-M-004, MK-XS-M-005, MK-XS-M-006</t>
        </is>
      </c>
    </row>
    <row r="45" ht="60" customHeight="1">
      <c r="A45" s="3" t="inlineStr">
        <is>
          <t>MK-XS-I-044</t>
        </is>
      </c>
      <c r="B45" s="3" t="inlineStr">
        <is>
          <t>the person’s own plan overrides</t>
        </is>
      </c>
      <c r="C45" s="3" t="inlineStr">
        <is>
          <t>MK-PL-M-008 · MK-PL-M-011 · MK-PL-M-029</t>
        </is>
      </c>
      <c r="D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E45" s="3" t="inlineStr">
        <is>
          <t>PARTLY AGREES — reached but not declared: MK-CF-M-055, MK-CF-M-070, MK-MN-M-016, MK-NW-M-001, MK-NW-M-002, MK-NW-M-003, MK-NW-M-004, MK-NW-M-005, MK-NW-M-006, MK-NW-M-007, MK-NW-M-008, MK-NW-M-009, MK-NW-M-011, MK-NW-M-015, MK-NW-M-016, MK-NW-M-017, MK-NW-M-049, MK-NW-M-063, MK-PL-M-009, MK-PL-M-034, MK-XS-M-001, MK-XS-M-002, MK-XS-M-003</t>
        </is>
      </c>
    </row>
    <row r="46" ht="45" customHeight="1">
      <c r="A46" s="3" t="inlineStr">
        <is>
          <t>MK-XS-I-045</t>
        </is>
      </c>
      <c r="B46" s="3" t="inlineStr">
        <is>
          <t>where they will live in retirement</t>
        </is>
      </c>
      <c r="C46" s="3" t="inlineStr">
        <is>
          <t>MK-PL-M-009</t>
        </is>
      </c>
      <c r="D46" s="3" t="inlineStr">
        <is>
          <t>MK-CF-M-055 · MK-CF-M-070 · MK-PL-M-008 · MK-PL-M-009 · MK-PL-M-011 · MK-PL-M-029 · MK-PL-M-034 · MK-XS-M-002</t>
        </is>
      </c>
      <c r="E46" s="3" t="inlineStr">
        <is>
          <t>PARTLY AGREES — reached but not declared: MK-CF-M-055, MK-CF-M-070, MK-PL-M-008, MK-PL-M-011, MK-PL-M-029, MK-PL-M-034, MK-XS-M-002</t>
        </is>
      </c>
    </row>
    <row r="47" ht="45" customHeight="1">
      <c r="A47" s="3" t="inlineStr">
        <is>
          <t>MK-XS-I-046</t>
        </is>
      </c>
      <c r="B47" s="3" t="inlineStr">
        <is>
          <t>how the employer match is expressed — percent or dollars</t>
        </is>
      </c>
      <c r="C47" s="3" t="inlineStr">
        <is>
          <t>MK-MN-M-014</t>
        </is>
      </c>
      <c r="D47" s="3" t="inlineStr">
        <is>
          <t>MK-CF-M-055 · MK-CF-M-070 · MK-MN-M-014 · MK-PL-M-008 · MK-PL-M-011 · MK-PL-M-029 · MK-PL-M-034 · MK-XS-M-002</t>
        </is>
      </c>
      <c r="E47" s="3" t="inlineStr">
        <is>
          <t>PARTLY AGREES — reached but not declared: MK-CF-M-055, MK-CF-M-070, MK-PL-M-008, MK-PL-M-011, MK-PL-M-029, MK-PL-M-034, MK-XS-M-002</t>
        </is>
      </c>
    </row>
    <row r="48" ht="45" customHeight="1">
      <c r="A48" s="3" t="inlineStr">
        <is>
          <t>MK-XS-I-047</t>
        </is>
      </c>
      <c r="B48" s="3" t="inlineStr">
        <is>
          <t>money to leave behind</t>
        </is>
      </c>
      <c r="C48" s="3" t="inlineStr">
        <is>
          <t>MK-PL-M-008 · MK-PL-M-011 · MK-PL-M-029</t>
        </is>
      </c>
      <c r="D48" s="3" t="inlineStr">
        <is>
          <t>MK-CF-M-055 · MK-CF-M-070 · MK-PL-M-008 · MK-PL-M-011 · MK-PL-M-029 · MK-PL-M-034 · MK-XS-M-002</t>
        </is>
      </c>
      <c r="E48" s="3" t="inlineStr">
        <is>
          <t>PARTLY AGREES — reached but not declared: MK-CF-M-055, MK-CF-M-070, MK-PL-M-034, MK-XS-M-002</t>
        </is>
      </c>
    </row>
    <row r="49" ht="60" customHeight="1">
      <c r="A49" s="3" t="inlineStr">
        <is>
          <t>MK-XS-I-048</t>
        </is>
      </c>
      <c r="B49" s="3" t="inlineStr">
        <is>
          <t>the person’s own asset-class answer</t>
        </is>
      </c>
      <c r="C49" s="3" t="inlineStr">
        <is>
          <t>—</t>
        </is>
      </c>
      <c r="D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49" s="3" t="inlineStr">
        <is>
          <t>REACHED BUT NOT DECLARED — functions reading this input serve these figures, but no figure lists it among its inputs.</t>
        </is>
      </c>
    </row>
    <row r="50" ht="60" customHeight="1">
      <c r="A50" s="3" t="inlineStr">
        <is>
          <t>MK-XS-I-049</t>
        </is>
      </c>
      <c r="B50" s="3" t="inlineStr">
        <is>
          <t>bond price — what the bond is worth today</t>
        </is>
      </c>
      <c r="C50" s="3" t="inlineStr">
        <is>
          <t>—</t>
        </is>
      </c>
      <c r="D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50" s="3" t="inlineStr">
        <is>
          <t>REACHED BUT NOT DECLARED — functions reading this input serve these figures, but no figure lists it among its inputs.</t>
        </is>
      </c>
    </row>
    <row r="51" ht="60" customHeight="1">
      <c r="A51" s="3" t="inlineStr">
        <is>
          <t>MK-XS-I-050</t>
        </is>
      </c>
      <c r="B51" s="3" t="inlineStr">
        <is>
          <t>the share of an account earmarked for retirement</t>
        </is>
      </c>
      <c r="C51" s="3" t="inlineStr">
        <is>
          <t>MK-CF-M-070</t>
        </is>
      </c>
      <c r="D51" s="3" t="inlineStr">
        <is>
          <t>MK-CF-M-022 · MK-CF-M-055 · MK-CF-M-070 · MK-NW-M-050 · MK-NW-M-051 · MK-NW-M-052 · MK-PL-M-001 · MK-PL-M-002 · MK-PL-M-008 · MK-PL-M-009 · MK-PL-M-011 · MK-PL-M-029 · MK-PL-M-034 · MK-XS-M-002</t>
        </is>
      </c>
      <c r="E51" s="3" t="inlineStr">
        <is>
          <t>PARTLY AGREES — reached but not declared: MK-CF-M-022, MK-CF-M-055, MK-NW-M-050, MK-NW-M-051, MK-NW-M-052, MK-PL-M-001, MK-PL-M-002, MK-PL-M-008, MK-PL-M-009, MK-PL-M-011, MK-PL-M-029, MK-PL-M-034, MK-XS-M-002</t>
        </is>
      </c>
    </row>
    <row r="52" ht="45" customHeight="1">
      <c r="A52" s="3" t="inlineStr">
        <is>
          <t>MK-XS-I-051</t>
        </is>
      </c>
      <c r="B52" s="3" t="inlineStr">
        <is>
          <t>what an account actually returned over the last twelve months</t>
        </is>
      </c>
      <c r="C52" s="3" t="inlineStr">
        <is>
          <t>—</t>
        </is>
      </c>
      <c r="D52" s="3" t="inlineStr">
        <is>
          <t>MK-CF-M-055 · MK-CF-M-070 · MK-PL-M-008 · MK-PL-M-011 · MK-PL-M-029 · MK-PL-M-034 · MK-XS-M-002</t>
        </is>
      </c>
      <c r="E52" s="3" t="inlineStr">
        <is>
          <t>REACHED BUT NOT DECLARED — functions reading this input serve these figures, but no figure lists it among its inputs.</t>
        </is>
      </c>
    </row>
    <row r="53" ht="60" customHeight="1">
      <c r="A53" s="3" t="inlineStr">
        <is>
          <t>MK-XS-I-052</t>
        </is>
      </c>
      <c r="B53" s="3" t="inlineStr">
        <is>
          <t>the day of the month a debt payment is due</t>
        </is>
      </c>
      <c r="C53" s="3" t="inlineStr">
        <is>
          <t>—</t>
        </is>
      </c>
      <c r="D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53" s="3" t="inlineStr">
        <is>
          <t>REACHED BUT NOT DECLARED — functions reading this input serve these figures, but no figure lists it among its inputs.</t>
        </is>
      </c>
    </row>
    <row r="54" ht="60" customHeight="1">
      <c r="A54" s="3" t="inlineStr">
        <is>
          <t>MK-XS-I-053</t>
        </is>
      </c>
      <c r="B54" s="3" t="inlineStr">
        <is>
          <t>the month a debt is first paid</t>
        </is>
      </c>
      <c r="C54" s="3" t="inlineStr">
        <is>
          <t>—</t>
        </is>
      </c>
      <c r="D54" s="3" t="inlineStr">
        <is>
          <t>MK-CF-M-022 · MK-CF-M-055 · MK-CF-M-057 · MK-CF-M-058 · MK-CF-M-059 · MK-CF-M-070 · MK-CF-M-071 · MK-CF-M-072 · MK-CF-M-073 · MK-CF-M-074 · MK-CF-M-075 · MK-PL-M-031</t>
        </is>
      </c>
      <c r="E54" s="3" t="inlineStr">
        <is>
          <t>REACHED BUT NOT DECLARED — functions reading this input serve these figures, but no figure lists it among its inputs.</t>
        </is>
      </c>
    </row>
    <row r="55" ht="60" customHeight="1">
      <c r="A55" s="3" t="inlineStr">
        <is>
          <t>MK-XS-I-054</t>
        </is>
      </c>
      <c r="B55" s="3" t="inlineStr">
        <is>
          <t>the date a debt is due to be paid off in full</t>
        </is>
      </c>
      <c r="C55" s="3" t="inlineStr">
        <is>
          <t>—</t>
        </is>
      </c>
      <c r="D55" s="3" t="inlineStr">
        <is>
          <t>MK-CF-M-022 · MK-CF-M-055 · MK-CF-M-057 · MK-CF-M-058 · MK-CF-M-059 · MK-CF-M-070 · MK-CF-M-071 · MK-CF-M-072 · MK-CF-M-073 · MK-CF-M-074 · MK-CF-M-075 · MK-PL-M-031</t>
        </is>
      </c>
      <c r="E55" s="3" t="inlineStr">
        <is>
          <t>REACHED BUT NOT DECLARED — functions reading this input serve these figures, but no figure lists it among its inputs.</t>
        </is>
      </c>
    </row>
    <row r="56" ht="60" customHeight="1">
      <c r="A56" s="3" t="inlineStr">
        <is>
          <t>MK-XS-I-055</t>
        </is>
      </c>
      <c r="B56" s="3" t="inlineStr">
        <is>
          <t>the wrapper an account sits in — ISA, 401(k), IRA and the rest</t>
        </is>
      </c>
      <c r="C56" s="3" t="inlineStr">
        <is>
          <t>—</t>
        </is>
      </c>
      <c r="D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E56" s="3" t="inlineStr">
        <is>
          <t>REACHED BUT NOT DECLARED — functions reading this input serve these figures, but no figure lists it among its inputs.</t>
        </is>
      </c>
    </row>
    <row r="57" ht="60" customHeight="1">
      <c r="A57" s="3" t="inlineStr">
        <is>
          <t>MK-XS-I-056</t>
        </is>
      </c>
      <c r="B57" s="3" t="inlineStr">
        <is>
          <t>how a holding was classified, and by whom</t>
        </is>
      </c>
      <c r="C57" s="3" t="inlineStr">
        <is>
          <t>—</t>
        </is>
      </c>
      <c r="D57"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MK-XS-M-001 · MK-XS-M-003</t>
        </is>
      </c>
      <c r="E57" s="3" t="inlineStr">
        <is>
          <t>REACHED BUT NOT DECLARED — functions reading this input serve these figures, but no figure lists it among its inputs.</t>
        </is>
      </c>
    </row>
    <row r="58" ht="60" customHeight="1">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ht="60" customHeight="1">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ht="60" customHeight="1">
      <c r="A60" s="3" t="inlineStr">
        <is>
          <t>MK-XS-I-059</t>
        </is>
      </c>
      <c r="B60" s="3" t="inlineStr">
        <is>
          <t>the month a bonus lands</t>
        </is>
      </c>
      <c r="C60" s="3" t="inlineStr">
        <is>
          <t>MK-CF-M-008</t>
        </is>
      </c>
      <c r="D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60" s="3" t="inlineStr">
        <is>
          <t>PARTLY AGREES — reached but not declared: MK-CF-M-001, MK-CF-M-002, MK-CF-M-003, MK-CF-M-006, MK-CF-M-007,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61" ht="60" customHeight="1">
      <c r="A61" s="3" t="inlineStr">
        <is>
          <t>MK-XS-I-060</t>
        </is>
      </c>
      <c r="B61" s="3" t="inlineStr">
        <is>
          <t>how a person is paid — weekly, fortnightly, monthly</t>
        </is>
      </c>
      <c r="C61" s="3" t="inlineStr">
        <is>
          <t>MK-CF-M-006</t>
        </is>
      </c>
      <c r="D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61" s="3" t="inlineStr">
        <is>
          <t>PARTLY AGREES — reached but not declared: MK-CF-M-001, MK-CF-M-002, MK-CF-M-003,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62" ht="45" customHeight="1">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ht="60" customHeight="1">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ht="60" customHeight="1">
      <c r="A64" s="3" t="inlineStr">
        <is>
          <t>MK-XS-I-063</t>
        </is>
      </c>
      <c r="B64" s="3" t="inlineStr">
        <is>
          <t>option contract multiplier — 100 unless the broker or the person states otherwise</t>
        </is>
      </c>
      <c r="C64" s="3" t="inlineStr">
        <is>
          <t>—</t>
        </is>
      </c>
      <c r="D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MK-PF-M-002 · MK-PF-M-003 · MK-PF-M-005 · MK-PF-M-006 · MK-PF-M-007 · MK-PF-M-008 · MK-PF-M-013 · MK-PF-M-014 · MK-PF-M-015 · MK-PF-M-016 · MK-PF-M-017 · MK-PF-M-018 · MK-PF-M-019 · MK-PF-M-020 · MK-XS-M-001 · MK-XS-M-003 · MK-XS-M-004</t>
        </is>
      </c>
      <c r="E64" s="3" t="inlineStr">
        <is>
          <t>REACHED BUT NOT DECLARED — functions reading this input serve these figures, but no figure lists it among its inputs.</t>
        </is>
      </c>
    </row>
    <row r="65" ht="60" customHeight="1">
      <c r="A65" s="3" t="inlineStr">
        <is>
          <t>MK-XS-I-064</t>
        </is>
      </c>
      <c r="B65" s="3" t="inlineStr">
        <is>
          <t>the unit beside a quantity — shares, coins, contracts, ounces or units</t>
        </is>
      </c>
      <c r="C65" s="3" t="inlineStr">
        <is>
          <t>—</t>
        </is>
      </c>
      <c r="D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MK-NW-M-050 · MK-NW-M-051 · MK-NW-M-052 · MK-NW-M-059 · MK-NW-M-060 · MK-NW-M-061 · MK-NW-M-063 · MK-NW-M-064 · MK-PF-M-002 · MK-PF-M-003 · MK-PF-M-005 · MK-PF-M-006 · MK-PF-M-007 · MK-PF-M-008 · MK-PF-M-013 · MK-PF-M-014 · MK-PF-M-015 · MK-PF-M-016 · MK-PF-M-017 · MK-PF-M-018 · MK-PF-M-019 · MK-PF-M-020 · MK-XS-M-001 · MK-XS-M-003 · MK-XS-M-004 · MK-XS-M-005 · MK-XS-M-006</t>
        </is>
      </c>
      <c r="E65" s="3" t="inlineStr">
        <is>
          <t>REACHED BUT NOT DECLARED — functions reading this input serve these figures, but no figure lists it among its inputs.</t>
        </is>
      </c>
    </row>
    <row r="66" ht="60" customHeight="1">
      <c r="A66" s="3" t="inlineStr">
        <is>
          <t>MK-XS-I-065</t>
        </is>
      </c>
      <c r="B66" s="3" t="inlineStr">
        <is>
          <t>accrued interest on a bond — interest earned since the last coupon</t>
        </is>
      </c>
      <c r="C66" s="3" t="inlineStr">
        <is>
          <t>MK-NW-M-057</t>
        </is>
      </c>
      <c r="D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6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MK-NW-M-028, MK-NW-M-041, MK-NW-M-042, MK-NW-M-043, MK-NW-M-044, MK-NW-M-045, MK-NW-M-046, MK-NW-M-047, MK-NW-M-048, MK-NW-M-049, MK-NW-M-050, MK-NW-M-051, MK-NW-M-052, MK-NW-M-053, MK-NW-M-054, MK-NW-M-055, MK-NW-M-056, MK-NW-M-058, MK-NW-M-063, MK-NW-M-064, MK-PF-M-002, MK-PF-M-003, MK-PF-M-005, MK-PF-M-006, MK-PF-M-007, MK-PF-M-008, MK-PF-M-013, MK-PF-M-014, MK-PF-M-015, MK-PF-M-016, MK-PF-M-017, MK-PF-M-018, MK-PF-M-019, MK-PF-M-020, MK-XS-M-001, MK-XS-M-003, MK-XS-M-004, MK-XS-M-005, MK-XS-M-006</t>
        </is>
      </c>
    </row>
    <row r="67" ht="15" customHeight="1">
      <c r="A67" s="3" t="n"/>
      <c r="B67" s="3" t="n"/>
      <c r="C67" s="3" t="n"/>
      <c r="D67" s="3" t="n"/>
      <c r="E67" s="3" t="n"/>
    </row>
    <row r="68" ht="60" customHeight="1">
      <c r="A68" s="10" t="inlineStr">
        <is>
          <t>GAPS — inputs an function names that are on NO row of the inputs tab.</t>
        </is>
      </c>
      <c r="B68" s="3" t="inlineStr">
        <is>
          <t>Each one is either a missing input, or the same input under another name.</t>
        </is>
      </c>
      <c r="C68" s="3" t="inlineStr"/>
      <c r="D68" s="3" t="inlineStr"/>
      <c r="E68" s="3" t="inlineStr"/>
    </row>
  </sheetData>
  <autoFilter ref="A1:E68"/>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3"/>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2" customWidth="1" min="4" max="4"/>
    <col width="40" customWidth="1" min="5" max="5"/>
    <col width="44" customWidth="1" min="6" max="6"/>
  </cols>
  <sheetData>
    <row r="1" ht="15" customHeight="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ht="15" customHeight="1">
      <c r="A2" s="3" t="inlineStr">
        <is>
          <t>MK-HM-E-001</t>
        </is>
      </c>
      <c r="B2" s="3" t="inlineStr">
        <is>
          <t>PRICE_FRESHNESS</t>
        </is>
      </c>
      <c r="C2" s="3" t="inlineStr">
        <is>
          <t>src/services/marketData.ts:60</t>
        </is>
      </c>
      <c r="D2" s="3" t="inlineStr">
        <is>
          <t>How old is the price we are showing?</t>
        </is>
      </c>
      <c r="E2" s="3" t="inlineStr">
        <is>
          <t>MK-HM-M-001</t>
        </is>
      </c>
      <c r="F2" s="3" t="inlineStr">
        <is>
          <t>Named by 1 figure(s)</t>
        </is>
      </c>
    </row>
    <row r="3" ht="30" customHeight="1">
      <c r="A3" s="3" t="inlineStr">
        <is>
          <t>MK-HM-E-002</t>
        </is>
      </c>
      <c r="B3" s="3" t="inlineStr">
        <is>
          <t>NOT IN OLD MASTER — milestoneCrossed, src/domain/milestones.ts</t>
        </is>
      </c>
      <c r="C3" s="3" t="inlineStr">
        <is>
          <t>NOT DETERMINED — no source line on record</t>
        </is>
      </c>
      <c r="D3" s="3" t="inlineStr">
        <is>
          <t>—</t>
        </is>
      </c>
      <c r="E3" s="3" t="inlineStr">
        <is>
          <t>MK-HM-M-002</t>
        </is>
      </c>
      <c r="F3" s="3" t="inlineStr">
        <is>
          <t>Named by 1 figure(s)</t>
        </is>
      </c>
    </row>
    <row r="4" ht="30" customHeight="1">
      <c r="A4" s="3" t="inlineStr">
        <is>
          <t>MK-HM-E-003</t>
        </is>
      </c>
      <c r="B4" s="3" t="inlineStr">
        <is>
          <t>NOT IN OLD MASTER — useInsights, src/domain/insights</t>
        </is>
      </c>
      <c r="C4" s="3" t="inlineStr">
        <is>
          <t>NOT DETERMINED — no source line on record</t>
        </is>
      </c>
      <c r="D4" s="3" t="inlineStr">
        <is>
          <t>—</t>
        </is>
      </c>
      <c r="E4" s="3" t="inlineStr">
        <is>
          <t>MK-HM-M-003 · MK-MN-M-015</t>
        </is>
      </c>
      <c r="F4" s="3" t="inlineStr">
        <is>
          <t>Named by 2 figure(s)</t>
        </is>
      </c>
    </row>
    <row r="5" ht="15" customHeight="1">
      <c r="A5" s="3" t="inlineStr">
        <is>
          <t>MK-MN-E-001</t>
        </is>
      </c>
      <c r="B5" s="3" t="inlineStr">
        <is>
          <t>BIG_COSTS</t>
        </is>
      </c>
      <c r="C5" s="3" t="inlineStr">
        <is>
          <t>NOT DETERMINED — no source line on record</t>
        </is>
      </c>
      <c r="D5" s="3" t="inlineStr">
        <is>
          <t>—</t>
        </is>
      </c>
      <c r="E5" s="3" t="inlineStr">
        <is>
          <t>MK-MN-M-001 · MK-MN-M-002</t>
        </is>
      </c>
      <c r="F5" s="3" t="inlineStr">
        <is>
          <t>Named by 2 figure(s)</t>
        </is>
      </c>
    </row>
    <row r="6" ht="15" customHeight="1">
      <c r="A6" s="3" t="inlineStr">
        <is>
          <t>MK-MN-E-002</t>
        </is>
      </c>
      <c r="B6" s="3" t="inlineStr">
        <is>
          <t>PLANNED_SPENDING</t>
        </is>
      </c>
      <c r="C6" s="3" t="inlineStr">
        <is>
          <t>src/domain/budget/index.ts:45</t>
        </is>
      </c>
      <c r="D6" s="3" t="inlineStr">
        <is>
          <t>What does this person plan to spend each month?</t>
        </is>
      </c>
      <c r="E6" s="3" t="inlineStr">
        <is>
          <t>MK-MN-M-007</t>
        </is>
      </c>
      <c r="F6" s="3" t="inlineStr">
        <is>
          <t>Named by 1 figure(s)</t>
        </is>
      </c>
    </row>
    <row r="7" ht="15" customHeight="1">
      <c r="A7" s="3" t="inlineStr">
        <is>
          <t>MK-MN-E-003</t>
        </is>
      </c>
      <c r="B7" s="3" t="inlineStr">
        <is>
          <t>GOAL_CAPACITY</t>
        </is>
      </c>
      <c r="C7" s="3" t="inlineStr">
        <is>
          <t>NOT DETERMINED — no source line on record</t>
        </is>
      </c>
      <c r="D7" s="3" t="inlineStr">
        <is>
          <t>—</t>
        </is>
      </c>
      <c r="E7" s="3" t="inlineStr">
        <is>
          <t>MK-MN-M-008</t>
        </is>
      </c>
      <c r="F7" s="3" t="inlineStr">
        <is>
          <t>Named by 1 figure(s)</t>
        </is>
      </c>
    </row>
    <row r="8" ht="15" customHeight="1">
      <c r="A8" s="3" t="inlineStr">
        <is>
          <t>MK-MN-E-004</t>
        </is>
      </c>
      <c r="B8" s="3" t="inlineStr">
        <is>
          <t>GOAL_PROGRESS</t>
        </is>
      </c>
      <c r="C8" s="3" t="inlineStr">
        <is>
          <t>NOT DETERMINED — no source line on record</t>
        </is>
      </c>
      <c r="D8" s="3" t="inlineStr">
        <is>
          <t>—</t>
        </is>
      </c>
      <c r="E8" s="3" t="inlineStr">
        <is>
          <t>MK-MN-M-009</t>
        </is>
      </c>
      <c r="F8" s="3" t="inlineStr">
        <is>
          <t>Named by 1 figure(s)</t>
        </is>
      </c>
    </row>
    <row r="9" ht="15" customHeight="1">
      <c r="A9" s="3" t="inlineStr">
        <is>
          <t>MK-MN-E-005</t>
        </is>
      </c>
      <c r="B9" s="3" t="inlineStr">
        <is>
          <t>SINKING_FUNDS</t>
        </is>
      </c>
      <c r="C9" s="3" t="inlineStr">
        <is>
          <t>NOT DETERMINED — no source line on record</t>
        </is>
      </c>
      <c r="D9" s="3" t="inlineStr">
        <is>
          <t>—</t>
        </is>
      </c>
      <c r="E9" s="3" t="inlineStr">
        <is>
          <t>MK-MN-M-010</t>
        </is>
      </c>
      <c r="F9" s="3" t="inlineStr">
        <is>
          <t>Named by 1 figure(s)</t>
        </is>
      </c>
    </row>
    <row r="10" ht="15" customHeight="1">
      <c r="A10" s="3" t="inlineStr">
        <is>
          <t>MK-MN-E-006</t>
        </is>
      </c>
      <c r="B10" s="3" t="inlineStr">
        <is>
          <t>EMPLOYER_MATCH</t>
        </is>
      </c>
      <c r="C10" s="3" t="inlineStr">
        <is>
          <t>src/domain/income/onboarding.ts:263</t>
        </is>
      </c>
      <c r="D10" s="3" t="inlineStr">
        <is>
          <t>How much does the employer add each month?</t>
        </is>
      </c>
      <c r="E10" s="3" t="inlineStr">
        <is>
          <t>MK-MN-M-014</t>
        </is>
      </c>
      <c r="F10" s="3" t="inlineStr">
        <is>
          <t>Named by 1 figure(s)</t>
        </is>
      </c>
    </row>
    <row r="11" ht="30" customHeight="1">
      <c r="A11" s="3" t="inlineStr">
        <is>
          <t>MK-MN-E-007</t>
        </is>
      </c>
      <c r="B11" s="3" t="inlineStr">
        <is>
          <t>INSURANCE_NEED</t>
        </is>
      </c>
      <c r="C11" s="3" t="inlineStr">
        <is>
          <t>NOT DETERMINED — no source line on record</t>
        </is>
      </c>
      <c r="D11" s="3" t="inlineStr">
        <is>
          <t>—</t>
        </is>
      </c>
      <c r="E11" s="3" t="inlineStr">
        <is>
          <t>MK-MN-M-017 · MK-MN-M-018 · MK-MN-M-019</t>
        </is>
      </c>
      <c r="F11" s="3" t="inlineStr">
        <is>
          <t>Named by 3 figure(s)</t>
        </is>
      </c>
    </row>
    <row r="12" ht="30" customHeight="1">
      <c r="A12" s="3" t="inlineStr">
        <is>
          <t>MK-PL-E-001</t>
        </is>
      </c>
      <c r="B12" s="3" t="inlineStr">
        <is>
          <t>WHAT_THE_PLAN_STILL_NEEDS</t>
        </is>
      </c>
      <c r="C12" s="3" t="inlineStr">
        <is>
          <t>src/domain/planning/hub.ts:44</t>
        </is>
      </c>
      <c r="D12" s="3" t="inlineStr">
        <is>
          <t>Is there enough to show this person their own odds?</t>
        </is>
      </c>
      <c r="E12" s="3" t="inlineStr">
        <is>
          <t>MK-PL-M-001 · MK-PL-M-002</t>
        </is>
      </c>
      <c r="F12" s="3" t="inlineStr">
        <is>
          <t>Named by 2 figure(s)</t>
        </is>
      </c>
    </row>
    <row r="13" ht="30" customHeight="1">
      <c r="A13" s="3" t="inlineStr">
        <is>
          <t>MK-PL-E-002</t>
        </is>
      </c>
      <c r="B13" s="3" t="inlineStr">
        <is>
          <t>NOT IN OLD MASTER — retirementPaycheckYear, src/domain/paycheck</t>
        </is>
      </c>
      <c r="C13" s="3" t="inlineStr">
        <is>
          <t>NOT DETERMINED — no source line on record</t>
        </is>
      </c>
      <c r="D13" s="3" t="inlineStr">
        <is>
          <t>—</t>
        </is>
      </c>
      <c r="E13" s="3" t="inlineStr">
        <is>
          <t>MK-PL-M-003 · MK-PL-M-004 · MK-PL-M-005</t>
        </is>
      </c>
      <c r="F13" s="3" t="inlineStr">
        <is>
          <t>Named by 3 figure(s)</t>
        </is>
      </c>
    </row>
    <row r="14" ht="30" customHeight="1">
      <c r="A14" s="3" t="inlineStr">
        <is>
          <t>MK-PL-E-003</t>
        </is>
      </c>
      <c r="B14" s="3" t="inlineStr">
        <is>
          <t>NOT IN OLD MASTER — saved scenarios, src/domain/scenarios</t>
        </is>
      </c>
      <c r="C14" s="3" t="inlineStr">
        <is>
          <t>NOT DETERMINED — no source line on record</t>
        </is>
      </c>
      <c r="D14" s="3" t="inlineStr">
        <is>
          <t>—</t>
        </is>
      </c>
      <c r="E14" s="3" t="inlineStr">
        <is>
          <t>MK-PL-M-007</t>
        </is>
      </c>
      <c r="F14" s="3" t="inlineStr">
        <is>
          <t>Named by 1 figure(s)</t>
        </is>
      </c>
    </row>
    <row r="15" ht="15" customHeight="1">
      <c r="A15" s="3" t="inlineStr">
        <is>
          <t>MK-PL-E-004</t>
        </is>
      </c>
      <c r="B15" s="3" t="inlineStr">
        <is>
          <t>GUARANTEED_STREAMS (engines: B1 rebuild)</t>
        </is>
      </c>
      <c r="C15" s="3" t="inlineStr">
        <is>
          <t>NOT DETERMINED — no source line on record</t>
        </is>
      </c>
      <c r="D15" s="3" t="inlineStr">
        <is>
          <t>—</t>
        </is>
      </c>
      <c r="E15" s="3" t="inlineStr">
        <is>
          <t>MK-PL-M-010</t>
        </is>
      </c>
      <c r="F15" s="3" t="inlineStr">
        <is>
          <t>Named by 1 figure(s)</t>
        </is>
      </c>
    </row>
    <row r="16" ht="30" customHeight="1">
      <c r="A16" s="3" t="inlineStr">
        <is>
          <t>MK-PL-E-005</t>
        </is>
      </c>
      <c r="B16" s="3" t="inlineStr">
        <is>
          <t>RMD_START_AGE (Calculation Module code/engines/rmd.ts)</t>
        </is>
      </c>
      <c r="C16" s="3" t="inlineStr">
        <is>
          <t>NOT DETERMINED — no source line on record</t>
        </is>
      </c>
      <c r="D16" s="3" t="inlineStr">
        <is>
          <t>—</t>
        </is>
      </c>
      <c r="E16" s="3" t="inlineStr">
        <is>
          <t>MK-PL-M-012</t>
        </is>
      </c>
      <c r="F16" s="3" t="inlineStr">
        <is>
          <t>Named by 1 figure(s)</t>
        </is>
      </c>
    </row>
    <row r="17" ht="15" customHeight="1">
      <c r="A17" s="3" t="inlineStr">
        <is>
          <t>MK-PL-E-006</t>
        </is>
      </c>
      <c r="B17" s="3" t="inlineStr">
        <is>
          <t>REQUIRED_WITHDRAWAL</t>
        </is>
      </c>
      <c r="C17" s="3" t="inlineStr">
        <is>
          <t>NOT DETERMINED — no source line on record</t>
        </is>
      </c>
      <c r="D17" s="3" t="inlineStr">
        <is>
          <t>—</t>
        </is>
      </c>
      <c r="E17" s="3" t="inlineStr">
        <is>
          <t>MK-PL-M-013 · MK-PL-M-015</t>
        </is>
      </c>
      <c r="F17" s="3" t="inlineStr">
        <is>
          <t>Named by 2 figure(s)</t>
        </is>
      </c>
    </row>
    <row r="18" ht="15" customHeight="1">
      <c r="A18" s="3" t="inlineStr">
        <is>
          <t>MK-PL-E-007</t>
        </is>
      </c>
      <c r="B18" s="3" t="inlineStr">
        <is>
          <t>HAND_VALUE_AGE</t>
        </is>
      </c>
      <c r="C18" s="3" t="inlineStr">
        <is>
          <t>src/domain/assets/index.ts:97</t>
        </is>
      </c>
      <c r="D18" s="3" t="inlineStr">
        <is>
          <t>How old is this hand-entered value?</t>
        </is>
      </c>
      <c r="E18" s="3" t="inlineStr">
        <is>
          <t>MK-PL-M-016</t>
        </is>
      </c>
      <c r="F18" s="3" t="inlineStr">
        <is>
          <t>Named by 1 figure(s)</t>
        </is>
      </c>
    </row>
    <row r="19" ht="15" customHeight="1">
      <c r="A19" s="3" t="inlineStr">
        <is>
          <t>MK-PL-E-008</t>
        </is>
      </c>
      <c r="B19" s="3" t="inlineStr">
        <is>
          <t>RETIREMENT_INCOME_NOW</t>
        </is>
      </c>
      <c r="C19" s="3" t="inlineStr">
        <is>
          <t>src/domain/income/onboarding.ts:191</t>
        </is>
      </c>
      <c r="D19" s="3" t="inlineStr">
        <is>
          <t>How much retirement income is arriving TODAY?</t>
        </is>
      </c>
      <c r="E19" s="3" t="inlineStr">
        <is>
          <t>MK-PL-M-018 · MK-PL-M-032</t>
        </is>
      </c>
      <c r="F19" s="3" t="inlineStr">
        <is>
          <t>Named by 2 figure(s)</t>
        </is>
      </c>
    </row>
    <row r="20" ht="15" customHeight="1">
      <c r="A20" s="3" t="inlineStr">
        <is>
          <t>MK-PL-E-009</t>
        </is>
      </c>
      <c r="B20" s="3" t="inlineStr">
        <is>
          <t>SS_CLAIM_FACTOR · SS_BENEFIT_AT_AGE</t>
        </is>
      </c>
      <c r="C20" s="3" t="inlineStr">
        <is>
          <t>NOT DETERMINED — no source line on record</t>
        </is>
      </c>
      <c r="D20" s="3" t="inlineStr">
        <is>
          <t>—</t>
        </is>
      </c>
      <c r="E20" s="3" t="inlineStr">
        <is>
          <t>MK-PL-M-019</t>
        </is>
      </c>
      <c r="F20" s="3" t="inlineStr">
        <is>
          <t>Named by 1 figure(s)</t>
        </is>
      </c>
    </row>
    <row r="21" ht="15" customHeight="1">
      <c r="A21" s="3" t="inlineStr">
        <is>
          <t>MK-PL-E-010</t>
        </is>
      </c>
      <c r="B21" s="3" t="inlineStr">
        <is>
          <t>SS_LIFETIME_TOTAL</t>
        </is>
      </c>
      <c r="C21" s="3" t="inlineStr">
        <is>
          <t>NOT DETERMINED — no source line on record</t>
        </is>
      </c>
      <c r="D21" s="3" t="inlineStr">
        <is>
          <t>—</t>
        </is>
      </c>
      <c r="E21" s="3" t="inlineStr">
        <is>
          <t>MK-PL-M-020</t>
        </is>
      </c>
      <c r="F21" s="3" t="inlineStr">
        <is>
          <t>Named by 1 figure(s)</t>
        </is>
      </c>
    </row>
    <row r="22" ht="30" customHeight="1">
      <c r="A22" s="3" t="inlineStr">
        <is>
          <t>MK-PL-E-011</t>
        </is>
      </c>
      <c r="B22" s="3" t="inlineStr">
        <is>
          <t>the worked example used until a real statement goes in</t>
        </is>
      </c>
      <c r="C22" s="3" t="inlineStr">
        <is>
          <t>NOT DETERMINED — no source line on record</t>
        </is>
      </c>
      <c r="D22" s="3" t="inlineStr">
        <is>
          <t>—</t>
        </is>
      </c>
      <c r="E22" s="3" t="inlineStr">
        <is>
          <t>MK-PL-M-021</t>
        </is>
      </c>
      <c r="F22" s="3" t="inlineStr">
        <is>
          <t>Named by 1 figure(s)</t>
        </is>
      </c>
    </row>
    <row r="23" ht="30" customHeight="1">
      <c r="A23" s="3" t="inlineStr">
        <is>
          <t>MK-PL-E-012</t>
        </is>
      </c>
      <c r="B23" s="3" t="inlineStr">
        <is>
          <t>the amount the person chose</t>
        </is>
      </c>
      <c r="C23" s="3" t="inlineStr">
        <is>
          <t>On the screen itself — no engine file</t>
        </is>
      </c>
      <c r="D23" s="3" t="inlineStr">
        <is>
          <t>—</t>
        </is>
      </c>
      <c r="E23" s="3" t="inlineStr">
        <is>
          <t>MK-PL-M-022 · MK-PL-M-025 · MK-PL-M-030</t>
        </is>
      </c>
      <c r="F23" s="3" t="inlineStr">
        <is>
          <t>Named by 3 figure(s)</t>
        </is>
      </c>
    </row>
    <row r="24" ht="15" customHeight="1">
      <c r="A24" s="3" t="inlineStr">
        <is>
          <t>MK-PL-E-013</t>
        </is>
      </c>
      <c r="B24" s="3" t="inlineStr">
        <is>
          <t>TAX_ON_CONVERSION</t>
        </is>
      </c>
      <c r="C24" s="3" t="inlineStr">
        <is>
          <t>NOT DETERMINED — no source line on record</t>
        </is>
      </c>
      <c r="D24" s="3" t="inlineStr">
        <is>
          <t>—</t>
        </is>
      </c>
      <c r="E24" s="3" t="inlineStr">
        <is>
          <t>MK-PL-M-023</t>
        </is>
      </c>
      <c r="F24" s="3" t="inlineStr">
        <is>
          <t>Named by 1 figure(s)</t>
        </is>
      </c>
    </row>
    <row r="25" ht="15" customHeight="1">
      <c r="A25" s="3" t="inlineStr">
        <is>
          <t>MK-PL-E-014</t>
        </is>
      </c>
      <c r="B25" s="3" t="inlineStr">
        <is>
          <t>PRE_TAX_BALANCE</t>
        </is>
      </c>
      <c r="C25" s="3" t="inlineStr">
        <is>
          <t>NOT DETERMINED — no source line on record</t>
        </is>
      </c>
      <c r="D25" s="3" t="inlineStr">
        <is>
          <t>—</t>
        </is>
      </c>
      <c r="E25" s="3" t="inlineStr">
        <is>
          <t>MK-PL-M-024</t>
        </is>
      </c>
      <c r="F25" s="3" t="inlineStr">
        <is>
          <t>Named by 1 figure(s)</t>
        </is>
      </c>
    </row>
    <row r="26" ht="30" customHeight="1">
      <c r="A26" s="3" t="inlineStr">
        <is>
          <t>MK-PL-E-015</t>
        </is>
      </c>
      <c r="B26" s="3" t="inlineStr">
        <is>
          <t>POT_AT_RETIREMENT</t>
        </is>
      </c>
      <c r="C26" s="3" t="inlineStr">
        <is>
          <t>src/domain/retirement/index.ts:324</t>
        </is>
      </c>
      <c r="D26" s="3" t="inlineStr">
        <is>
          <t>What will the pot be worth at retirement, and how big does it need to be?</t>
        </is>
      </c>
      <c r="E26" s="3" t="inlineStr">
        <is>
          <t>MK-PL-M-026 · MK-PL-M-033</t>
        </is>
      </c>
      <c r="F26" s="3" t="inlineStr">
        <is>
          <t>Named by 2 figure(s)</t>
        </is>
      </c>
    </row>
    <row r="27" ht="15" customHeight="1">
      <c r="A27" s="3" t="inlineStr">
        <is>
          <t>MK-PL-E-016</t>
        </is>
      </c>
      <c r="B27" s="3" t="inlineStr">
        <is>
          <t>the amounts the person chose</t>
        </is>
      </c>
      <c r="C27" s="3" t="inlineStr">
        <is>
          <t>On the screen itself — no engine file</t>
        </is>
      </c>
      <c r="D27" s="3" t="inlineStr">
        <is>
          <t>—</t>
        </is>
      </c>
      <c r="E27" s="3" t="inlineStr">
        <is>
          <t>MK-PL-M-028</t>
        </is>
      </c>
      <c r="F27" s="3" t="inlineStr">
        <is>
          <t>Named by 1 figure(s)</t>
        </is>
      </c>
    </row>
    <row r="28" ht="15" customHeight="1">
      <c r="A28" s="3" t="inlineStr">
        <is>
          <t>MK-PL-E-017</t>
        </is>
      </c>
      <c r="B28" s="3" t="inlineStr">
        <is>
          <t>DEBT_PAYOFF</t>
        </is>
      </c>
      <c r="C28" s="3" t="inlineStr">
        <is>
          <t>NOT DETERMINED — no source line on record</t>
        </is>
      </c>
      <c r="D28" s="3" t="inlineStr">
        <is>
          <t>—</t>
        </is>
      </c>
      <c r="E28" s="3" t="inlineStr">
        <is>
          <t>MK-PL-M-031</t>
        </is>
      </c>
      <c r="F28" s="3" t="inlineStr">
        <is>
          <t>Named by 1 figure(s)</t>
        </is>
      </c>
    </row>
    <row r="29" ht="15" customHeight="1">
      <c r="A29" s="3" t="inlineStr">
        <is>
          <t>MK-PL-E-018</t>
        </is>
      </c>
      <c r="B29" s="3" t="inlineStr">
        <is>
          <t>the age the person chose</t>
        </is>
      </c>
      <c r="C29" s="3" t="inlineStr">
        <is>
          <t>On the screen itself — no engine file</t>
        </is>
      </c>
      <c r="D29" s="3" t="inlineStr">
        <is>
          <t>—</t>
        </is>
      </c>
      <c r="E29" s="3" t="inlineStr">
        <is>
          <t>MK-PL-M-035</t>
        </is>
      </c>
      <c r="F29" s="3" t="inlineStr">
        <is>
          <t>Named by 1 figure(s)</t>
        </is>
      </c>
    </row>
    <row r="30" ht="15" customHeight="1">
      <c r="A30" s="3" t="inlineStr">
        <is>
          <t>MK-PL-E-019</t>
        </is>
      </c>
      <c r="B30" s="3" t="inlineStr">
        <is>
          <t>EDUCATION_COST</t>
        </is>
      </c>
      <c r="C30" s="3" t="inlineStr">
        <is>
          <t>NOT DETERMINED — no source line on record</t>
        </is>
      </c>
      <c r="D30" s="3" t="inlineStr">
        <is>
          <t>—</t>
        </is>
      </c>
      <c r="E30" s="3" t="inlineStr">
        <is>
          <t>MK-PL-M-036 · MK-PL-M-037</t>
        </is>
      </c>
      <c r="F30" s="3" t="inlineStr">
        <is>
          <t>Named by 2 figure(s)</t>
        </is>
      </c>
    </row>
    <row r="31" ht="30" customHeight="1">
      <c r="A31" s="3" t="inlineStr">
        <is>
          <t>MK-XS-E-001</t>
        </is>
      </c>
      <c r="B31" s="3" t="inlineStr">
        <is>
          <t>NEST_EGG</t>
        </is>
      </c>
      <c r="C31" s="3" t="inlineStr">
        <is>
          <t>src/domain/assets/index.ts:548</t>
        </is>
      </c>
      <c r="D31" s="3" t="inlineStr">
        <is>
          <t>What is my retirement pot worth?</t>
        </is>
      </c>
      <c r="E31" s="3" t="inlineStr">
        <is>
          <t>—</t>
        </is>
      </c>
      <c r="F31" s="3" t="inlineStr">
        <is>
          <t>Only as another engine’s dependency — no figure names it directly</t>
        </is>
      </c>
    </row>
    <row r="32" ht="30" customHeight="1">
      <c r="A32" s="3" t="inlineStr">
        <is>
          <t>MK-XS-E-002</t>
        </is>
      </c>
      <c r="B32" s="3" t="inlineStr">
        <is>
          <t>ODDS_DISPLAY</t>
        </is>
      </c>
      <c r="C32" s="3" t="inlineStr">
        <is>
          <t>src/domain/retirement/willItLast.ts:55</t>
        </is>
      </c>
      <c r="D32" s="3" t="inlineStr">
        <is>
          <t>The retirement odds a person actually sees. Answers: 0, 5, 10 … 100 — the exact simulation</t>
        </is>
      </c>
      <c r="E32" s="3" t="inlineStr">
        <is>
          <t>—</t>
        </is>
      </c>
      <c r="F32" s="3" t="inlineStr">
        <is>
          <t>Only as another engine’s dependency — no figure names it directly</t>
        </is>
      </c>
    </row>
    <row r="33" ht="15" customHeight="1">
      <c r="A33" s="3" t="inlineStr">
        <is>
          <t>MK-XS-E-003</t>
        </is>
      </c>
      <c r="B33" s="3" t="inlineStr">
        <is>
          <t>RETIREMENT_SPENDING</t>
        </is>
      </c>
      <c r="C33" s="3" t="inlineStr">
        <is>
          <t>src/domain/retirement/index.ts:49</t>
        </is>
      </c>
      <c r="D33" s="3" t="inlineStr">
        <is>
          <t>What will be spent each month in retirement?</t>
        </is>
      </c>
      <c r="E33" s="3" t="inlineStr">
        <is>
          <t>MK-PL-M-009</t>
        </is>
      </c>
      <c r="F33" s="3" t="inlineStr">
        <is>
          <t>Named by 1 figure(s)</t>
        </is>
      </c>
    </row>
    <row r="34" ht="30" customHeight="1">
      <c r="A34" s="3" t="inlineStr">
        <is>
          <t>MK-XS-E-004</t>
        </is>
      </c>
      <c r="B34" s="3" t="inlineStr">
        <is>
          <t>WILL_IT_LAST</t>
        </is>
      </c>
      <c r="C34" s="3" t="inlineStr">
        <is>
          <t>src/domain/retirement/index.ts:156</t>
        </is>
      </c>
      <c r="D34" s="3" t="inlineStr">
        <is>
          <t>Will my money last?</t>
        </is>
      </c>
      <c r="E34" s="3" t="inlineStr">
        <is>
          <t>—</t>
        </is>
      </c>
      <c r="F34" s="3" t="inlineStr">
        <is>
          <t>Only as another engine’s dependency — no figure names it directly</t>
        </is>
      </c>
    </row>
    <row r="35" ht="30" customHeight="1">
      <c r="A35" s="3" t="inlineStr">
        <is>
          <t>MK-XS-E-005</t>
        </is>
      </c>
      <c r="B35" s="3" t="inlineStr">
        <is>
          <t>WILL_IT_LAST_INPUTS</t>
        </is>
      </c>
      <c r="C35" s="3" t="inlineStr">
        <is>
          <t>src/domain/retirement/willItLast.ts:62</t>
        </is>
      </c>
      <c r="D35" s="3" t="inlineStr">
        <is>
          <t>What goes into working out the odds?</t>
        </is>
      </c>
      <c r="E35" s="3" t="inlineStr">
        <is>
          <t>MK-PL-M-008 · MK-PL-M-011 · MK-PL-M-029</t>
        </is>
      </c>
      <c r="F35" s="3" t="inlineStr">
        <is>
          <t>Named by 3 figure(s)</t>
        </is>
      </c>
    </row>
    <row r="36" ht="15" customHeight="1">
      <c r="A36" s="3" t="inlineStr">
        <is>
          <t>MK-XS-E-006</t>
        </is>
      </c>
      <c r="B36" s="3" t="inlineStr">
        <is>
          <t>WILL_IT_LAST_RESULT</t>
        </is>
      </c>
      <c r="C36" s="3" t="inlineStr">
        <is>
          <t>src/domain/retirement/willItLast.ts:149</t>
        </is>
      </c>
      <c r="D36" s="3" t="inlineStr">
        <is>
          <t>What are the odds, and can we honestly show them?</t>
        </is>
      </c>
      <c r="E36" s="3" t="inlineStr">
        <is>
          <t>MK-PL-M-034 · MK-XS-M-002</t>
        </is>
      </c>
      <c r="F36" s="3" t="inlineStr">
        <is>
          <t>Named by 2 figure(s)</t>
        </is>
      </c>
    </row>
    <row r="37" ht="30" customHeight="1">
      <c r="A37" s="3" t="inlineStr">
        <is>
          <t>MK-XS-E-007</t>
        </is>
      </c>
      <c r="B37" s="3" t="inlineStr">
        <is>
          <t>NOT IN OLD MASTER — budgetVsActual, src/domain/budget</t>
        </is>
      </c>
      <c r="C37" s="3" t="inlineStr">
        <is>
          <t>NOT DETERMINED — no source line on record</t>
        </is>
      </c>
      <c r="D37" s="3" t="inlineStr">
        <is>
          <t>—</t>
        </is>
      </c>
      <c r="E37" s="3" t="inlineStr">
        <is>
          <t>MK-XS-M-005</t>
        </is>
      </c>
      <c r="F37" s="3" t="inlineStr">
        <is>
          <t>Named by 1 figure(s)</t>
        </is>
      </c>
    </row>
    <row r="38" ht="30" customHeight="1">
      <c r="A38" s="3" t="inlineStr">
        <is>
          <t>MK-XS-E-008</t>
        </is>
      </c>
      <c r="B38" s="3" t="inlineStr">
        <is>
          <t>NOT IN OLD MASTER — incomeMonthlyGrid, src/domain/income</t>
        </is>
      </c>
      <c r="C38" s="3" t="inlineStr">
        <is>
          <t>NOT DETERMINED — no source line on record</t>
        </is>
      </c>
      <c r="D38" s="3" t="inlineStr">
        <is>
          <t>—</t>
        </is>
      </c>
      <c r="E38" s="3" t="inlineStr">
        <is>
          <t>MK-XS-M-006</t>
        </is>
      </c>
      <c r="F38" s="3" t="inlineStr">
        <is>
          <t>Named by 1 figure(s)</t>
        </is>
      </c>
    </row>
    <row r="39" ht="30" customHeight="1">
      <c r="A39" s="3" t="inlineStr">
        <is>
          <t>MK-XS-E-009</t>
        </is>
      </c>
      <c r="B39" s="3" t="inlineStr">
        <is>
          <t>FETCH_PRICES</t>
        </is>
      </c>
      <c r="C39" s="3" t="inlineStr">
        <is>
          <t>src/services/marketData.ts:71</t>
        </is>
      </c>
      <c r="D39" s="3" t="inlineStr">
        <is>
          <t>What are these holdings worth?</t>
        </is>
      </c>
      <c r="E39" s="3" t="inlineStr">
        <is>
          <t>—</t>
        </is>
      </c>
      <c r="F39" s="3" t="inlineStr">
        <is>
          <t>Only as another engine’s dependency — no figure names it directly</t>
        </is>
      </c>
    </row>
    <row r="40" ht="30" customHeight="1">
      <c r="A40" s="3" t="inlineStr">
        <is>
          <t>MK-XS-E-010</t>
        </is>
      </c>
      <c r="B40" s="3" t="inlineStr">
        <is>
          <t>EFFECTIVE_TAX_RATE</t>
        </is>
      </c>
      <c r="C40" s="3" t="inlineStr">
        <is>
          <t>src/domain/income/tax.ts:130</t>
        </is>
      </c>
      <c r="D40" s="3" t="inlineStr">
        <is>
          <t>What share of my income actually goes in tax?</t>
        </is>
      </c>
      <c r="E40" s="3" t="inlineStr">
        <is>
          <t>—</t>
        </is>
      </c>
      <c r="F40" s="3" t="inlineStr">
        <is>
          <t>Only as another engine’s dependency — no figure names it directly</t>
        </is>
      </c>
    </row>
    <row r="41" ht="30" customHeight="1">
      <c r="A41" s="3" t="inlineStr">
        <is>
          <t>MK-XS-E-011</t>
        </is>
      </c>
      <c r="B41" s="3" t="inlineStr">
        <is>
          <t>EXPECTED_RETURN_BLENDED</t>
        </is>
      </c>
      <c r="C41" s="3" t="inlineStr">
        <is>
          <t>src/domain/assets/index.ts:638</t>
        </is>
      </c>
      <c r="D41" s="3" t="inlineStr">
        <is>
          <t>What return should I expect on everything I hold together?</t>
        </is>
      </c>
      <c r="E41" s="3" t="inlineStr">
        <is>
          <t>—</t>
        </is>
      </c>
      <c r="F41" s="3" t="inlineStr">
        <is>
          <t>Only as another engine’s dependency — no figure names it directly</t>
        </is>
      </c>
    </row>
    <row r="42" ht="30" customHeight="1">
      <c r="A42" s="3" t="inlineStr">
        <is>
          <t>MK-XS-E-012</t>
        </is>
      </c>
      <c r="B42" s="3" t="inlineStr">
        <is>
          <t>EXPECTED_SWING_BLENDED</t>
        </is>
      </c>
      <c r="C42" s="3" t="inlineStr">
        <is>
          <t>src/domain/assets/index.ts:597</t>
        </is>
      </c>
      <c r="D42" s="3" t="inlineStr">
        <is>
          <t>How much does a year's return typically swing around that average?</t>
        </is>
      </c>
      <c r="E42" s="3" t="inlineStr">
        <is>
          <t>—</t>
        </is>
      </c>
      <c r="F42" s="3" t="inlineStr">
        <is>
          <t>Only as another engine’s dependency — no figure names it directly</t>
        </is>
      </c>
    </row>
    <row r="43" ht="30" customHeight="1">
      <c r="A43" s="3" t="inlineStr">
        <is>
          <t>MK-XS-E-013</t>
        </is>
      </c>
      <c r="B43" s="3" t="inlineStr">
        <is>
          <t>FILING_STATUS</t>
        </is>
      </c>
      <c r="C43" s="3" t="inlineStr">
        <is>
          <t>src/domain/income/onboarding.ts:354</t>
        </is>
      </c>
      <c r="D43" s="3" t="inlineStr">
        <is>
          <t>How does this person file?</t>
        </is>
      </c>
      <c r="E43" s="3" t="inlineStr">
        <is>
          <t>—</t>
        </is>
      </c>
      <c r="F43" s="3" t="inlineStr">
        <is>
          <t>Only as another engine’s dependency — no figure names it directly</t>
        </is>
      </c>
    </row>
    <row r="44" ht="30" customHeight="1">
      <c r="A44" s="3" t="inlineStr">
        <is>
          <t>MK-XS-E-014</t>
        </is>
      </c>
      <c r="B44" s="3" t="inlineStr">
        <is>
          <t>GUARANTEED_OUTSIDE_STREAMS</t>
        </is>
      </c>
      <c r="C44" s="3" t="inlineStr">
        <is>
          <t>src/domain/income/onboarding.ts:227</t>
        </is>
      </c>
      <c r="D44" s="3" t="inlineStr">
        <is>
          <t>The plan's guaranteed-income input as separate streams of OUTSIDE money only. Answers: zer</t>
        </is>
      </c>
      <c r="E44" s="3" t="inlineStr">
        <is>
          <t>—</t>
        </is>
      </c>
      <c r="F44" s="3" t="inlineStr">
        <is>
          <t>Only as another engine’s dependency — no figure names it directly</t>
        </is>
      </c>
    </row>
    <row r="45" ht="30" customHeight="1">
      <c r="A45" s="3" t="inlineStr">
        <is>
          <t>MK-XS-E-015</t>
        </is>
      </c>
      <c r="B45" s="3" t="inlineStr">
        <is>
          <t>MONTHLY_SAVING</t>
        </is>
      </c>
      <c r="C45" s="3" t="inlineStr">
        <is>
          <t>src/domain/assets/index.ts:695</t>
        </is>
      </c>
      <c r="D45" s="3" t="inlineStr">
        <is>
          <t>How much goes in each month?</t>
        </is>
      </c>
      <c r="E45" s="3" t="inlineStr">
        <is>
          <t>—</t>
        </is>
      </c>
      <c r="F45" s="3" t="inlineStr">
        <is>
          <t>Only as another engine’s dependency — no figure names it directly</t>
        </is>
      </c>
    </row>
    <row r="46" ht="30" customHeight="1">
      <c r="A46" s="3" t="inlineStr">
        <is>
          <t>MK-XS-E-016</t>
        </is>
      </c>
      <c r="B46" s="3" t="inlineStr">
        <is>
          <t>REPORTED_RETURN</t>
        </is>
      </c>
      <c r="C46" s="3" t="inlineStr">
        <is>
          <t>src/domain/assets/index.ts:108</t>
        </is>
      </c>
      <c r="D46" s="3" t="inlineStr">
        <is>
          <t>What return did the person say they actually earned over the past year?</t>
        </is>
      </c>
      <c r="E46" s="3" t="inlineStr">
        <is>
          <t>—</t>
        </is>
      </c>
      <c r="F46" s="3" t="inlineStr">
        <is>
          <t>Only as another engine’s dependency — no figure names it directly</t>
        </is>
      </c>
    </row>
    <row r="47" ht="30" customHeight="1">
      <c r="A47" s="3" t="inlineStr">
        <is>
          <t>MK-XS-E-017</t>
        </is>
      </c>
      <c r="B47" s="3" t="inlineStr">
        <is>
          <t>SPLIT_BY_HOW_IT_IS_TAXED</t>
        </is>
      </c>
      <c r="C47" s="3" t="inlineStr">
        <is>
          <t>src/domain/decumulation/index.ts:11</t>
        </is>
      </c>
      <c r="D47" s="3" t="inlineStr">
        <is>
          <t>How is the retirement money split by the tax that will be owed on it?</t>
        </is>
      </c>
      <c r="E47" s="3" t="inlineStr">
        <is>
          <t>—</t>
        </is>
      </c>
      <c r="F47" s="3" t="inlineStr">
        <is>
          <t>Only as another engine’s dependency — no figure names it directly</t>
        </is>
      </c>
    </row>
    <row r="48" ht="30" customHeight="1">
      <c r="A48" s="3" t="inlineStr">
        <is>
          <t>MK-XS-E-018</t>
        </is>
      </c>
      <c r="B48" s="3" t="inlineStr">
        <is>
          <t>SS_BENEFIT_AT_AGE</t>
        </is>
      </c>
      <c r="C48" s="3" t="inlineStr">
        <is>
          <t>src/domain/retirement/ssTiming.ts:54</t>
        </is>
      </c>
      <c r="D48" s="3" t="inlineStr">
        <is>
          <t>The monthly Social Security check at a chosen claim age, in today's dollars. Answers: a wh</t>
        </is>
      </c>
      <c r="E48" s="3" t="inlineStr">
        <is>
          <t>MK-PL-M-017</t>
        </is>
      </c>
      <c r="F48" s="3" t="inlineStr">
        <is>
          <t>Named by 1 figure(s)</t>
        </is>
      </c>
    </row>
    <row r="49" ht="30" customHeight="1">
      <c r="A49" s="3" t="inlineStr">
        <is>
          <t>MK-XS-E-019</t>
        </is>
      </c>
      <c r="B49" s="3" t="inlineStr">
        <is>
          <t>STATE_TAX_RATE</t>
        </is>
      </c>
      <c r="C49" s="3" t="inlineStr">
        <is>
          <t>src/domain/income/onboarding.ts:358</t>
        </is>
      </c>
      <c r="D49" s="3" t="inlineStr">
        <is>
          <t>What state tax rate applies?</t>
        </is>
      </c>
      <c r="E49" s="3" t="inlineStr">
        <is>
          <t>—</t>
        </is>
      </c>
      <c r="F49" s="3" t="inlineStr">
        <is>
          <t>Only as another engine’s dependency — no figure names it directly</t>
        </is>
      </c>
    </row>
    <row r="50" ht="30" customHeight="1">
      <c r="A50" s="3" t="inlineStr">
        <is>
          <t>MK-XS-E-020</t>
        </is>
      </c>
      <c r="B50" s="3" t="inlineStr">
        <is>
          <t>SWING_FROM_RETURN</t>
        </is>
      </c>
      <c r="C50" s="3" t="inlineStr">
        <is>
          <t>src/domain/retirement/willItLast.ts:19</t>
        </is>
      </c>
      <c r="D50" s="3" t="inlineStr">
        <is>
          <t>How much might a year's return swing, judged from the return alone?</t>
        </is>
      </c>
      <c r="E50" s="3" t="inlineStr">
        <is>
          <t>—</t>
        </is>
      </c>
      <c r="F50" s="3" t="inlineStr">
        <is>
          <t>Only as another engine’s dependency — no figure names it directly</t>
        </is>
      </c>
    </row>
    <row r="51" ht="30" customHeight="1">
      <c r="A51" s="3" t="inlineStr">
        <is>
          <t>MK-XS-E-021</t>
        </is>
      </c>
      <c r="B51" s="3" t="inlineStr">
        <is>
          <t>TAX_OVER65_COUNT</t>
        </is>
      </c>
      <c r="C51" s="3" t="inlineStr">
        <is>
          <t>src/domain/income/onboarding.ts:405</t>
        </is>
      </c>
      <c r="D51" s="3" t="inlineStr">
        <is>
          <t xml:space="preserve">How many people on the tax return are 65 or older — the input the over-65 deduction needs </t>
        </is>
      </c>
      <c r="E51" s="3" t="inlineStr">
        <is>
          <t>—</t>
        </is>
      </c>
      <c r="F51" s="3" t="inlineStr">
        <is>
          <t>Only as another engine’s dependency — no figure names it directly</t>
        </is>
      </c>
    </row>
    <row r="52" ht="30" customHeight="1">
      <c r="A52" s="3" t="inlineStr">
        <is>
          <t>MK-XS-E-022</t>
        </is>
      </c>
      <c r="B52" s="3" t="inlineStr">
        <is>
          <t>TOTAL_INCOME</t>
        </is>
      </c>
      <c r="C52" s="3" t="inlineStr">
        <is>
          <t>src/domain/income/onboarding.ts:337</t>
        </is>
      </c>
      <c r="D52" s="3" t="inlineStr">
        <is>
          <t>What is the whole household income for the year, before tax?</t>
        </is>
      </c>
      <c r="E52" s="3" t="inlineStr">
        <is>
          <t>MK-MN-M-011 · MK-MN-M-012 · MK-MN-M-013</t>
        </is>
      </c>
      <c r="F52" s="3" t="inlineStr">
        <is>
          <t>Named by 3 figure(s)</t>
        </is>
      </c>
    </row>
    <row r="53" ht="30" customHeight="1">
      <c r="A53" s="3" t="inlineStr">
        <is>
          <t>MK-XS-E-023</t>
        </is>
      </c>
      <c r="B53" s="3" t="inlineStr">
        <is>
          <t>COST_OF_LIVING</t>
        </is>
      </c>
      <c r="C53" s="3" t="inlineStr">
        <is>
          <t>src/domain/retirement/col.ts:53</t>
        </is>
      </c>
      <c r="D53" s="3" t="inlineStr">
        <is>
          <t>How much more or less does life cost where they plan to live?</t>
        </is>
      </c>
      <c r="E53" s="3" t="inlineStr">
        <is>
          <t>—</t>
        </is>
      </c>
      <c r="F53" s="3" t="inlineStr">
        <is>
          <t>Only as another engine’s dependency — no figure names it directly</t>
        </is>
      </c>
    </row>
    <row r="54" ht="30" customHeight="1">
      <c r="A54" s="3" t="inlineStr">
        <is>
          <t>MK-XS-E-024</t>
        </is>
      </c>
      <c r="B54" s="3" t="inlineStr">
        <is>
          <t>READ_A_NUMBER</t>
        </is>
      </c>
      <c r="C54" s="3" t="inlineStr">
        <is>
          <t>src/domain/_shared/num.ts:4</t>
        </is>
      </c>
      <c r="D54" s="3" t="inlineStr">
        <is>
          <t>What number did the person actually type?</t>
        </is>
      </c>
      <c r="E54" s="3" t="inlineStr">
        <is>
          <t>—</t>
        </is>
      </c>
      <c r="F54" s="3" t="inlineStr">
        <is>
          <t>Only as another engine’s dependency — no figure names it directly</t>
        </is>
      </c>
    </row>
    <row r="55" ht="30" customHeight="1">
      <c r="A55" s="3" t="inlineStr">
        <is>
          <t>MK-XS-E-025</t>
        </is>
      </c>
      <c r="B55" s="3" t="inlineStr">
        <is>
          <t>SS_CLAIM_FACTOR</t>
        </is>
      </c>
      <c r="C55" s="3" t="inlineStr">
        <is>
          <t>src/domain/retirement/ssTiming.ts:34</t>
        </is>
      </c>
      <c r="D55" s="3" t="inlineStr">
        <is>
          <t>How much of the statement amount a claim age actually pays, anchored at the person's OWN f</t>
        </is>
      </c>
      <c r="E55" s="3" t="inlineStr">
        <is>
          <t>—</t>
        </is>
      </c>
      <c r="F55" s="3" t="inlineStr">
        <is>
          <t>Only as another engine’s dependency — no figure names it directly</t>
        </is>
      </c>
    </row>
    <row r="56" ht="30" customHeight="1">
      <c r="A56" s="3" t="inlineStr">
        <is>
          <t>MK-XS-E-026</t>
        </is>
      </c>
      <c r="B56" s="3" t="inlineStr">
        <is>
          <t>RETIREMENT_INCOME</t>
        </is>
      </c>
      <c r="C56" s="3" t="inlineStr">
        <is>
          <t>src/domain/income/onboarding.ts:213</t>
        </is>
      </c>
      <c r="D56" s="3" t="inlineStr">
        <is>
          <t>How much retirement income arrives monthly?</t>
        </is>
      </c>
      <c r="E56" s="3" t="inlineStr">
        <is>
          <t>—</t>
        </is>
      </c>
      <c r="F56" s="3" t="inlineStr">
        <is>
          <t>Only as another engine’s dependency — no figure names it directly</t>
        </is>
      </c>
    </row>
    <row r="57" ht="30" customHeight="1">
      <c r="A57" s="3" t="inlineStr">
        <is>
          <t>MK-XS-E-027</t>
        </is>
      </c>
      <c r="B57" s="3" t="inlineStr">
        <is>
          <t>SS_FULL_RETIREMENT_AGE</t>
        </is>
      </c>
      <c r="C57" s="3" t="inlineStr">
        <is>
          <t>src/domain/retirement/ssTiming.ts:23</t>
        </is>
      </c>
      <c r="D57" s="3" t="inlineStr">
        <is>
          <t>The person's own Social Security full retirement age. Answers: 66 (born through 1954) · 66</t>
        </is>
      </c>
      <c r="E57" s="3" t="inlineStr">
        <is>
          <t>—</t>
        </is>
      </c>
      <c r="F57" s="3" t="inlineStr">
        <is>
          <t>Only as another engine’s dependency — no figure names it directly</t>
        </is>
      </c>
    </row>
    <row r="58" ht="30" customHeight="1">
      <c r="A58" s="3" t="inlineStr">
        <is>
          <t>MK-XS-E-028</t>
        </is>
      </c>
      <c r="B58" s="3" t="inlineStr">
        <is>
          <t>SPENDING_BY_KIND</t>
        </is>
      </c>
      <c r="C58" s="3" t="inlineStr">
        <is>
          <t>src/domain/budget/index.ts:72</t>
        </is>
      </c>
      <c r="D58" s="3" t="inlineStr">
        <is>
          <t>What is spent each month, split by kind?</t>
        </is>
      </c>
      <c r="E58" s="3" t="inlineStr">
        <is>
          <t>—</t>
        </is>
      </c>
      <c r="F58" s="3" t="inlineStr">
        <is>
          <t>Only as another engine’s dependency — no figure names it directly</t>
        </is>
      </c>
    </row>
    <row r="59" ht="30" customHeight="1">
      <c r="A59" s="3" t="inlineStr">
        <is>
          <t>MK-XS-E-029</t>
        </is>
      </c>
      <c r="B59" s="3" t="inlineStr">
        <is>
          <t>EQUITY_THIS_YEAR</t>
        </is>
      </c>
      <c r="C59" s="3" t="inlineStr">
        <is>
          <t>src/domain/income/onboarding.ts:114</t>
        </is>
      </c>
      <c r="D59" s="3" t="inlineStr">
        <is>
          <t>How much equity vests this year?</t>
        </is>
      </c>
      <c r="E59" s="3" t="inlineStr">
        <is>
          <t>—</t>
        </is>
      </c>
      <c r="F59" s="3" t="inlineStr">
        <is>
          <t>Only as another engine’s dependency — no figure names it directly</t>
        </is>
      </c>
    </row>
    <row r="60" ht="30" customHeight="1">
      <c r="A60" s="3" t="inlineStr">
        <is>
          <t>MK-XS-E-030</t>
        </is>
      </c>
      <c r="B60" s="3" t="inlineStr">
        <is>
          <t>OTHER_INCOME</t>
        </is>
      </c>
      <c r="C60" s="3" t="inlineStr">
        <is>
          <t>src/domain/income/onboarding.ts:161</t>
        </is>
      </c>
      <c r="D60" s="3" t="inlineStr">
        <is>
          <t>What else comes in?</t>
        </is>
      </c>
      <c r="E60" s="3" t="inlineStr">
        <is>
          <t>—</t>
        </is>
      </c>
      <c r="F60" s="3" t="inlineStr">
        <is>
          <t>Only as another engine’s dependency — no figure names it directly</t>
        </is>
      </c>
    </row>
    <row r="61" ht="30" customHeight="1">
      <c r="A61" s="3" t="inlineStr">
        <is>
          <t>MK-XS-E-031</t>
        </is>
      </c>
      <c r="B61" s="3" t="inlineStr">
        <is>
          <t>RENTAL_INCOME_A_YEAR</t>
        </is>
      </c>
      <c r="C61" s="3" t="inlineStr">
        <is>
          <t>src/domain/income/onboarding.ts:142</t>
        </is>
      </c>
      <c r="D61" s="3" t="inlineStr">
        <is>
          <t>What do the rentals net over a year?</t>
        </is>
      </c>
      <c r="E61" s="3" t="inlineStr">
        <is>
          <t>—</t>
        </is>
      </c>
      <c r="F61" s="3" t="inlineStr">
        <is>
          <t>Only as another engine’s dependency — no figure names it directly</t>
        </is>
      </c>
    </row>
    <row r="62" ht="30" customHeight="1">
      <c r="A62" s="3" t="inlineStr">
        <is>
          <t>MK-XS-E-032</t>
        </is>
      </c>
      <c r="B62" s="3" t="inlineStr">
        <is>
          <t>SALARY_A_YEAR</t>
        </is>
      </c>
      <c r="C62" s="3" t="inlineStr">
        <is>
          <t>src/domain/income/onboarding.ts:331</t>
        </is>
      </c>
      <c r="D62" s="3" t="inlineStr">
        <is>
          <t>What is the salary for the year?</t>
        </is>
      </c>
      <c r="E62" s="3" t="inlineStr">
        <is>
          <t>—</t>
        </is>
      </c>
      <c r="F62" s="3" t="inlineStr">
        <is>
          <t>Only as another engine’s dependency — no figure names it directly</t>
        </is>
      </c>
    </row>
    <row r="63" ht="30" customHeight="1">
      <c r="A63" s="3" t="inlineStr">
        <is>
          <t>MK-XS-E-033</t>
        </is>
      </c>
      <c r="B63" s="3" t="inlineStr">
        <is>
          <t>TIPS_A_YEAR</t>
        </is>
      </c>
      <c r="C63" s="3" t="inlineStr">
        <is>
          <t>src/domain/income/onboarding.ts:204</t>
        </is>
      </c>
      <c r="D63" s="3" t="inlineStr">
        <is>
          <t>What do tips come to over the year?</t>
        </is>
      </c>
      <c r="E63" s="3" t="inlineStr">
        <is>
          <t>—</t>
        </is>
      </c>
      <c r="F63" s="3" t="inlineStr">
        <is>
          <t>Only as another engine’s dependency — no figure names it directly</t>
        </is>
      </c>
    </row>
  </sheetData>
  <autoFilter ref="A1:F6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732"/>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52" customWidth="1" min="7" max="7"/>
    <col width="52" customWidth="1" min="8" max="8"/>
    <col width="34" customWidth="1" min="9" max="9"/>
    <col width="42" customWidth="1" min="10" max="10"/>
    <col width="30" customWidth="1" min="11" max="11"/>
    <col width="52" customWidth="1" min="12" max="12"/>
    <col width="52" customWidth="1" min="13" max="13"/>
    <col width="14" customWidth="1" min="14" max="14"/>
    <col width="34" customWidth="1" min="15" max="15"/>
    <col width="12" customWidth="1" min="16" max="16"/>
    <col width="52" customWidth="1" min="17" max="17"/>
    <col width="52" customWidth="1" min="18" max="18"/>
    <col width="26" customWidth="1" min="19" max="19"/>
    <col width="22" customWidth="1" min="20" max="20"/>
    <col width="34" customWidth="1" min="21" max="21"/>
    <col width="20" customWidth="1" min="22" max="22"/>
    <col width="52" customWidth="1" min="23" max="23"/>
    <col width="52" customWidth="1" min="24" max="24"/>
    <col width="30" customWidth="1" min="25" max="25"/>
  </cols>
  <sheetData>
    <row r="1" ht="60" customHeight="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 t="inlineStr">
        <is>
          <t>Founder comment — 2026-08-26 (the column and metric row it was written on)</t>
        </is>
      </c>
      <c r="X1" s="1" t="inlineStr">
        <is>
          <t>Answer to the founder comment — checked against the code, 2026-09-08 (what the code does · verdict · fix)</t>
        </is>
      </c>
      <c r="Y1" s="1" t="inlineStr">
        <is>
          <t>STATUS — this row</t>
        </is>
      </c>
    </row>
    <row r="2" ht="60" customHeight="1">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1"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n"/>
      <c r="X2" s="3" t="n"/>
      <c r="Y2" s="3" t="n"/>
    </row>
    <row r="3" ht="60" customHeight="1">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1"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88</v>
      </c>
      <c r="Q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MK-NW-F-009 maturityClass
79. MK-ST-F-010 nameEvidence
80. MK-CF-F-075 retirementIncomeMonthly
81. MK-ST-F-047 activeCurrency
82. MK-CF-F-099 deductionFor
83. MK-NW-F-011 assetClassOf
84. MK-NW-F-068 prettyDay
85. MK-XS-F-147 call
86. MK-CF-F-187 seniorDeductionFor
87. MK-XS-F-064 currentIdToken
88. MK-XS-F-112 relayUrl</t>
        </is>
      </c>
      <c r="R3" s="3" t="inlineStr">
        <is>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is>
      </c>
      <c r="S3" s="3" t="inlineStr">
        <is>
          <t>—</t>
        </is>
      </c>
      <c r="T3" s="3" t="inlineStr">
        <is>
          <t>—</t>
        </is>
      </c>
      <c r="U3" s="3" t="inlineStr">
        <is>
          <t>ACTIVE</t>
        </is>
      </c>
      <c r="V3" s="3" t="inlineStr">
        <is>
          <t>2026-09-12</t>
        </is>
      </c>
      <c r="W3" s="3" t="n"/>
      <c r="X3" s="3" t="n"/>
      <c r="Y3" s="3" t="inlineStr">
        <is>
          <t>NOTHING OPEN</t>
        </is>
      </c>
    </row>
    <row r="4" ht="60" customHeight="1">
      <c r="A4" s="3" t="inlineStr">
        <is>
          <t>MK-CF-F-002</t>
        </is>
      </c>
      <c r="B4" s="3" t="inlineStr">
        <is>
          <t>plannedMonthlySpend</t>
        </is>
      </c>
      <c r="C4" s="3" t="inlineStr">
        <is>
          <t>src/domain/budget/index.ts</t>
        </is>
      </c>
      <c r="D4" s="3" t="n">
        <v>89</v>
      </c>
      <c r="E4" s="3" t="inlineStr">
        <is>
          <t>2 · DISPLAYED</t>
        </is>
      </c>
      <c r="F4" s="3" t="inlineStr">
        <is>
          <t>The single canonical "planned monthly spend": the itemized buckets OR the stated total, whichever is larger (the stated total can include an uncategorized remainder the buckets don't capture).</t>
        </is>
      </c>
      <c r="G4" s="11"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111</v>
      </c>
      <c r="Q4" s="3" t="inlineStr">
        <is>
          <t>1. MK-CF-F-092 incomeMonthlyGrid
2. MK-CF-F-004 spendBuckets
3. MK-XS-F-027 takeHomeMonthly
4. MK-ST-F-052 toNum
5. MK-CF-F-069 benefitActiveMonths
6. MK-CF-F-072 currentRetirementIncomeMonthly
7. MK-CF-F-173 earnerWages
8. MK-CF-F-065 equityVestWeights
9. MK-CF-F-071 extraIncome
10. MK-ST-F-056 has
11. MK-CF-F-206 householdK401ByMonth
12. MK-CF-F-132 map
13. MK-CF-F-087 monthlyTaxRates
14. MK-CF-F-073 otherIncomeMonth
15. MK-CF-F-181 rateInForce
16. MK-CF-F-068 rentalNetAnnual
17. MK-CF-F-066 rsuAnnual
18. MK-CF-F-060 salaryGrossByMonth
19. MK-CF-F-077 scholarshipByCalendarMonth
20. MK-CF-F-088 taxableByCalendarMonth
21. MK-CF-F-177 wageGrossByMonth
22. MK-PL-F-012 waterfall
23. MK-CF-F-003 categoryMonthly
24. MK-CF-F-011 savingsByMonth
25. MK-XS-F-122 n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MK-CF-F-120 pctBaseMonthly
49. MK-CF-F-008 spendByMonth
50. MK-CF-O-010 theMonth
51. MK-CF-F-100 taxableIncomeFor
52. MK-CF-F-074 tipsAnnual
53. MK-CF-F-151 actualSpending
54. MK-CF-F-150 debtPaymentsCountedAsExpenses
55. MK-CF-F-153 radar
56. MK-CF-F-149 recurringDebtPayments
57. MK-ST-F-085 rentFigure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MK-NW-F-072 rowOf
91. MK-ST-F-047 activeCurrency
92. MK-NW-F-060 approxYTM
93. MK-NW-F-069 priceAtYield
94. MK-NW-F-131 pricedLikeBond
95. MK-NW-F-125 isPastMaturity
96. MK-ST-F-065 isoLocalDate
97. MK-NW-F-126 yearlyInterestNow
98. MK-NW-F-011 assetClassOf
99. MK-NW-F-070 accruedInterestCaveat
100. MK-NW-F-058 yearsToMaturity
101. MK-NW-F-119 estimatedAccrued
102. MK-NW-F-124 maturityParts
103. MK-NW-F-120 classEvidenceOf
104. MK-NW-F-067 plural
105. MK-NW-F-008 incomeBearingClassOf
106. MK-NW-F-009 maturityClass
107. MK-ST-F-010 nameEvidence
108. MK-NW-F-068 prettyDay
109. MK-XS-F-147 call
110. MK-XS-F-064 currentIdToken
111. MK-XS-F-112 relayUrl</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S4" s="3" t="inlineStr">
        <is>
          <t>MK-MN-M-007</t>
        </is>
      </c>
      <c r="T4" s="3" t="inlineStr">
        <is>
          <t>PLANNED_SPENDING</t>
        </is>
      </c>
      <c r="U4" s="3" t="inlineStr">
        <is>
          <t>ACTIVE</t>
        </is>
      </c>
      <c r="V4" s="3" t="inlineStr">
        <is>
          <t>2026-09-12</t>
        </is>
      </c>
      <c r="W4" s="3" t="n"/>
      <c r="X4" s="3" t="n"/>
      <c r="Y4" s="3" t="inlineStr">
        <is>
          <t>NOTHING OPEN</t>
        </is>
      </c>
    </row>
    <row r="5" ht="60" customHeight="1">
      <c r="A5" s="3" t="inlineStr">
        <is>
          <t>MK-CF-F-003</t>
        </is>
      </c>
      <c r="B5" s="3" t="inlineStr">
        <is>
          <t>categoryMonthly</t>
        </is>
      </c>
      <c r="C5" s="3" t="inlineStr">
        <is>
          <t>src/domain/budget/index.ts</t>
        </is>
      </c>
      <c r="D5" s="3" t="n">
        <v>171</v>
      </c>
      <c r="E5" s="3" t="inlineStr">
        <is>
          <t>2 · DISPLAYED</t>
        </is>
      </c>
      <c r="F5" s="3" t="inlineStr">
        <is>
          <t>Canonical per-category planned $/month — the ONE conversion the buckets AND the Budget screen share, so a category's on-screen line item ALWAYS reconciles with its bucket total (build-34 #3).</t>
        </is>
      </c>
      <c r="G5" s="11"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110</v>
      </c>
      <c r="Q5" s="3" t="inlineStr">
        <is>
          <t>1. MK-CF-F-120 pctBaseMonthly
2. MK-XS-F-027 takeHomeMonthly
3. MK-ST-F-052 toNum
4. MK-CF-F-092 incomeMonthlyGrid
5. MK-CF-F-011 savingsByMonth
6. MK-XS-F-122 n
7. MK-CF-F-069 benefitActiveMonths
8. MK-CF-F-072 currentRetirementIncomeMonthly
9. MK-CF-F-173 earnerWages
10. MK-CF-F-065 equityVestWeights
11. MK-CF-F-071 extraIncome
12. MK-ST-F-056 has
13. MK-CF-F-206 householdK401ByMonth
14. MK-CF-F-132 map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MK-CF-F-008 spendByMonth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MK-CF-F-004 spendBuckets
49. MK-CF-O-010 theMonth
50. MK-CF-F-100 taxableIncomeFor
51. MK-CF-F-074 tipsAnnual
52. MK-CF-F-151 actualSpending
53. MK-CF-F-150 debtPaymentsCountedAsExpenses
54. MK-CF-F-153 radar
55. MK-CF-F-149 recurringDebtPayments
56. MK-ST-F-085 rentFigure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MK-NW-F-131 pricedLikeBond
94. MK-NW-F-125 isPastMaturity
95. MK-ST-F-065 isoLocalDate
96. MK-NW-F-126 yearlyInterestNow
97. MK-NW-F-011 assetClassOf
98. MK-NW-F-070 accruedInterestCaveat
99. MK-NW-F-058 yearsToMaturity
100. MK-NW-F-119 estimatedAccrued
101. MK-NW-F-124 maturityParts
102. MK-NW-F-120 classEvidenceOf
103. MK-NW-F-067 plural
104. MK-NW-F-008 incomeBearingClassOf
105. MK-NW-F-009 maturityClass
106. MK-ST-F-010 nameEvidence
107. MK-NW-F-068 prettyDay
108. MK-XS-F-147 call
109. MK-XS-F-064 currentIdToken
110. MK-XS-F-112 relayUrl</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MK-ST-F-056 has → MK-CF-F-172 hasWage → MK-CF-F-173 earnerWages → MK-CF-F-092 incomeMonthlyGrid → MK-CF-F-120 pctBaseMonthly → MK-CF-F-003 categoryMonthly
4. MK-ST-F-052 toNum → MK-CF-F-062 equityRowValue → MK-CF-F-065 equityVestWeights → MK-CF-F-092 incomeMonthlyGrid → MK-CF-F-120 pctBaseMonthly → MK-CF-F-003 categoryMonthly
5. MK-CF-F-132 map → MK-CF-F-065 equityVestWeights → MK-CF-F-092 incomeMonthlyGrid → MK-CF-F-120 pctBaseMonthly → MK-CF-F-003 categoryMonthly
6. MK-CF-F-069 benefitActiveMonths → MK-CF-F-070 benefitAnnual → MK-CF-F-071 extraIncome → MK-CF-F-092 incomeMonthlyGrid → MK-CF-F-120 pctBaseMonthly → MK-CF-F-003 categoryMonthly
7. MK-ST-F-052 toNum → MK-CF-F-070 benefitAnnual → MK-CF-F-071 extraIncome → MK-CF-F-092 incomeMonthlyGrid → MK-CF-F-120 pctBaseMonthly → MK-CF-F-003 categoryMonthly
8. MK-ST-F-039 on → MK-CF-F-071 extraIncome → MK-CF-F-092 incomeMonthlyGrid → MK-CF-F-120 pctBaseMonthly → MK-CF-F-003 categoryMonthly
9. … and 5 more paths</t>
        </is>
      </c>
      <c r="S5" s="3" t="inlineStr">
        <is>
          <t>—</t>
        </is>
      </c>
      <c r="T5" s="3" t="inlineStr">
        <is>
          <t>—</t>
        </is>
      </c>
      <c r="U5" s="3" t="inlineStr">
        <is>
          <t>ACTIVE</t>
        </is>
      </c>
      <c r="V5" s="3" t="inlineStr">
        <is>
          <t>2026-08-27</t>
        </is>
      </c>
      <c r="W5" s="3" t="n"/>
      <c r="X5" s="3" t="n"/>
      <c r="Y5" s="3" t="inlineStr">
        <is>
          <t>NOTHING OPEN</t>
        </is>
      </c>
    </row>
    <row r="6" ht="60" customHeight="1">
      <c r="A6" s="3" t="inlineStr">
        <is>
          <t>MK-CF-F-004</t>
        </is>
      </c>
      <c r="B6" s="3" t="inlineStr">
        <is>
          <t>spendBuckets</t>
        </is>
      </c>
      <c r="C6" s="3" t="inlineStr">
        <is>
          <t>src/domain/budget/index.ts</t>
        </is>
      </c>
      <c r="D6" s="3" t="n">
        <v>222</v>
      </c>
      <c r="E6" s="3" t="inlineStr">
        <is>
          <t>2 · DISPLAYED</t>
        </is>
      </c>
      <c r="F6" s="3" t="inlineStr">
        <is>
          <t>Roll the per-category expenses up into the three monthly-normalized buckets.</t>
        </is>
      </c>
      <c r="G6" s="11"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110</v>
      </c>
      <c r="Q6" s="3" t="inlineStr">
        <is>
          <t>1. MK-CF-F-003 categoryMonthly
2. MK-ST-F-052 toNum
3. MK-CF-F-120 pctBaseMonthly
4. MK-XS-F-027 takeHomeMonthly
5. MK-XS-F-122 n
6. MK-CF-F-092 incomeMonthlyGrid
7. MK-CF-F-011 savingsByMonth
8. MK-CF-F-069 benefitActiveMonths
9. MK-CF-F-072 currentRetirementIncomeMonthly
10. MK-CF-F-173 earnerWages
11. MK-CF-F-065 equityVestWeights
12. MK-CF-F-071 extraIncome
13. MK-ST-F-056 has
14. MK-CF-F-206 householdK401ByMonth
15. MK-CF-F-132 map
16. MK-CF-F-087 monthlyTaxRates
17. MK-CF-F-073 otherIncomeMonth
18. MK-CF-F-181 rateInForce
19. MK-CF-F-068 rentalNetAnnual
20. MK-CF-F-066 rsuAnnual
21. MK-CF-F-060 salaryGrossByMonth
22. MK-CF-F-077 scholarshipByCalendarMonth
23. MK-CF-F-088 taxableByCalendarMonth
24. MK-CF-F-177 wageGrossByMonth
25. MK-PL-F-012 waterfall
26. MK-CF-F-008 spendByMonth
27. MK-CF-F-075 retirementIncomeMonthly
28. MK-CF-F-172 hasWage
29. MK-CF-F-062 equityRowValue
30. MK-CF-F-070 benefitAnnual
31. MK-ST-F-039 on
32. MK-CF-F-176 sumMonthsOverEarners
33. MK-CF-F-203 MONTH
34. MK-CF-F-090 effectiveRate
35. MK-CF-F-180 enteredLandsAnnual
36. MK-CF-F-085 filingStatusOf
37. MK-CF-F-089 over65CountOf
38. MK-CF-F-082 salaryAnnual
39. MK-CF-F-086 stateRateOf
40. MK-CF-F-101 taxOwedFor
41. MK-CF-F-084 taxableAnnual
42. MK-CF-O-002 expenses
43. MK-CF-F-067 rentalList
44. MK-CF-F-063 rowVestYear
45. MK-CF-F-130 enteredMonthlyRaw
46. MK-CF-F-166 hasMonthlySalaryTable
47. MK-ST-F-036 reconcile
48. MK-CF-F-167 salaryCalendarYear
49. MK-CF-O-010 theMonth
50. MK-CF-F-100 taxableIncomeFor
51. MK-CF-F-074 tipsAnnual
52. MK-CF-F-151 actualSpending
53. MK-CF-F-150 debtPaymentsCountedAsExpenses
54. MK-CF-F-153 radar
55. MK-CF-F-149 recurringDebtPayments
56. MK-ST-F-085 rentFigure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MK-NW-F-131 pricedLikeBond
94. MK-NW-F-125 isPastMaturity
95. MK-ST-F-065 isoLocalDate
96. MK-NW-F-126 yearlyInterestNow
97. MK-NW-F-011 assetClassOf
98. MK-NW-F-070 accruedInterestCaveat
99. MK-NW-F-058 yearsToMaturity
100. MK-NW-F-119 estimatedAccrued
101. MK-NW-F-124 maturityParts
102. MK-NW-F-120 classEvidenceOf
103. MK-NW-F-067 plural
104. MK-NW-F-008 incomeBearingClassOf
105. MK-NW-F-009 maturityClass
106. MK-ST-F-010 nameEvidence
107. MK-NW-F-068 prettyDay
108. MK-XS-F-147 call
109. MK-XS-F-064 currentIdToken
110. MK-XS-F-112 relayUrl</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MK-CF-F-172 hasWage → MK-CF-F-173 earnerWages → MK-CF-F-092 incomeMonthlyGrid → MK-CF-F-120 pctBaseMonthly → MK-CF-F-003 categoryMonthly → MK-CF-F-004 spendBuckets
4. MK-CF-F-062 equityRowValue → MK-CF-F-065 equityVestWeights → MK-CF-F-092 incomeMonthlyGrid → MK-CF-F-120 pctBaseMonthly → MK-CF-F-003 categoryMonthly → MK-CF-F-004 spendBuckets
5. MK-CF-F-132 map → MK-CF-F-065 equityVestWeights → MK-CF-F-092 incomeMonthlyGrid → MK-CF-F-120 pctBaseMonthly → MK-CF-F-003 categoryMonthly → MK-CF-F-004 spendBuckets
6. MK-CF-F-070 benefitAnnual → MK-CF-F-071 extraIncome → MK-CF-F-092 incomeMonthlyGrid → MK-CF-F-120 pctBaseMonthly → MK-CF-F-003 categoryMonthly → MK-CF-F-004 spendBuckets
7. MK-ST-F-039 on → MK-CF-F-071 extraIncome → MK-CF-F-092 incomeMonthlyGrid → MK-CF-F-120 pctBaseMonthly → MK-CF-F-003 categoryMonthly → MK-CF-F-004 spendBuckets
8. MK-ST-F-052 toNum → MK-CF-F-071 extraIncome → MK-CF-F-092 incomeMonthlyGrid → MK-CF-F-120 pctBaseMonthly → MK-CF-F-003 categoryMonthly → MK-CF-F-004 spendBuckets
9. … and 5 more paths</t>
        </is>
      </c>
      <c r="S6" s="3" t="inlineStr">
        <is>
          <t>—</t>
        </is>
      </c>
      <c r="T6" s="3" t="inlineStr">
        <is>
          <t>SPENDING_BY_KIND</t>
        </is>
      </c>
      <c r="U6" s="3" t="inlineStr">
        <is>
          <t>ACTIVE</t>
        </is>
      </c>
      <c r="V6" s="3" t="inlineStr">
        <is>
          <t>2026-09-09</t>
        </is>
      </c>
      <c r="W6" s="3" t="n"/>
      <c r="X6" s="3" t="n"/>
      <c r="Y6" s="3" t="inlineStr">
        <is>
          <t>NOTHING OPEN</t>
        </is>
      </c>
    </row>
    <row r="7" ht="60" customHeight="1">
      <c r="A7" s="3" t="inlineStr">
        <is>
          <t>MK-CF-F-005</t>
        </is>
      </c>
      <c r="B7" s="3" t="inlineStr">
        <is>
          <t>actualMonthFlow</t>
        </is>
      </c>
      <c r="C7" s="3" t="inlineStr">
        <is>
          <t>MoneyKeel/functions/cashflow/this-month.ts</t>
        </is>
      </c>
      <c r="D7" s="3" t="n">
        <v>324</v>
      </c>
      <c r="E7" s="3" t="inlineStr">
        <is>
          <t>2 · DISPLAYED</t>
        </is>
      </c>
      <c r="F7" s="3" t="inlineStr">
        <is>
          <t>WHAT HAS ACTUALLY HAPPENED: what landed, less only the debts confirmed paid, less what was really spent.</t>
        </is>
      </c>
      <c r="G7" s="11" t="inlineStr">
        <is>
          <t>logged = expenses (or none when missing) where in month(each, ym)
paid for = debt payments by debt(m)
lines = [{ label: inflow label('actual inflow', inflow sources), amount: (take home monthly), kind: 'in' }]
paid = paid for.get(debt id) (or 0 when missing)
due = (d as any).due day
radar kind = is radar item(d)
matched = Σ over [...paid for.values()] of (each)
unmatched = all debt paid − matched
expenses = logged where category ! = DEBT_CATEGORY
by hand = expenses where origin ! = 'imported'
brought = expenses where origin = 'imported'
… the first steps only — the rest of the body needs reading by hand.</t>
        </is>
      </c>
      <c r="H7" s="3" t="inlineStr">
        <is>
          <t>Logged is expenses (or none — when missing) where in month(each, ym). Paid for is debt payments by debt(m). Lines is [{ label: inflow label('actual inflow', inflow sources), amount: (take home monthly), kind: 'in' }]. Paid is paid for.get(debt id) (or 0 — when missing). Due is (d as any).due day. Radar kind is is radar item(d). Matched: the each added up across [...paid for.values()]. Unmatched is all debt paid minus matched. Expenses is logged where category ! = DEBT_CATEGORY. By hand is expenses where origin ! = 'imported'. Brought is expenses where origin = 'imported'. Only the first steps are shown; the rest of the body needs reading by hand.</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MK-NW-F-078 ONE
2. MK-CF-F-155 cash
3. MK-CF-F-157 debtPaymentsByDebt
4. MK-CF-F-148 inMonth
5. MK-CF-F-192 inflowLabel
6. MK-CF-F-152 isRadarItem
7. MK-CF-F-023 requiredPayment
8. MK-XS-F-027 takeHomeMonthly
9. MK-ST-F-052 toNum
10. MK-CF-F-191 ym</t>
        </is>
      </c>
      <c r="P7" s="3" t="n">
        <v>110</v>
      </c>
      <c r="Q7" s="3" t="inlineStr">
        <is>
          <t>1. MK-NW-F-078 ONE
2. MK-CF-F-155 cash
3. MK-CF-F-157 debtPaymentsByDebt
4. MK-CF-F-148 inMonth
5. MK-CF-F-192 inflowLabel
6. MK-CF-F-152 isRadarItem
7. MK-CF-F-023 requiredPayment
8. MK-XS-F-027 takeHomeMonthly
9. MK-ST-F-052 toNum
10. MK-CF-F-191 ym
11. MK-NW-F-077 ALL
12. MK-NW-F-059 currentYield
13. MK-XS-F-180 declareFigures
14. MK-ST-F-049 formatMoney
15. MK-ST-F-053 money
16. MK-NW-O-001 theBonds
17. MK-XS-F-122 n
18. MK-CF-F-203 MONTH
19. MK-CF-F-132 map
20. MK-CF-F-193 inflowSourceWord
21. MK-CF-F-022 paymentShape
22. MK-CF-F-092 incomeMonthlyGrid
23. MK-CF-F-011 savingsByMonth
24. MK-NW-F-112 yearlyInterest
25. MK-ST-F-048 currencySymbol
26. MK-ST-F-039 on
27. MK-ST-F-027 accountId
28. MK-NW-F-057 annualCoupon
29. MK-NW-F-056 bondInfo
30. MK-NW-F-064 bondRateSensitivity
31. MK-NW-F-061 bondSummary
32. MK-NW-F-055 isBond
33. MK-NW-F-072 rowOf
34. MK-CF-O-010 theMonth
35. MK-CF-F-021 defaultPaymentType
36. MK-CF-F-069 benefitActiveMonths
37. MK-CF-F-072 currentRetirementIncomeMonthly
38. MK-CF-F-173 earnerWages
39. MK-CF-F-065 equityVestWeights
40. MK-CF-F-071 extraIncome
41. MK-ST-F-056 has
42. MK-CF-F-206 householdK401ByMonth
43. MK-CF-F-087 monthlyTaxRates
44. MK-CF-F-073 otherIncomeMonth
45. MK-CF-F-181 rateInForce
46. MK-CF-F-068 rentalNetAnnual
47. MK-CF-F-066 rsuAnnual
48. MK-CF-F-060 salaryGrossByMonth
49. MK-CF-F-077 scholarshipByCalendarMonth
50. MK-CF-F-088 taxableByCalendarMonth
51. MK-CF-F-177 wageGrossByMonth
52. MK-PL-F-012 waterfall
53. MK-CF-F-008 spendByMonth
54. MK-ST-F-047 activeCurrency
55. MK-NW-F-060 approxYTM
56. MK-NW-F-069 priceAtYield
57. MK-NW-F-131 pricedLikeBond
58. MK-NW-F-125 isPastMaturity
59. MK-ST-F-065 isoLocalDate
60. MK-NW-F-126 yearlyInterestNow
61. MK-NW-F-011 assetClassOf
62. MK-NW-F-070 accruedInterestCaveat
63. MK-NW-F-058 yearsToMaturity
64. MK-CF-O-002 expenses
65. MK-CF-O-003 thisMonth
66. MK-CF-F-075 retirementIncomeMonthly
67. MK-CF-F-172 hasWage
68. MK-CF-F-062 equityRowValue
69. MK-CF-F-070 benefitAnnual
70. MK-CF-F-176 sumMonthsOverEarners
71. MK-CF-F-090 effectiveRate
72. MK-CF-F-180 enteredLandsAnnual
73. MK-CF-F-085 filingStatusOf
74. MK-CF-F-089 over65CountOf
75. MK-CF-F-082 salaryAnnual
76. MK-CF-F-086 stateRateOf
77. MK-CF-F-101 taxOwedFor
78. MK-CF-F-084 taxableAnnual
79. MK-CF-F-067 rentalList
80. MK-CF-F-063 rowVestYear
81. MK-CF-F-130 enteredMonthlyRaw
82. MK-CF-F-166 hasMonthlySalaryTable
83. MK-ST-F-036 reconcile
84. MK-CF-F-167 salaryCalendarYear
85. MK-CF-F-120 pctBaseMonthly
86. MK-CF-F-004 spendBuckets
87. MK-NW-F-119 estimatedAccrued
88. MK-NW-F-124 maturityParts
89. MK-NW-F-120 classEvidenceOf
90. MK-NW-F-067 plural
91. MK-CF-F-151 actualSpending
92. MK-CF-F-150 debtPaymentsCountedAsExpenses
93. MK-CF-F-153 radar
94. MK-CF-F-149 recurringDebtPayments
95. MK-CF-F-156 plannedMonthFlow
96. MK-CF-F-100 taxableIncomeFor
97. MK-CF-F-074 tipsAnnual
98. MK-ST-F-085 rentFigure
99. MK-CF-F-165 salaryMonths
100. MK-CF-F-003 categoryMonthly
101. MK-NW-F-008 incomeBearingClassOf
102. MK-NW-F-009 maturityClass
103. MK-CF-F-099 deductionFor
104. MK-CF-F-081 salaryActiveMonths
105. MK-ST-F-010 nameEvidence
106. MK-NW-F-068 prettyDay
107. MK-CF-F-187 seniorDeductionFor
108. MK-XS-F-147 call
109. MK-XS-F-064 currentIdToken
110. MK-XS-F-112 relayUrl</t>
        </is>
      </c>
      <c r="R7" s="3" t="inlineStr">
        <is>
          <t>1. MK-ST-F-027 accountId → MK-NW-O-001 theBonds → MK-NW-F-077 ALL → MK-NW-F-078 ONE → MK-CF-F-005 actualMonthFlow
2. MK-NW-F-057 annualCoupon → MK-NW-O-001 theBonds → MK-NW-F-077 ALL → MK-NW-F-078 ONE → MK-CF-F-005 actualMonthFlow
3. MK-CF-F-155 cash → MK-NW-F-056 bondInfo → MK-NW-O-001 theBonds → MK-NW-F-077 ALL → MK-NW-F-078 ONE → MK-CF-F-005 actualMonthFlow
4. MK-NW-F-060 approxYTM → MK-NW-F-064 bondRateSensitivity → MK-NW-O-001 theBonds → MK-NW-F-077 ALL → MK-NW-F-078 ONE → MK-CF-F-005 actualMonthFlow
5. MK-NW-F-069 priceAtYield → MK-NW-F-064 bondRateSensitivity → MK-NW-O-001 theBonds → MK-NW-F-077 ALL → MK-NW-F-078 ONE → MK-CF-F-005 actualMonthFlow
6. MK-NW-F-131 pricedLikeBond → MK-NW-F-064 bondRateSensitivity → MK-NW-O-001 theBonds → MK-NW-F-077 ALL → MK-NW-F-078 ONE → MK-CF-F-005 actualMonthFlow
7. MK-NW-F-125 isPastMaturity → MK-NW-F-061 bondSummary → MK-NW-O-001 theBonds → MK-NW-F-077 ALL → MK-NW-F-078 ONE → MK-CF-F-005 actualMonthFlow
8. MK-ST-F-065 isoLocalDate → MK-NW-F-061 bondSummary → MK-NW-O-001 theBonds → MK-NW-F-077 ALL → MK-NW-F-078 ONE → MK-CF-F-005 actualMonthFlow
9. … and 5 more paths</t>
        </is>
      </c>
      <c r="S7" s="3" t="inlineStr">
        <is>
          <t>—</t>
        </is>
      </c>
      <c r="T7" s="3" t="inlineStr">
        <is>
          <t>—</t>
        </is>
      </c>
      <c r="U7" s="3" t="inlineStr">
        <is>
          <t>ACTIVE</t>
        </is>
      </c>
      <c r="V7" s="3" t="inlineStr">
        <is>
          <t>2026-09-30</t>
        </is>
      </c>
      <c r="W7" s="3" t="n"/>
      <c r="X7" s="3" t="n"/>
      <c r="Y7" s="3" t="inlineStr">
        <is>
          <t>NOTHING OPEN</t>
        </is>
      </c>
    </row>
    <row r="8" ht="45" customHeight="1">
      <c r="A8" s="3" t="inlineStr">
        <is>
          <t>MK-CF-F-006</t>
        </is>
      </c>
      <c r="B8" s="3" t="inlineStr">
        <is>
          <t>allocatableThisMonth</t>
        </is>
      </c>
      <c r="C8" s="3" t="inlineStr">
        <is>
          <t>src/domain/budget/index.ts</t>
        </is>
      </c>
      <c r="D8" s="3" t="n">
        <v>259</v>
      </c>
      <c r="E8" s="3" t="inlineStr">
        <is>
          <t>2 · DISPLAYED</t>
        </is>
      </c>
      <c r="F8" s="3" t="inlineStr">
        <is>
          <t>What's LEFT of this month's surplus to put to work = surplus − already-allocated this month (never &lt; 0).</t>
        </is>
      </c>
      <c r="G8" s="11"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W8" s="3" t="n"/>
      <c r="X8" s="3" t="n"/>
      <c r="Y8" s="3" t="inlineStr">
        <is>
          <t>NOTHING OPEN</t>
        </is>
      </c>
    </row>
    <row r="9" ht="60" customHeight="1">
      <c r="A9" s="3" t="inlineStr">
        <is>
          <t>MK-CF-F-007</t>
        </is>
      </c>
      <c r="B9" s="3" t="inlineStr">
        <is>
          <t>nonMonthlyBasis</t>
        </is>
      </c>
      <c r="C9" s="3" t="inlineStr">
        <is>
          <t>src/domain/budget/index.ts</t>
        </is>
      </c>
      <c r="D9" s="3" t="n">
        <v>292</v>
      </c>
      <c r="E9" s="3" t="inlineStr">
        <is>
          <t>2 · DISPLAYED</t>
        </is>
      </c>
      <c r="F9" s="3" t="inlineStr">
        <is>
          <t>Label basis for the non-monthly bucket (e.g.</t>
        </is>
      </c>
      <c r="G9" s="11"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W9" s="3" t="n"/>
      <c r="X9" s="3" t="n"/>
      <c r="Y9" s="3" t="inlineStr">
        <is>
          <t>NOTHING OPEN</t>
        </is>
      </c>
    </row>
    <row r="10" ht="60" customHeight="1">
      <c r="A10" s="3" t="inlineStr">
        <is>
          <t>MK-CF-F-008</t>
        </is>
      </c>
      <c r="B10" s="3" t="inlineStr">
        <is>
          <t>spendByMonth</t>
        </is>
      </c>
      <c r="C10" s="3" t="inlineStr">
        <is>
          <t>src/domain/budget/index.ts</t>
        </is>
      </c>
      <c r="D10" s="3" t="n">
        <v>346</v>
      </c>
      <c r="E10" s="3" t="inlineStr">
        <is>
          <t>3 · DEPENDENT</t>
        </is>
      </c>
      <c r="F10" s="3" t="inlineStr">
        <is>
          <t>Expenses placed in the calendar months it's actually due (Jan→Dec) — NOT averaged.</t>
        </is>
      </c>
      <c r="G10" s="11"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110</v>
      </c>
      <c r="Q10" s="3" t="inlineStr">
        <is>
          <t>1. MK-CF-F-132 map
2. MK-CF-F-120 pctBaseMonthly
3. MK-CF-F-004 spendBuckets
4. MK-ST-F-052 toNum
5. MK-CF-F-092 incomeMonthlyGrid
6. MK-CF-F-003 categoryMonthly
7. MK-XS-F-122 n
8. MK-CF-F-069 benefitActiveMonths
9. MK-CF-F-072 currentRetirementIncomeMonthly
10. MK-CF-F-173 earnerWages
11. MK-CF-F-065 equityVestWeights
12. MK-CF-F-071 extraIncome
13. MK-ST-F-056 has
14. MK-CF-F-206 householdK401ByMonth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MK-XS-F-027 takeHomeMonthly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MK-CF-F-011 savingsByMonth
49. MK-CF-O-010 theMonth
50. MK-CF-F-100 taxableIncomeFor
51. MK-CF-F-074 tipsAnnual
52. MK-CF-F-151 actualSpending
53. MK-CF-F-150 debtPaymentsCountedAsExpenses
54. MK-CF-F-153 radar
55. MK-CF-F-149 recurringDebtPayments
56. MK-ST-F-085 rentFigure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MK-NW-F-131 pricedLikeBond
94. MK-NW-F-125 isPastMaturity
95. MK-ST-F-065 isoLocalDate
96. MK-NW-F-126 yearlyInterestNow
97. MK-NW-F-011 assetClassOf
98. MK-NW-F-070 accruedInterestCaveat
99. MK-NW-F-058 yearsToMaturity
100. MK-NW-F-119 estimatedAccrued
101. MK-NW-F-124 maturityParts
102. MK-NW-F-120 classEvidenceOf
103. MK-NW-F-067 plural
104. MK-NW-F-008 incomeBearingClassOf
105. MK-NW-F-009 maturityClass
106. MK-ST-F-010 nameEvidence
107. MK-NW-F-068 prettyDay
108. MK-XS-F-147 call
109. MK-XS-F-064 currentIdToken
110. MK-XS-F-112 relayUrl</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MK-ST-F-056 has → MK-CF-F-172 hasWage → MK-CF-F-173 earnerWages → MK-CF-F-092 incomeMonthlyGrid → MK-CF-F-120 pctBaseMonthly → MK-CF-F-008 spendByMonth
5. MK-ST-F-052 toNum → MK-CF-F-062 equityRowValue → MK-CF-F-065 equityVestWeights → MK-CF-F-092 incomeMonthlyGrid → MK-CF-F-120 pctBaseMonthly → MK-CF-F-008 spendByMonth
6. MK-CF-F-132 map → MK-CF-F-065 equityVestWeights → MK-CF-F-092 incomeMonthlyGrid → MK-CF-F-120 pctBaseMonthly → MK-CF-F-008 spendByMonth
7. MK-CF-F-069 benefitActiveMonths → MK-CF-F-070 benefitAnnual → MK-CF-F-071 extraIncome → MK-CF-F-092 incomeMonthlyGrid → MK-CF-F-120 pctBaseMonthly → MK-CF-F-008 spendByMonth
8. MK-ST-F-052 toNum → MK-CF-F-070 benefitAnnual → MK-CF-F-071 extraIncome → MK-CF-F-092 incomeMonthlyGrid → MK-CF-F-120 pctBaseMonthly → MK-CF-F-008 spendByMonth
9. … and 5 more paths</t>
        </is>
      </c>
      <c r="S10" s="3" t="inlineStr">
        <is>
          <t>—</t>
        </is>
      </c>
      <c r="T10" s="3" t="inlineStr">
        <is>
          <t>—</t>
        </is>
      </c>
      <c r="U10" s="3" t="inlineStr">
        <is>
          <t>ACTIVE</t>
        </is>
      </c>
      <c r="V10" s="3" t="inlineStr">
        <is>
          <t>2026-09-12</t>
        </is>
      </c>
      <c r="W10" s="3" t="n"/>
      <c r="X10" s="3" t="n"/>
      <c r="Y10" s="3" t="inlineStr">
        <is>
          <t>NOTHING OPEN</t>
        </is>
      </c>
    </row>
    <row r="11" ht="60" customHeight="1">
      <c r="A11" s="3" t="inlineStr">
        <is>
          <t>MK-CF-F-009</t>
        </is>
      </c>
      <c r="B11" s="3" t="inlineStr">
        <is>
          <t>monthlyEssentials</t>
        </is>
      </c>
      <c r="C11" s="3" t="inlineStr">
        <is>
          <t>src/domain/budget/index.ts</t>
        </is>
      </c>
      <c r="D11" s="3" t="n">
        <v>409</v>
      </c>
      <c r="E11" s="3" t="inlineStr">
        <is>
          <t>3 · DEPENDENT</t>
        </is>
      </c>
      <c r="F11" s="3" t="inlineStr">
        <is>
          <t>Monthly money you MUST keep paying — the recurring (non-monthly excluded) Critical + Important bills.</t>
        </is>
      </c>
      <c r="G11" s="11"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t>
        </is>
      </c>
      <c r="M11" s="3" t="inlineStr">
        <is>
          <t>· Uses a built-in ess of 0.</t>
        </is>
      </c>
      <c r="N11" s="3" t="inlineStr">
        <is>
          <t>Yes</t>
        </is>
      </c>
      <c r="O11" s="3" t="inlineStr">
        <is>
          <t>1. MK-CF-F-120 pctBaseMonthly
2. MK-CF-F-002 plannedMonthlySpend
3. MK-CF-F-004 spendBuckets
4. MK-ST-F-052 toNum</t>
        </is>
      </c>
      <c r="P11" s="3" t="n">
        <v>112</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MK-CF-F-173 earnerWages
12. MK-CF-F-065 equityVestWeights
13. MK-CF-F-071 extraIncome
14. MK-ST-F-056 has
15. MK-CF-F-206 householdK401ByMonth
16. MK-CF-F-132 map
17. MK-CF-F-087 monthlyTaxRates
18. MK-CF-F-073 otherIncomeMonth
19. MK-CF-F-181 rateInForce
20. MK-CF-F-068 rentalNetAnnual
21. MK-CF-F-066 rsuAnnual
22. MK-CF-F-060 salaryGrossByMonth
23. MK-CF-F-077 scholarshipByCalendarMonth
24. MK-CF-F-088 taxableByCalendarMonth
25. MK-CF-F-177 wageGrossByMonth
26. MK-PL-F-012 waterfall
27. MK-CF-F-011 savingsByMonth
28. MK-CF-F-075 retirementIncomeMonthly
29. MK-CF-F-172 hasWage
30. MK-CF-F-062 equityRowValue
31. MK-CF-F-070 benefitAnnual
32. MK-ST-F-039 on
33. MK-CF-F-176 sumMonthsOverEarners
34. MK-CF-F-203 MONTH
35. MK-CF-F-090 effectiveRate
36. MK-CF-F-180 enteredLandsAnnual
37. MK-CF-F-085 filingStatusOf
38. MK-CF-F-089 over65CountOf
39. MK-CF-F-082 salaryAnnual
40. MK-CF-F-086 stateRateOf
41. MK-CF-F-101 taxOwedFor
42. MK-CF-F-084 taxableAnnual
43. MK-CF-O-002 expenses
44. MK-CF-F-067 rentalList
45. MK-CF-F-063 rowVestYear
46. MK-CF-F-130 enteredMonthlyRaw
47. MK-CF-F-166 hasMonthlySalaryTable
48. MK-ST-F-036 reconcile
49. MK-CF-F-167 salaryCalendarYear
50. MK-CF-F-008 spendByMonth
51. MK-CF-O-010 theMonth
52. MK-CF-F-100 taxableIncomeFor
53. MK-CF-F-074 tipsAnnual
54. MK-CF-F-151 actualSpending
55. MK-CF-F-150 debtPaymentsCountedAsExpenses
56. MK-CF-F-153 radar
57. MK-CF-F-149 recurringDebtPayments
58. MK-ST-F-085 rentFigure
59. MK-CF-F-165 salaryMonths
60. MK-CF-F-155 cash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MK-NW-F-112 yearlyInterest
84. MK-ST-F-048 currencySymbol
85. MK-ST-F-027 accountId
86. MK-NW-F-057 annualCoupon
87. MK-NW-F-056 bondInfo
88. MK-NW-F-064 bondRateSensitivity
89. MK-NW-F-061 bondSummary
90. MK-NW-F-055 isBond
91. MK-NW-F-072 rowOf
92. MK-ST-F-047 activeCurrency
93. MK-NW-F-060 approxYTM
94. MK-NW-F-069 priceAtYield
95. MK-NW-F-131 pricedLikeBond
96. MK-NW-F-125 isPastMaturity
97. MK-ST-F-065 isoLocalDate
98. MK-NW-F-126 yearlyInterestNow
99. MK-NW-F-011 assetClassOf
100. MK-NW-F-070 accruedInterestCaveat
101. MK-NW-F-058 yearsToMaturity
102. MK-NW-F-119 estimatedAccrued
103. MK-NW-F-124 maturityParts
104. MK-NW-F-120 classEvidenceOf
105. MK-NW-F-067 plural
106. MK-NW-F-008 incomeBearingClassOf
107. MK-NW-F-009 maturityClass
108. MK-ST-F-010 nameEvidence
109. MK-NW-F-068 prettyDay
110. MK-XS-F-147 call
111. MK-XS-F-064 currentIdToken
112. MK-XS-F-112 relayUrl</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MK-ST-F-056 has → MK-CF-F-172 hasWage → MK-CF-F-173 earnerWages → MK-CF-F-092 incomeMonthlyGrid → MK-CF-F-120 pctBaseMonthly → MK-CF-F-009 monthlyEssentials
4. MK-ST-F-052 toNum → MK-CF-F-062 equityRowValue → MK-CF-F-065 equityVestWeights → MK-CF-F-092 incomeMonthlyGrid → MK-CF-F-120 pctBaseMonthly → MK-CF-F-009 monthlyEssentials
5. MK-CF-F-132 map → MK-CF-F-065 equityVestWeights → MK-CF-F-092 incomeMonthlyGrid → MK-CF-F-120 pctBaseMonthly → MK-CF-F-009 monthlyEssentials
6. MK-CF-F-069 benefitActiveMonths → MK-CF-F-070 benefitAnnual → MK-CF-F-071 extraIncome → MK-CF-F-092 incomeMonthlyGrid → MK-CF-F-120 pctBaseMonthly → MK-CF-F-009 monthlyEssentials
7. MK-ST-F-052 toNum → MK-CF-F-070 benefitAnnual → MK-CF-F-071 extraIncome → MK-CF-F-092 incomeMonthlyGrid → MK-CF-F-120 pctBaseMonthly → MK-CF-F-009 monthlyEssentials
8. MK-ST-F-039 on → MK-CF-F-071 extraIncome → MK-CF-F-092 incomeMonthlyGrid → MK-CF-F-120 pctBaseMonthly → MK-CF-F-009 monthlyEssentials
9. … and 5 more paths</t>
        </is>
      </c>
      <c r="S11" s="3" t="inlineStr">
        <is>
          <t>—</t>
        </is>
      </c>
      <c r="T11" s="3" t="inlineStr">
        <is>
          <t>—</t>
        </is>
      </c>
      <c r="U11" s="3" t="inlineStr">
        <is>
          <t>ACTIVE</t>
        </is>
      </c>
      <c r="V11" s="3" t="inlineStr">
        <is>
          <t>2026-09-28</t>
        </is>
      </c>
      <c r="W11" s="3" t="n"/>
      <c r="X11" s="3" t="n"/>
      <c r="Y11" s="3" t="inlineStr">
        <is>
          <t>NOTHING OPEN</t>
        </is>
      </c>
    </row>
    <row r="12" ht="60" customHeight="1">
      <c r="A12" s="3" t="inlineStr">
        <is>
          <t>MK-CF-F-010</t>
        </is>
      </c>
      <c r="B12" s="3" t="inlineStr">
        <is>
          <t>emergencyTest</t>
        </is>
      </c>
      <c r="C12" s="3" t="inlineStr">
        <is>
          <t>src/domain/budget/index.ts</t>
        </is>
      </c>
      <c r="D12" s="3" t="n">
        <v>468</v>
      </c>
      <c r="E12" s="3" t="inlineStr">
        <is>
          <t>3 · DEPENDENT</t>
        </is>
      </c>
      <c r="F12" s="3" t="inlineStr">
        <is>
          <t>"What if a $X emergency hit right now?" — can your cash absorb it, and how long would you last.</t>
        </is>
      </c>
      <c r="G12" s="11"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113</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MK-CF-F-173 earnerWages
14. MK-CF-F-065 equityVestWeights
15. MK-CF-F-071 extraIncome
16. MK-ST-F-056 has
17. MK-CF-F-206 householdK401ByMonth
18. MK-CF-F-132 map
19. MK-CF-F-087 monthlyTaxRates
20. MK-CF-F-073 otherIncomeMonth
21. MK-CF-F-181 rateInForce
22. MK-CF-F-068 rentalNetAnnual
23. MK-CF-F-066 rsuAnnual
24. MK-CF-F-060 salaryGrossByMonth
25. MK-CF-F-077 scholarshipByCalendarMonth
26. MK-CF-F-088 taxableByCalendarMonth
27. MK-CF-F-177 wageGrossByMonth
28. MK-PL-F-012 waterfall
29. MK-CF-F-011 savingsByMonth
30. MK-CF-F-075 retirementIncomeMonthly
31. MK-CF-F-172 hasWage
32. MK-CF-F-062 equityRowValue
33. MK-CF-F-070 benefitAnnual
34. MK-ST-F-039 on
35. MK-CF-F-176 sumMonthsOverEarners
36. MK-CF-F-203 MONTH
37. MK-CF-F-090 effectiveRate
38. MK-CF-F-180 enteredLandsAnnual
39. MK-CF-F-085 filingStatusOf
40. MK-CF-F-089 over65CountOf
41. MK-CF-F-082 salaryAnnual
42. MK-CF-F-086 stateRateOf
43. MK-CF-F-101 taxOwedFor
44. MK-CF-F-084 taxableAnnual
45. MK-CF-O-002 expenses
46. MK-CF-F-067 rentalList
47. MK-CF-F-063 rowVestYear
48. MK-CF-F-130 enteredMonthlyRaw
49. MK-CF-F-166 hasMonthlySalaryTable
50. MK-ST-F-036 reconcile
51. MK-CF-F-167 salaryCalendarYear
52. MK-CF-F-008 spendByMonth
53. MK-CF-O-010 theMonth
54. MK-CF-F-100 taxableIncomeFor
55. MK-CF-F-074 tipsAnnual
56. MK-CF-F-151 actualSpending
57. MK-CF-F-150 debtPaymentsCountedAsExpenses
58. MK-CF-F-153 radar
59. MK-CF-F-149 recurringDebtPayments
60. MK-ST-F-085 rentFigure
61. MK-CF-F-165 salaryMonths
62. MK-CF-O-003 thisMonth
63. MK-CF-F-099 deductionFor
64. MK-CF-F-081 salaryActiveMonths
65. MK-CF-F-148 inMonth
66. MK-CF-F-191 ym
67. MK-CF-F-022 paymentShape
68. MK-CF-F-152 isRadarItem
69. MK-CF-F-023 requiredPayment
70. MK-CF-F-005 actualMonthFlow
71. MK-CF-F-156 plannedMonthFlow
72. MK-CF-F-187 seniorDeductionFor
73. MK-CF-F-021 defaultPaymentType
74. MK-NW-F-078 ONE
75. MK-CF-F-157 debtPaymentsByDebt
76. MK-CF-F-192 inflowLabel
77. MK-NW-F-077 ALL
78. MK-NW-F-059 currentYield
79. MK-XS-F-180 declareFigures
80. MK-ST-F-049 formatMoney
81. MK-ST-F-053 money
82. MK-NW-O-001 theBonds
83. MK-CF-F-193 inflowSourceWord
84. MK-NW-F-112 yearlyInterest
85. MK-ST-F-048 currencySymbol
86. MK-ST-F-027 accountId
87. MK-NW-F-057 annualCoupon
88. MK-NW-F-056 bondInfo
89. MK-NW-F-064 bondRateSensitivity
90. MK-NW-F-061 bondSummary
91. MK-NW-F-055 isBond
92. MK-NW-F-072 rowOf
93. MK-ST-F-047 activeCurrency
94. MK-NW-F-060 approxYTM
95. MK-NW-F-069 priceAtYield
96. MK-NW-F-131 pricedLikeBond
97. MK-NW-F-125 isPastMaturity
98. MK-ST-F-065 isoLocalDate
99. MK-NW-F-126 yearlyInterestNow
100. MK-NW-F-011 assetClassOf
101. MK-NW-F-070 accruedInterestCaveat
102. MK-NW-F-058 yearsToMaturity
103. MK-NW-F-119 estimatedAccrued
104. MK-NW-F-124 maturityParts
105. MK-NW-F-120 classEvidenceOf
106. MK-NW-F-067 plural
107. MK-NW-F-008 incomeBearingClassOf
108. MK-NW-F-009 maturityClass
109. MK-ST-F-010 nameEvidence
110. MK-NW-F-068 prettyDay
111. MK-XS-F-147 call
112. MK-XS-F-064 currentIdToken
113. MK-XS-F-112 relayUrl</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MK-CF-F-172 hasWage → MK-CF-F-173 earnerWages → MK-CF-F-092 incomeMonthlyGrid → MK-CF-F-120 pctBaseMonthly → MK-CF-F-009 monthlyEssentials → MK-CF-F-010 emergencyTest
5. MK-CF-F-062 equityRowValue → MK-CF-F-065 equityVestWeights → MK-CF-F-092 incomeMonthlyGrid → MK-CF-F-120 pctBaseMonthly → MK-CF-F-009 monthlyEssentials → MK-CF-F-010 emergencyTest
6. MK-CF-F-132 map → MK-CF-F-065 equityVestWeights → MK-CF-F-092 incomeMonthlyGrid → MK-CF-F-120 pctBaseMonthly → MK-CF-F-009 monthlyEssentials → MK-CF-F-010 emergencyTest
7. MK-CF-F-070 benefitAnnual → MK-CF-F-071 extraIncome → MK-CF-F-092 incomeMonthlyGrid → MK-CF-F-120 pctBaseMonthly → MK-CF-F-009 monthlyEssentials → MK-CF-F-010 emergencyTest
8. MK-ST-F-039 on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2026-09-28</t>
        </is>
      </c>
      <c r="W12" s="3" t="n"/>
      <c r="X12" s="3" t="n"/>
      <c r="Y12" s="6" t="inlineStr">
        <is>
          <t>TESTED, NOT VERIFIED (G21 / Q47)</t>
        </is>
      </c>
    </row>
    <row r="13" ht="60" customHeight="1">
      <c r="A13" s="3" t="inlineStr">
        <is>
          <t>MK-CF-F-011</t>
        </is>
      </c>
      <c r="B13" s="3" t="inlineStr">
        <is>
          <t>savingsByMonth</t>
        </is>
      </c>
      <c r="C13" s="3" t="inlineStr">
        <is>
          <t>src/domain/budget/index.ts</t>
        </is>
      </c>
      <c r="D13" s="3" t="n">
        <v>522</v>
      </c>
      <c r="E13" s="3" t="inlineStr">
        <is>
          <t>2 · DISPLAYED</t>
        </is>
      </c>
      <c r="F13" s="3" t="inlineStr">
        <is>
          <t>Discretionary amount free to save each month = take-home that month (after tax &amp; 401k) minus the expenses due that month.</t>
        </is>
      </c>
      <c r="G13" s="11"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110</v>
      </c>
      <c r="Q13" s="3" t="inlineStr">
        <is>
          <t>1. MK-CF-F-092 incomeMonthlyGrid
2. MK-CF-F-132 map
3. MK-CF-F-008 spendByMonth
4. MK-CF-F-069 benefitActiveMonths
5. MK-CF-F-072 currentRetirementIncomeMonthly
6. MK-CF-F-173 earnerWages
7. MK-CF-F-065 equityVestWeights
8. MK-CF-F-071 extraIncome
9. MK-ST-F-056 has
10. MK-CF-F-206 householdK401ByMonth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MK-ST-F-085 rentFigure
56. MK-CF-F-165 salaryMonths
57. MK-XS-F-027 takeHomeMonthly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MK-NW-F-131 pricedLikeBond
94. MK-NW-F-125 isPastMaturity
95. MK-ST-F-065 isoLocalDate
96. MK-NW-F-126 yearlyInterestNow
97. MK-NW-F-011 assetClassOf
98. MK-NW-F-070 accruedInterestCaveat
99. MK-NW-F-058 yearsToMaturity
100. MK-NW-F-119 estimatedAccrued
101. MK-NW-F-124 maturityParts
102. MK-NW-F-120 classEvidenceOf
103. MK-NW-F-067 plural
104. MK-NW-F-008 incomeBearingClassOf
105. MK-NW-F-009 maturityClass
106. MK-ST-F-010 nameEvidence
107. MK-NW-F-068 prettyDay
108. MK-XS-F-147 call
109. MK-XS-F-064 currentIdToken
110. MK-XS-F-112 relayUrl</t>
        </is>
      </c>
      <c r="R13" s="3" t="inlineStr">
        <is>
          <t>1. MK-CF-F-069 benefitActiveMonths → MK-CF-F-092 incomeMonthlyGrid → MK-CF-F-011 savingsByMonth
2. MK-XS-F-122 n → MK-ST-F-052 toNum → MK-CF-F-075 retirementIncomeMonthly → MK-CF-F-072 currentRetirementIncomeMonthly → MK-CF-F-092 incomeMonthlyGrid → MK-CF-F-011 savingsByMonth
3. MK-ST-F-056 has → MK-CF-F-172 hasWage → MK-CF-F-173 earnerWages → MK-CF-F-092 incomeMonthlyGrid → MK-CF-F-011 savingsByMonth
4. MK-XS-F-122 n → MK-ST-F-052 toNum → MK-CF-F-062 equityRowValue → MK-CF-F-065 equityVestWeights → MK-CF-F-092 incomeMonthlyGrid → MK-CF-F-011 savingsByMonth
5. MK-CF-F-132 map → MK-CF-F-065 equityVestWeights → MK-CF-F-092 incomeMonthlyGrid → MK-CF-F-011 savingsByMonth
6. MK-CF-F-069 benefitActiveMonths → MK-CF-F-070 benefitAnnual → MK-CF-F-071 extraIncome → MK-CF-F-092 incomeMonthlyGrid → MK-CF-F-011 savingsByMonth
7. MK-XS-F-122 n → MK-ST-F-052 toNum → MK-CF-F-070 benefitAnnual → MK-CF-F-071 extraIncome → MK-CF-F-092 incomeMonthlyGrid → MK-CF-F-011 savingsByMonth
8. MK-ST-F-039 on → MK-CF-F-071 extraIncome → MK-CF-F-092 incomeMonthlyGrid → MK-CF-F-011 savingsByMonth
9. … and 5 more paths</t>
        </is>
      </c>
      <c r="S13" s="3" t="inlineStr">
        <is>
          <t>—</t>
        </is>
      </c>
      <c r="T13" s="3" t="inlineStr">
        <is>
          <t>—</t>
        </is>
      </c>
      <c r="U13" s="3" t="inlineStr">
        <is>
          <t>ACTIVE</t>
        </is>
      </c>
      <c r="V13" s="3" t="inlineStr">
        <is>
          <t>2026-09-09</t>
        </is>
      </c>
      <c r="W13" s="3" t="n"/>
      <c r="X13" s="3" t="n"/>
      <c r="Y13" s="3" t="inlineStr">
        <is>
          <t>NOTHING OPEN</t>
        </is>
      </c>
    </row>
    <row r="14" ht="60" customHeight="1">
      <c r="A14" s="3" t="inlineStr">
        <is>
          <t>MK-CF-F-012</t>
        </is>
      </c>
      <c r="B14" s="3" t="inlineStr">
        <is>
          <t>annualCashflow</t>
        </is>
      </c>
      <c r="C14" s="3" t="inlineStr">
        <is>
          <t>src/domain/budget/index.ts</t>
        </is>
      </c>
      <c r="D14" s="3" t="n">
        <v>552</v>
      </c>
      <c r="E14" s="3" t="inlineStr">
        <is>
          <t>2 · DISPLAYED</t>
        </is>
      </c>
      <c r="F14" s="3" t="inlineStr">
        <is>
          <t>ONE annual cash-flow roll-up, derived entirely from the per-month income grid + spendByMonth — the SAME bases the savings-plan and budget already use.</t>
        </is>
      </c>
      <c r="G14" s="11"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111</v>
      </c>
      <c r="Q14" s="3" t="inlineStr">
        <is>
          <t>1. MK-CF-F-092 incomeMonthlyGrid
2. MK-CF-F-008 spendByMonth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MK-ST-F-085 rentFigure
56. MK-CF-F-165 salaryMonths
57. MK-XS-F-027 takeHomeMonthly
58. MK-CF-F-155 cash
59. MK-CF-O-003 thisMonth
60. MK-CF-F-099 deductionFor
61. MK-CF-F-081 salaryActiveMonths
62. MK-CF-F-148 inMonth
63. MK-CF-F-191 ym
64. MK-CF-F-022 paymentShape
65. MK-CF-F-152 isRadarItem
66. MK-CF-F-023 requiredPayment
67. MK-CF-F-011 savingsByMonth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MK-NW-F-072 rowOf
91. MK-ST-F-047 activeCurrency
92. MK-NW-F-060 approxYTM
93. MK-NW-F-069 priceAtYield
94. MK-NW-F-131 pricedLikeBond
95. MK-NW-F-125 isPastMaturity
96. MK-ST-F-065 isoLocalDate
97. MK-NW-F-126 yearlyInterestNow
98. MK-NW-F-011 assetClassOf
99. MK-NW-F-070 accruedInterestCaveat
100. MK-NW-F-058 yearsToMaturity
101. MK-NW-F-119 estimatedAccrued
102. MK-NW-F-124 maturityParts
103. MK-NW-F-120 classEvidenceOf
104. MK-NW-F-067 plural
105. MK-NW-F-008 incomeBearingClassOf
106. MK-NW-F-009 maturityClass
107. MK-ST-F-010 nameEvidence
108. MK-NW-F-068 prettyDay
109. MK-XS-F-147 call
110. MK-XS-F-064 currentIdToken
111. MK-XS-F-112 relayUrl</t>
        </is>
      </c>
      <c r="R14" s="3" t="inlineStr">
        <is>
          <t>1. MK-CF-F-069 benefitActiveMonths → MK-CF-F-092 incomeMonthlyGrid → MK-CF-F-012 annualCashflow
2. MK-XS-F-122 n → MK-ST-F-052 toNum → MK-CF-F-075 retirementIncomeMonthly → MK-CF-F-072 currentRetirementIncomeMonthly → MK-CF-F-092 incomeMonthlyGrid → MK-CF-F-012 annualCashflow
3. MK-ST-F-056 has → MK-CF-F-172 hasWage → MK-CF-F-173 earnerWages → MK-CF-F-092 incomeMonthlyGrid → MK-CF-F-012 annualCashflow
4. MK-XS-F-122 n → MK-ST-F-052 toNum → MK-CF-F-062 equityRowValue → MK-CF-F-065 equityVestWeights → MK-CF-F-092 incomeMonthlyGrid → MK-CF-F-012 annualCashflow
5. MK-CF-F-132 map → MK-CF-F-065 equityVestWeights → MK-CF-F-092 incomeMonthlyGrid → MK-CF-F-012 annualCashflow
6. MK-CF-F-069 benefitActiveMonths → MK-CF-F-070 benefitAnnual → MK-CF-F-071 extraIncome → MK-CF-F-092 incomeMonthlyGrid → MK-CF-F-012 annualCashflow
7. MK-XS-F-122 n → MK-ST-F-052 toNum → MK-CF-F-070 benefitAnnual → MK-CF-F-071 extraIncome → MK-CF-F-092 incomeMonthlyGrid → MK-CF-F-012 annualCashflow
8. MK-ST-F-039 on → MK-CF-F-071 extraIncome → MK-CF-F-092 incomeMonthlyGrid → MK-CF-F-012 annualCashflow
9. … and 5 more paths</t>
        </is>
      </c>
      <c r="S14" s="3" t="inlineStr">
        <is>
          <t>—</t>
        </is>
      </c>
      <c r="T14" s="3" t="inlineStr">
        <is>
          <t>—</t>
        </is>
      </c>
      <c r="U14" s="3" t="inlineStr">
        <is>
          <t>ACTIVE</t>
        </is>
      </c>
      <c r="V14" s="3" t="inlineStr">
        <is>
          <t>2026-09-09</t>
        </is>
      </c>
      <c r="W14" s="3" t="n"/>
      <c r="X14" s="3" t="n"/>
      <c r="Y14" s="3" t="inlineStr">
        <is>
          <t>NOTHING OPEN</t>
        </is>
      </c>
    </row>
    <row r="15" ht="60" customHeight="1">
      <c r="A15" s="3" t="inlineStr">
        <is>
          <t>MK-CF-F-013</t>
        </is>
      </c>
      <c r="B15" s="3" t="inlineStr">
        <is>
          <t>budgetFromOnboarding</t>
        </is>
      </c>
      <c r="C15" s="3" t="inlineStr">
        <is>
          <t>src/domain/budget/index.ts</t>
        </is>
      </c>
      <c r="D15" s="3" t="n">
        <v>591</v>
      </c>
      <c r="E15" s="3" t="inlineStr">
        <is>
          <t>3 · DEPENDENT</t>
        </is>
      </c>
      <c r="F15" s="3" t="inlineStr">
        <is>
          <t>Turns the answers about expenses given during setup into the stored budget: the monthly total and its three parts, which are fixed bills, once-in-a-while costs and everyday expenses.</t>
        </is>
      </c>
      <c r="G15" s="11"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170</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MK-CF-F-069 benefitActiveMonths
37. MK-CF-F-072 currentRetirementIncomeMonthly
38. MK-CF-F-173 earnerWages
39. MK-CF-F-065 equityVestWeights
40. MK-CF-F-071 extraIncome
41. MK-CF-F-206 householdK401ByMonth
42. MK-CF-F-087 monthlyTaxRates
43. MK-CF-F-073 otherIncomeMonth
44. MK-CF-F-181 rateInForce
45. MK-CF-F-068 rentalNetAnnual
46. MK-CF-F-066 rsuAnnual
47. MK-CF-F-060 salaryGrossByMonth
48. MK-CF-F-077 scholarshipByCalendarMonth
49. MK-CF-F-088 taxableByCalendarMonth
50. MK-CF-F-177 wageGrossByMonth
51. MK-PL-F-012 waterfall
52. MK-CF-F-011 savingsByMonth
53. MK-CF-F-120 pctBaseMonthly
54. MK-CF-F-138 addLot
55. MK-CF-F-136 bumpCash
56. MK-CF-F-137 findPos
57. MK-CF-F-139 removeShares
58. MK-PF-F-001 totalShares
59. MK-ST-F-053 money
60. MK-CF-F-085 filingStatusOf
61. MK-CF-F-097 grossFromNet
62. MK-CF-F-185 needsTakeHomeConversion
63. MK-CF-F-089 over65CountOf
64. MK-CF-F-037 inferDebtType
65. MK-ST-F-069 amountOf
66. MK-CF-F-133 cashOf
67. MK-ST-F-066 isDayKey
68. MK-ST-F-070 isOpening
69. MK-ST-F-039 on
70. MK-ST-F-071 rebuildableFrom
71. MK-ST-F-068 stepDay
72. MK-ST-F-072 undo
73. MK-NW-F-053 correctClassOf
74. MK-NW-F-123 holdingNameEvidence
75. MK-NW-F-121 holdingTagClass
76. MK-NW-F-122 holdingTagFor
77. MK-PF-F-002 costBasis
78. MK-PF-F-009 latestClose
79. MK-PF-F-004 marketValue
80. MK-ST-F-030 record
81. MK-XS-F-024 resolveLens
82. MK-ST-F-055 round2
83. MK-CF-F-162 daysApart
84. MK-CF-F-108 isMoneyOut
85. MK-PL-F-074 median
86. MK-CF-F-131 normPayee
87. MK-CF-F-113 affectedAccountIds
88. MK-CF-F-075 retirementIncomeMonthly
89. MK-CF-F-172 hasWage
90. MK-CF-F-062 equityRowValue
91. MK-CF-F-070 benefitAnnual
92. MK-CF-F-176 sumMonthsOverEarners
93. MK-CF-F-203 MONTH
94. MK-CF-F-090 effectiveRate
95. MK-CF-F-180 enteredLandsAnnual
96. MK-CF-F-082 salaryAnnual
97. MK-CF-F-086 stateRateOf
98. MK-CF-F-101 taxOwedFor
99. MK-CF-F-084 taxableAnnual
100. MK-CF-O-002 expenses
101. MK-CF-F-067 rentalList
102. MK-CF-F-063 rowVestYear
103. MK-CF-F-130 enteredMonthlyRaw
104. MK-CF-F-166 hasMonthlySalaryTable
105. MK-ST-F-036 reconcile
106. MK-CF-F-167 salaryCalendarYear
107. MK-CF-F-008 spendByMonth
108. MK-CF-F-134 usesSleeve
109. MK-ST-F-049 formatMoney
110. MK-ST-F-067 utcOfDay
111. MK-CF-F-155 cash
112. MK-ST-F-035 covers
113. MK-NW-F-120 classEvidenceOf
114. MK-NW-F-008 incomeBearingClassOf
115. MK-PF-F-031 contractMultiplier
116. MK-CF-O-010 theMonth
117. MK-CF-F-100 taxableIncomeFor
118. MK-CF-F-074 tipsAnnual
119. MK-CF-F-151 actualSpending
120. MK-CF-F-150 debtPaymentsCountedAsExpenses
121. MK-CF-F-153 radar
122. MK-CF-F-149 recurringDebtPayments
123. MK-ST-F-085 rentFigure
124. MK-CF-F-165 salaryMonths
125. MK-ST-F-048 currencySymbol
126. MK-ST-F-034 firstDate
127. MK-NW-F-009 maturityClass
128. MK-ST-F-010 nameEvidence
129. MK-CF-O-003 thisMonth
130. MK-CF-F-099 deductionFor
131. MK-CF-F-081 salaryActiveMonths
132. MK-CF-F-148 inMonth
133. MK-CF-F-022 paymentShape
134. MK-CF-F-152 isRadarItem
135. MK-CF-F-023 requiredPayment
136. MK-ST-F-047 activeCurrency
137. MK-NW-F-011 assetClassOf
138. MK-NW-F-068 prettyDay
139. MK-XS-F-147 call
140. MK-CF-F-005 actualMonthFlow
141. MK-CF-F-156 plannedMonthFlow
142. MK-CF-F-187 seniorDeductionFor
143. MK-CF-F-021 defaultPaymentType
144. MK-XS-F-064 currentIdToken
145. MK-XS-F-112 relayUrl
146. MK-NW-F-078 ONE
147. MK-CF-F-157 debtPaymentsByDebt
148. MK-CF-F-192 inflowLabel
149. MK-NW-F-077 ALL
150. MK-NW-F-059 currentYield
151. MK-XS-F-180 declareFigures
152. MK-NW-O-001 theBonds
153. MK-CF-F-193 inflowSourceWord
154. MK-NW-F-112 yearlyInterest
155. MK-NW-F-057 annualCoupon
156. MK-NW-F-056 bondInfo
157. MK-NW-F-064 bondRateSensitivity
158. MK-NW-F-061 bondSummary
159. MK-NW-F-055 isBond
160. MK-NW-F-072 rowOf
161. MK-NW-F-060 approxYTM
162. MK-NW-F-069 priceAtYield
163. MK-NW-F-131 pricedLikeBond
164. MK-NW-F-125 isPastMaturity
165. MK-NW-F-126 yearlyInterestNow
166. MK-NW-F-070 accruedInterestCaveat
167. MK-NW-F-058 yearsToMaturity
168. MK-NW-F-119 estimatedAccrued
169. MK-NW-F-124 maturityParts
170. MK-NW-F-067 plural</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MK-ST-F-056 has → MK-CF-F-172 hasWage → MK-CF-F-173 earnerWages → MK-CF-F-092 incomeMonthlyGrid → MK-CF-F-002 plannedMonthlySpend → MK-CF-F-013 budgetFromOnboarding
4. MK-ST-F-052 toNum → MK-CF-F-062 equityRowValue → MK-CF-F-065 equityVestWeights → MK-CF-F-092 incomeMonthlyGrid → MK-CF-F-002 plannedMonthlySpend → MK-CF-F-013 budgetFromOnboarding
5. MK-CF-F-132 map → MK-CF-F-065 equityVestWeights → MK-CF-F-092 incomeMonthlyGrid → MK-CF-F-002 plannedMonthlySpend → MK-CF-F-013 budgetFromOnboarding
6. MK-CF-F-069 benefitActiveMonths → MK-CF-F-070 benefitAnnual → MK-CF-F-071 extraIncome → MK-CF-F-092 incomeMonthlyGrid → MK-CF-F-002 plannedMonthlySpend → MK-CF-F-013 budgetFromOnboarding
7. MK-ST-F-052 toNum → MK-CF-F-070 benefitAnnual → MK-CF-F-071 extraIncome → MK-CF-F-092 incomeMonthlyGrid → MK-CF-F-002 plannedMonthlySpend → MK-CF-F-013 budgetFromOnboarding
8. MK-ST-F-039 on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W15" s="3" t="n"/>
      <c r="X15" s="3" t="n"/>
      <c r="Y15" s="3" t="inlineStr">
        <is>
          <t>NOTHING OPEN</t>
        </is>
      </c>
    </row>
    <row r="16" ht="60" customHeight="1">
      <c r="A16" s="3" t="inlineStr">
        <is>
          <t>MK-CF-F-014</t>
        </is>
      </c>
      <c r="B16" s="3" t="inlineStr">
        <is>
          <t>budgetVsActual</t>
        </is>
      </c>
      <c r="C16" s="3" t="inlineStr">
        <is>
          <t>src/domain/budget/index.ts</t>
        </is>
      </c>
      <c r="D16" s="3" t="n">
        <v>645</v>
      </c>
      <c r="E16" s="3" t="inlineStr">
        <is>
          <t>2 · DISPLAYED</t>
        </is>
      </c>
      <c r="F16" s="3" t="inlineStr">
        <is>
          <t>Month-to-date actual expenses vs the planned budget, bucketed.</t>
        </is>
      </c>
      <c r="G16" s="11"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"Actual expenses so far" — on the Home screen, under "THIS MONTH"</t>
        </is>
      </c>
      <c r="M16" s="3" t="inlineStr">
        <is>
          <t>· Uses today's date from the device clock, so the answer changes by itself overnight.</t>
        </is>
      </c>
      <c r="N16" s="3" t="inlineStr">
        <is>
          <t>Yes</t>
        </is>
      </c>
      <c r="O16" s="3" t="inlineStr">
        <is>
          <t>1. MK-CF-F-132 map
2. MK-CF-F-004 spendBuckets
3. MK-ST-F-052 toNum
4. MK-CF-F-191 ym</t>
        </is>
      </c>
      <c r="P16" s="3" t="n">
        <v>111</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MK-CF-F-177 wageGrossByMonth
27. MK-PL-F-012 waterfall
28. MK-CF-F-008 spendByMonth
29. MK-CF-F-075 retirementIncomeMonthly
30. MK-CF-F-172 hasWage
31. MK-CF-F-062 equityRowValue
32. MK-CF-F-070 benefitAnnual
33. MK-ST-F-039 on
34. MK-CF-F-176 sumMonthsOverEarners
35. MK-CF-F-203 MONTH
36. MK-CF-F-090 effectiveRate
37. MK-CF-F-180 enteredLandsAnnual
38. MK-CF-F-085 filingStatusOf
39. MK-CF-F-089 over65CountOf
40. MK-CF-F-082 salaryAnnual
41. MK-CF-F-086 stateRateOf
42. MK-CF-F-101 taxOwedFor
43. MK-CF-F-084 taxableAnnual
44. MK-CF-O-002 expenses
45. MK-CF-F-067 rentalList
46. MK-CF-F-063 rowVestYear
47. MK-CF-F-130 enteredMonthlyRaw
48. MK-CF-F-166 hasMonthlySalaryTable
49. MK-ST-F-036 reconcile
50. MK-CF-F-167 salaryCalendarYear
51. MK-CF-O-010 theMonth
52. MK-CF-F-100 taxableIncomeFor
53. MK-CF-F-074 tipsAnnual
54. MK-CF-F-151 actualSpending
55. MK-CF-F-150 debtPaymentsCountedAsExpenses
56. MK-CF-F-153 radar
57. MK-CF-F-149 recurringDebtPayments
58. MK-ST-F-085 rentFigure
59. MK-CF-F-165 salaryMonths
60. MK-CF-F-155 cash
61. MK-CF-O-003 thisMonth
62. MK-CF-F-099 deductionFor
63. MK-CF-F-081 salaryActiveMonths
64. MK-CF-F-148 inMonth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MK-NW-F-072 rowOf
91. MK-ST-F-047 activeCurrency
92. MK-NW-F-060 approxYTM
93. MK-NW-F-069 priceAtYield
94. MK-NW-F-131 pricedLikeBond
95. MK-NW-F-125 isPastMaturity
96. MK-ST-F-065 isoLocalDate
97. MK-NW-F-126 yearlyInterestNow
98. MK-NW-F-011 assetClassOf
99. MK-NW-F-070 accruedInterestCaveat
100. MK-NW-F-058 yearsToMaturity
101. MK-NW-F-119 estimatedAccrued
102. MK-NW-F-124 maturityParts
103. MK-NW-F-120 classEvidenceOf
104. MK-NW-F-067 plural
105. MK-NW-F-008 incomeBearingClassOf
106. MK-NW-F-009 maturityClass
107. MK-ST-F-010 nameEvidence
108. MK-NW-F-068 prettyDay
109. MK-XS-F-147 call
110. MK-XS-F-064 currentIdToken
111. MK-XS-F-112 relayUrl</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W16" s="3" t="n"/>
      <c r="X16" s="3" t="n"/>
      <c r="Y16" s="3" t="inlineStr">
        <is>
          <t>NOTHING OPEN</t>
        </is>
      </c>
    </row>
    <row r="17" ht="60" customHeight="1">
      <c r="A17" s="3" t="inlineStr">
        <is>
          <t>MK-CF-F-015</t>
        </is>
      </c>
      <c r="B17" s="3" t="inlineStr">
        <is>
          <t>loadBudget</t>
        </is>
      </c>
      <c r="C17" s="3" t="inlineStr">
        <is>
          <t>src/domain/budget/index.ts</t>
        </is>
      </c>
      <c r="D17" s="3" t="n">
        <v>685</v>
      </c>
      <c r="E17" s="3" t="inlineStr">
        <is>
          <t>3 · DEPENDENT (feeds an action only)</t>
        </is>
      </c>
      <c r="F17" s="3" t="inlineStr">
        <is>
          <t>Reads a person's saved budget from storage and calculates nothing.</t>
        </is>
      </c>
      <c r="G17" s="11"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88</v>
      </c>
      <c r="Q1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MK-NW-F-009 maturityClass
79. MK-ST-F-010 nameEvidence
80. MK-CF-F-075 retirementIncomeMonthly
81. MK-ST-F-047 activeCurrency
82. MK-CF-F-099 deductionFor
83. MK-NW-F-011 assetClassOf
84. MK-NW-F-068 prettyDay
85. MK-XS-F-147 call
86. MK-CF-F-187 seniorDeductionFor
87. MK-XS-F-064 currentIdToken
88. MK-XS-F-112 relayUrl</t>
        </is>
      </c>
      <c r="R17" s="3" t="inlineStr">
        <is>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is>
      </c>
      <c r="S17" s="3" t="inlineStr">
        <is>
          <t>—</t>
        </is>
      </c>
      <c r="T17" s="3" t="inlineStr">
        <is>
          <t>—</t>
        </is>
      </c>
      <c r="U17" s="3" t="inlineStr">
        <is>
          <t>ACTIVE</t>
        </is>
      </c>
      <c r="V17" s="3" t="inlineStr">
        <is>
          <t>2026-08-27</t>
        </is>
      </c>
      <c r="W17" s="3" t="n"/>
      <c r="X17" s="3" t="n"/>
      <c r="Y17" s="3" t="inlineStr">
        <is>
          <t>NOTHING OPEN</t>
        </is>
      </c>
    </row>
    <row r="18" ht="60" customHeight="1">
      <c r="A18" s="3" t="inlineStr">
        <is>
          <t>MK-CF-F-016</t>
        </is>
      </c>
      <c r="B18" s="3" t="inlineStr">
        <is>
          <t>saveBudget</t>
        </is>
      </c>
      <c r="C18" s="3" t="inlineStr">
        <is>
          <t>src/domain/budget/index.ts</t>
        </is>
      </c>
      <c r="D18" s="3" t="n">
        <v>703</v>
      </c>
      <c r="E18" s="3" t="inlineStr">
        <is>
          <t>1 · ACTION</t>
        </is>
      </c>
      <c r="F18" s="3" t="inlineStr">
        <is>
          <t>Saves a person's budget to storage and calculates nothing.</t>
        </is>
      </c>
      <c r="G18" s="11"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89</v>
      </c>
      <c r="Q18"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18" s="3" t="inlineStr">
        <is>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is>
      </c>
      <c r="S18" s="3" t="inlineStr">
        <is>
          <t>—</t>
        </is>
      </c>
      <c r="T18" s="3" t="inlineStr">
        <is>
          <t>—</t>
        </is>
      </c>
      <c r="U18" s="3" t="inlineStr">
        <is>
          <t>ACTIVE</t>
        </is>
      </c>
      <c r="V18" s="3" t="inlineStr">
        <is>
          <t>2026-08-27</t>
        </is>
      </c>
      <c r="W18" s="3" t="n"/>
      <c r="X18" s="3" t="n"/>
      <c r="Y18" s="3" t="inlineStr">
        <is>
          <t>NOTHING OPEN</t>
        </is>
      </c>
    </row>
    <row r="19" ht="60" customHeight="1">
      <c r="A19" s="3" t="inlineStr">
        <is>
          <t>MK-CF-F-017</t>
        </is>
      </c>
      <c r="B19" s="3" t="inlineStr">
        <is>
          <t>publishSurplus</t>
        </is>
      </c>
      <c r="C19" s="3" t="inlineStr">
        <is>
          <t>src/domain/budget/index.ts</t>
        </is>
      </c>
      <c r="D19" s="3" t="n">
        <v>720</v>
      </c>
      <c r="E19" s="3" t="inlineStr">
        <is>
          <t>1 · ACTION</t>
        </is>
      </c>
      <c r="F19" s="3" t="inlineStr">
        <is>
          <t>Publish the authoritative surplus for Goals/Retirement to consume.</t>
        </is>
      </c>
      <c r="G19" s="11"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89</v>
      </c>
      <c r="Q19" s="3" t="inlineStr">
        <is>
          <t>1. MK-ST-F-040 emit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19" s="3" t="inlineStr">
        <is>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is>
      </c>
      <c r="S19" s="3" t="inlineStr">
        <is>
          <t>—</t>
        </is>
      </c>
      <c r="T19" s="3" t="inlineStr">
        <is>
          <t>—</t>
        </is>
      </c>
      <c r="U19" s="3" t="inlineStr">
        <is>
          <t>ACTIVE</t>
        </is>
      </c>
      <c r="V19" s="3" t="inlineStr">
        <is>
          <t>2026-08-27</t>
        </is>
      </c>
      <c r="W19" s="3" t="n"/>
      <c r="X19" s="3" t="n"/>
      <c r="Y19" s="3" t="inlineStr">
        <is>
          <t>NOTHING OPEN</t>
        </is>
      </c>
    </row>
    <row r="20" ht="60" customHeight="1">
      <c r="A20" s="3" t="inlineStr">
        <is>
          <t>MK-CF-F-018</t>
        </is>
      </c>
      <c r="B20" s="3" t="inlineStr">
        <is>
          <t>equityByMonth</t>
        </is>
      </c>
      <c r="C20" s="3" t="inlineStr">
        <is>
          <t>src/domain/cashflow/index.ts</t>
        </is>
      </c>
      <c r="D20" s="3" t="n">
        <v>72</v>
      </c>
      <c r="E20" s="3" t="inlineStr">
        <is>
          <t>3 · DEPENDENT</t>
        </is>
      </c>
      <c r="F20" s="3" t="inlineStr">
        <is>
          <t>Level annual equity spread across the months it vests (0 for most students).</t>
        </is>
      </c>
      <c r="G20" s="11"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W20" s="3" t="n"/>
      <c r="X20" s="3" t="n"/>
      <c r="Y20" s="3" t="inlineStr">
        <is>
          <t>NOTHING OPEN</t>
        </is>
      </c>
    </row>
    <row r="21" ht="60" customHeight="1">
      <c r="A21" s="3" t="inlineStr">
        <is>
          <t>MK-CF-F-019</t>
        </is>
      </c>
      <c r="B21" s="3" t="inlineStr">
        <is>
          <t>upcomingBills</t>
        </is>
      </c>
      <c r="C21" s="3" t="inlineStr">
        <is>
          <t>src/domain/cashflow/index.ts</t>
        </is>
      </c>
      <c r="D21" s="3" t="n">
        <v>233</v>
      </c>
      <c r="E21" s="3" t="inlineStr">
        <is>
          <t>3 · DEPENDENT</t>
        </is>
      </c>
      <c r="F21" s="3" t="inlineStr">
        <is>
          <t>The dated bills coming due over the next year, each with the day the money must be there, the cash expected by that day and how much short it would be.</t>
        </is>
      </c>
      <c r="G21" s="11"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116</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MK-CF-O-002 expenses
20. MK-CF-F-067 rentalList
21. MK-CF-F-003 categoryMonthly
22. MK-CF-F-071 extraIncome
23. MK-CF-F-066 rsuAnnual
24. MK-CF-F-082 salaryAnnual
25. MK-CF-F-074 tipsAnnual
26. MK-XS-F-122 n
27. MK-CF-F-173 earnerWages
28. MK-CF-F-180 enteredLandsAnnual
29. MK-CF-F-085 filingStatusOf
30. MK-CF-F-206 householdK401ByMonth
31. MK-CF-F-089 over65CountOf
32. MK-CF-F-086 stateRateOf
33. MK-CF-F-101 taxOwedFor
34. MK-CF-F-176 sumMonthsOverEarners
35. MK-CF-F-177 wageGrossByMonth
36. MK-CF-F-151 actualSpending
37. MK-CF-F-150 debtPaymentsCountedAsExpenses
38. MK-CF-F-153 radar
39. MK-CF-F-149 recurringDebtPayments
40. MK-ST-F-085 rentFigure
41. MK-CF-F-120 pctBaseMonthly
42. MK-XS-F-027 takeHomeMonthly
43. MK-ST-F-039 on
44. MK-CF-F-062 equityRowValue
45. MK-CF-F-063 rowVestYear
46. MK-CF-F-081 salaryActiveMonths
47. MK-CF-F-172 hasWage
48. MK-CF-F-100 taxableIncomeFor
49. MK-CF-F-130 enteredMonthlyRaw
50. MK-CF-F-166 hasMonthlySalaryTable
51. MK-ST-F-036 reconcile
52. MK-CF-F-167 salaryCalendarYear
53. MK-CF-F-148 inMonth
54. MK-CF-F-191 ym
55. MK-ST-F-056 has
56. MK-CF-F-022 paymentShape
57. MK-CF-F-152 isRadarItem
58. MK-CF-F-023 requiredPayment
59. MK-CF-F-092 incomeMonthlyGrid
60. MK-CF-F-011 savingsByMonth
61. MK-CF-F-099 deductionFor
62. MK-CF-F-165 salaryMonths
63. MK-CF-F-021 defaultPaymentType
64. MK-CF-F-065 equityVestWeights
65. MK-CF-F-087 monthlyTaxRates
66. MK-CF-F-073 otherIncomeMonth
67. MK-CF-F-077 scholarshipByCalendarMonth
68. MK-CF-F-088 taxableByCalendarMonth
69. MK-PL-F-012 waterfall
70. MK-CF-F-008 spendByMonth
71. MK-CF-F-187 seniorDeductionFor
72. MK-CF-F-203 MONTH
73. MK-CF-O-010 theMonth
74. MK-CF-F-155 cash
75. MK-CF-O-003 thisMonth
76. MK-CF-F-005 actualMonthFlow
77. MK-CF-F-156 plannedMonthFlow
78. MK-NW-F-078 ONE
79. MK-CF-F-157 debtPaymentsByDebt
80. MK-CF-F-192 inflowLabel
81. MK-NW-F-077 ALL
82. MK-NW-F-059 currentYield
83. MK-XS-F-180 declareFigures
84. MK-ST-F-049 formatMoney
85. MK-ST-F-053 money
86. MK-NW-O-001 theBonds
87. MK-CF-F-193 inflowSourceWord
88. MK-NW-F-112 yearlyInterest
89. MK-ST-F-048 currencySymbol
90. MK-ST-F-027 accountId
91. MK-NW-F-057 annualCoupon
92. MK-NW-F-056 bondInfo
93. MK-NW-F-064 bondRateSensitivity
94. MK-NW-F-061 bondSummary
95. MK-NW-F-055 isBond
96. MK-NW-F-072 rowOf
97. MK-ST-F-047 activeCurrency
98. MK-NW-F-060 approxYTM
99. MK-NW-F-069 priceAtYield
100. MK-NW-F-131 pricedLikeBond
101. MK-NW-F-125 isPastMaturity
102. MK-NW-F-126 yearlyInterestNow
103. MK-NW-F-011 assetClassOf
104. MK-NW-F-070 accruedInterestCaveat
105. MK-NW-F-058 yearsToMaturity
106. MK-NW-F-119 estimatedAccrued
107. MK-NW-F-124 maturityParts
108. MK-NW-F-120 classEvidenceOf
109. MK-NW-F-067 plural
110. MK-NW-F-008 incomeBearingClassOf
111. MK-NW-F-009 maturityClass
112. MK-ST-F-010 nameEvidence
113. MK-NW-F-068 prettyDay
114. MK-XS-F-147 call
115. MK-XS-F-064 currentIdToken
116. MK-XS-F-112 relayUrl</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MK-CF-F-172 hasWage → MK-CF-F-173 earnerWages → MK-CF-F-180 enteredLandsAnnual → MK-CF-F-181 rateInForce → MK-CF-F-090 effectiveRate → MK-CF-F-019 upcomingBills
8. MK-XS-F-122 n → MK-ST-F-052 toNum → MK-CF-F-180 enteredLandsAnnual → MK-CF-F-181 rateInForce → MK-CF-F-090 effectiveRate → MK-CF-F-019 upcomingBills
9. … and 5 more paths</t>
        </is>
      </c>
      <c r="S21" s="3" t="inlineStr">
        <is>
          <t>—</t>
        </is>
      </c>
      <c r="T21" s="3" t="inlineStr">
        <is>
          <t>—</t>
        </is>
      </c>
      <c r="U21" s="3" t="inlineStr">
        <is>
          <t>ACTIVE</t>
        </is>
      </c>
      <c r="V21" s="3" t="inlineStr">
        <is>
          <t>2026-09-28</t>
        </is>
      </c>
      <c r="W21" s="3" t="n"/>
      <c r="X21" s="3" t="n"/>
      <c r="Y21" s="3" t="inlineStr">
        <is>
          <t>NOTHING OPEN</t>
        </is>
      </c>
    </row>
    <row r="22" ht="60" customHeight="1">
      <c r="A22" s="3" t="inlineStr">
        <is>
          <t>MK-CF-F-020</t>
        </is>
      </c>
      <c r="B22" s="3" t="inlineStr">
        <is>
          <t>cashflowYear</t>
        </is>
      </c>
      <c r="C22" s="3" t="inlineStr">
        <is>
          <t>src/domain/cashflow/index.ts</t>
        </is>
      </c>
      <c r="D22" s="3" t="n">
        <v>352</v>
      </c>
      <c r="E22" s="3" t="inlineStr">
        <is>
          <t>3 · DEPENDENT (feeds an action only)</t>
        </is>
      </c>
      <c r="F22" s="3" t="inlineStr">
        <is>
          <t>Build the 12-month cash-flow picture.</t>
        </is>
      </c>
      <c r="G22" s="11"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113</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MK-CF-O-002 expenses
18. MK-CF-F-067 rentalList
19. MK-CF-F-176 sumMonthsOverEarners
20. MK-CF-F-177 wageGrossByMonth
21. MK-CF-F-120 pctBaseMonthly
22. MK-CF-F-004 spendBuckets
23. MK-XS-F-122 n
24. MK-CF-F-173 earnerWages
25. MK-CF-F-180 enteredLandsAnnual
26. MK-CF-F-085 filingStatusOf
27. MK-CF-F-206 householdK401ByMonth
28. MK-CF-F-089 over65CountOf
29. MK-CF-F-082 salaryAnnual
30. MK-CF-F-086 stateRateOf
31. MK-CF-F-101 taxOwedFor
32. MK-CF-F-084 taxableAnnual
33. MK-CF-F-063 rowVestYear
34. MK-CF-F-151 actualSpending
35. MK-CF-F-150 debtPaymentsCountedAsExpenses
36. MK-CF-F-153 radar
37. MK-CF-F-149 recurringDebtPayments
38. MK-ST-F-085 rentFigure
39. MK-CF-F-130 enteredMonthlyRaw
40. MK-CF-F-166 hasMonthlySalaryTable
41. MK-ST-F-036 reconcile
42. MK-CF-F-167 salaryCalendarYear
43. MK-CF-F-092 incomeMonthlyGrid
44. MK-CF-F-003 categoryMonthly
45. MK-CF-F-172 hasWage
46. MK-CF-F-100 taxableIncomeFor
47. MK-CF-F-071 extraIncome
48. MK-CF-F-074 tipsAnnual
49. MK-CF-F-148 inMonth
50. MK-CF-F-191 ym
51. MK-CF-F-022 paymentShape
52. MK-CF-F-152 isRadarItem
53. MK-CF-F-023 requiredPayment
54. MK-CF-F-165 salaryMonths
55. MK-CF-F-065 equityVestWeights
56. MK-CF-F-087 monthlyTaxRates
57. MK-CF-F-077 scholarshipByCalendarMonth
58. MK-CF-F-088 taxableByCalendarMonth
59. MK-PL-F-012 waterfall
60. MK-XS-F-027 takeHomeMonthly
61. MK-CF-F-099 deductionFor
62. MK-CF-F-070 benefitAnnual
63. MK-ST-F-039 on
64. MK-CF-F-081 salaryActiveMonths
65. MK-CF-F-021 defaultPaymentType
66. MK-CF-F-203 MONTH
67. MK-CF-F-011 savingsByMonth
68. MK-CF-F-187 seniorDeductionFor
69. MK-CF-O-010 theMonth
70. MK-CF-F-155 cash
71. MK-CF-O-003 thisMonth
72. MK-CF-F-005 actualMonthFlow
73. MK-CF-F-156 plannedMonthFlow
74. MK-NW-F-078 ONE
75. MK-CF-F-157 debtPaymentsByDebt
76. MK-CF-F-192 inflowLabel
77. MK-NW-F-077 ALL
78. MK-NW-F-059 currentYield
79. MK-XS-F-180 declareFigures
80. MK-ST-F-049 formatMoney
81. MK-ST-F-053 money
82. MK-NW-O-001 theBonds
83. MK-CF-F-193 inflowSourceWord
84. MK-NW-F-112 yearlyInterest
85. MK-ST-F-048 currencySymbol
86. MK-ST-F-027 accountId
87. MK-NW-F-057 annualCoupon
88. MK-NW-F-056 bondInfo
89. MK-NW-F-064 bondRateSensitivity
90. MK-NW-F-061 bondSummary
91. MK-NW-F-055 isBond
92. MK-NW-F-072 rowOf
93. MK-ST-F-047 activeCurrency
94. MK-NW-F-060 approxYTM
95. MK-NW-F-069 priceAtYield
96. MK-NW-F-131 pricedLikeBond
97. MK-NW-F-125 isPastMaturity
98. MK-ST-F-065 isoLocalDate
99. MK-NW-F-126 yearlyInterestNow
100. MK-NW-F-011 assetClassOf
101. MK-NW-F-070 accruedInterestCaveat
102. MK-NW-F-058 yearsToMaturity
103. MK-NW-F-119 estimatedAccrued
104. MK-NW-F-124 maturityParts
105. MK-NW-F-120 classEvidenceOf
106. MK-NW-F-067 plural
107. MK-NW-F-008 incomeBearingClassOf
108. MK-NW-F-009 maturityClass
109. MK-ST-F-010 nameEvidence
110. MK-NW-F-068 prettyDay
111. MK-XS-F-147 call
112. MK-XS-F-064 currentIdToken
113. MK-XS-F-112 relayUrl</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MK-CF-F-172 hasWage → MK-CF-F-173 earnerWages → MK-CF-F-180 enteredLandsAnnual → MK-CF-F-181 rateInForce → MK-CF-F-090 effectiveRate → MK-CF-F-020 cashflowYear
5. MK-XS-F-122 n → MK-ST-F-052 toNum → MK-CF-F-180 enteredLandsAnnual → MK-CF-F-181 rateInForce → MK-CF-F-090 effectiveRate → MK-CF-F-020 cashflowYear
6. MK-CF-F-085 filingStatusOf → MK-CF-F-181 rateInForce → MK-CF-F-090 effectiveRate → MK-CF-F-020 cashflowYear
7. MK-CF-F-132 map → MK-CF-F-206 householdK401ByMonth → MK-CF-F-181 rateInForce → MK-CF-F-090 effectiveRate → MK-CF-F-020 cashflowYear
8. MK-CF-F-173 earnerWages → MK-CF-F-176 sumMonthsOverEarners → MK-CF-F-206 householdK401ByMonth → MK-CF-F-181 rateInForce → MK-CF-F-090 effectiveRate → MK-CF-F-020 cashflowYear
9. … and 5 more paths</t>
        </is>
      </c>
      <c r="S22" s="3" t="inlineStr">
        <is>
          <t>—</t>
        </is>
      </c>
      <c r="T22" s="3" t="inlineStr">
        <is>
          <t>—</t>
        </is>
      </c>
      <c r="U22" s="3" t="inlineStr">
        <is>
          <t>ACTIVE</t>
        </is>
      </c>
      <c r="V22" s="3" t="inlineStr">
        <is>
          <t>2026-08-27</t>
        </is>
      </c>
      <c r="W22" s="3" t="n"/>
      <c r="X22" s="3" t="n"/>
      <c r="Y22" s="3" t="inlineStr">
        <is>
          <t>NOTHING OPEN</t>
        </is>
      </c>
    </row>
    <row r="23" ht="60" customHeight="1">
      <c r="A23" s="3" t="inlineStr">
        <is>
          <t>MK-CF-F-021</t>
        </is>
      </c>
      <c r="B23" s="3" t="inlineStr">
        <is>
          <t>defaultPaymentType</t>
        </is>
      </c>
      <c r="C23" s="3" t="inlineStr">
        <is>
          <t>src/domain/debt/index.ts</t>
        </is>
      </c>
      <c r="D23" s="3" t="n">
        <v>69</v>
      </c>
      <c r="E23" s="3" t="inlineStr">
        <is>
          <t>2 · DISPLAYED</t>
        </is>
      </c>
      <c r="F23" s="3" t="inlineStr">
        <is>
          <t>How a kind of debt is normally repaid: a card or a credit line revolves, and every other kind is a loan paid in fixed instalments.</t>
        </is>
      </c>
      <c r="G23" s="11"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W23" s="3" t="n"/>
      <c r="X23" s="3" t="n"/>
      <c r="Y23" s="3" t="inlineStr">
        <is>
          <t>NOTHING OPEN</t>
        </is>
      </c>
    </row>
    <row r="24" ht="45" customHeight="1">
      <c r="A24" s="3" t="inlineStr">
        <is>
          <t>MK-CF-F-022</t>
        </is>
      </c>
      <c r="B24" s="3" t="inlineStr">
        <is>
          <t>paymentShape</t>
        </is>
      </c>
      <c r="C24" s="3" t="inlineStr">
        <is>
          <t>src/domain/debt/index.ts</t>
        </is>
      </c>
      <c r="D24" s="3" t="n">
        <v>106</v>
      </c>
      <c r="E24" s="3" t="inlineStr">
        <is>
          <t>2 · DISPLAYED</t>
        </is>
      </c>
      <c r="F24" s="3" t="inlineStr">
        <is>
          <t>How this debt is repaid: the way the person said, or the normal way for its kind when they did not say.</t>
        </is>
      </c>
      <c r="G24" s="11"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W24" s="3" t="n"/>
      <c r="X24" s="3" t="n"/>
      <c r="Y24" s="3" t="inlineStr">
        <is>
          <t>NOTHING OPEN</t>
        </is>
      </c>
    </row>
    <row r="25" ht="60" customHeight="1">
      <c r="A25" s="3" t="inlineStr">
        <is>
          <t>MK-CF-F-023</t>
        </is>
      </c>
      <c r="B25" s="3" t="inlineStr">
        <is>
          <t>requiredPayment</t>
        </is>
      </c>
      <c r="C25" s="3" t="inlineStr">
        <is>
          <t>src/domain/debt/index.ts</t>
        </is>
      </c>
      <c r="D25" s="3" t="n">
        <v>150</v>
      </c>
      <c r="E25" s="3" t="inlineStr">
        <is>
          <t>2 · DISPLAYED</t>
        </is>
      </c>
      <c r="F25" s="3" t="inlineStr">
        <is>
          <t>The payment reserved/required each month for a debt (planned payment, else the minimum).</t>
        </is>
      </c>
      <c r="G25" s="11"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t>
        </is>
      </c>
      <c r="T25" s="3" t="inlineStr">
        <is>
          <t>DEBT_REQUIRED_PAYMENT</t>
        </is>
      </c>
      <c r="U25" s="3" t="inlineStr">
        <is>
          <t>ACTIVE</t>
        </is>
      </c>
      <c r="V25" s="3" t="inlineStr">
        <is>
          <t>2026-08-27</t>
        </is>
      </c>
      <c r="W25" s="3" t="n"/>
      <c r="X25" s="3" t="n"/>
      <c r="Y25" s="3" t="inlineStr">
        <is>
          <t>NOTHING OPEN</t>
        </is>
      </c>
    </row>
    <row r="26" ht="60" customHeight="1">
      <c r="A26" s="3" t="inlineStr">
        <is>
          <t>MK-CF-F-024</t>
        </is>
      </c>
      <c r="B26" s="3" t="inlineStr">
        <is>
          <t>totalDebtMonthly</t>
        </is>
      </c>
      <c r="C26" s="3" t="inlineStr">
        <is>
          <t>src/domain/debt/index.ts</t>
        </is>
      </c>
      <c r="D26" s="3" t="n">
        <v>182</v>
      </c>
      <c r="E26" s="3" t="inlineStr">
        <is>
          <t>2 · DISPLAYED</t>
        </is>
      </c>
      <c r="F26" s="3" t="inlineStr">
        <is>
          <t>Total monthly debt obligation across all debts (override-aware).</t>
        </is>
      </c>
      <c r="G26" s="11"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1. MK-CF-F-201 INCOME
2. MK-CF-F-023 requiredPayment</t>
        </is>
      </c>
      <c r="P26" s="3" t="n">
        <v>133</v>
      </c>
      <c r="Q26" s="3" t="inlineStr">
        <is>
          <t>1. MK-CF-F-201 INCOME
2. MK-CF-F-023 requiredPayment
3. MK-CF-F-207 SOURCE
4. MK-CF-O-004 incomeSummary
5. MK-CF-F-022 paymentShape
6. MK-CF-O-016 incomeSources
7. MK-CF-F-203 MONTH
8. MK-CF-O-001 basePay
9. MK-CF-F-069 benefitActiveMonths
10. MK-CF-F-072 currentRetirementIncomeMonthly
11. MK-CF-F-173 earnerWages
12. MK-CF-F-179 entryFromWage
13. MK-CF-F-071 extraIncome
14. MK-CF-F-085 filingStatusOf
15. MK-CF-F-092 incomeMonthlyGrid
16. MK-CF-F-192 inflowLabel
17. MK-CF-F-132 map
18. MK-CF-F-103 marginalBracketFor
19. MK-CF-F-089 over65CountOf
20. MK-CF-F-181 rateInForce
21. MK-CF-F-068 rentalNetAnnual
22. MK-CF-F-082 salaryAnnual
23. MK-CF-F-060 salaryGrossByMonth
24. MK-CF-F-084 taxableAnnual
25. MK-ST-F-052 toNum
26. MK-CF-F-021 defaultPaymentType
27. MK-CF-F-075 retirementIncomeMonthly
28. MK-CF-F-066 rsuAnnual
29. MK-CF-O-010 theMonth
30. MK-ST-F-035 covers
31. MK-CF-F-171 earnerPay
32. MK-CF-F-204 line
33. MK-ST-F-053 money
34. MK-HM-F-006 money0
35. MK-XS-F-122 n
36. MK-CF-F-198 payrollTaxWithheld
37. MK-CF-F-172 hasWage
38. MK-CF-F-165 salaryMonths
39. MK-CF-F-070 benefitAnnual
40. MK-ST-F-039 on
41. MK-CF-F-065 equityVestWeights
42. MK-ST-F-056 has
43. MK-CF-F-206 householdK401ByMonth
44. MK-CF-F-087 monthlyTaxRates
45. MK-CF-F-073 otherIncomeMonth
46. MK-CF-F-077 scholarshipByCalendarMonth
47. MK-CF-F-088 taxableByCalendarMonth
48. MK-CF-F-177 wageGrossByMonth
49. MK-PL-F-012 waterfall
50. MK-CF-F-193 inflowSourceWord
51. MK-CF-F-100 taxableIncomeFor
52. MK-CF-F-180 enteredLandsAnnual
53. MK-CF-F-086 stateRateOf
54. MK-CF-F-101 taxOwedFor
55. MK-CF-O-002 expenses
56. MK-CF-F-067 rentalList
57. MK-CF-F-176 sumMonthsOverEarners
58. MK-CF-F-074 tipsAnnual
59. MK-CF-F-062 equityRowValue
60. MK-CF-F-063 rowVestYear
61. MK-CF-F-155 cash
62. MK-CF-O-003 thisMonth
63. MK-ST-F-034 firstDate
64. MK-CF-F-143 annualisedGross
65. MK-CF-F-145 deductionsFromPay
66. MK-CF-F-128 grossByMonth
67. MK-CF-F-146 payFiguresAgree
68. MK-CF-F-144 takeHomeAsEntered
69. MK-XS-F-180 declareFigures
70. MK-ST-F-049 formatMoney
71. MK-HM-F-005 pctTxt
72. MK-NW-F-067 plural
73. MK-CF-F-090 effectiveRate
74. MK-CF-F-130 enteredMonthlyRaw
75. MK-CF-F-166 hasMonthlySalaryTable
76. MK-ST-F-036 reconcile
77. MK-CF-F-167 salaryCalendarYear
78. MK-CF-F-099 deductionFor
79. MK-CF-F-151 actualSpending
80. MK-CF-F-150 debtPaymentsCountedAsExpenses
81. MK-CF-F-153 radar
82. MK-CF-F-149 recurringDebtPayments
83. MK-ST-F-085 rentFigure
84. MK-CF-F-081 salaryActiveMonths
85. MK-CF-F-005 actualMonthFlow
86. MK-CF-F-156 plannedMonthFlow
87. MK-CF-F-142 monthsOf
88. MK-CF-F-141 perMonth
89. MK-ST-F-048 currencySymbol
90. MK-CF-F-187 seniorDeductionFor
91. MK-CF-F-148 inMonth
92. MK-CF-F-191 ym
93. MK-CF-F-152 isRadarItem
94. MK-NW-F-078 ONE
95. MK-CF-F-157 debtPaymentsByDebt
96. MK-XS-F-027 takeHomeMonthly
97. MK-CF-F-140 periodsAYear
98. MK-ST-F-047 activeCurrency
99. MK-NW-F-077 ALL
100. MK-NW-F-059 currentYield
101. MK-NW-O-001 theBonds
102. MK-CF-F-011 savingsByMonth
103. MK-NW-F-112 yearlyInterest
104. MK-ST-F-027 accountId
105. MK-NW-F-057 annualCoupon
106. MK-NW-F-056 bondInfo
107. MK-NW-F-064 bondRateSensitivity
108. MK-NW-F-061 bondSummary
109. MK-NW-F-055 isBond
110. MK-NW-F-072 rowOf
111. MK-CF-F-008 spendByMonth
112. MK-NW-F-060 approxYTM
113. MK-NW-F-069 priceAtYield
114. MK-NW-F-131 pricedLikeBond
115. MK-NW-F-125 isPastMaturity
116. MK-ST-F-065 isoLocalDate
117. MK-NW-F-126 yearlyInterestNow
118. MK-NW-F-011 assetClassOf
119. MK-NW-F-070 accruedInterestCaveat
120. MK-NW-F-058 yearsToMaturity
121. MK-CF-F-120 pctBaseMonthly
122. MK-CF-F-004 spendBuckets
123. MK-NW-F-119 estimatedAccrued
124. MK-NW-F-124 maturityParts
125. MK-NW-F-120 classEvidenceOf
126. MK-CF-F-003 categoryMonthly
127. MK-NW-F-008 incomeBearingClassOf
128. MK-NW-F-009 maturityClass
129. MK-ST-F-010 nameEvidence
130. MK-NW-F-068 prettyDay
131. MK-XS-F-147 call
132. MK-XS-F-064 currentIdToken
133. MK-XS-F-112 relayUrl</t>
        </is>
      </c>
      <c r="R26" s="3" t="inlineStr">
        <is>
          <t>1. SOURCE (already above — a loop) → MK-CF-O-016 incomeSources → MK-CF-F-207 SOURCE → MK-CF-F-201 INCOME → MK-CF-F-024 totalDebtMonthly
2. MK-CF-F-075 retirementIncomeMonthly → MK-CF-F-072 currentRetirementIncomeMonthly → MK-CF-O-016 incomeSources → MK-CF-F-207 SOURCE → MK-CF-F-201 INCOME → MK-CF-F-024 totalDebtMonthly
3. MK-CF-F-172 hasWage → MK-CF-F-173 earnerWages → MK-CF-O-016 incomeSources → MK-CF-F-207 SOURCE → MK-CF-F-201 INCOME → MK-CF-F-024 totalDebtMonthly
4. MK-CF-O-002 expenses → MK-CF-F-068 rentalNetAnnual → MK-CF-O-016 incomeSources → MK-CF-F-207 SOURCE → MK-CF-F-201 INCOME → MK-CF-F-024 totalDebtMonthly
5. MK-CF-F-067 rentalList → MK-CF-F-068 rentalNetAnnual → MK-CF-O-016 incomeSources → MK-CF-F-207 SOURCE → MK-CF-F-201 INCOME → MK-CF-F-024 totalDebtMonthly
6. MK-ST-F-052 toNum → MK-CF-F-075 retirementIncomeMonthly → MK-CF-O-016 incomeSources → MK-CF-F-207 SOURCE → MK-CF-F-201 INCOME → MK-CF-F-024 totalDebtMonthly
7. MK-CF-F-062 equityRowValue → MK-CF-F-066 rsuAnnual → MK-CF-O-016 incomeSources → MK-CF-F-207 SOURCE → MK-CF-F-201 INCOME → MK-CF-F-024 totalDebtMonthly
8. MK-CF-F-132 map → MK-CF-F-066 rsuAnnual → MK-CF-O-016 incomeSources → MK-CF-F-207 SOURCE → MK-CF-F-201 INCOME → MK-CF-F-024 totalDebtMonthly
9. … and 5 more paths</t>
        </is>
      </c>
      <c r="S26" s="3" t="inlineStr">
        <is>
          <t>MK-NW-M-012</t>
        </is>
      </c>
      <c r="T26" s="3" t="inlineStr">
        <is>
          <t>DEBT_ACTUAL_TOTAL</t>
        </is>
      </c>
      <c r="U26" s="3" t="inlineStr">
        <is>
          <t>ACTIVE</t>
        </is>
      </c>
      <c r="V26" s="3" t="inlineStr">
        <is>
          <t>2026-08-27</t>
        </is>
      </c>
      <c r="W26" s="3" t="n"/>
      <c r="X26" s="3" t="n"/>
      <c r="Y26" s="3" t="inlineStr">
        <is>
          <t>NOTHING OPEN</t>
        </is>
      </c>
    </row>
    <row r="27" ht="60" customHeight="1">
      <c r="A27" s="3" t="inlineStr">
        <is>
          <t>MK-CF-F-025</t>
        </is>
      </c>
      <c r="B27" s="3" t="inlineStr">
        <is>
          <t>minimumDebtService</t>
        </is>
      </c>
      <c r="C27" s="3" t="inlineStr">
        <is>
          <t>src/domain/debt/index.ts</t>
        </is>
      </c>
      <c r="D27" s="3" t="n">
        <v>218</v>
      </c>
      <c r="E27" s="3" t="inlineStr">
        <is>
          <t>2 · DISPLAYED</t>
        </is>
      </c>
      <c r="F27" s="3" t="inlineStr">
        <is>
          <t>The minimum payments every debt requires in a month, added up, leaving out any debt due in one lump on a date.</t>
        </is>
      </c>
      <c r="G27" s="11"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NOT FOUND — a screen calls it, but the words printed beside its answer could not be traced automatically. Needs reading.</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W27" s="3" t="n"/>
      <c r="X27" s="3" t="n"/>
      <c r="Y27" s="3" t="inlineStr">
        <is>
          <t>NOTHING OPEN</t>
        </is>
      </c>
    </row>
    <row r="28" ht="60" customHeight="1">
      <c r="A28" s="3" t="inlineStr">
        <is>
          <t>MK-CF-F-026</t>
        </is>
      </c>
      <c r="B28" s="3" t="inlineStr">
        <is>
          <t>actualDebtPayment</t>
        </is>
      </c>
      <c r="C28" s="3" t="inlineStr">
        <is>
          <t>src/domain/debt/index.ts</t>
        </is>
      </c>
      <c r="D28" s="3" t="n">
        <v>244</v>
      </c>
      <c r="E28" s="3" t="inlineStr">
        <is>
          <t>3 · DEPENDENT</t>
        </is>
      </c>
      <c r="F28" s="3" t="inlineStr">
        <is>
          <t>Σ ACTUAL payments (override ≥ minimum) — what actually leaves your account.</t>
        </is>
      </c>
      <c r="G28" s="11"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t>
        </is>
      </c>
      <c r="M28" s="3" t="inlineStr">
        <is>
          <t>None found in this function — anything it assumes comes from the functions it depends on.</t>
        </is>
      </c>
      <c r="N28" s="3" t="inlineStr">
        <is>
          <t>Yes</t>
        </is>
      </c>
      <c r="O28" s="3" t="inlineStr">
        <is>
          <t>MK-CF-F-024 totalDebtMonthly</t>
        </is>
      </c>
      <c r="P28" s="3" t="n">
        <v>134</v>
      </c>
      <c r="Q28" s="3" t="inlineStr">
        <is>
          <t>1. MK-CF-F-024 totalDebtMonthly
2. MK-CF-F-201 INCOME
3. MK-CF-F-023 requiredPayment
4. MK-CF-F-207 SOURCE
5. MK-CF-O-004 incomeSummary
6. MK-CF-F-022 paymentShape
7. MK-CF-O-016 incomeSources
8. MK-CF-F-203 MONTH
9. MK-CF-O-001 basePay
10. MK-CF-F-069 benefitActiveMonths
11. MK-CF-F-072 currentRetirementIncomeMonthly
12. MK-CF-F-173 earnerWages
13. MK-CF-F-179 entryFromWage
14. MK-CF-F-071 extraIncome
15. MK-CF-F-085 filingStatusOf
16. MK-CF-F-092 incomeMonthlyGrid
17. MK-CF-F-192 inflowLabel
18. MK-CF-F-132 map
19. MK-CF-F-103 marginalBracketFor
20. MK-CF-F-089 over65CountOf
21. MK-CF-F-181 rateInForce
22. MK-CF-F-068 rentalNetAnnual
23. MK-CF-F-082 salaryAnnual
24. MK-CF-F-060 salaryGrossByMonth
25. MK-CF-F-084 taxableAnnual
26. MK-ST-F-052 toNum
27. MK-CF-F-021 defaultPaymentType
28. MK-CF-F-075 retirementIncomeMonthly
29. MK-CF-F-066 rsuAnnual
30. MK-CF-O-010 theMonth
31. MK-ST-F-035 covers
32. MK-CF-F-171 earnerPay
33. MK-CF-F-204 line
34. MK-ST-F-053 money
35. MK-HM-F-006 money0
36. MK-XS-F-122 n
37. MK-CF-F-198 payrollTaxWithheld
38. MK-CF-F-172 hasWage
39. MK-CF-F-165 salaryMonths
40. MK-CF-F-070 benefitAnnual
41. MK-ST-F-039 on
42. MK-CF-F-065 equityVestWeights
43. MK-ST-F-056 has
44. MK-CF-F-206 householdK401ByMonth
45. MK-CF-F-087 monthlyTaxRates
46. MK-CF-F-073 otherIncomeMonth
47. MK-CF-F-077 scholarshipByCalendarMonth
48. MK-CF-F-088 taxableByCalendarMonth
49. MK-CF-F-177 wageGrossByMonth
50. MK-PL-F-012 waterfall
51. MK-CF-F-193 inflowSourceWord
52. MK-CF-F-100 taxableIncomeFor
53. MK-CF-F-180 enteredLandsAnnual
54. MK-CF-F-086 stateRateOf
55. MK-CF-F-101 taxOwedFor
56. MK-CF-O-002 expenses
57. MK-CF-F-067 rentalList
58. MK-CF-F-176 sumMonthsOverEarners
59. MK-CF-F-074 tipsAnnual
60. MK-CF-F-062 equityRowValue
61. MK-CF-F-063 rowVestYear
62. MK-CF-F-155 cash
63. MK-CF-O-003 thisMonth
64. MK-ST-F-034 firstDate
65. MK-CF-F-143 annualisedGross
66. MK-CF-F-145 deductionsFromPay
67. MK-CF-F-128 grossByMonth
68. MK-CF-F-146 payFiguresAgree
69. MK-CF-F-144 takeHomeAsEntered
70. MK-XS-F-180 declareFigures
71. MK-ST-F-049 formatMoney
72. MK-HM-F-005 pctTxt
73. MK-NW-F-067 plural
74. MK-CF-F-090 effectiveRate
75. MK-CF-F-130 enteredMonthlyRaw
76. MK-CF-F-166 hasMonthlySalaryTable
77. MK-ST-F-036 reconcile
78. MK-CF-F-167 salaryCalendarYear
79. MK-CF-F-099 deductionFor
80. MK-CF-F-151 actualSpending
81. MK-CF-F-150 debtPaymentsCountedAsExpenses
82. MK-CF-F-153 radar
83. MK-CF-F-149 recurringDebtPayments
84. MK-ST-F-085 rentFigure
85. MK-CF-F-081 salaryActiveMonths
86. MK-CF-F-005 actualMonthFlow
87. MK-CF-F-156 plannedMonthFlow
88. MK-CF-F-142 monthsOf
89. MK-CF-F-141 perMonth
90. MK-ST-F-048 currencySymbol
91. MK-CF-F-187 seniorDeductionFor
92. MK-CF-F-148 inMonth
93. MK-CF-F-191 ym
94. MK-CF-F-152 isRadarItem
95. MK-NW-F-078 ONE
96. MK-CF-F-157 debtPaymentsByDebt
97. MK-XS-F-027 takeHomeMonthly
98. MK-CF-F-140 periodsAYear
99. MK-ST-F-047 activeCurrency
100. MK-NW-F-077 ALL
101. MK-NW-F-059 currentYield
102. MK-NW-O-001 theBonds
103. MK-CF-F-011 savingsByMonth
104. MK-NW-F-112 yearlyInterest
105. MK-ST-F-027 accountId
106. MK-NW-F-057 annualCoupon
107. MK-NW-F-056 bondInfo
108. MK-NW-F-064 bondRateSensitivity
109. MK-NW-F-061 bondSummary
110. MK-NW-F-055 isBond
111. MK-NW-F-072 rowOf
112. MK-CF-F-008 spendByMonth
113. MK-NW-F-060 approxYTM
114. MK-NW-F-069 priceAtYield
115. MK-NW-F-131 pricedLikeBond
116. MK-NW-F-125 isPastMaturity
117. MK-ST-F-065 isoLocalDate
118. MK-NW-F-126 yearlyInterestNow
119. MK-NW-F-011 assetClassOf
120. MK-NW-F-070 accruedInterestCaveat
121. MK-NW-F-058 yearsToMaturity
122. MK-CF-F-120 pctBaseMonthly
123. MK-CF-F-004 spendBuckets
124. MK-NW-F-119 estimatedAccrued
125. MK-NW-F-124 maturityParts
126. MK-NW-F-120 classEvidenceOf
127. MK-CF-F-003 categoryMonthly
128. MK-NW-F-008 incomeBearingClassOf
129. MK-NW-F-009 maturityClass
130. MK-ST-F-010 nameEvidence
131. MK-NW-F-068 prettyDay
132. MK-XS-F-147 call
133. MK-XS-F-064 currentIdToken
134. MK-XS-F-112 relayUrl</t>
        </is>
      </c>
      <c r="R28" s="3" t="inlineStr">
        <is>
          <t>1. SOURCE (already above — a loop) → MK-CF-O-016 incomeSources → MK-CF-F-207 SOURCE → MK-CF-F-201 INCOME → MK-CF-F-024 totalDebtMonthly → MK-CF-F-026 actualDebtPayment
2. MK-CF-F-072 currentRetirementIncomeMonthly → MK-CF-O-016 incomeSources → MK-CF-F-207 SOURCE → MK-CF-F-201 INCOME → MK-CF-F-024 totalDebtMonthly → MK-CF-F-026 actualDebtPayment
3. MK-CF-F-173 earnerWages → MK-CF-O-016 incomeSources → MK-CF-F-207 SOURCE → MK-CF-F-201 INCOME → MK-CF-F-024 totalDebtMonthly → MK-CF-F-026 actualDebtPayment
4. MK-CF-F-068 rentalNetAnnual → MK-CF-O-016 incomeSources → MK-CF-F-207 SOURCE → MK-CF-F-201 INCOME → MK-CF-F-024 totalDebtMonthly → MK-CF-F-026 actualDebtPayment
5. MK-CF-F-075 retirementIncomeMonthly → MK-CF-O-016 incomeSources → MK-CF-F-207 SOURCE → MK-CF-F-201 INCOME → MK-CF-F-024 totalDebtMonthly → MK-CF-F-026 actualDebtPayment
6. MK-CF-F-066 rsuAnnual → MK-CF-O-016 incomeSources → MK-CF-F-207 SOURCE → MK-CF-F-201 INCOME → MK-CF-F-024 totalDebtMonthly → MK-CF-F-026 actualDebtPayment
7. MK-ST-F-052 toNum → MK-CF-O-016 incomeSources → MK-CF-F-207 SOURCE → MK-CF-F-201 INCOME → MK-CF-F-024 totalDebtMonthly → MK-CF-F-026 actualDebtPayment
8. MK-CF-O-010 theMonth → MK-CF-F-203 MONTH → MK-CF-O-004 incomeSummary → MK-CF-F-201 INCOME → MK-CF-F-024 totalDebtMonthly → MK-CF-F-026 actualDebtPayment
9. … and 4 more paths</t>
        </is>
      </c>
      <c r="S28" s="3" t="inlineStr">
        <is>
          <t>—</t>
        </is>
      </c>
      <c r="T28" s="3" t="inlineStr">
        <is>
          <t>DEBT_PAYMENTS_ACTUAL</t>
        </is>
      </c>
      <c r="U28" s="3" t="inlineStr">
        <is>
          <t>ACTIVE</t>
        </is>
      </c>
      <c r="V28" s="3" t="inlineStr">
        <is>
          <t>2026-10-03</t>
        </is>
      </c>
      <c r="W28" s="3" t="n"/>
      <c r="X28" s="3" t="n"/>
      <c r="Y28" s="3" t="inlineStr">
        <is>
          <t>NOTHING OPEN</t>
        </is>
      </c>
    </row>
    <row r="29" ht="45" customHeight="1">
      <c r="A29" s="3" t="inlineStr">
        <is>
          <t>MK-CF-F-027</t>
        </is>
      </c>
      <c r="B29" s="3" t="inlineStr">
        <is>
          <t>totalDebtBalance</t>
        </is>
      </c>
      <c r="C29" s="3" t="inlineStr">
        <is>
          <t>src/domain/debt/index.ts</t>
        </is>
      </c>
      <c r="D29" s="3" t="n">
        <v>268</v>
      </c>
      <c r="E29" s="3" t="inlineStr">
        <is>
          <t>2 · DISPLAYED</t>
        </is>
      </c>
      <c r="F29" s="3" t="inlineStr">
        <is>
          <t>Σ outstanding debt BALANCE — what you still owe (not a monthly payment).</t>
        </is>
      </c>
      <c r="G29" s="11"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W29" s="3" t="n"/>
      <c r="X29" s="3" t="n"/>
      <c r="Y29" s="3" t="inlineStr">
        <is>
          <t>NOTHING OPEN</t>
        </is>
      </c>
    </row>
    <row r="30" ht="60" customHeight="1">
      <c r="A30" s="3" t="inlineStr">
        <is>
          <t>MK-CF-F-028</t>
        </is>
      </c>
      <c r="B30" s="3" t="inlineStr">
        <is>
          <t>loanPayment</t>
        </is>
      </c>
      <c r="C30" s="3" t="inlineStr">
        <is>
          <t>src/domain/debt/index.ts</t>
        </is>
      </c>
      <c r="D30" s="3" t="n">
        <v>311</v>
      </c>
      <c r="E30" s="3" t="inlineStr">
        <is>
          <t>2 · DISPLAYED</t>
        </is>
      </c>
      <c r="F30" s="3" t="inlineStr">
        <is>
          <t>UNIT LANDMINE (P0): `aprPct` is a PERCENT (7 = 7%), unlike Debt.interest_rate_apr which is a DECIMAL (0.07).</t>
        </is>
      </c>
      <c r="G30" s="11"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W30" s="3" t="n"/>
      <c r="X30" s="3" t="n"/>
      <c r="Y30" s="3" t="inlineStr">
        <is>
          <t>NOTHING OPEN</t>
        </is>
      </c>
    </row>
    <row r="31" ht="60" customHeight="1">
      <c r="A31" s="3" t="inlineStr">
        <is>
          <t>MK-CF-F-029</t>
        </is>
      </c>
      <c r="B31" s="3" t="inlineStr">
        <is>
          <t>monthsToClear</t>
        </is>
      </c>
      <c r="C31" s="3" t="inlineStr">
        <is>
          <t>src/domain/debt/index.ts</t>
        </is>
      </c>
      <c r="D31" s="3" t="n">
        <v>351</v>
      </c>
      <c r="E31" s="3" t="inlineStr">
        <is>
          <t>2 · DISPLAYED</t>
        </is>
      </c>
      <c r="F31" s="3" t="inlineStr">
        <is>
          <t>How many months it takes to clear a balance at a given yearly rate and monthly payment, or never when the payment does not cover the interest.</t>
        </is>
      </c>
      <c r="G31" s="11"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W31" s="3" t="n"/>
      <c r="X31" s="3" t="n"/>
      <c r="Y31" s="3" t="inlineStr">
        <is>
          <t>NOTHING OPEN</t>
        </is>
      </c>
    </row>
    <row r="32" ht="60" customHeight="1">
      <c r="A32" s="3" t="inlineStr">
        <is>
          <t>MK-CF-F-030</t>
        </is>
      </c>
      <c r="B32" s="3" t="inlineStr">
        <is>
          <t>paymentToClearBy</t>
        </is>
      </c>
      <c r="C32" s="3" t="inlineStr">
        <is>
          <t>src/domain/debt/index.ts</t>
        </is>
      </c>
      <c r="D32" s="3" t="n">
        <v>380</v>
      </c>
      <c r="E32" s="3" t="inlineStr">
        <is>
          <t>2 · DISPLAYED</t>
        </is>
      </c>
      <c r="F32" s="3" t="inlineStr">
        <is>
          <t>Monthly payment that clears `principal` in `months` at decimal APR (amortization).</t>
        </is>
      </c>
      <c r="G32" s="11"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W32" s="3" t="n"/>
      <c r="X32" s="3" t="n"/>
      <c r="Y32" s="3" t="inlineStr">
        <is>
          <t>NOTHING OPEN</t>
        </is>
      </c>
    </row>
    <row r="33" ht="60" customHeight="1">
      <c r="A33" s="3" t="inlineStr">
        <is>
          <t>MK-CF-F-031</t>
        </is>
      </c>
      <c r="B33" s="3" t="inlineStr">
        <is>
          <t>creditUtilization</t>
        </is>
      </c>
      <c r="C33" s="3" t="inlineStr">
        <is>
          <t>src/domain/debt/index.ts</t>
        </is>
      </c>
      <c r="D33" s="3" t="n">
        <v>423</v>
      </c>
      <c r="E33" s="3" t="inlineStr">
        <is>
          <t>3 · DEPENDENT</t>
        </is>
      </c>
      <c r="F33" s="3" t="inlineStr">
        <is>
          <t>How much of a credit limit is in use, as a share, and whether that is good (30% or less), a caution (up to 50%) or high.</t>
        </is>
      </c>
      <c r="G33" s="11"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2026-09-28</t>
        </is>
      </c>
      <c r="W33" s="3" t="n"/>
      <c r="X33" s="3" t="n"/>
      <c r="Y33" s="3" t="inlineStr">
        <is>
          <t>NOTHING OPEN</t>
        </is>
      </c>
    </row>
    <row r="34" ht="60" customHeight="1">
      <c r="A34" s="3" t="inlineStr">
        <is>
          <t>MK-CF-F-032</t>
        </is>
      </c>
      <c r="B34" s="3" t="inlineStr">
        <is>
          <t>creditScoreBand</t>
        </is>
      </c>
      <c r="C34" s="3" t="inlineStr">
        <is>
          <t>src/domain/debt/index.ts</t>
        </is>
      </c>
      <c r="D34" s="3" t="n">
        <v>454</v>
      </c>
      <c r="E34" s="3" t="inlineStr">
        <is>
          <t>2 · DISPLAYED</t>
        </is>
      </c>
      <c r="F34" s="3" t="inlineStr">
        <is>
          <t>The word for a credit score: Excellent from 800, Very good from 740, Good from 670, Fair from 580 and Poor below that.</t>
        </is>
      </c>
      <c r="G34" s="11"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W34" s="3" t="n"/>
      <c r="X34" s="3" t="n"/>
      <c r="Y34" s="3" t="inlineStr">
        <is>
          <t>NOTHING OPEN</t>
        </is>
      </c>
    </row>
    <row r="35" ht="60" customHeight="1">
      <c r="A35" s="3" t="inlineStr">
        <is>
          <t>MK-CF-F-033</t>
        </is>
      </c>
      <c r="B35" s="3" t="inlineStr">
        <is>
          <t>debtToIncome</t>
        </is>
      </c>
      <c r="C35" s="3" t="inlineStr">
        <is>
          <t>src/domain/debt/index.ts</t>
        </is>
      </c>
      <c r="D35" s="3" t="n">
        <v>496</v>
      </c>
      <c r="E35" s="3" t="inlineStr">
        <is>
          <t>2 · DISPLAYED</t>
        </is>
      </c>
      <c r="F35" s="3" t="inlineStr">
        <is>
          <t>Monthly debt payments as a share of gross monthly income, judged against a guideline of 36% for a homeowner and 20% for anyone else.</t>
        </is>
      </c>
      <c r="G35" s="11"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W35" s="3" t="n"/>
      <c r="X35" s="3" t="n"/>
      <c r="Y35" s="3" t="inlineStr">
        <is>
          <t>NOTHING OPEN</t>
        </is>
      </c>
    </row>
    <row r="36" ht="60" customHeight="1">
      <c r="A36" s="3" t="inlineStr">
        <is>
          <t>MK-CF-F-034</t>
        </is>
      </c>
      <c r="B36" s="3" t="inlineStr">
        <is>
          <t>payoffPlan</t>
        </is>
      </c>
      <c r="C36" s="3" t="inlineStr">
        <is>
          <t>src/domain/debt/index.ts</t>
        </is>
      </c>
      <c r="D36" s="3" t="n">
        <v>550</v>
      </c>
      <c r="E36" s="3" t="inlineStr">
        <is>
          <t>2 · DISPLAYED</t>
        </is>
      </c>
      <c r="F36" s="3" t="inlineStr">
        <is>
          <t>Simulate paying off debts with a constant monthly budget (sum of minimums + extra), rolling each cleared debt's freed-up payment into the next per the chosen method.</t>
        </is>
      </c>
      <c r="G36" s="11"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under "YOUR DEBTS"
2. "Extra / month (beyond minimums)" — on the Goals screen, under "DEBT PAYOFF PLAN"
3. "Extra / month" — on the budget screen, under "YOUR DEBT"
4. "Income (take-home)" — on the budget screen
5. "No budget yet" — on the budget screen
6. "Payoff plan" — on the budget screen, under "YOUR DEBT"</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W36" s="3" t="n"/>
      <c r="X36" s="3" t="n"/>
      <c r="Y36" s="3" t="inlineStr">
        <is>
          <t>NOTHING OPEN</t>
        </is>
      </c>
    </row>
    <row r="37" ht="45" customHeight="1">
      <c r="A37" s="3" t="inlineStr">
        <is>
          <t>MK-CF-F-035</t>
        </is>
      </c>
      <c r="B37" s="3" t="inlineStr">
        <is>
          <t>debtKind</t>
        </is>
      </c>
      <c r="C37" s="3" t="inlineStr">
        <is>
          <t>src/domain/debt/index.ts</t>
        </is>
      </c>
      <c r="D37" s="3" t="n">
        <v>625</v>
      </c>
      <c r="E37" s="3" t="inlineStr">
        <is>
          <t>2 · DISPLAYED</t>
        </is>
      </c>
      <c r="F37" s="3" t="inlineStr">
        <is>
          <t>What do we know about this kind of debt?</t>
        </is>
      </c>
      <c r="G37" s="11"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"Add a debt →" — on the Net worth screen, under "💳  DEBTS"</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W37" s="3" t="n"/>
      <c r="X37" s="3" t="n"/>
      <c r="Y37" s="3" t="inlineStr">
        <is>
          <t>NOTHING OPEN</t>
        </is>
      </c>
    </row>
    <row r="38" ht="60" customHeight="1">
      <c r="A38" s="3" t="inlineStr">
        <is>
          <t>MK-CF-F-036</t>
        </is>
      </c>
      <c r="B38" s="3" t="inlineStr">
        <is>
          <t>buildDebtState</t>
        </is>
      </c>
      <c r="C38" s="3" t="inlineStr">
        <is>
          <t>src/domain/debt/index.ts</t>
        </is>
      </c>
      <c r="D38" s="3" t="n">
        <v>668</v>
      </c>
      <c r="E38" s="3" t="inlineStr">
        <is>
          <t>2 · DISPLAYED</t>
        </is>
      </c>
      <c r="F38" s="3" t="inlineStr">
        <is>
          <t>What is the whole debt picture?</t>
        </is>
      </c>
      <c r="G38" s="11"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"DEBTS" — on the Net worth screen, under "DEBTS"</t>
        </is>
      </c>
      <c r="M38" s="3" t="inlineStr">
        <is>
          <t>None found in this function — anything it assumes comes from the functions it depends on.</t>
        </is>
      </c>
      <c r="N38" s="3" t="inlineStr">
        <is>
          <t>Yes</t>
        </is>
      </c>
      <c r="O38" s="3" t="inlineStr">
        <is>
          <t>1. MK-CF-F-026 actualDebtPayment
2. MK-CF-F-204 line
3. MK-CF-F-025 minimumDebtService
4. MK-XS-F-175 uid</t>
        </is>
      </c>
      <c r="P38" s="3" t="n">
        <v>192</v>
      </c>
      <c r="Q38" s="3" t="inlineStr">
        <is>
          <t>1. MK-CF-F-026 actualDebtPayment
2. MK-CF-F-204 line
3. MK-CF-F-025 minimumDebtService
4. MK-XS-F-175 uid
5. MK-CF-F-024 totalDebtMonthly
6. MK-CF-F-203 MONTH
7. MK-XS-F-180 declareFigures
8. MK-CF-F-022 paymentShape
9. MK-ST-F-027 accountId
10. MK-CF-F-111 applyTransaction
11. MK-NW-F-040 assetsFromOnboarding
12. MK-PF-F-013 benchmarkTicker
13. MK-ST-F-028 buildDayFromAccounts
14. MK-PF-F-034 closeOnOrBefore
15. MK-CF-F-186 convertTakeHomeMode
16. MK-ST-F-079 dailyWindowStart
17. MK-CF-F-038 debtsFromOnboarding
18. MK-XS-F-083 fetchPriceSeries
19. MK-ST-F-084 fillBetweenObservations
20. MK-PL-F-013 goalsFromOnboarding
21. MK-ST-F-056 has
22. MK-CF-F-116 inverseOf
23. MK-ST-F-065 isoLocalDate
24. MK-CF-F-112 makeTransaction
25. MK-CF-F-132 map
26. MK-XS-F-122 n
27. MK-ST-F-043 newEntityId
28. MK-XS-F-006 pruneDaily
29. MK-ST-F-073 rebuildDays
30. MK-NW-F-054 reclassifyAccounts
31. MK-XS-F-174 recomputeBalances
32. MK-CF-F-115 restoreUndo
33. MK-CF-F-109 reviewTransactions
34. MK-ST-F-044 setMoneyFormat
35. MK-CF-F-114 undoSnapshot
36. MK-CF-F-191 ym
37. MK-CF-F-201 INCOME
38. MK-CF-F-023 requiredPayment
39. MK-CF-O-010 theMonth
40. MK-CF-F-021 defaultPaymentType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MK-ST-F-039 on
58. MK-ST-F-071 rebuildableFrom
59. MK-ST-F-068 stepDay
60. MK-ST-F-072 undo
61. MK-NW-F-053 correctClassOf
62. MK-NW-F-123 holdingNameEvidence
63. MK-NW-F-121 holdingTagClass
64. MK-NW-F-122 holdingTagFor
65. MK-PF-F-002 costBasis
66. MK-PF-F-009 latestClose
67. MK-PF-F-004 marketValue
68. MK-ST-F-030 record
69. MK-XS-F-024 resolveLens
70. MK-ST-F-055 round2
71. MK-CF-F-162 daysApart
72. MK-CF-F-108 isMoneyOut
73. MK-PL-F-074 median
74. MK-CF-F-131 normPayee
75. MK-CF-F-113 affectedAccountIds
76. MK-CF-F-207 SOURCE
77. MK-CF-O-004 incomeSummary
78. MK-CF-F-155 cash
79. MK-CF-O-002 expenses
80. MK-CF-O-003 thisMonth
81. MK-CF-F-134 usesSleeve
82. MK-ST-F-049 formatMoney
83. MK-CF-F-101 taxOwedFor
84. MK-ST-F-067 utcOfDay
85. MK-ST-F-035 covers
86. MK-NW-F-120 classEvidenceOf
87. MK-NW-F-008 incomeBearingClassOf
88. MK-PF-F-031 contractMultiplier
89. MK-CF-F-072 currentRetirementIncomeMonthly
90. MK-CF-O-016 incomeSources
91. MK-CF-O-001 basePay
92. MK-CF-F-069 benefitActiveMonths
93. MK-CF-F-173 earnerWages
94. MK-CF-F-179 entryFromWage
95. MK-CF-F-071 extraIncome
96. MK-CF-F-092 incomeMonthlyGrid
97. MK-CF-F-192 inflowLabel
98. MK-CF-F-103 marginalBracketFor
99. MK-CF-F-181 rateInForce
100. MK-CF-F-068 rentalNetAnnual
101. MK-CF-F-082 salaryAnnual
102. MK-CF-F-060 salaryGrossByMonth
103. MK-CF-F-084 taxableAnnual
104. MK-CF-F-151 actualSpending
105. MK-CF-F-150 debtPaymentsCountedAsExpenses
106. MK-CF-F-153 radar
107. MK-CF-F-149 recurringDebtPayments
108. MK-CF-F-005 actualMonthFlow
109. MK-CF-F-156 plannedMonthFlow
110. MK-ST-F-048 currencySymbol
111. MK-CF-F-100 taxableIncomeFor
112. MK-ST-F-034 firstDate
113. MK-NW-F-009 maturityClass
114. MK-ST-F-010 nameEvidence
115. MK-CF-F-075 retirementIncomeMonthly
116. MK-CF-F-066 rsuAnnual
117. MK-CF-F-171 earnerPay
118. MK-HM-F-006 money0
119. MK-CF-F-198 payrollTaxWithheld
120. MK-CF-F-172 hasWage
121. MK-CF-F-165 salaryMonths
122. MK-CF-F-070 benefitAnnual
123. MK-CF-F-065 equityVestWeights
124. MK-CF-F-206 householdK401ByMonth
125. MK-CF-F-087 monthlyTaxRates
126. MK-CF-F-073 otherIncomeMonth
127. MK-CF-F-077 scholarshipByCalendarMonth
128. MK-CF-F-088 taxableByCalendarMonth
129. MK-CF-F-177 wageGrossByMonth
130. MK-PL-F-012 waterfall
131. MK-CF-F-193 inflowSourceWord
132. MK-CF-F-180 enteredLandsAnnual
133. MK-CF-F-086 stateRateOf
134. MK-CF-F-067 rentalList
135. MK-CF-F-176 sumMonthsOverEarners
136. MK-CF-F-074 tipsAnnual
137. MK-CF-F-148 inMonth
138. MK-CF-F-152 isRadarItem
139. MK-NW-F-078 ONE
140. MK-CF-F-157 debtPaymentsByDebt
141. MK-XS-F-027 takeHomeMonthly
142. MK-ST-F-047 activeCurrency
143. MK-CF-F-099 deductionFor
144. MK-NW-F-011 assetClassOf
145. MK-NW-F-068 prettyDay
146. MK-XS-F-147 call
147. MK-CF-F-062 equityRowValue
148. MK-CF-F-063 rowVestYear
149. MK-CF-F-143 annualisedGross
150. MK-CF-F-145 deductionsFromPay
151. MK-CF-F-128 grossByMonth
152. MK-CF-F-146 payFiguresAgree
153. MK-CF-F-144 takeHomeAsEntered
154. MK-HM-F-005 pctTxt
155. MK-NW-F-067 plural
156. MK-CF-F-090 effectiveRate
157. MK-CF-F-130 enteredMonthlyRaw
158. MK-CF-F-166 hasMonthlySalaryTable
159. MK-ST-F-036 reconcile
160. MK-CF-F-167 salaryCalendarYear
161. MK-ST-F-085 rentFigure
162. MK-CF-F-081 salaryActiveMonths
163. MK-NW-F-077 ALL
164. MK-NW-F-059 currentYield
165. MK-NW-O-001 theBonds
166. MK-CF-F-011 savingsByMonth
167. MK-CF-F-187 seniorDeductionFor
168. MK-XS-F-064 currentIdToken
169. MK-XS-F-112 relayUrl
170. MK-CF-F-142 monthsOf
171. MK-CF-F-141 perMonth
172. MK-NW-F-112 yearlyInterest
173. MK-NW-F-057 annualCoupon
174. MK-NW-F-056 bondInfo
175. MK-NW-F-064 bondRateSensitivity
176. MK-NW-F-061 bondSummary
177. MK-NW-F-055 isBond
178. MK-NW-F-072 rowOf
179. MK-CF-F-008 spendByMonth
180. MK-CF-F-140 periodsAYear
181. MK-NW-F-060 approxYTM
182. MK-NW-F-069 priceAtYield
183. MK-NW-F-131 pricedLikeBond
184. MK-NW-F-125 isPastMaturity
185. MK-NW-F-126 yearlyInterestNow
186. MK-NW-F-070 accruedInterestCaveat
187. MK-NW-F-058 yearsToMaturity
188. MK-CF-F-120 pctBaseMonthly
189. MK-CF-F-004 spendBuckets
190. MK-NW-F-119 estimatedAccrued
191. MK-NW-F-124 maturityParts
192. MK-CF-F-003 categoryMonthly</t>
        </is>
      </c>
      <c r="R38" s="3" t="inlineStr">
        <is>
          <t>1. MK-CF-O-016 incomeSources → MK-CF-F-207 SOURCE → MK-CF-F-201 INCOME → MK-CF-F-024 totalDebtMonthly → MK-CF-F-026 actualDebtPayment → MK-CF-F-036 buildDebtState
2. MK-CF-F-203 MONTH → MK-CF-O-004 incomeSummary → MK-CF-F-201 INCOME → MK-CF-F-024 totalDebtMonthly → MK-CF-F-026 actualDebtPayment → MK-CF-F-036 buildDebtState
3. MK-CF-O-001 basePay → MK-CF-O-004 incomeSummary → MK-CF-F-201 INCOME → MK-CF-F-024 totalDebtMonthly → MK-CF-F-026 actualDebtPayment → MK-CF-F-036 buildDebtState
4. MK-CF-F-069 benefitActiveMonths → MK-CF-O-004 incomeSummary → MK-CF-F-201 INCOME → MK-CF-F-024 totalDebtMonthly → MK-CF-F-026 actualDebtPayment → MK-CF-F-036 buildDebtState
5. MK-CF-F-072 currentRetirementIncomeMonthly → MK-CF-O-004 incomeSummary → MK-CF-F-201 INCOME → MK-CF-F-024 totalDebtMonthly → MK-CF-F-026 actualDebtPayment → MK-CF-F-036 buildDebtState
6. MK-CF-F-173 earnerWages → MK-CF-O-004 incomeSummary → MK-CF-F-201 INCOME → MK-CF-F-024 totalDebtMonthly → MK-CF-F-026 actualDebtPayment → MK-CF-F-036 buildDebtState
7. MK-CF-F-179 entryFromWage → MK-CF-O-004 incomeSummary → MK-CF-F-201 INCOME → MK-CF-F-024 totalDebtMonthly → MK-CF-F-026 actualDebtPayment → MK-CF-F-036 buildDebtState
8. MK-CF-F-071 extraIncome → MK-CF-O-004 incomeSummary → MK-CF-F-201 INCOME → MK-CF-F-024 totalDebtMonthly → MK-CF-F-026 actualDebtPayment → MK-CF-F-036 buildDebtState
9. … and 5 more paths</t>
        </is>
      </c>
      <c r="S38" s="3" t="inlineStr">
        <is>
          <t>—</t>
        </is>
      </c>
      <c r="T38" s="3" t="inlineStr">
        <is>
          <t>DEBT_PICTURE</t>
        </is>
      </c>
      <c r="U38" s="3" t="inlineStr">
        <is>
          <t>ACTIVE</t>
        </is>
      </c>
      <c r="V38" s="3" t="inlineStr">
        <is>
          <t>2026-08-27</t>
        </is>
      </c>
      <c r="W38" s="3" t="n"/>
      <c r="X38" s="3" t="n"/>
      <c r="Y38" s="3" t="inlineStr">
        <is>
          <t>NOTHING OPEN</t>
        </is>
      </c>
    </row>
    <row r="39" ht="60" customHeight="1">
      <c r="A39" s="3" t="inlineStr">
        <is>
          <t>MK-CF-F-037</t>
        </is>
      </c>
      <c r="B39" s="3" t="inlineStr">
        <is>
          <t>inferDebtType</t>
        </is>
      </c>
      <c r="C39" s="3" t="inlineStr">
        <is>
          <t>src/domain/debt/index.ts</t>
        </is>
      </c>
      <c r="D39" s="3" t="n">
        <v>719</v>
      </c>
      <c r="E39" s="3" t="inlineStr">
        <is>
          <t>3 · DEPENDENT</t>
        </is>
      </c>
      <c r="F39" s="3" t="inlineStr">
        <is>
          <t>The kind of debt, judged from its name: a home-equity credit line, a mortgage, a car loan, a student loan, a credit card, a medical debt, a personal loan or something else.</t>
        </is>
      </c>
      <c r="G39" s="11"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W39" s="3" t="n"/>
      <c r="X39" s="3" t="n"/>
      <c r="Y39" s="3" t="inlineStr">
        <is>
          <t>NOTHING OPEN</t>
        </is>
      </c>
    </row>
    <row r="40" ht="60" customHeight="1">
      <c r="A40" s="3" t="inlineStr">
        <is>
          <t>MK-CF-F-038</t>
        </is>
      </c>
      <c r="B40" s="3" t="inlineStr">
        <is>
          <t>debtsFromOnboarding</t>
        </is>
      </c>
      <c r="C40" s="3" t="inlineStr">
        <is>
          <t>src/domain/debt/index.ts</t>
        </is>
      </c>
      <c r="D40" s="3" t="n">
        <v>768</v>
      </c>
      <c r="E40" s="3" t="inlineStr">
        <is>
          <t>3 · DEPENDENT</t>
        </is>
      </c>
      <c r="F40" s="3" t="inlineStr">
        <is>
          <t>What debts should exist from the setup answers?</t>
        </is>
      </c>
      <c r="G40" s="11"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87</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MK-ST-F-053 money
37. MK-CF-F-085 filingStatusOf
38. MK-CF-F-097 grossFromNet
39. MK-CF-F-185 needsTakeHomeConversion
40. MK-CF-F-089 over65CountOf
41. MK-ST-F-069 amountOf
42. MK-CF-F-133 cashOf
43. MK-ST-F-066 isDayKey
44. MK-ST-F-070 isOpening
45. MK-ST-F-039 on
46. MK-ST-F-071 rebuildableFrom
47. MK-ST-F-068 stepDay
48. MK-ST-F-072 undo
49. MK-NW-F-053 correctClassOf
50. MK-NW-F-123 holdingNameEvidence
51. MK-NW-F-121 holdingTagClass
52. MK-NW-F-122 holdingTagFor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MK-NW-F-120 classEvidenceOf
71. MK-NW-F-008 incomeBearingClassOf
72. MK-PF-F-031 contractMultiplier
73. MK-CF-F-072 currentRetirementIncomeMonthly
74. MK-ST-F-048 currencySymbol
75. MK-CF-F-100 taxableIncomeFor
76. MK-ST-F-034 firstDate
77. MK-NW-F-009 maturityClass
78. MK-ST-F-010 nameEvidence
79. MK-CF-F-075 retirementIncomeMonthly
80. MK-ST-F-047 activeCurrency
81. MK-CF-F-099 deductionFor
82. MK-NW-F-011 assetClassOf
83. MK-NW-F-068 prettyDay
84. MK-XS-F-147 call
85. MK-CF-F-187 seniorDeductionFor
86. MK-XS-F-064 currentIdToken
87. MK-XS-F-112 relayUrl</t>
        </is>
      </c>
      <c r="R40" s="3" t="inlineStr">
        <is>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is>
      </c>
      <c r="S40" s="3" t="inlineStr">
        <is>
          <t>—</t>
        </is>
      </c>
      <c r="T40" s="3" t="inlineStr">
        <is>
          <t>DEBTS_FROM_SETUP</t>
        </is>
      </c>
      <c r="U40" s="3" t="inlineStr">
        <is>
          <t>ACTIVE</t>
        </is>
      </c>
      <c r="V40" s="3" t="inlineStr">
        <is>
          <t>2026-08-27</t>
        </is>
      </c>
      <c r="W40" s="3" t="n"/>
      <c r="X40" s="3" t="n"/>
      <c r="Y40" s="3" t="inlineStr">
        <is>
          <t>NOTHING OPEN</t>
        </is>
      </c>
    </row>
    <row r="41" ht="60" customHeight="1">
      <c r="A41" s="3" t="inlineStr">
        <is>
          <t>MK-CF-F-039</t>
        </is>
      </c>
      <c r="B41" s="3" t="inlineStr">
        <is>
          <t>loadDebt</t>
        </is>
      </c>
      <c r="C41" s="3" t="inlineStr">
        <is>
          <t>src/domain/debt/index.ts</t>
        </is>
      </c>
      <c r="D41" s="3" t="n">
        <v>805</v>
      </c>
      <c r="E41" s="3" t="inlineStr">
        <is>
          <t>3 · DEPENDENT (feeds an action only)</t>
        </is>
      </c>
      <c r="F41" s="3" t="inlineStr">
        <is>
          <t>Reads a person's saved debts from storage and calculates nothing.</t>
        </is>
      </c>
      <c r="G41" s="11"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88</v>
      </c>
      <c r="Q4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MK-NW-F-009 maturityClass
79. MK-ST-F-010 nameEvidence
80. MK-CF-F-075 retirementIncomeMonthly
81. MK-ST-F-047 activeCurrency
82. MK-CF-F-099 deductionFor
83. MK-NW-F-011 assetClassOf
84. MK-NW-F-068 prettyDay
85. MK-XS-F-147 call
86. MK-CF-F-187 seniorDeductionFor
87. MK-XS-F-064 currentIdToken
88. MK-XS-F-112 relayUrl</t>
        </is>
      </c>
      <c r="R41" s="3" t="inlineStr">
        <is>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is>
      </c>
      <c r="S41" s="3" t="inlineStr">
        <is>
          <t>—</t>
        </is>
      </c>
      <c r="T41" s="3" t="inlineStr">
        <is>
          <t>—</t>
        </is>
      </c>
      <c r="U41" s="3" t="inlineStr">
        <is>
          <t>ACTIVE</t>
        </is>
      </c>
      <c r="V41" s="3" t="inlineStr">
        <is>
          <t>2026-08-27</t>
        </is>
      </c>
      <c r="W41" s="3" t="n"/>
      <c r="X41" s="3" t="n"/>
      <c r="Y41" s="3" t="inlineStr">
        <is>
          <t>NOTHING OPEN</t>
        </is>
      </c>
    </row>
    <row r="42" ht="60" customHeight="1">
      <c r="A42" s="3" t="inlineStr">
        <is>
          <t>MK-CF-F-040</t>
        </is>
      </c>
      <c r="B42" s="3" t="inlineStr">
        <is>
          <t>saveDebt</t>
        </is>
      </c>
      <c r="C42" s="3" t="inlineStr">
        <is>
          <t>src/domain/debt/index.ts</t>
        </is>
      </c>
      <c r="D42" s="3" t="n">
        <v>823</v>
      </c>
      <c r="E42" s="3" t="inlineStr">
        <is>
          <t>1 · ACTION</t>
        </is>
      </c>
      <c r="F42" s="3" t="inlineStr">
        <is>
          <t>Saves a person's debts to storage, tells the rest of the app it changed, and calculates nothing.</t>
        </is>
      </c>
      <c r="G42" s="11"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90</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MK-NW-F-068 prettyDay
87. MK-XS-F-147 call
88. MK-CF-F-187 seniorDeductionFor
89. MK-XS-F-064 currentIdToken
90. MK-XS-F-112 relayUrl</t>
        </is>
      </c>
      <c r="R42" s="3" t="inlineStr">
        <is>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is>
      </c>
      <c r="S42" s="3" t="inlineStr">
        <is>
          <t>—</t>
        </is>
      </c>
      <c r="T42" s="3" t="inlineStr">
        <is>
          <t>—</t>
        </is>
      </c>
      <c r="U42" s="3" t="inlineStr">
        <is>
          <t>ACTIVE</t>
        </is>
      </c>
      <c r="V42" s="3" t="inlineStr">
        <is>
          <t>2026-08-27</t>
        </is>
      </c>
      <c r="W42" s="3" t="n"/>
      <c r="X42" s="3" t="n"/>
      <c r="Y42" s="3" t="inlineStr">
        <is>
          <t>NOTHING OPEN</t>
        </is>
      </c>
    </row>
    <row r="43" ht="60" customHeight="1">
      <c r="A43" s="3" t="inlineStr">
        <is>
          <t>MK-CF-F-041</t>
        </is>
      </c>
      <c r="B43" s="3" t="inlineStr">
        <is>
          <t>getDebtState</t>
        </is>
      </c>
      <c r="C43" s="3" t="inlineStr">
        <is>
          <t>src/domain/debt/index.ts</t>
        </is>
      </c>
      <c r="D43" s="3" t="n">
        <v>842</v>
      </c>
      <c r="E43" s="3" t="inlineStr">
        <is>
          <t>3 · DEPENDENT (feeds an action only)</t>
        </is>
      </c>
      <c r="F43" s="3" t="inlineStr">
        <is>
          <t>Reads a person's saved debts and returns their totals, or nothing when none are saved.</t>
        </is>
      </c>
      <c r="G43" s="11"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194</v>
      </c>
      <c r="Q43" s="3" t="inlineStr">
        <is>
          <t>1. MK-CF-F-036 buildDebtState
2. MK-CF-F-039 loadDebt
3. MK-XS-F-175 uid
4. MK-CF-F-026 actualDebtPayment
5. MK-CF-F-204 line
6. MK-CF-F-025 minimumDebtService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MK-CF-F-024 totalDebtMonthly
36. MK-CF-F-203 MONTH
37. MK-XS-F-180 declareFigures
38. MK-CF-F-022 paymentShape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MK-ST-F-039 on
56. MK-ST-F-071 rebuildableFrom
57. MK-ST-F-068 stepDay
58. MK-ST-F-072 undo
59. MK-NW-F-053 correctClassOf
60. MK-NW-F-123 holdingNameEvidence
61. MK-NW-F-121 holdingTagClass
62. MK-NW-F-122 holdingTagFor
63. MK-PF-F-002 costBasis
64. MK-PF-F-009 latestClose
65. MK-PF-F-004 marketValue
66. MK-ST-F-030 record
67. MK-XS-F-024 resolveLens
68. MK-ST-F-055 round2
69. MK-CF-F-162 daysApart
70. MK-CF-F-108 isMoneyOut
71. MK-PL-F-074 median
72. MK-CF-F-131 normPayee
73. MK-CF-F-113 affectedAccountIds
74. MK-CF-F-201 INCOME
75. MK-CF-F-023 requiredPayment
76. MK-CF-O-010 theMonth
77. MK-CF-F-021 defaultPaymentType
78. MK-CF-F-134 usesSleeve
79. MK-ST-F-049 formatMoney
80. MK-CF-F-101 taxOwedFor
81. MK-ST-F-067 utcOfDay
82. MK-CF-F-155 cash
83. MK-ST-F-035 covers
84. MK-NW-F-120 classEvidenceOf
85. MK-NW-F-008 incomeBearingClassOf
86. MK-PF-F-031 contractMultiplier
87. MK-CF-F-072 currentRetirementIncomeMonthly
88. MK-CF-F-207 SOURCE
89. MK-CF-O-004 incomeSummary
90. MK-CF-O-002 expenses
91. MK-CF-O-003 thisMonth
92. MK-ST-F-048 currencySymbol
93. MK-CF-F-100 taxableIncomeFor
94. MK-ST-F-034 firstDate
95. MK-NW-F-009 maturityClass
96. MK-ST-F-010 nameEvidence
97. MK-CF-F-075 retirementIncomeMonthly
98. MK-CF-O-016 incomeSources
99. MK-CF-O-001 basePay
100. MK-CF-F-069 benefitActiveMonths
101. MK-CF-F-173 earnerWages
102. MK-CF-F-179 entryFromWage
103. MK-CF-F-071 extraIncome
104. MK-CF-F-092 incomeMonthlyGrid
105. MK-CF-F-192 inflowLabel
106. MK-CF-F-103 marginalBracketFor
107. MK-CF-F-181 rateInForce
108. MK-CF-F-068 rentalNetAnnual
109. MK-CF-F-082 salaryAnnual
110. MK-CF-F-060 salaryGrossByMonth
111. MK-CF-F-084 taxableAnnual
112. MK-CF-F-151 actualSpending
113. MK-CF-F-150 debtPaymentsCountedAsExpenses
114. MK-CF-F-153 radar
115. MK-CF-F-149 recurringDebtPayments
116. MK-CF-F-005 actualMonthFlow
117. MK-CF-F-156 plannedMonthFlow
118. MK-ST-F-047 activeCurrency
119. MK-CF-F-099 deductionFor
120. MK-NW-F-011 assetClassOf
121. MK-NW-F-068 prettyDay
122. MK-XS-F-147 call
123. MK-CF-F-066 rsuAnnual
124. MK-CF-F-171 earnerPay
125. MK-HM-F-006 money0
126. MK-CF-F-198 payrollTaxWithheld
127. MK-CF-F-172 hasWage
128. MK-CF-F-165 salaryMonths
129. MK-CF-F-070 benefitAnnual
130. MK-CF-F-065 equityVestWeights
131. MK-CF-F-206 householdK401ByMonth
132. MK-CF-F-087 monthlyTaxRates
133. MK-CF-F-073 otherIncomeMonth
134. MK-CF-F-077 scholarshipByCalendarMonth
135. MK-CF-F-088 taxableByCalendarMonth
136. MK-CF-F-177 wageGrossByMonth
137. MK-PL-F-012 waterfall
138. MK-CF-F-193 inflowSourceWord
139. MK-CF-F-180 enteredLandsAnnual
140. MK-CF-F-086 stateRateOf
141. MK-CF-F-067 rentalList
142. MK-CF-F-176 sumMonthsOverEarners
143. MK-CF-F-074 tipsAnnual
144. MK-CF-F-148 inMonth
145. MK-CF-F-152 isRadarItem
146. MK-NW-F-078 ONE
147. MK-CF-F-157 debtPaymentsByDebt
148. MK-XS-F-027 takeHomeMonthly
149. MK-CF-F-187 seniorDeductionFor
150. MK-XS-F-064 currentIdToken
151. MK-XS-F-112 relayUrl
152. MK-CF-F-062 equityRowValue
153. MK-CF-F-063 rowVestYear
154. MK-CF-F-143 annualisedGross
155. MK-CF-F-145 deductionsFromPay
156. MK-CF-F-128 grossByMonth
157. MK-CF-F-146 payFiguresAgree
158. MK-CF-F-144 takeHomeAsEntered
159. MK-HM-F-005 pctTxt
160. MK-NW-F-067 plural
161. MK-CF-F-090 effectiveRate
162. MK-CF-F-130 enteredMonthlyRaw
163. MK-CF-F-166 hasMonthlySalaryTable
164. MK-ST-F-036 reconcile
165. MK-CF-F-167 salaryCalendarYear
166. MK-ST-F-085 rentFigure
167. MK-CF-F-081 salaryActiveMonths
168. MK-NW-F-077 ALL
169. MK-NW-F-059 currentYield
170. MK-NW-O-001 theBonds
171. MK-CF-F-011 savingsByMonth
172. MK-CF-F-142 monthsOf
173. MK-CF-F-141 perMonth
174. MK-NW-F-112 yearlyInterest
175. MK-NW-F-057 annualCoupon
176. MK-NW-F-056 bondInfo
177. MK-NW-F-064 bondRateSensitivity
178. MK-NW-F-061 bondSummary
179. MK-NW-F-055 isBond
180. MK-NW-F-072 rowOf
181. MK-CF-F-008 spendByMonth
182. MK-CF-F-140 periodsAYear
183. MK-NW-F-060 approxYTM
184. MK-NW-F-069 priceAtYield
185. MK-NW-F-131 pricedLikeBond
186. MK-NW-F-125 isPastMaturity
187. MK-NW-F-126 yearlyInterestNow
188. MK-NW-F-070 accruedInterestCaveat
189. MK-NW-F-058 yearsToMaturity
190. MK-CF-F-120 pctBaseMonthly
191. MK-CF-F-004 spendBuckets
192. MK-NW-F-119 estimatedAccrued
193. MK-NW-F-124 maturityParts
194. MK-CF-F-003 categoryMonthly</t>
        </is>
      </c>
      <c r="R43" s="3" t="inlineStr">
        <is>
          <t>1. MK-CF-F-207 SOURCE → MK-CF-F-201 INCOME → MK-CF-F-024 totalDebtMonthly → MK-CF-F-026 actualDebtPayment → MK-CF-F-036 buildDebtState → MK-CF-F-041 getDebtState
2. MK-CF-O-004 incomeSummary → MK-CF-F-201 INCOME → MK-CF-F-024 totalDebtMonthly → MK-CF-F-026 actualDebtPayment → MK-CF-F-036 buildDebtState → MK-CF-F-041 getDebtState
3. MK-CF-F-022 paymentShape → MK-CF-F-023 requiredPayment → MK-CF-F-024 totalDebtMonthly → MK-CF-F-026 actualDebtPayment → MK-CF-F-036 buildDebtState → MK-CF-F-041 getDebtState
4. MONTH (already above — a loop) → MK-CF-O-010 theMonth → MK-CF-F-203 MONTH → MK-CF-F-204 line → MK-CF-F-036 buildDebtState → MK-CF-F-041 getDebtState
5. MK-CF-F-155 cash → MK-CF-O-010 theMonth → MK-CF-F-203 MONTH → MK-CF-F-204 line → MK-CF-F-036 buildDebtState → MK-CF-F-041 getDebtState
6. MK-CF-O-002 expenses → MK-CF-O-010 theMonth → MK-CF-F-203 MONTH → MK-CF-F-204 line → MK-CF-F-036 buildDebtState → MK-CF-F-041 getDebtState
7. MK-CF-O-003 thisMonth → MK-CF-O-010 theMonth → MK-CF-F-203 MONTH → MK-CF-F-204 line → MK-CF-F-036 buildDebtState → MK-CF-F-041 getDebtState
8. MK-XS-F-180 declareFigures → MK-CF-F-204 line → MK-CF-F-036 buildDebtState → MK-CF-F-041 getDebtState
9. … and 5 more paths</t>
        </is>
      </c>
      <c r="S43" s="3" t="inlineStr">
        <is>
          <t>—</t>
        </is>
      </c>
      <c r="T43" s="3" t="inlineStr">
        <is>
          <t>—</t>
        </is>
      </c>
      <c r="U43" s="3" t="inlineStr">
        <is>
          <t>ACTIVE</t>
        </is>
      </c>
      <c r="V43" s="3" t="inlineStr">
        <is>
          <t>2026-08-27</t>
        </is>
      </c>
      <c r="W43" s="3" t="n"/>
      <c r="X43" s="3" t="n"/>
      <c r="Y43" s="3" t="inlineStr">
        <is>
          <t>NOTHING OPEN</t>
        </is>
      </c>
    </row>
    <row r="44" ht="60" customHeight="1">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1"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23</v>
      </c>
      <c r="Q44" s="3" t="inlineStr">
        <is>
          <t>1. MK-CF-F-029 monthsToClear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 s="3" t="inlineStr">
        <is>
          <t>1. MK-CF-F-029 monthsToClear → MK-CF-F-042 mortgageOddsEffect
2. MK-CF-F-191 ym → MK-CF-F-148 inMonth → MK-CF-F-151 actualSpending → MK-CF-O-002 expenses → MK-PL-F-050 simulate → MK-CF-F-042 mortgageOddsEffect
3. MK-XS-F-122 n → MK-ST-F-052 toNum → MK-CF-F-151 actualSpending → MK-CF-O-002 expenses → MK-PL-F-050 simulate → MK-CF-F-042 mortgageOddsEffect
4. MK-CF-F-191 ym → MK-CF-F-151 actualSpending → MK-CF-O-002 expenses → MK-PL-F-050 simulate → MK-CF-F-042 mortgageOddsEffect
5. MK-ST-F-056 has → MK-CF-F-150 debtPaymentsCountedAsExpenses → MK-CF-O-002 expenses → MK-PL-F-050 simulate → MK-CF-F-042 mortgageOddsEffect
6. MK-CF-F-191 ym → MK-CF-F-148 inMonth → MK-CF-F-150 debtPaymentsCountedAsExpenses → MK-CF-O-002 expenses → MK-PL-F-050 simulate → MK-CF-F-042 mortgageOddsEffect
7. MK-CF-F-021 defaultPaymentType → MK-CF-F-022 paymentShape → MK-CF-F-150 debtPaymentsCountedAsExpenses → MK-CF-O-002 expenses → MK-PL-F-050 simulate → MK-CF-F-042 mortgageOddsEffect
8. MK-XS-F-122 n → MK-ST-F-052 toNum → MK-CF-F-150 debtPaymentsCountedAsExpenses → MK-CF-O-002 expenses → MK-PL-F-050 simulate → MK-CF-F-042 mortgageOddsEffect
9. … and 4 more paths</t>
        </is>
      </c>
      <c r="S44" s="3" t="inlineStr">
        <is>
          <t>—</t>
        </is>
      </c>
      <c r="T44" s="3" t="inlineStr">
        <is>
          <t>—</t>
        </is>
      </c>
      <c r="U44" s="3" t="inlineStr">
        <is>
          <t>ACTIVE</t>
        </is>
      </c>
      <c r="V44" s="3" t="inlineStr">
        <is>
          <t>2026-08-27</t>
        </is>
      </c>
      <c r="W44" s="3" t="n"/>
      <c r="X44" s="3" t="n"/>
      <c r="Y44" s="3" t="inlineStr">
        <is>
          <t>NOTHING OPEN</t>
        </is>
      </c>
    </row>
    <row r="45" ht="60" customHeight="1">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1"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W45" s="3" t="n"/>
      <c r="X45" s="3" t="n"/>
      <c r="Y45" s="3" t="inlineStr">
        <is>
          <t>NOTHING OPEN</t>
        </is>
      </c>
    </row>
    <row r="46" ht="60" customHeight="1">
      <c r="A46" s="3" t="inlineStr">
        <is>
          <t>MK-CF-F-044</t>
        </is>
      </c>
      <c r="B46" s="3" t="inlineStr">
        <is>
          <t>annualNet</t>
        </is>
      </c>
      <c r="C46" s="3" t="inlineStr">
        <is>
          <t>src/domain/income/calc.ts</t>
        </is>
      </c>
      <c r="D46" s="3" t="n">
        <v>59</v>
      </c>
      <c r="E46" s="3" t="inlineStr">
        <is>
          <t>3 · DEPENDENT</t>
        </is>
      </c>
      <c r="F46" s="3" t="inlineStr">
        <is>
          <t>Annual NET contribution of a source: jobs use gross; rentals net out operating expenses.</t>
        </is>
      </c>
      <c r="G46" s="11"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1. MK-CF-O-002 expenses
2. MK-CF-F-127 isRental</t>
        </is>
      </c>
      <c r="P46" s="3" t="n">
        <v>16</v>
      </c>
      <c r="Q46" s="3" t="inlineStr">
        <is>
          <t>1. MK-CF-O-002 expenses
2. MK-CF-F-127 isRental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46" s="3" t="inlineStr">
        <is>
          <t>1. MK-CF-F-191 ym → MK-CF-F-148 inMonth → MK-CF-F-151 actualSpending → MK-CF-O-002 expenses → MK-CF-F-044 annualNet
2. MK-XS-F-122 n → MK-ST-F-052 toNum → MK-CF-F-151 actualSpending → MK-CF-O-002 expenses → MK-CF-F-044 annualNet
3. MK-CF-F-191 ym → MK-CF-F-151 actualSpending → MK-CF-O-002 expenses → MK-CF-F-044 annualNet
4. MK-ST-F-056 has → MK-CF-F-150 debtPaymentsCountedAsExpenses → MK-CF-O-002 expenses → MK-CF-F-044 annualNet
5. MK-CF-F-191 ym → MK-CF-F-148 inMonth → MK-CF-F-150 debtPaymentsCountedAsExpenses → MK-CF-O-002 expenses → MK-CF-F-044 annualNet
6. MK-CF-F-021 defaultPaymentType → MK-CF-F-022 paymentShape → MK-CF-F-150 debtPaymentsCountedAsExpenses → MK-CF-O-002 expenses → MK-CF-F-044 annualNet
7. MK-XS-F-122 n → MK-ST-F-052 toNum → MK-CF-F-150 debtPaymentsCountedAsExpenses → MK-CF-O-002 expenses → MK-CF-F-044 annualNet
8. MK-CF-F-191 ym → MK-CF-F-150 debtPaymentsCountedAsExpenses → MK-CF-O-002 expenses → MK-CF-F-044 annualNet
9. … and 5 more paths</t>
        </is>
      </c>
      <c r="S46" s="3" t="inlineStr">
        <is>
          <t>—</t>
        </is>
      </c>
      <c r="T46" s="3" t="inlineStr">
        <is>
          <t>—</t>
        </is>
      </c>
      <c r="U46" s="3" t="inlineStr">
        <is>
          <t>ACTIVE</t>
        </is>
      </c>
      <c r="V46" s="3" t="inlineStr">
        <is>
          <t>2026-08-27</t>
        </is>
      </c>
      <c r="W46" s="3" t="n"/>
      <c r="X46" s="3" t="n"/>
      <c r="Y46" s="3" t="inlineStr">
        <is>
          <t>NOTHING OPEN</t>
        </is>
      </c>
    </row>
    <row r="47" ht="60" customHeight="1">
      <c r="A47" s="3" t="inlineStr">
        <is>
          <t>MK-CF-F-045</t>
        </is>
      </c>
      <c r="B47" s="3" t="inlineStr">
        <is>
          <t>grossAnnualBaseline</t>
        </is>
      </c>
      <c r="C47" s="3" t="inlineStr">
        <is>
          <t>src/domain/income/calc.ts</t>
        </is>
      </c>
      <c r="D47" s="3" t="n">
        <v>84</v>
      </c>
      <c r="E47" s="3" t="inlineStr">
        <is>
          <t>3 · DEPENDENT</t>
        </is>
      </c>
      <c r="F47" s="3" t="inlineStr">
        <is>
          <t>Gross annual baseline = jobs (gross) + rentals (gross − expenses), all annualized.</t>
        </is>
      </c>
      <c r="G47" s="11"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17</v>
      </c>
      <c r="Q47" s="3" t="inlineStr">
        <is>
          <t>1. MK-CF-F-044 annualNet
2. MK-CF-O-002 expenses
3. MK-CF-F-127 isRental
4. MK-CF-F-151 actualSpending
5. MK-CF-F-150 debtPaymentsCountedAsExpenses
6. MK-CF-F-153 radar
7. MK-CF-F-149 recurringDebtPayments
8. MK-CF-F-148 inMonth
9. MK-ST-F-052 toNum
10. MK-CF-F-191 ym
11. MK-ST-F-056 has
12. MK-CF-F-022 paymentShape
13. MK-CF-F-152 isRadarItem
14. MK-CF-F-023 requiredPayment
15. MK-CF-F-132 map
16. MK-XS-F-122 n
17. MK-CF-F-021 defaultPaymentType</t>
        </is>
      </c>
      <c r="R47" s="3" t="inlineStr">
        <is>
          <t>1. MK-CF-F-191 ym → MK-CF-F-148 inMonth → MK-CF-F-151 actualSpending → MK-CF-O-002 expenses → MK-CF-F-044 annualNet → MK-CF-F-045 grossAnnualBaseline
2. MK-XS-F-122 n → MK-ST-F-052 toNum → MK-CF-F-151 actualSpending → MK-CF-O-002 expenses → MK-CF-F-044 annualNet → MK-CF-F-045 grossAnnualBaseline
3. MK-CF-F-191 ym → MK-CF-F-151 actualSpending → MK-CF-O-002 expenses → MK-CF-F-044 annualNet → MK-CF-F-045 grossAnnualBaseline
4. MK-ST-F-056 has → MK-CF-F-150 debtPaymentsCountedAsExpenses → MK-CF-O-002 expenses → MK-CF-F-044 annualNet → MK-CF-F-045 grossAnnualBaseline
5. MK-CF-F-191 ym → MK-CF-F-148 inMonth → MK-CF-F-150 debtPaymentsCountedAsExpenses → MK-CF-O-002 expenses → MK-CF-F-044 annualNet → MK-CF-F-045 grossAnnualBaseline
6. MK-CF-F-021 defaultPaymentType → MK-CF-F-022 paymentShape → MK-CF-F-150 debtPaymentsCountedAsExpenses → MK-CF-O-002 expenses → MK-CF-F-044 annualNet → MK-CF-F-045 grossAnnualBaseline
7. MK-XS-F-122 n → MK-ST-F-052 toNum → MK-CF-F-150 debtPaymentsCountedAsExpenses → MK-CF-O-002 expenses → MK-CF-F-044 annualNet → MK-CF-F-045 grossAnnualBaseline
8. MK-CF-F-191 ym → MK-CF-F-150 debtPaymentsCountedAsExpenses → MK-CF-O-002 expenses → MK-CF-F-044 annualNet → MK-CF-F-045 grossAnnualBaseline
9. … and 4 more paths</t>
        </is>
      </c>
      <c r="S47" s="3" t="inlineStr">
        <is>
          <t>—</t>
        </is>
      </c>
      <c r="T47" s="3" t="inlineStr">
        <is>
          <t>—</t>
        </is>
      </c>
      <c r="U47" s="3" t="inlineStr">
        <is>
          <t>ACTIVE</t>
        </is>
      </c>
      <c r="V47" s="3" t="inlineStr">
        <is>
          <t>2026-08-27</t>
        </is>
      </c>
      <c r="W47" s="3" t="n"/>
      <c r="X47" s="3" t="n"/>
      <c r="Y47" s="3" t="inlineStr">
        <is>
          <t>NOTHING OPEN</t>
        </is>
      </c>
    </row>
    <row r="48" ht="60" customHeight="1">
      <c r="A48" s="3" t="inlineStr">
        <is>
          <t>MK-CF-F-046</t>
        </is>
      </c>
      <c r="B48" s="3" t="inlineStr">
        <is>
          <t>employerMatchAnnual</t>
        </is>
      </c>
      <c r="C48" s="3" t="inlineStr">
        <is>
          <t>src/domain/income/calc.ts</t>
        </is>
      </c>
      <c r="D48" s="3" t="n">
        <v>112</v>
      </c>
      <c r="E48" s="3" t="inlineStr">
        <is>
          <t>3 · DEPENDENT</t>
        </is>
      </c>
      <c r="F48" s="3" t="inlineStr">
        <is>
          <t>The employer's 401(k) match for a year, added up across every job.</t>
        </is>
      </c>
      <c r="G48" s="11"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W48" s="3" t="n"/>
      <c r="X48" s="3" t="n"/>
      <c r="Y48" s="3" t="inlineStr">
        <is>
          <t>NOTHING OPEN</t>
        </is>
      </c>
    </row>
    <row r="49" ht="60" customHeight="1">
      <c r="A49" s="3" t="inlineStr">
        <is>
          <t>MK-CF-F-048</t>
        </is>
      </c>
      <c r="B49" s="3" t="inlineStr">
        <is>
          <t>effectiveTaxRate</t>
        </is>
      </c>
      <c r="C49" s="3" t="inlineStr">
        <is>
          <t>src/domain/income/calc.ts</t>
        </is>
      </c>
      <c r="D49" s="3" t="n">
        <v>147</v>
      </c>
      <c r="E49" s="3" t="inlineStr">
        <is>
          <t>3 · DEPENDENT</t>
        </is>
      </c>
      <c r="F49" s="3" t="inlineStr">
        <is>
          <t>The share of gross income that goes to tax: the person's own rate where they gave one, otherwise the calculated federal rate for the way they file.</t>
        </is>
      </c>
      <c r="G49" s="11"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W49" s="3" t="n"/>
      <c r="X49" s="3" t="n"/>
      <c r="Y49" s="3" t="inlineStr">
        <is>
          <t>NOTHING OPEN</t>
        </is>
      </c>
    </row>
    <row r="50" ht="60" customHeight="1">
      <c r="A50" s="3" t="inlineStr">
        <is>
          <t>MK-CF-F-049</t>
        </is>
      </c>
      <c r="B50" s="3" t="inlineStr">
        <is>
          <t>buildIncomeState</t>
        </is>
      </c>
      <c r="C50" s="3" t="inlineStr">
        <is>
          <t>src/domain/income/calc.ts</t>
        </is>
      </c>
      <c r="D50" s="3" t="n">
        <v>234</v>
      </c>
      <c r="E50" s="3" t="inlineStr">
        <is>
          <t>2 · DISPLAYED</t>
        </is>
      </c>
      <c r="F50" s="3" t="inlineStr">
        <is>
          <t>The income picture for a year: gross, tax rate and take-home, and the gross, tax and take-home of each of the twelve months.</t>
        </is>
      </c>
      <c r="G50" s="11"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28</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MK-CF-O-002 expenses
15. MK-CF-F-099 deductionFor
16. MK-CF-F-151 actualSpending
17. MK-CF-F-150 debtPaymentsCountedAsExpenses
18. MK-CF-F-153 radar
19. MK-CF-F-149 recurringDebtPayments
20. MK-CF-F-187 seniorDeductionFor
21. MK-CF-F-148 inMonth
22. MK-ST-F-052 toNum
23. MK-CF-F-191 ym
24. MK-ST-F-056 has
25. MK-CF-F-022 paymentShape
26. MK-CF-F-152 isRadarItem
27. MK-CF-F-023 requiredPayment
28. MK-CF-F-021 defaultPaymentType</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MK-CF-F-148 inMonth → MK-CF-F-151 actualSpending → MK-CF-O-002 expenses → MK-CF-F-044 annualNet → MK-CF-F-045 grossAnnualBaseline → MK-CF-F-049 buildIncomeState
4. MK-ST-F-052 toNum → MK-CF-F-151 actualSpending → MK-CF-O-002 expenses → MK-CF-F-044 annualNet → MK-CF-F-045 grossAnnualBaseline → MK-CF-F-049 buildIncomeState
5. MK-CF-F-191 ym → MK-CF-F-151 actualSpending → MK-CF-O-002 expenses → MK-CF-F-044 annualNet → MK-CF-F-045 grossAnnualBaseline → MK-CF-F-049 buildIncomeState
6. MK-ST-F-056 has → MK-CF-F-150 debtPaymentsCountedAsExpenses → MK-CF-O-002 expenses → MK-CF-F-044 annualNet → MK-CF-F-045 grossAnnualBaseline → MK-CF-F-049 buildIncomeState
7. MK-CF-F-148 inMonth → MK-CF-F-150 debtPaymentsCountedAsExpenses → MK-CF-O-002 expenses → MK-CF-F-044 annualNet → MK-CF-F-045 grossAnnualBaseline → MK-CF-F-049 buildIncomeState
8. MK-CF-F-022 paymentShape → MK-CF-F-150 debtPaymentsCountedAsExpenses → MK-CF-O-002 expenses → MK-CF-F-044 annualNet → MK-CF-F-045 grossAnnualBaseline → MK-CF-F-049 buildIncomeState
9. … and 5 more paths</t>
        </is>
      </c>
      <c r="S50" s="3" t="inlineStr">
        <is>
          <t>—</t>
        </is>
      </c>
      <c r="T50" s="3" t="inlineStr">
        <is>
          <t>—</t>
        </is>
      </c>
      <c r="U50" s="3" t="inlineStr">
        <is>
          <t>ACTIVE</t>
        </is>
      </c>
      <c r="V50" s="3" t="inlineStr">
        <is>
          <t>2026-08-27</t>
        </is>
      </c>
      <c r="W50" s="3" t="n"/>
      <c r="X50" s="3" t="n"/>
      <c r="Y50" s="3" t="inlineStr">
        <is>
          <t>NOTHING OPEN</t>
        </is>
      </c>
    </row>
    <row r="51" ht="60" customHeight="1">
      <c r="A51" s="3" t="inlineStr">
        <is>
          <t>MK-CF-F-050</t>
        </is>
      </c>
      <c r="B51" s="3" t="inlineStr">
        <is>
          <t>loadIncome</t>
        </is>
      </c>
      <c r="C51" s="3" t="inlineStr">
        <is>
          <t>src/domain/income/index.ts</t>
        </is>
      </c>
      <c r="D51" s="3" t="n">
        <v>38</v>
      </c>
      <c r="E51" s="3" t="inlineStr">
        <is>
          <t>3 · DEPENDENT (feeds an action only)</t>
        </is>
      </c>
      <c r="F51" s="3" t="inlineStr">
        <is>
          <t>Reads a person's saved income from storage and calculates nothing.</t>
        </is>
      </c>
      <c r="G51" s="11"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88</v>
      </c>
      <c r="Q5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MK-NW-F-009 maturityClass
79. MK-ST-F-010 nameEvidence
80. MK-CF-F-075 retirementIncomeMonthly
81. MK-ST-F-047 activeCurrency
82. MK-CF-F-099 deductionFor
83. MK-NW-F-011 assetClassOf
84. MK-NW-F-068 prettyDay
85. MK-XS-F-147 call
86. MK-CF-F-187 seniorDeductionFor
87. MK-XS-F-064 currentIdToken
88. MK-XS-F-112 relayUrl</t>
        </is>
      </c>
      <c r="R51" s="3" t="inlineStr">
        <is>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is>
      </c>
      <c r="S51" s="3" t="inlineStr">
        <is>
          <t>—</t>
        </is>
      </c>
      <c r="T51" s="3" t="inlineStr">
        <is>
          <t>—</t>
        </is>
      </c>
      <c r="U51" s="3" t="inlineStr">
        <is>
          <t>ACTIVE</t>
        </is>
      </c>
      <c r="V51" s="3" t="inlineStr">
        <is>
          <t>2026-08-27</t>
        </is>
      </c>
      <c r="W51" s="3" t="n"/>
      <c r="X51" s="3" t="n"/>
      <c r="Y51" s="3" t="inlineStr">
        <is>
          <t>NOTHING OPEN</t>
        </is>
      </c>
    </row>
    <row r="52" ht="60" customHeight="1">
      <c r="A52" s="3" t="inlineStr">
        <is>
          <t>MK-CF-F-051</t>
        </is>
      </c>
      <c r="B52" s="3" t="inlineStr">
        <is>
          <t>saveIncome</t>
        </is>
      </c>
      <c r="C52" s="3" t="inlineStr">
        <is>
          <t>src/domain/income/index.ts</t>
        </is>
      </c>
      <c r="D52" s="3" t="n">
        <v>58</v>
      </c>
      <c r="E52" s="3" t="inlineStr">
        <is>
          <t>1 · ACTION</t>
        </is>
      </c>
      <c r="F52" s="3" t="inlineStr">
        <is>
          <t>Saves a person's income to storage, tells the rest of the app it changed, and calculates nothing.</t>
        </is>
      </c>
      <c r="G52" s="11"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90</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MK-NW-F-068 prettyDay
87. MK-XS-F-147 call
88. MK-CF-F-187 seniorDeductionFor
89. MK-XS-F-064 currentIdToken
90. MK-XS-F-112 relayUrl</t>
        </is>
      </c>
      <c r="R52" s="3" t="inlineStr">
        <is>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is>
      </c>
      <c r="S52" s="3" t="inlineStr">
        <is>
          <t>—</t>
        </is>
      </c>
      <c r="T52" s="3" t="inlineStr">
        <is>
          <t>—</t>
        </is>
      </c>
      <c r="U52" s="3" t="inlineStr">
        <is>
          <t>ACTIVE</t>
        </is>
      </c>
      <c r="V52" s="3" t="inlineStr">
        <is>
          <t>2026-08-27</t>
        </is>
      </c>
      <c r="W52" s="3" t="n"/>
      <c r="X52" s="3" t="n"/>
      <c r="Y52" s="3" t="inlineStr">
        <is>
          <t>NOTHING OPEN</t>
        </is>
      </c>
    </row>
    <row r="53" ht="60" customHeight="1">
      <c r="A53" s="3" t="inlineStr">
        <is>
          <t>MK-CF-F-052</t>
        </is>
      </c>
      <c r="B53" s="3" t="inlineStr">
        <is>
          <t>getIncomeState</t>
        </is>
      </c>
      <c r="C53" s="3" t="inlineStr">
        <is>
          <t>src/domain/income/index.ts</t>
        </is>
      </c>
      <c r="D53" s="3" t="n">
        <v>81</v>
      </c>
      <c r="E53" s="3" t="inlineStr">
        <is>
          <t>3 · DEPENDENT (feeds an action only)</t>
        </is>
      </c>
      <c r="F53" s="3" t="inlineStr">
        <is>
          <t>The public read-model (spec IncomeState): totals, effective rate, monthly grid.</t>
        </is>
      </c>
      <c r="G53" s="11"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109</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MK-XS-F-122 n
28. MK-ST-F-043 newEntityId
29. MK-XS-F-006 pruneDaily
30. MK-ST-F-073 rebuildDays
31. MK-NW-F-054 reclassifyAccounts
32. MK-XS-F-174 recomputeBalances
33. MK-CF-F-115 restoreUndo
34. MK-CF-F-109 reviewTransactions
35. MK-ST-F-044 setMoneyFormat
36. MK-CF-F-114 undoSnapshot
37. MK-CF-F-191 ym
38. MK-CF-F-102 effectiveRateOnGrossFor
39. MK-CF-F-044 annualNet
40. MK-CF-F-127 isRental
41. MK-CF-F-101 taxOwedFor
42. MK-CF-F-100 taxableIncomeFor
43. MK-CF-F-138 addLot
44. MK-CF-F-136 bumpCash
45. MK-CF-F-137 findPos
46. MK-CF-F-139 removeShares
47. MK-PF-F-001 totalShares
48. MK-ST-F-052 toNum
49. MK-ST-F-053 money
50. MK-CF-F-085 filingStatusOf
51. MK-CF-F-097 grossFromNet
52. MK-CF-F-185 needsTakeHomeConversion
53. MK-CF-F-089 over65CountOf
54. MK-CF-F-037 inferDebtType
55. MK-ST-F-069 amountOf
56. MK-CF-F-133 cashOf
57. MK-ST-F-066 isDayKey
58. MK-ST-F-070 isOpening
59. MK-ST-F-039 on
60. MK-ST-F-071 rebuildableFrom
61. MK-ST-F-068 stepDay
62. MK-ST-F-072 undo
63. MK-NW-F-053 correctClassOf
64. MK-NW-F-123 holdingNameEvidence
65. MK-NW-F-121 holdingTagClass
66. MK-NW-F-122 holdingTagFor
67. MK-PF-F-002 costBasis
68. MK-PF-F-009 latestClose
69. MK-PF-F-004 marketValue
70. MK-ST-F-030 record
71. MK-XS-F-024 resolveLens
72. MK-ST-F-055 round2
73. MK-CF-F-162 daysApart
74. MK-CF-F-108 isMoneyOut
75. MK-PL-F-074 median
76. MK-CF-F-131 normPayee
77. MK-CF-F-113 affectedAccountIds
78. MK-CF-O-002 expenses
79. MK-CF-F-099 deductionFor
80. MK-CF-F-134 usesSleeve
81. MK-ST-F-049 formatMoney
82. MK-ST-F-067 utcOfDay
83. MK-CF-F-155 cash
84. MK-ST-F-035 covers
85. MK-NW-F-120 classEvidenceOf
86. MK-NW-F-008 incomeBearingClassOf
87. MK-PF-F-031 contractMultiplier
88. MK-CF-F-072 currentRetirementIncomeMonthly
89. MK-CF-F-151 actualSpending
90. MK-CF-F-150 debtPaymentsCountedAsExpenses
91. MK-CF-F-153 radar
92. MK-CF-F-149 recurringDebtPayments
93. MK-CF-F-187 seniorDeductionFor
94. MK-ST-F-048 currencySymbol
95. MK-ST-F-034 firstDate
96. MK-NW-F-009 maturityClass
97. MK-ST-F-010 nameEvidence
98. MK-CF-F-075 retirementIncomeMonthly
99. MK-CF-F-148 inMonth
100. MK-CF-F-022 paymentShape
101. MK-CF-F-152 isRadarItem
102. MK-CF-F-023 requiredPayment
103. MK-ST-F-047 activeCurrency
104. MK-NW-F-011 assetClassOf
105. MK-NW-F-068 prettyDay
106. MK-XS-F-147 call
107. MK-CF-F-021 defaultPaymentType
108. MK-XS-F-064 currentIdToken
109. MK-XS-F-112 relayUrl</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MK-CF-F-151 actualSpending → MK-CF-O-002 expenses → MK-CF-F-044 annualNet → MK-CF-F-045 grossAnnualBaseline → MK-CF-F-049 buildIncomeState → MK-CF-F-052 getIncomeState
4. MK-CF-F-150 debtPaymentsCountedAsExpenses → MK-CF-O-002 expenses → MK-CF-F-044 annualNet → MK-CF-F-045 grossAnnualBaseline → MK-CF-F-049 buildIncomeState → MK-CF-F-052 getIncomeState
5. MK-CF-F-153 radar → MK-CF-O-002 expenses → MK-CF-F-044 annualNet → MK-CF-F-045 grossAnnualBaseline → MK-CF-F-049 buildIncomeState → MK-CF-F-052 getIncomeState
6. MK-CF-F-149 recurringDebtPayments → MK-CF-O-002 expenses → MK-CF-F-044 annualNet → MK-CF-F-045 grossAnnualBaseline → MK-CF-F-049 buildIncomeState → MK-CF-F-052 getIncomeState
7. MK-CF-F-127 isRental → MK-CF-F-044 annualNet → MK-CF-F-045 grossAnnualBaseline → MK-CF-F-049 buildIncomeState → MK-CF-F-052 getIncomeState
8. MK-CF-F-132 map → MK-CF-F-049 buildIncomeState → MK-CF-F-052 getIncomeState
9. … and 5 more paths</t>
        </is>
      </c>
      <c r="S53" s="3" t="inlineStr">
        <is>
          <t>—</t>
        </is>
      </c>
      <c r="T53" s="3" t="inlineStr">
        <is>
          <t>—</t>
        </is>
      </c>
      <c r="U53" s="3" t="inlineStr">
        <is>
          <t>ACTIVE</t>
        </is>
      </c>
      <c r="V53" s="3" t="inlineStr">
        <is>
          <t>2026-08-27</t>
        </is>
      </c>
      <c r="W53" s="3" t="n"/>
      <c r="X53" s="3" t="n"/>
      <c r="Y53" s="3" t="inlineStr">
        <is>
          <t>NOTHING OPEN</t>
        </is>
      </c>
    </row>
    <row r="54" ht="60" customHeight="1">
      <c r="A54" s="3" t="inlineStr">
        <is>
          <t>MK-CF-F-053</t>
        </is>
      </c>
      <c r="B54" s="3" t="inlineStr">
        <is>
          <t>annual401kLimit</t>
        </is>
      </c>
      <c r="C54" s="3" t="inlineStr">
        <is>
          <t>src/domain/income/limits.ts</t>
        </is>
      </c>
      <c r="D54" s="3" t="n">
        <v>143</v>
      </c>
      <c r="E54" s="3" t="inlineStr">
        <is>
          <t>2 · DISPLAYED</t>
        </is>
      </c>
      <c r="F54" s="3" t="inlineStr">
        <is>
          <t>Annual employee 401(k) limit for the user's age (adds the 50+ catch-up).</t>
        </is>
      </c>
      <c r="G54" s="11"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W54" s="3" t="n"/>
      <c r="X54" s="3" t="n"/>
      <c r="Y54" s="6" t="inlineStr">
        <is>
          <t>TESTED, NOT VERIFIED (G1)</t>
        </is>
      </c>
    </row>
    <row r="55" ht="60" customHeight="1">
      <c r="A55" s="3" t="inlineStr">
        <is>
          <t>MK-CF-F-054</t>
        </is>
      </c>
      <c r="B55" s="3" t="inlineStr">
        <is>
          <t>annualIraLimit</t>
        </is>
      </c>
      <c r="C55" s="3" t="inlineStr">
        <is>
          <t>src/domain/income/limits.ts</t>
        </is>
      </c>
      <c r="D55" s="3" t="n">
        <v>173</v>
      </c>
      <c r="E55" s="3" t="inlineStr">
        <is>
          <t>2 · DISPLAYED</t>
        </is>
      </c>
      <c r="F55" s="3" t="inlineStr">
        <is>
          <t>How much a person may put into an IRA this year: the standard limit, plus the catch-up amount from age 50.</t>
        </is>
      </c>
      <c r="G55" s="11"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W55" s="3" t="n"/>
      <c r="X55" s="3" t="n"/>
      <c r="Y55" s="6" t="inlineStr">
        <is>
          <t>TESTED, NOT VERIFIED (G1)</t>
        </is>
      </c>
    </row>
    <row r="56" ht="60" customHeight="1">
      <c r="A56" s="3" t="inlineStr">
        <is>
          <t>MK-CF-F-055</t>
        </is>
      </c>
      <c r="B56" s="3" t="inlineStr">
        <is>
          <t>annualHsaLimit</t>
        </is>
      </c>
      <c r="C56" s="3" t="inlineStr">
        <is>
          <t>src/domain/income/limits.ts</t>
        </is>
      </c>
      <c r="D56" s="3" t="n">
        <v>201</v>
      </c>
      <c r="E56" s="3" t="inlineStr">
        <is>
          <t>3 · DEPENDENT</t>
        </is>
      </c>
      <c r="F56" s="3" t="inlineStr">
        <is>
          <t>How much can this person put into a health savings account this year?</t>
        </is>
      </c>
      <c r="G56" s="11"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2026-09-28</t>
        </is>
      </c>
      <c r="W56" s="3" t="n"/>
      <c r="X56" s="3" t="n"/>
      <c r="Y56" s="6" t="inlineStr">
        <is>
          <t>TESTED, NOT VERIFIED (G1, G10)</t>
        </is>
      </c>
    </row>
    <row r="57" ht="60" customHeight="1">
      <c r="A57" s="3" t="inlineStr">
        <is>
          <t>MK-CF-F-056</t>
        </is>
      </c>
      <c r="B57" s="3" t="inlineStr">
        <is>
          <t>k401Headroom</t>
        </is>
      </c>
      <c r="C57" s="3" t="inlineStr">
        <is>
          <t>src/domain/income/limits.ts</t>
        </is>
      </c>
      <c r="D57" s="3" t="n">
        <v>235</v>
      </c>
      <c r="E57" s="3" t="inlineStr">
        <is>
          <t>2 · DISPLAYED</t>
        </is>
      </c>
      <c r="F57" s="3" t="inlineStr">
        <is>
          <t>How much more you can still put into your 401(k) this year (incl.</t>
        </is>
      </c>
      <c r="G57" s="11"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W57" s="3" t="n"/>
      <c r="X57" s="3" t="n"/>
      <c r="Y57" s="3" t="inlineStr">
        <is>
          <t>NOTHING OPEN</t>
        </is>
      </c>
    </row>
    <row r="58" ht="60" customHeight="1">
      <c r="A58" s="3" t="inlineStr">
        <is>
          <t>MK-CF-F-057</t>
        </is>
      </c>
      <c r="B58" s="3" t="inlineStr">
        <is>
          <t>rothVsTraditional</t>
        </is>
      </c>
      <c r="C58" s="3" t="inlineStr">
        <is>
          <t>src/domain/income/limits.ts</t>
        </is>
      </c>
      <c r="D58" s="3" t="n">
        <v>259</v>
      </c>
      <c r="E58" s="3" t="inlineStr">
        <is>
          <t>2 · DISPLAYED</t>
        </is>
      </c>
      <c r="F58" s="3" t="inlineStr">
        <is>
          <t>Roth vs Traditional lean from current vs expected-retirement marginal rate (decimals).</t>
        </is>
      </c>
      <c r="G58" s="11"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W58" s="3" t="n"/>
      <c r="X58" s="3" t="n"/>
      <c r="Y58" s="6" t="inlineStr">
        <is>
          <t>TESTED, NOT VERIFIED (G35)</t>
        </is>
      </c>
    </row>
    <row r="59" ht="60" customHeight="1">
      <c r="A59" s="3" t="inlineStr">
        <is>
          <t>MK-CF-F-058</t>
        </is>
      </c>
      <c r="B59" s="3" t="inlineStr">
        <is>
          <t>rothConversionWindow</t>
        </is>
      </c>
      <c r="C59" s="3" t="inlineStr">
        <is>
          <t>src/domain/income/limits.ts</t>
        </is>
      </c>
      <c r="D59" s="3" t="n">
        <v>283</v>
      </c>
      <c r="E59" s="3" t="inlineStr">
        <is>
          <t>2 · DISPLAYED</t>
        </is>
      </c>
      <c r="F59" s="3" t="inlineStr">
        <is>
          <t>Are you in the low-income "Roth conversion window" (retired, before RMDs/SS push income up)?</t>
        </is>
      </c>
      <c r="G59" s="11"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W59" s="3" t="n"/>
      <c r="X59" s="3" t="n"/>
      <c r="Y59" s="3" t="inlineStr">
        <is>
          <t>NOTHING OPEN</t>
        </is>
      </c>
    </row>
    <row r="60" ht="60" customHeight="1">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1"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W60" s="3" t="n"/>
      <c r="X60" s="3" t="n"/>
      <c r="Y60" s="3" t="inlineStr">
        <is>
          <t>NOTHING OPEN</t>
        </is>
      </c>
    </row>
    <row r="61" ht="60" customHeight="1">
      <c r="A61" s="3" t="inlineStr">
        <is>
          <t>MK-CF-F-060</t>
        </is>
      </c>
      <c r="B61" s="3" t="inlineStr">
        <is>
          <t>salaryGrossByMonth</t>
        </is>
      </c>
      <c r="C61" s="3" t="inlineStr">
        <is>
          <t>src/domain/income/onboarding.ts</t>
        </is>
      </c>
      <c r="D61" s="3" t="n">
        <v>130</v>
      </c>
      <c r="E61" s="3" t="inlineStr">
        <is>
          <t>3 · DEPENDENT</t>
        </is>
      </c>
      <c r="F61" s="3" t="inlineStr">
        <is>
          <t>Per-month GROSS base salary, Jan→Dec.</t>
        </is>
      </c>
      <c r="G61" s="11"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W61" s="3" t="n"/>
      <c r="X61" s="3" t="n"/>
      <c r="Y61" s="6" t="inlineStr">
        <is>
          <t>TESTED, NOT VERIFIED (G37)</t>
        </is>
      </c>
    </row>
    <row r="62" ht="60" customHeight="1">
      <c r="A62" s="3" t="inlineStr">
        <is>
          <t>MK-CF-F-061</t>
        </is>
      </c>
      <c r="B62" s="3" t="inlineStr">
        <is>
          <t>grossSalaryMonthly</t>
        </is>
      </c>
      <c r="C62" s="3" t="inlineStr">
        <is>
          <t>src/domain/income/onboarding.ts</t>
        </is>
      </c>
      <c r="D62" s="3" t="n">
        <v>216</v>
      </c>
      <c r="E62" s="3" t="inlineStr">
        <is>
          <t>3 · DEPENDENT</t>
        </is>
      </c>
      <c r="F62" s="3" t="inlineStr">
        <is>
          <t>A representative full-month GROSS salary (the highest month — undiluted by $0 gap months).</t>
        </is>
      </c>
      <c r="G62" s="11"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W62" s="3" t="n"/>
      <c r="X62" s="3" t="n"/>
      <c r="Y62" s="3" t="inlineStr">
        <is>
          <t>NOTHING OPEN</t>
        </is>
      </c>
    </row>
    <row r="63" ht="60" customHeight="1">
      <c r="A63" s="3" t="inlineStr">
        <is>
          <t>MK-CF-F-062</t>
        </is>
      </c>
      <c r="B63" s="3" t="inlineStr">
        <is>
          <t>equityRowValue</t>
        </is>
      </c>
      <c r="C63" s="3" t="inlineStr">
        <is>
          <t>src/domain/income/onboarding.ts</t>
        </is>
      </c>
      <c r="D63" s="3" t="n">
        <v>255</v>
      </c>
      <c r="E63" s="3" t="inlineStr">
        <is>
          <t>3 · DEPENDENT</t>
        </is>
      </c>
      <c r="F63" s="3" t="inlineStr">
        <is>
          <t>Value of one vesting-schedule row.</t>
        </is>
      </c>
      <c r="G63" s="11"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W63" s="3" t="n"/>
      <c r="X63" s="3" t="n"/>
      <c r="Y63" s="3" t="inlineStr">
        <is>
          <t>NOTHING OPEN</t>
        </is>
      </c>
    </row>
    <row r="64" ht="60" customHeight="1">
      <c r="A64" s="3" t="inlineStr">
        <is>
          <t>MK-CF-F-063</t>
        </is>
      </c>
      <c r="B64" s="3" t="inlineStr">
        <is>
          <t>rowVestYear</t>
        </is>
      </c>
      <c r="C64" s="3" t="inlineStr">
        <is>
          <t>src/domain/income/onboarding.ts</t>
        </is>
      </c>
      <c r="D64" s="3" t="n">
        <v>294</v>
      </c>
      <c r="E64" s="3" t="inlineStr">
        <is>
          <t>3 · DEPENDENT</t>
        </is>
      </c>
      <c r="F64" s="3" t="inlineStr">
        <is>
          <t>Calendar year a row vests (first 4 digits of its date; this year if blank).</t>
        </is>
      </c>
      <c r="G64" s="11"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W64" s="3" t="n"/>
      <c r="X64" s="3" t="n"/>
      <c r="Y64" s="3" t="inlineStr">
        <is>
          <t>NOTHING OPEN</t>
        </is>
      </c>
    </row>
    <row r="65" ht="60" customHeight="1">
      <c r="A65" s="3" t="inlineStr">
        <is>
          <t>MK-CF-F-064</t>
        </is>
      </c>
      <c r="B65" s="3" t="inlineStr">
        <is>
          <t>equityCashFlow</t>
        </is>
      </c>
      <c r="C65" s="3" t="inlineStr">
        <is>
          <t>src/domain/income/onboarding.ts</t>
        </is>
      </c>
      <c r="D65" s="3" t="n">
        <v>321</v>
      </c>
      <c r="E65" s="3" t="inlineStr">
        <is>
          <t>2 · DISPLAYED</t>
        </is>
      </c>
      <c r="F65" s="3" t="inlineStr">
        <is>
          <t>Per-calendar-year vesting cash flow across all schedule rows — drives the chart &amp; table.</t>
        </is>
      </c>
      <c r="G65" s="11"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W65" s="3" t="n"/>
      <c r="X65" s="3" t="n"/>
      <c r="Y65" s="3" t="inlineStr">
        <is>
          <t>NOTHING OPEN</t>
        </is>
      </c>
    </row>
    <row r="66" ht="60" customHeight="1">
      <c r="A66" s="3" t="inlineStr">
        <is>
          <t>MK-CF-F-065</t>
        </is>
      </c>
      <c r="B66" s="3" t="inlineStr">
        <is>
          <t>equityVestWeights</t>
        </is>
      </c>
      <c r="C66" s="3" t="inlineStr">
        <is>
          <t>src/domain/income/onboarding.ts</t>
        </is>
      </c>
      <c r="D66" s="3" t="n">
        <v>378</v>
      </c>
      <c r="E66" s="3" t="inlineStr">
        <is>
          <t>3 · DEPENDENT</t>
        </is>
      </c>
      <c r="F66" s="3" t="inlineStr">
        <is>
          <t>Vest-month weights (Jan→Dec, summing to 1) from the equity grant rows — THE one placement rule.</t>
        </is>
      </c>
      <c r="G66" s="11"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W66" s="3" t="n"/>
      <c r="X66" s="3" t="n"/>
      <c r="Y66" s="3" t="inlineStr">
        <is>
          <t>NOTHING OPEN</t>
        </is>
      </c>
    </row>
    <row r="67" ht="60" customHeight="1">
      <c r="A67" s="3" t="inlineStr">
        <is>
          <t>MK-CF-F-066</t>
        </is>
      </c>
      <c r="B67" s="3" t="inlineStr">
        <is>
          <t>rsuAnnual</t>
        </is>
      </c>
      <c r="C67" s="3" t="inlineStr">
        <is>
          <t>src/domain/income/onboarding.ts</t>
        </is>
      </c>
      <c r="D67" s="3" t="n">
        <v>435</v>
      </c>
      <c r="E67" s="3" t="inlineStr">
        <is>
          <t>2 · DISPLAYED</t>
        </is>
      </c>
      <c r="F67" s="3" t="inlineStr">
        <is>
          <t>Annual equity-comp run-rate: total scheduled value spread over the years it vests across (a level annual figure for the income estimate).</t>
        </is>
      </c>
      <c r="G67" s="11"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W67" s="3" t="n"/>
      <c r="X67" s="3" t="n"/>
      <c r="Y67" s="3" t="inlineStr">
        <is>
          <t>NOTHING OPEN</t>
        </is>
      </c>
    </row>
    <row r="68" ht="60" customHeight="1">
      <c r="A68" s="3" t="inlineStr">
        <is>
          <t>MK-CF-F-067</t>
        </is>
      </c>
      <c r="B68" s="3" t="inlineStr">
        <is>
          <t>rentalList</t>
        </is>
      </c>
      <c r="C68" s="3" t="inlineStr">
        <is>
          <t>src/domain/income/onboarding.ts</t>
        </is>
      </c>
      <c r="D68" s="3" t="n">
        <v>482</v>
      </c>
      <c r="E68" s="3" t="inlineStr">
        <is>
          <t>3 · DEPENDENT</t>
        </is>
      </c>
      <c r="F68" s="3" t="inlineStr">
        <is>
          <t>Normalized list of rental properties.</t>
        </is>
      </c>
      <c r="G68" s="11" t="inlineStr">
        <is>
          <t>a = op (or none when missing)
norm = (t: any): 'long' | 'short' =&gt; (t = 'short' ? 'short' : 'long')
rent = (v: any) =&gt; rent figure(v) (or 0 when missing)
the answer = []</t>
        </is>
      </c>
      <c r="H68" s="3" t="inlineStr">
        <is>
          <t>A is op (or none — when missing). Norm is (t: any): 'long' | 'short' =&gt; (t = 'short' ? 'short' : 'long'). Rent is (v: any) =&gt; rent figure(v) (or 0 — when missing).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MK-CF-O-002 expenses
2. MK-CF-F-132 map
3. MK-ST-F-085 rentFigure</t>
        </is>
      </c>
      <c r="P68" s="3" t="n">
        <v>16</v>
      </c>
      <c r="Q68" s="3" t="inlineStr">
        <is>
          <t>1. MK-CF-O-002 expenses
2. MK-CF-F-132 map
3. MK-ST-F-085 rentFigure
4. MK-CF-F-151 actualSpending
5. MK-CF-F-150 debtPaymentsCountedAsExpenses
6. MK-CF-F-153 radar
7. MK-CF-F-149 recurringDebtPayments
8. MK-XS-F-122 n
9. MK-CF-F-148 inMonth
10. MK-ST-F-052 toNum
11. MK-CF-F-191 ym
12. MK-ST-F-056 has
13. MK-CF-F-022 paymentShape
14. MK-CF-F-152 isRadarItem
15. MK-CF-F-023 requiredPayment
16. MK-CF-F-021 defaultPaymentType</t>
        </is>
      </c>
      <c r="R68" s="3" t="inlineStr">
        <is>
          <t>1. MK-CF-F-191 ym → MK-CF-F-148 inMonth → MK-CF-F-151 actualSpending → MK-CF-O-002 expenses → MK-CF-F-067 rentalList
2. MK-XS-F-122 n → MK-ST-F-052 toNum → MK-CF-F-151 actualSpending → MK-CF-O-002 expenses → MK-CF-F-067 rentalList
3. MK-CF-F-191 ym → MK-CF-F-151 actualSpending → MK-CF-O-002 expenses → MK-CF-F-067 rentalList
4. MK-ST-F-056 has → MK-CF-F-150 debtPaymentsCountedAsExpenses → MK-CF-O-002 expenses → MK-CF-F-067 rentalList
5. MK-CF-F-191 ym → MK-CF-F-148 inMonth → MK-CF-F-150 debtPaymentsCountedAsExpenses → MK-CF-O-002 expenses → MK-CF-F-067 rentalList
6. MK-CF-F-021 defaultPaymentType → MK-CF-F-022 paymentShape → MK-CF-F-150 debtPaymentsCountedAsExpenses → MK-CF-O-002 expenses → MK-CF-F-067 rentalList
7. MK-XS-F-122 n → MK-ST-F-052 toNum → MK-CF-F-150 debtPaymentsCountedAsExpenses → MK-CF-O-002 expenses → MK-CF-F-067 rentalList
8. MK-CF-F-191 ym → MK-CF-F-150 debtPaymentsCountedAsExpenses → MK-CF-O-002 expenses → MK-CF-F-067 rentalList
9. … and 5 more paths</t>
        </is>
      </c>
      <c r="S68" s="3" t="inlineStr">
        <is>
          <t>—</t>
        </is>
      </c>
      <c r="T68" s="3" t="inlineStr">
        <is>
          <t>RENTALS</t>
        </is>
      </c>
      <c r="U68" s="3" t="inlineStr">
        <is>
          <t>ACTIVE</t>
        </is>
      </c>
      <c r="V68" s="3" t="inlineStr">
        <is>
          <t>2026-10-10</t>
        </is>
      </c>
      <c r="W68" s="3" t="n"/>
      <c r="X68" s="3" t="n"/>
      <c r="Y68" s="3" t="inlineStr">
        <is>
          <t>NOTHING OPEN</t>
        </is>
      </c>
    </row>
    <row r="69" ht="60" customHeight="1">
      <c r="A69" s="3" t="inlineStr">
        <is>
          <t>MK-CF-F-068</t>
        </is>
      </c>
      <c r="B69" s="3" t="inlineStr">
        <is>
          <t>rentalNetAnnual</t>
        </is>
      </c>
      <c r="C69" s="3" t="inlineStr">
        <is>
          <t>src/domain/income/onboarding.ts</t>
        </is>
      </c>
      <c r="D69" s="3" t="n">
        <v>538</v>
      </c>
      <c r="E69" s="3" t="inlineStr">
        <is>
          <t>2 · DISPLAYED</t>
        </is>
      </c>
      <c r="F69" s="3" t="inlineStr">
        <is>
          <t>Total net rental income per year, across all properties (income − operating expenses).</t>
        </is>
      </c>
      <c r="G69" s="11"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NOT FOUND — a screen calls it, but the words printed beside its answer could not be traced automatically. Needs reading.</t>
        </is>
      </c>
      <c r="M69" s="3" t="inlineStr">
        <is>
          <t>· Turns a monthly figure into a year by multiplying by twelve.</t>
        </is>
      </c>
      <c r="N69" s="3" t="inlineStr">
        <is>
          <t>Yes</t>
        </is>
      </c>
      <c r="O69" s="3" t="inlineStr">
        <is>
          <t>1. MK-CF-O-002 expenses
2. MK-CF-F-067 rentalList</t>
        </is>
      </c>
      <c r="P69" s="3" t="n">
        <v>17</v>
      </c>
      <c r="Q69" s="3" t="inlineStr">
        <is>
          <t>1. MK-CF-O-002 expenses
2. MK-CF-F-067 rentalList
3. MK-CF-F-151 actualSpending
4. MK-CF-F-150 debtPaymentsCountedAsExpenses
5. MK-CF-F-153 radar
6. MK-CF-F-149 recurringDebtPayments
7. MK-CF-F-132 map
8. MK-ST-F-085 rentFigure
9. MK-CF-F-148 inMonth
10. MK-ST-F-052 toNum
11. MK-CF-F-191 ym
12. MK-ST-F-056 has
13. MK-CF-F-022 paymentShape
14. MK-CF-F-152 isRadarItem
15. MK-CF-F-023 requiredPayment
16. MK-XS-F-122 n
17. MK-CF-F-021 defaultPaymentType</t>
        </is>
      </c>
      <c r="R69"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S69" s="3" t="inlineStr">
        <is>
          <t>—</t>
        </is>
      </c>
      <c r="T69" s="3" t="inlineStr">
        <is>
          <t>RENTAL_INCOME_A_YEAR</t>
        </is>
      </c>
      <c r="U69" s="3" t="inlineStr">
        <is>
          <t>ACTIVE</t>
        </is>
      </c>
      <c r="V69" s="3" t="inlineStr">
        <is>
          <t>2026-08-27</t>
        </is>
      </c>
      <c r="W69" s="3" t="n"/>
      <c r="X69" s="3" t="n"/>
      <c r="Y69" s="3" t="inlineStr">
        <is>
          <t>NOTHING OPEN</t>
        </is>
      </c>
    </row>
    <row r="70" ht="60" customHeight="1">
      <c r="A70" s="3" t="inlineStr">
        <is>
          <t>MK-CF-F-069</t>
        </is>
      </c>
      <c r="B70" s="3" t="inlineStr">
        <is>
          <t>benefitActiveMonths</t>
        </is>
      </c>
      <c r="C70" s="3" t="inlineStr">
        <is>
          <t>src/domain/income/onboarding.ts</t>
        </is>
      </c>
      <c r="D70" s="3" t="n">
        <v>576</v>
      </c>
      <c r="E70" s="3" t="inlineStr">
        <is>
          <t>3 · DEPENDENT</t>
        </is>
      </c>
      <c r="F70" s="3" t="inlineStr">
        <is>
          <t>Calendar months (1-12) benefits are received — e.g.</t>
        </is>
      </c>
      <c r="G70" s="11"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W70" s="3" t="n"/>
      <c r="X70" s="3" t="n"/>
      <c r="Y70" s="3" t="inlineStr">
        <is>
          <t>NOTHING OPEN</t>
        </is>
      </c>
    </row>
    <row r="71" ht="60" customHeight="1">
      <c r="A71" s="3" t="inlineStr">
        <is>
          <t>MK-CF-F-070</t>
        </is>
      </c>
      <c r="B71" s="3" t="inlineStr">
        <is>
          <t>benefitAnnual</t>
        </is>
      </c>
      <c r="C71" s="3" t="inlineStr">
        <is>
          <t>src/domain/income/onboarding.ts</t>
        </is>
      </c>
      <c r="D71" s="3" t="n">
        <v>610</v>
      </c>
      <c r="E71" s="3" t="inlineStr">
        <is>
          <t>2 · DISPLAYED</t>
        </is>
      </c>
      <c r="F71" s="3" t="inlineStr">
        <is>
          <t>Annual benefits = monthly amount × the months it's actually received.</t>
        </is>
      </c>
      <c r="G71" s="11"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W71" s="3" t="n"/>
      <c r="X71" s="3" t="n"/>
      <c r="Y71" s="3" t="inlineStr">
        <is>
          <t>NOTHING OPEN</t>
        </is>
      </c>
    </row>
    <row r="72" ht="60" customHeight="1">
      <c r="A72" s="3" t="inlineStr">
        <is>
          <t>MK-CF-F-071</t>
        </is>
      </c>
      <c r="B72" s="3" t="inlineStr">
        <is>
          <t>extraIncome</t>
        </is>
      </c>
      <c r="C72" s="3" t="inlineStr">
        <is>
          <t>src/domain/income/onboarding.ts</t>
        </is>
      </c>
      <c r="D72" s="3" t="n">
        <v>664</v>
      </c>
      <c r="E72" s="3" t="inlineStr">
        <is>
          <t>2 · DISPLAYED</t>
        </is>
      </c>
      <c r="F72" s="3" t="inlineStr">
        <is>
          <t>Extra income sources beyond salary/rental/equity (self-employment, investment, benefits, support, scholarship, other), split into taxable vs non-taxable steady monthly amounts + a one-time Jan amount.</t>
        </is>
      </c>
      <c r="G72" s="11"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W72" s="3" t="n"/>
      <c r="X72" s="3" t="n"/>
      <c r="Y72" s="3" t="inlineStr">
        <is>
          <t>NOTHING OPEN</t>
        </is>
      </c>
    </row>
    <row r="73" ht="60" customHeight="1">
      <c r="A73" s="3" t="inlineStr">
        <is>
          <t>MK-CF-F-072</t>
        </is>
      </c>
      <c r="B73" s="3" t="inlineStr">
        <is>
          <t>currentRetirementIncomeMonthly</t>
        </is>
      </c>
      <c r="C73" s="3" t="inlineStr">
        <is>
          <t>src/domain/income/onboarding.ts</t>
        </is>
      </c>
      <c r="D73" s="3" t="n">
        <v>743</v>
      </c>
      <c r="E73" s="3" t="inlineStr">
        <is>
          <t>2 · DISPLAYED</t>
        </is>
      </c>
      <c r="F73" s="3" t="inlineStr">
        <is>
          <t>Retirement income (ri_*) counts as CURRENT income only when the user actually receives it now — i.e.</t>
        </is>
      </c>
      <c r="G73" s="11"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MK-PL-M-018 · MK-PL-M-032</t>
        </is>
      </c>
      <c r="T73" s="3" t="inlineStr">
        <is>
          <t>RETIREMENT_INCOME_NOW</t>
        </is>
      </c>
      <c r="U73" s="3" t="inlineStr">
        <is>
          <t>ACTIVE</t>
        </is>
      </c>
      <c r="V73" s="3" t="inlineStr">
        <is>
          <t>2026-08-27</t>
        </is>
      </c>
      <c r="W73" s="3" t="n"/>
      <c r="X73" s="3" t="n"/>
      <c r="Y73" s="3" t="inlineStr">
        <is>
          <t>NOTHING OPEN</t>
        </is>
      </c>
    </row>
    <row r="74" ht="45" customHeight="1">
      <c r="A74" s="3" t="inlineStr">
        <is>
          <t>MK-CF-F-073</t>
        </is>
      </c>
      <c r="B74" s="3" t="inlineStr">
        <is>
          <t>otherIncomeMonth</t>
        </is>
      </c>
      <c r="C74" s="3" t="inlineStr">
        <is>
          <t>src/domain/income/onboarding.ts</t>
        </is>
      </c>
      <c r="D74" s="3" t="n">
        <v>778</v>
      </c>
      <c r="E74" s="3" t="inlineStr">
        <is>
          <t>3 · DEPENDENT</t>
        </is>
      </c>
      <c r="F74" s="3" t="inlineStr">
        <is>
          <t>Calendar month (1-12) a one-time "other income" lands in (default January).</t>
        </is>
      </c>
      <c r="G74" s="11"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W74" s="3" t="n"/>
      <c r="X74" s="3" t="n"/>
      <c r="Y74" s="3" t="inlineStr">
        <is>
          <t>NOTHING OPEN</t>
        </is>
      </c>
    </row>
    <row r="75" ht="60" customHeight="1">
      <c r="A75" s="3" t="inlineStr">
        <is>
          <t>MK-CF-F-074</t>
        </is>
      </c>
      <c r="B75" s="3" t="inlineStr">
        <is>
          <t>tipsAnnual</t>
        </is>
      </c>
      <c r="C75" s="3" t="inlineStr">
        <is>
          <t>src/domain/income/onboarding.ts</t>
        </is>
      </c>
      <c r="D75" s="3" t="n">
        <v>817</v>
      </c>
      <c r="E75" s="3" t="inlineStr">
        <is>
          <t>3 · DEPENDENT</t>
        </is>
      </c>
      <c r="F75" s="3" t="inlineStr">
        <is>
          <t>Tips are part of employment income — they only count in the months the job is active, and the annual figure is prorated like salary (a temp job that ends stops the tips too).</t>
        </is>
      </c>
      <c r="G75" s="11"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W75" s="3" t="n"/>
      <c r="X75" s="3" t="n"/>
      <c r="Y75" s="3" t="inlineStr">
        <is>
          <t>NOTHING OPEN</t>
        </is>
      </c>
    </row>
    <row r="76" ht="45" customHeight="1">
      <c r="A76" s="3" t="inlineStr">
        <is>
          <t>MK-CF-F-075</t>
        </is>
      </c>
      <c r="B76" s="3" t="inlineStr">
        <is>
          <t>retirementIncomeMonthly</t>
        </is>
      </c>
      <c r="C76" s="3" t="inlineStr">
        <is>
          <t>src/domain/income/onboarding.ts</t>
        </is>
      </c>
      <c r="D76" s="3" t="n">
        <v>862</v>
      </c>
      <c r="E76" s="3" t="inlineStr">
        <is>
          <t>2 · DISPLAYED</t>
        </is>
      </c>
      <c r="F76" s="3" t="inlineStr">
        <is>
          <t>Retirement income (Social Security, pension, withdrawals, RMDs, annuities) per month — taxable.</t>
        </is>
      </c>
      <c r="G76" s="11"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"Your guaranteed income" — on the Monthly income screen, under "Other steady income"</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W76" s="3" t="n"/>
      <c r="X76" s="3" t="n"/>
      <c r="Y76" s="3" t="inlineStr">
        <is>
          <t>NOTHING OPEN</t>
        </is>
      </c>
    </row>
    <row r="77" ht="60" customHeight="1">
      <c r="A77" s="3" t="inlineStr">
        <is>
          <t>MK-CF-F-076</t>
        </is>
      </c>
      <c r="B77" s="3" t="inlineStr">
        <is>
          <t>guaranteedOutsideStreams</t>
        </is>
      </c>
      <c r="C77" s="3" t="inlineStr">
        <is>
          <t>src/domain/income/onboarding.ts</t>
        </is>
      </c>
      <c r="D77" s="3" t="n">
        <v>908</v>
      </c>
      <c r="E77" s="3" t="inlineStr">
        <is>
          <t>2 · DISPLAYED</t>
        </is>
      </c>
      <c r="F77" s="3" t="inlineStr">
        <is>
          <t>The guaranteed income that comes from outside the person's own savings, one row for each source that pays anything: Social Security, a pension, an annuity or another, each as a monthly amount with whether it rises with prices.</t>
        </is>
      </c>
      <c r="G77" s="11"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W77" s="3" t="n"/>
      <c r="X77" s="3" t="n"/>
      <c r="Y77" s="6" t="inlineStr">
        <is>
          <t>TESTED, NOT VERIFIED (G13, G14)</t>
        </is>
      </c>
    </row>
    <row r="78" ht="60" customHeight="1">
      <c r="A78" s="3" t="inlineStr">
        <is>
          <t>MK-CF-F-077</t>
        </is>
      </c>
      <c r="B78" s="3" t="inlineStr">
        <is>
          <t>scholarshipByCalendarMonth</t>
        </is>
      </c>
      <c r="C78" s="3" t="inlineStr">
        <is>
          <t>src/domain/income/onboarding.ts</t>
        </is>
      </c>
      <c r="D78" s="3" t="n">
        <v>958</v>
      </c>
      <c r="E78" s="3" t="inlineStr">
        <is>
          <t>3 · DEPENDENT</t>
        </is>
      </c>
      <c r="F78" s="3" t="inlineStr">
        <is>
          <t>Scholarships/grants placed in the calendar months they actually land (Jan→Dec) — NOT averaged.</t>
        </is>
      </c>
      <c r="G78" s="11"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W78" s="3" t="n"/>
      <c r="X78" s="3" t="n"/>
      <c r="Y78" s="3" t="inlineStr">
        <is>
          <t>NOTHING OPEN</t>
        </is>
      </c>
    </row>
    <row r="79" ht="60" customHeight="1">
      <c r="A79" s="3" t="inlineStr">
        <is>
          <t>MK-CF-F-078</t>
        </is>
      </c>
      <c r="B79" s="3" t="inlineStr">
        <is>
          <t>employerMatchMonthly</t>
        </is>
      </c>
      <c r="C79" s="3" t="inlineStr">
        <is>
          <t>src/domain/income/onboarding.ts</t>
        </is>
      </c>
      <c r="D79" s="3" t="n">
        <v>1000</v>
      </c>
      <c r="E79" s="3" t="inlineStr">
        <is>
          <t>2 · DISPLAYED</t>
        </is>
      </c>
      <c r="F79" s="3" t="inlineStr">
        <is>
          <t>Employer match resolved to $/month.</t>
        </is>
      </c>
      <c r="G79" s="11"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W79" s="3" t="n"/>
      <c r="X79" s="3" t="n"/>
      <c r="Y79" s="3" t="inlineStr">
        <is>
          <t>NOTHING OPEN</t>
        </is>
      </c>
    </row>
    <row r="80" ht="60" customHeight="1">
      <c r="A80" s="3" t="inlineStr">
        <is>
          <t>MK-CF-F-079</t>
        </is>
      </c>
      <c r="B80" s="3" t="inlineStr">
        <is>
          <t>incomeFromOnboarding</t>
        </is>
      </c>
      <c r="C80" s="3" t="inlineStr">
        <is>
          <t>src/domain/income/onboarding.ts</t>
        </is>
      </c>
      <c r="D80" s="3" t="n">
        <v>1071</v>
      </c>
      <c r="E80" s="3" t="inlineStr">
        <is>
          <t>2 · DISPLAYED</t>
        </is>
      </c>
      <c r="F80" s="3" t="inlineStr">
        <is>
          <t>Turns the income answers given during setup into the list of income sources the app stores.</t>
        </is>
      </c>
      <c r="G80" s="11"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t>
        </is>
      </c>
      <c r="P80" s="3" t="n">
        <v>122</v>
      </c>
      <c r="Q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
14. MK-CF-F-069 benefitActiveMonths
15. MK-CF-F-075 retirementIncomeMonthly
16. MK-CF-F-175 sumOverEarners
17. MK-CF-F-178 wageMatchMonthly
18. MK-CF-F-062 equityRowValue
19. MK-CF-F-151 actualSpending
20. MK-CF-F-150 debtPaymentsCountedAsExpenses
21. MK-CF-F-153 radar
22. MK-CF-F-149 recurringDebtPayments
23. MK-ST-F-085 rentFigure
24. MK-CF-F-063 rowVestYear
25. MK-CF-F-060 salaryGrossByMonth
26. MK-CF-F-081 salaryActiveMonths
27. MK-XS-F-122 n
28. MK-ST-F-027 accountId
29. MK-CF-F-111 applyTransaction
30. MK-NW-F-040 assetsFromOnboarding
31. MK-PF-F-013 benchmarkTicker
32. MK-ST-F-028 buildDayFromAccounts
33. MK-PF-F-034 closeOnOrBefore
34. MK-CF-F-186 convertTakeHomeMode
35. MK-ST-F-079 dailyWindowStart
36. MK-CF-F-038 debtsFromOnboarding
37. MK-XS-F-083 fetchPriceSeries
38. MK-ST-F-084 fillBetweenObservations
39. MK-PL-F-013 goalsFromOnboarding
40. MK-ST-F-056 has
41. MK-CF-F-116 inverseOf
42. MK-ST-F-065 isoLocalDate
43. MK-CF-F-112 makeTransaction
44. MK-XS-F-006 pruneDaily
45. MK-ST-F-073 rebuildDays
46. MK-NW-F-054 reclassifyAccounts
47. MK-XS-F-174 recomputeBalances
48. MK-CF-F-115 restoreUndo
49. MK-CF-F-109 reviewTransactions
50. MK-ST-F-044 setMoneyFormat
51. MK-CF-F-114 undoSnapshot
52. MK-CF-F-191 ym
53. MK-CF-F-173 earnerWages
54. MK-CF-F-148 inMonth
55. MK-CF-F-022 paymentShape
56. MK-CF-F-152 isRadarItem
57. MK-CF-F-023 requiredPayment
58. MK-CF-F-176 sumMonthsOverEarners
59. MK-CF-F-177 wageGrossByMonth
60. MK-CF-F-138 addLot
61. MK-CF-F-136 bumpCash
62. MK-CF-F-137 findPos
63. MK-CF-F-139 removeShares
64. MK-PF-F-001 totalShares
65. MK-ST-F-053 money
66. MK-CF-F-085 filingStatusOf
67. MK-CF-F-097 grossFromNet
68. MK-CF-F-185 needsTakeHomeConversion
69. MK-CF-F-089 over65CountOf
70. MK-CF-F-037 inferDebtType
71. MK-ST-F-069 amountOf
72. MK-CF-F-133 cashOf
73. MK-ST-F-066 isDayKey
74. MK-ST-F-070 isOpening
75. MK-ST-F-039 on
76. MK-ST-F-071 rebuildableFrom
77. MK-ST-F-068 stepDay
78. MK-ST-F-072 undo
79. MK-NW-F-053 correctClassOf
80. MK-NW-F-123 holdingNameEvidence
81. MK-NW-F-121 holdingTagClass
82. MK-NW-F-122 holdingTagFor
83. MK-PF-F-002 costBasis
84. MK-PF-F-009 latestClose
85. MK-PF-F-004 marketValue
86. MK-ST-F-030 record
87. MK-XS-F-024 resolveLens
88. MK-ST-F-055 round2
89. MK-CF-F-162 daysApart
90. MK-CF-F-108 isMoneyOut
91. MK-PL-F-074 median
92. MK-CF-F-131 normPayee
93. MK-CF-F-113 affectedAccountIds
94. MK-CF-F-172 hasWage
95. MK-CF-F-021 defaultPaymentType
96. MK-CF-F-130 enteredMonthlyRaw
97. MK-CF-F-166 hasMonthlySalaryTable
98. MK-ST-F-036 reconcile
99. MK-CF-F-167 salaryCalendarYear
100. MK-CF-F-134 usesSleeve
101. MK-ST-F-049 formatMoney
102. MK-CF-F-101 taxOwedFor
103. MK-ST-F-067 utcOfDay
104. MK-CF-F-155 cash
105. MK-ST-F-035 covers
106. MK-NW-F-120 classEvidenceOf
107. MK-NW-F-008 incomeBearingClassOf
108. MK-PF-F-031 contractMultiplier
109. MK-CF-F-165 salaryMonths
110. MK-ST-F-048 currencySymbol
111. MK-CF-F-100 taxableIncomeFor
112. MK-ST-F-034 firstDate
113. MK-NW-F-009 maturityClass
114. MK-ST-F-010 nameEvidence
115. MK-ST-F-047 activeCurrency
116. MK-CF-F-099 deductionFor
117. MK-NW-F-011 assetClassOf
118. MK-NW-F-068 prettyDay
119. MK-XS-F-147 call
120. MK-CF-F-187 seniorDeductionFor
121. MK-XS-F-064 currentIdToken
122. MK-XS-F-112 relayUrl</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MK-CF-F-191 ym → MK-CF-F-148 inMonth → MK-CF-F-151 actualSpending → MK-CF-O-002 expenses → MK-CF-F-079 incomeFromOnboarding
9. … and 5 more paths</t>
        </is>
      </c>
      <c r="S80" s="3" t="inlineStr">
        <is>
          <t>—</t>
        </is>
      </c>
      <c r="T80" s="3" t="inlineStr">
        <is>
          <t>—</t>
        </is>
      </c>
      <c r="U80" s="3" t="inlineStr">
        <is>
          <t>ACTIVE</t>
        </is>
      </c>
      <c r="V80" s="3" t="inlineStr">
        <is>
          <t>2026-08-27</t>
        </is>
      </c>
      <c r="W80" s="3" t="n"/>
      <c r="X80" s="3" t="n"/>
      <c r="Y80" s="3" t="inlineStr">
        <is>
          <t>NOTHING OPEN</t>
        </is>
      </c>
    </row>
    <row r="81" ht="60" customHeight="1">
      <c r="A81" s="3" t="inlineStr">
        <is>
          <t>MK-CF-F-080</t>
        </is>
      </c>
      <c r="B81" s="3" t="inlineStr">
        <is>
          <t>jobActiveMonth</t>
        </is>
      </c>
      <c r="C81" s="3" t="inlineStr">
        <is>
          <t>src/domain/income/onboarding.ts</t>
        </is>
      </c>
      <c r="D81" s="3" t="n">
        <v>1143</v>
      </c>
      <c r="E81" s="3" t="inlineStr">
        <is>
          <t>3 · DEPENDENT (feeds an action only)</t>
        </is>
      </c>
      <c r="F81" s="3" t="inlineStr">
        <is>
          <t>Is base salary present in calendar month i (0-11)?</t>
        </is>
      </c>
      <c r="G81" s="11"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W81" s="3" t="n"/>
      <c r="X81" s="3" t="n"/>
      <c r="Y81" s="3" t="inlineStr">
        <is>
          <t>NOTHING OPEN</t>
        </is>
      </c>
    </row>
    <row r="82" ht="60" customHeight="1">
      <c r="A82" s="3" t="inlineStr">
        <is>
          <t>MK-CF-F-081</t>
        </is>
      </c>
      <c r="B82" s="3" t="inlineStr">
        <is>
          <t>salaryActiveMonths</t>
        </is>
      </c>
      <c r="C82" s="3" t="inlineStr">
        <is>
          <t>src/domain/income/onboarding.ts</t>
        </is>
      </c>
      <c r="D82" s="3" t="n">
        <v>1177</v>
      </c>
      <c r="E82" s="3" t="inlineStr">
        <is>
          <t>3 · DEPENDENT</t>
        </is>
      </c>
      <c r="F82" s="3" t="inlineStr">
        <is>
          <t>How many months of the year you draw a salary.</t>
        </is>
      </c>
      <c r="G82" s="11"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W82" s="3" t="n"/>
      <c r="X82" s="3" t="n"/>
      <c r="Y82" s="3" t="inlineStr">
        <is>
          <t>NOTHING OPEN</t>
        </is>
      </c>
    </row>
    <row r="83" ht="60" customHeight="1">
      <c r="A83" s="3" t="inlineStr">
        <is>
          <t>MK-CF-F-082</t>
        </is>
      </c>
      <c r="B83" s="3" t="inlineStr">
        <is>
          <t>salaryAnnual</t>
        </is>
      </c>
      <c r="C83" s="3" t="inlineStr">
        <is>
          <t>src/domain/income/onboarding.ts</t>
        </is>
      </c>
      <c r="D83" s="3" t="n">
        <v>1215</v>
      </c>
      <c r="E83" s="3" t="inlineStr">
        <is>
          <t>2 · DISPLAYED</t>
        </is>
      </c>
      <c r="F83" s="3" t="inlineStr">
        <is>
          <t>Salary income for the year = sum of the per-month gross salary.</t>
        </is>
      </c>
      <c r="G83" s="11"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W83" s="3" t="n"/>
      <c r="X83" s="3" t="n"/>
      <c r="Y83" s="3" t="inlineStr">
        <is>
          <t>NOTHING OPEN</t>
        </is>
      </c>
    </row>
    <row r="84" ht="60" customHeight="1">
      <c r="A84" s="3" t="inlineStr">
        <is>
          <t>MK-CF-F-083</t>
        </is>
      </c>
      <c r="B84" s="3" t="inlineStr">
        <is>
          <t>totalGrossAnnual</t>
        </is>
      </c>
      <c r="C84" s="3" t="inlineStr">
        <is>
          <t>src/domain/income/onboarding.ts</t>
        </is>
      </c>
      <c r="D84" s="3" t="n">
        <v>1249</v>
      </c>
      <c r="E84" s="3" t="inlineStr">
        <is>
          <t>2 · DISPLAYED</t>
        </is>
      </c>
      <c r="F84" s="3" t="inlineStr">
        <is>
          <t>Total annual income across every inflow (salary for months worked + bonus + signing + equity + net rental + self-employment/investment/benefits/support/scholarship/other).</t>
        </is>
      </c>
      <c r="G84" s="11"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/month" — on the setup questions, which appear on more than one screen
3. "Pay off over (years)" — on the setup questions, which appear on more than one screen
4. "STUDENT LOAN OUTLOOK" — on the Goals screen, under "STUDENT LOAN OUTLOOK"
5. "Total income /year"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40</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MK-ST-F-085 rentFigure
25. MK-CF-F-176 sumMonthsOverEarners
26. MK-CF-F-177 wageGrossByMonth
27. MK-CF-F-148 inMonth
28. MK-CF-F-191 ym
29. MK-ST-F-056 has
30. MK-CF-F-022 paymentShape
31. MK-CF-F-152 isRadarItem
32. MK-CF-F-023 requiredPayment
33. MK-CF-F-173 earnerWages
34. MK-CF-F-130 enteredMonthlyRaw
35. MK-CF-F-166 hasMonthlySalaryTable
36. MK-ST-F-036 reconcile
37. MK-CF-F-167 salaryCalendarYear
38. MK-CF-F-021 defaultPaymentType
39. MK-CF-F-172 hasWage
40. MK-CF-F-165 salaryMonths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S84" s="3" t="inlineStr">
        <is>
          <t>—</t>
        </is>
      </c>
      <c r="T84" s="3" t="inlineStr">
        <is>
          <t>TOTAL_INCOME</t>
        </is>
      </c>
      <c r="U84" s="3" t="inlineStr">
        <is>
          <t>ACTIVE</t>
        </is>
      </c>
      <c r="V84" s="3" t="inlineStr">
        <is>
          <t>2026-08-27</t>
        </is>
      </c>
      <c r="W84" s="3" t="n"/>
      <c r="X84" s="3" t="n"/>
      <c r="Y84" s="3" t="inlineStr">
        <is>
          <t>NOTHING OPEN</t>
        </is>
      </c>
    </row>
    <row r="85" ht="60" customHeight="1">
      <c r="A85" s="3" t="inlineStr">
        <is>
          <t>MK-CF-F-084</t>
        </is>
      </c>
      <c r="B85" s="3" t="inlineStr">
        <is>
          <t>taxableAnnual</t>
        </is>
      </c>
      <c r="C85" s="3" t="inlineStr">
        <is>
          <t>src/domain/income/onboarding.ts</t>
        </is>
      </c>
      <c r="D85" s="3" t="n">
        <v>1291</v>
      </c>
      <c r="E85" s="3" t="inlineStr">
        <is>
          <t>2 · DISPLAYED</t>
        </is>
      </c>
      <c r="F85" s="3" t="inlineStr">
        <is>
          <t>Taxable annual income (excludes non-taxable benefits/support/scholarships) — the base for tax estimates.</t>
        </is>
      </c>
      <c r="G85" s="11"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40</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MK-ST-F-085 rentFigure
25. MK-CF-F-176 sumMonthsOverEarners
26. MK-CF-F-177 wageGrossByMonth
27. MK-CF-F-148 inMonth
28. MK-CF-F-191 ym
29. MK-ST-F-056 has
30. MK-CF-F-022 paymentShape
31. MK-CF-F-152 isRadarItem
32. MK-CF-F-023 requiredPayment
33. MK-CF-F-173 earnerWages
34. MK-CF-F-130 enteredMonthlyRaw
35. MK-CF-F-166 hasMonthlySalaryTable
36. MK-ST-F-036 reconcile
37. MK-CF-F-167 salaryCalendarYear
38. MK-CF-F-021 defaultPaymentType
39. MK-CF-F-172 hasWage
40. MK-CF-F-165 salaryMonths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MK-CF-F-191 ym → MK-CF-F-148 inMonth → MK-CF-F-151 actualSpending → MK-CF-O-002 expenses → MK-CF-F-068 rentalNetAnnual → MK-CF-F-084 taxableAnnual
7. MK-XS-F-122 n → MK-ST-F-052 toNum → MK-CF-F-151 actualSpending → MK-CF-O-002 expenses → MK-CF-F-068 rentalNetAnnual → MK-CF-F-084 taxableAnnual
8. MK-CF-F-191 ym → MK-CF-F-151 actualSpending → MK-CF-O-002 expenses → MK-CF-F-068 rentalNetAnnual → MK-CF-F-084 taxableAnnual
9. … and 5 more paths</t>
        </is>
      </c>
      <c r="S85" s="3" t="inlineStr">
        <is>
          <t>—</t>
        </is>
      </c>
      <c r="T85" s="3" t="inlineStr">
        <is>
          <t>—</t>
        </is>
      </c>
      <c r="U85" s="3" t="inlineStr">
        <is>
          <t>ACTIVE</t>
        </is>
      </c>
      <c r="V85" s="3" t="inlineStr">
        <is>
          <t>2026-08-27</t>
        </is>
      </c>
      <c r="W85" s="3" t="n"/>
      <c r="X85" s="3" t="n"/>
      <c r="Y85" s="3" t="inlineStr">
        <is>
          <t>NOTHING OPEN</t>
        </is>
      </c>
    </row>
    <row r="86" ht="60" customHeight="1">
      <c r="A86" s="3" t="inlineStr">
        <is>
          <t>MK-CF-F-085</t>
        </is>
      </c>
      <c r="B86" s="3" t="inlineStr">
        <is>
          <t>filingStatusOf</t>
        </is>
      </c>
      <c r="C86" s="3" t="inlineStr">
        <is>
          <t>src/domain/income/onboarding.ts</t>
        </is>
      </c>
      <c r="D86" s="3" t="n">
        <v>1336</v>
      </c>
      <c r="E86" s="3" t="inlineStr">
        <is>
          <t>2 · DISPLAYED</t>
        </is>
      </c>
      <c r="F86" s="3" t="inlineStr">
        <is>
          <t>Effective tax rate in use: the user's manual rate, else the IRS-schedule estimate on taxable income.</t>
        </is>
      </c>
      <c r="G86" s="11"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W86" s="3" t="n"/>
      <c r="X86" s="3" t="n"/>
      <c r="Y86" s="3" t="inlineStr">
        <is>
          <t>NOTHING OPEN</t>
        </is>
      </c>
    </row>
    <row r="87" ht="45" customHeight="1">
      <c r="A87" s="3" t="inlineStr">
        <is>
          <t>MK-CF-F-086</t>
        </is>
      </c>
      <c r="B87" s="3" t="inlineStr">
        <is>
          <t>stateRateOf</t>
        </is>
      </c>
      <c r="C87" s="3" t="inlineStr">
        <is>
          <t>src/domain/income/onboarding.ts</t>
        </is>
      </c>
      <c r="D87" s="3" t="n">
        <v>1384</v>
      </c>
      <c r="E87" s="3" t="inlineStr">
        <is>
          <t>2 · DISPLAYED</t>
        </is>
      </c>
      <c r="F87" s="3" t="inlineStr">
        <is>
          <t>The state income tax rate the person entered, as a share, held between 0% and 15%.</t>
        </is>
      </c>
      <c r="G87" s="11"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W87" s="3" t="n"/>
      <c r="X87" s="3" t="n"/>
      <c r="Y87" s="3" t="inlineStr">
        <is>
          <t>NOTHING OPEN</t>
        </is>
      </c>
    </row>
    <row r="88" ht="60" customHeight="1">
      <c r="A88" s="3" t="inlineStr">
        <is>
          <t>MK-CF-F-087</t>
        </is>
      </c>
      <c r="B88" s="3" t="inlineStr">
        <is>
          <t>monthlyTaxRates</t>
        </is>
      </c>
      <c r="C88" s="3" t="inlineStr">
        <is>
          <t>src/domain/income/onboarding.ts</t>
        </is>
      </c>
      <c r="D88" s="3" t="n">
        <v>1429</v>
      </c>
      <c r="E88" s="3" t="inlineStr">
        <is>
          <t>3 · DEPENDENT</t>
        </is>
      </c>
      <c r="F88" s="3" t="inlineStr">
        <is>
          <t>The tax rate for each of the twelve months, as a share: the one rate in force in every month — the person's own where they gave one, otherwise the calculated rate.</t>
        </is>
      </c>
      <c r="G88" s="11"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t>
        </is>
      </c>
      <c r="M88" s="3" t="inlineStr">
        <is>
          <t>· Uses today's date from the device clock, so the answer changes by itself overnight.</t>
        </is>
      </c>
      <c r="N88" s="3" t="inlineStr">
        <is>
          <t>Yes</t>
        </is>
      </c>
      <c r="O88" s="3" t="inlineStr">
        <is>
          <t>1. MK-CF-F-203 MONTH
2. MK-CF-F-090 effectiveRate
3. MK-ST-F-039 on
4. MK-ST-F-052 toNum</t>
        </is>
      </c>
      <c r="P88" s="3" t="n">
        <v>110</v>
      </c>
      <c r="Q88" s="3" t="inlineStr">
        <is>
          <t>1. MK-CF-F-203 MONTH
2. MK-CF-F-090 effectiveRate
3. MK-ST-F-039 on
4. MK-ST-F-052 toNum
5. MK-CF-O-010 theMonth
6. MK-CF-F-181 rateInForce
7. MK-XS-F-122 n
8. MK-CF-F-155 cash
9. MK-CF-O-002 expenses
10. MK-CF-O-003 thisMonth
11. MK-CF-F-173 earnerWages
12. MK-CF-F-180 enteredLandsAnnual
13. MK-CF-F-085 filingStatusOf
14. MK-CF-F-206 householdK401ByMonth
15. MK-CF-F-089 over65CountOf
16. MK-CF-F-082 salaryAnnual
17. MK-CF-F-086 stateRateOf
18. MK-CF-F-101 taxOwedFor
19. MK-CF-F-084 taxableAnnual
20. MK-CF-F-151 actualSpending
21. MK-CF-F-150 debtPaymentsCountedAsExpenses
22. MK-CF-F-153 radar
23. MK-CF-F-149 recurringDebtPayments
24. MK-CF-F-005 actualMonthFlow
25. MK-CF-F-156 plannedMonthFlow
26. MK-CF-F-172 hasWage
27. MK-CF-F-132 map
28. MK-CF-F-176 sumMonthsOverEarners
29. MK-CF-F-177 wageGrossByMonth
30. MK-CF-F-060 salaryGrossByMonth
31. MK-CF-F-100 taxableIncomeFor
32. MK-CF-F-072 currentRetirementIncomeMonthly
33. MK-CF-F-071 extraIncome
34. MK-CF-F-068 rentalNetAnnual
35. MK-CF-F-066 rsuAnnual
36. MK-CF-F-074 tipsAnnual
37. MK-CF-F-148 inMonth
38. MK-CF-F-191 ym
39. MK-ST-F-056 has
40. MK-CF-F-022 paymentShape
41. MK-CF-F-152 isRadarItem
42. MK-CF-F-023 requiredPayment
43. MK-NW-F-078 ONE
44. MK-CF-F-157 debtPaymentsByDebt
45. MK-CF-F-192 inflowLabel
46. MK-XS-F-027 takeHomeMonthly
47. MK-CF-F-130 enteredMonthlyRaw
48. MK-CF-F-166 hasMonthlySalaryTable
49. MK-ST-F-036 reconcile
50. MK-CF-F-167 salaryCalendarYear
51. MK-CF-F-099 deductionFor
52. MK-CF-F-075 retirementIncomeMonthly
53. MK-CF-F-070 benefitAnnual
54. MK-CF-F-067 rentalList
55. MK-CF-F-062 equityRowValue
56. MK-CF-F-063 rowVestYear
57. MK-CF-F-081 salaryActiveMonths
58. MK-CF-F-021 defaultPaymentType
59. MK-NW-F-077 ALL
60. MK-NW-F-059 currentYield
61. MK-XS-F-180 declareFigures
62. MK-ST-F-049 formatMoney
63. MK-ST-F-053 money
64. MK-NW-O-001 theBonds
65. MK-CF-F-193 inflowSourceWord
66. MK-CF-F-092 incomeMonthlyGrid
67. MK-CF-F-011 savingsByMonth
68. MK-CF-F-165 salaryMonths
69. MK-CF-F-187 seniorDeductionFor
70. MK-CF-F-069 benefitActiveMonths
71. MK-ST-F-085 rentFigure
72. MK-NW-F-112 yearlyInterest
73. MK-ST-F-048 currencySymbol
74. MK-ST-F-027 accountId
75. MK-NW-F-057 annualCoupon
76. MK-NW-F-056 bondInfo
77. MK-NW-F-064 bondRateSensitivity
78. MK-NW-F-061 bondSummary
79. MK-NW-F-055 isBond
80. MK-NW-F-072 rowOf
81. MK-CF-F-065 equityVestWeights
82. MK-CF-F-073 otherIncomeMonth
83. MK-CF-F-077 scholarshipByCalendarMonth
84. MK-CF-F-088 taxableByCalendarMonth
85. MK-PL-F-012 waterfall
86. MK-CF-F-008 spendByMonth
87. MK-ST-F-047 activeCurrency
88. MK-NW-F-060 approxYTM
89. MK-NW-F-069 priceAtYield
90. MK-NW-F-131 pricedLikeBond
91. MK-NW-F-125 isPastMaturity
92. MK-ST-F-065 isoLocalDate
93. MK-NW-F-126 yearlyInterestNow
94. MK-NW-F-011 assetClassOf
95. MK-NW-F-070 accruedInterestCaveat
96. MK-NW-F-058 yearsToMaturity
97. MK-CF-F-120 pctBaseMonthly
98. MK-CF-F-004 spendBuckets
99. MK-NW-F-119 estimatedAccrued
100. MK-NW-F-124 maturityParts
101. MK-NW-F-120 classEvidenceOf
102. MK-NW-F-067 plural
103. MK-CF-F-003 categoryMonthly
104. MK-NW-F-008 incomeBearingClassOf
105. MK-NW-F-009 maturityClass
106. MK-ST-F-010 nameEvidence
107. MK-NW-F-068 prettyDay
108. MK-XS-F-147 call
109. MK-XS-F-064 currentIdToken
110. MK-XS-F-112 relayUrl</t>
        </is>
      </c>
      <c r="R88" s="3" t="inlineStr">
        <is>
          <t>1. MONTH (already above — a loop) → MK-CF-O-010 theMonth → MK-CF-F-203 MONTH → MK-CF-F-087 monthlyTaxRates
2. MK-XS-F-122 n → MK-CF-F-155 cash → MK-CF-O-010 theMonth → MK-CF-F-203 MONTH → MK-CF-F-087 monthlyTaxRates
3. MK-CF-F-148 inMonth → MK-CF-F-151 actualSpending → MK-CF-O-002 expenses → MK-CF-O-010 theMonth → MK-CF-F-203 MONTH → MK-CF-F-087 monthlyTaxRates
4. MK-ST-F-052 toNum → MK-CF-F-151 actualSpending → MK-CF-O-002 expenses → MK-CF-O-010 theMonth → MK-CF-F-203 MONTH → MK-CF-F-087 monthlyTaxRates
5. MK-CF-F-191 ym → MK-CF-F-151 actualSpending → MK-CF-O-002 expenses → MK-CF-O-010 theMonth → MK-CF-F-203 MONTH → MK-CF-F-087 monthlyTaxRates
6. MK-ST-F-056 has → MK-CF-F-150 debtPaymentsCountedAsExpenses → MK-CF-O-002 expenses → MK-CF-O-010 theMonth → MK-CF-F-203 MONTH → MK-CF-F-087 monthlyTaxRates
7. MK-CF-F-148 inMonth → MK-CF-F-150 debtPaymentsCountedAsExpenses → MK-CF-O-002 expenses → MK-CF-O-010 theMonth → MK-CF-F-203 MONTH → MK-CF-F-087 monthlyTaxRates
8. MK-CF-F-022 paymentShape → MK-CF-F-150 debtPaymentsCountedAsExpenses → MK-CF-O-002 expenses → MK-CF-O-010 theMonth → MK-CF-F-203 MONTH → MK-CF-F-087 monthlyTaxRates
9. … and 5 more paths</t>
        </is>
      </c>
      <c r="S88" s="3" t="inlineStr">
        <is>
          <t>—</t>
        </is>
      </c>
      <c r="T88" s="3" t="inlineStr">
        <is>
          <t>—</t>
        </is>
      </c>
      <c r="U88" s="3" t="inlineStr">
        <is>
          <t>ACTIVE</t>
        </is>
      </c>
      <c r="V88" s="3" t="inlineStr">
        <is>
          <t>2026-10-04</t>
        </is>
      </c>
      <c r="W88" s="3" t="n"/>
      <c r="X88" s="3" t="n"/>
      <c r="Y88" s="6" t="inlineStr">
        <is>
          <t>TESTED, NOT VERIFIED (G35)</t>
        </is>
      </c>
    </row>
    <row r="89" ht="60" customHeight="1">
      <c r="A89" s="3" t="inlineStr">
        <is>
          <t>MK-CF-F-088</t>
        </is>
      </c>
      <c r="B89" s="3" t="inlineStr">
        <is>
          <t>taxableByCalendarMonth</t>
        </is>
      </c>
      <c r="C89" s="3" t="inlineStr">
        <is>
          <t>src/domain/income/onboarding.ts</t>
        </is>
      </c>
      <c r="D89" s="3" t="n">
        <v>1552</v>
      </c>
      <c r="E89" s="3" t="inlineStr">
        <is>
          <t>3 · DEPENDENT</t>
        </is>
      </c>
      <c r="F89" s="3" t="inlineStr">
        <is>
          <t>The calendar-year TAXABLE profile (Jan→Dec) — the same placement rules incomeMonthlyGrid uses, extracted so the rate vector and the grid can never drift apart.</t>
        </is>
      </c>
      <c r="G89" s="11"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t>
        </is>
      </c>
      <c r="P89" s="3" t="n">
        <v>40</v>
      </c>
      <c r="Q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
11. MK-CF-F-075 retirementIncomeMonthly
12. MK-CF-F-062 equityRowValue
13. MK-CF-F-070 benefitAnnual
14. MK-ST-F-039 on
15. MK-CF-F-176 sumMonthsOverEarners
16. MK-CF-F-177 wageGrossByMonth
17. MK-CF-O-002 expenses
18. MK-CF-F-067 rentalList
19. MK-CF-F-063 rowVestYear
20. MK-XS-F-122 n
21. MK-CF-F-069 benefitActiveMonths
22. MK-CF-F-173 earnerWages
23. MK-CF-F-130 enteredMonthlyRaw
24. MK-CF-F-166 hasMonthlySalaryTable
25. MK-ST-F-036 reconcile
26. MK-CF-F-167 salaryCalendarYear
27. MK-CF-F-151 actualSpending
28. MK-CF-F-150 debtPaymentsCountedAsExpenses
29. MK-CF-F-153 radar
30. MK-CF-F-149 recurringDebtPayments
31. MK-ST-F-085 rentFigure
32. MK-CF-F-172 hasWage
33. MK-CF-F-165 salaryMonths
34. MK-CF-F-148 inMonth
35. MK-CF-F-191 ym
36. MK-ST-F-056 has
37. MK-CF-F-022 paymentShape
38. MK-CF-F-152 isRadarItem
39. MK-CF-F-023 requiredPayment
40. MK-CF-F-021 defaultPaymentType</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MK-CF-F-206 householdK401ByMonth → MK-CF-F-088 taxableByCalendarMonth
9. … and 5 more paths</t>
        </is>
      </c>
      <c r="S89" s="3" t="inlineStr">
        <is>
          <t>—</t>
        </is>
      </c>
      <c r="T89" s="3" t="inlineStr">
        <is>
          <t>—</t>
        </is>
      </c>
      <c r="U89" s="3" t="inlineStr">
        <is>
          <t>ACTIVE</t>
        </is>
      </c>
      <c r="V89" s="3" t="inlineStr">
        <is>
          <t>2026-08-27</t>
        </is>
      </c>
      <c r="W89" s="3" t="n"/>
      <c r="X89" s="3" t="n"/>
      <c r="Y89" s="3" t="inlineStr">
        <is>
          <t>NOTHING OPEN</t>
        </is>
      </c>
    </row>
    <row r="90" ht="60" customHeight="1">
      <c r="A90" s="3" t="inlineStr">
        <is>
          <t>MK-CF-F-089</t>
        </is>
      </c>
      <c r="B90" s="3" t="inlineStr">
        <is>
          <t>over65CountOf</t>
        </is>
      </c>
      <c r="C90" s="3" t="inlineStr">
        <is>
          <t>src/domain/income/onboarding.ts</t>
        </is>
      </c>
      <c r="D90" s="3" t="n">
        <v>1628</v>
      </c>
      <c r="E90" s="3" t="inlineStr">
        <is>
          <t>2 · DISPLAYED</t>
        </is>
      </c>
      <c r="F90" s="3" t="inlineStr">
        <is>
          <t>How many people on the tax return are 65 or older: none, one or two.</t>
        </is>
      </c>
      <c r="G90" s="11"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W90" s="3" t="n"/>
      <c r="X90" s="3" t="n"/>
      <c r="Y90" s="3" t="inlineStr">
        <is>
          <t>NOTHING OPEN</t>
        </is>
      </c>
    </row>
    <row r="91" ht="60" customHeight="1">
      <c r="A91" s="3" t="inlineStr">
        <is>
          <t>MK-CF-F-090</t>
        </is>
      </c>
      <c r="B91" s="3" t="inlineStr">
        <is>
          <t>effectiveRate</t>
        </is>
      </c>
      <c r="C91" s="3" t="inlineStr">
        <is>
          <t>src/domain/income/onboarding.ts</t>
        </is>
      </c>
      <c r="D91" s="3" t="n">
        <v>1672</v>
      </c>
      <c r="E91" s="3" t="inlineStr">
        <is>
          <t>3 · DEPENDENT</t>
        </is>
      </c>
      <c r="F91" s="3" t="inlineStr">
        <is>
          <t>The one tax rate in force for the household, as a share of gross: their own figure where they gave one, otherwise the calculated rate.</t>
        </is>
      </c>
      <c r="G91" s="11"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51</v>
      </c>
      <c r="Q91" s="3" t="inlineStr">
        <is>
          <t>1. MK-CF-F-181 rateInForce
2. MK-CF-F-173 earnerWages
3. MK-CF-F-180 enteredLandsAnnual
4. MK-CF-F-085 filingStatusOf
5. MK-CF-F-206 householdK401ByMonth
6. MK-CF-F-089 over65CountOf
7. MK-CF-F-082 salaryAnnual
8. MK-CF-F-086 stateRateOf
9. MK-CF-F-101 taxOwedFor
10. MK-CF-F-084 taxableAnnual
11. MK-ST-F-052 toNum
12. MK-CF-F-172 hasWage
13. MK-CF-F-132 map
14. MK-CF-F-176 sumMonthsOverEarners
15. MK-CF-F-177 wageGrossByMonth
16. MK-CF-F-060 salaryGrossByMonth
17. MK-CF-F-100 taxableIncomeFor
18. MK-CF-F-072 currentRetirementIncomeMonthly
19. MK-CF-F-071 extraIncome
20. MK-CF-F-068 rentalNetAnnual
21. MK-CF-F-066 rsuAnnual
22. MK-CF-F-074 tipsAnnual
23. MK-XS-F-122 n
24. MK-ST-F-056 has
25. MK-CF-F-130 enteredMonthlyRaw
26. MK-CF-F-166 hasMonthlySalaryTable
27. MK-ST-F-036 reconcile
28. MK-CF-F-167 salaryCalendarYear
29. MK-CF-F-099 deductionFor
30. MK-CF-F-075 retirementIncomeMonthly
31. MK-CF-F-070 benefitAnnual
32. MK-ST-F-039 on
33. MK-CF-O-002 expenses
34. MK-CF-F-067 rentalList
35. MK-CF-F-062 equityRowValue
36. MK-CF-F-063 rowVestYear
37. MK-CF-F-081 salaryActiveMonths
38. MK-CF-F-165 salaryMonths
39. MK-CF-F-187 seniorDeductionFor
40. MK-CF-F-069 benefitActiveMonths
41. MK-CF-F-151 actualSpending
42. MK-CF-F-150 debtPaymentsCountedAsExpenses
43. MK-CF-F-153 radar
44. MK-CF-F-149 recurringDebtPayments
45. MK-ST-F-085 rentFigure
46. MK-CF-F-148 inMonth
47. MK-CF-F-191 ym
48. MK-CF-F-022 paymentShape
49. MK-CF-F-152 isRadarItem
50. MK-CF-F-023 requiredPayment
51. MK-CF-F-021 defaultPaymentType</t>
        </is>
      </c>
      <c r="R91" s="3" t="inlineStr">
        <is>
          <t>1. MK-ST-F-056 has → MK-CF-F-172 hasWage → MK-CF-F-173 earnerWages → MK-CF-F-181 rateInForce → MK-CF-F-090 effectiveRate
2. MK-ST-F-056 has → MK-CF-F-172 hasWage → MK-CF-F-173 earnerWages → MK-CF-F-180 enteredLandsAnnual → MK-CF-F-181 rateInForce → MK-CF-F-090 effectiveRate
3. MK-XS-F-122 n → MK-ST-F-052 toNum → MK-CF-F-180 enteredLandsAnnual → MK-CF-F-181 rateInForce → MK-CF-F-090 effectiveRate
4. MK-CF-F-085 filingStatusOf → MK-CF-F-181 rateInForce → MK-CF-F-090 effectiveRate
5. MK-CF-F-132 map → MK-CF-F-206 householdK401ByMonth → MK-CF-F-181 rateInForce → MK-CF-F-090 effectiveRate
6. MK-CF-F-172 hasWage → MK-CF-F-173 earnerWages → MK-CF-F-176 sumMonthsOverEarners → MK-CF-F-206 householdK401ByMonth → MK-CF-F-181 rateInForce → MK-CF-F-090 effectiveRate
7. MK-CF-F-132 map → MK-CF-F-176 sumMonthsOverEarners → MK-CF-F-206 householdK401ByMonth → MK-CF-F-181 rateInForce → MK-CF-F-090 effectiveRate
8. MK-XS-F-122 n → MK-ST-F-052 toNum → MK-CF-F-206 householdK401ByMonth → MK-CF-F-181 rateInForce → MK-CF-F-090 effectiveRate
9. … and 4 more paths</t>
        </is>
      </c>
      <c r="S91" s="3" t="inlineStr">
        <is>
          <t>—</t>
        </is>
      </c>
      <c r="T91" s="3" t="inlineStr">
        <is>
          <t>—</t>
        </is>
      </c>
      <c r="U91" s="3" t="inlineStr">
        <is>
          <t>ACTIVE</t>
        </is>
      </c>
      <c r="V91" s="3" t="inlineStr">
        <is>
          <t>2026-08-28</t>
        </is>
      </c>
      <c r="W91" s="3" t="n"/>
      <c r="X91" s="3" t="n"/>
      <c r="Y91" s="3" t="inlineStr">
        <is>
          <t>NOTHING OPEN</t>
        </is>
      </c>
    </row>
    <row r="92" ht="60" customHeight="1">
      <c r="A92" s="3" t="inlineStr">
        <is>
          <t>MK-CF-F-091</t>
        </is>
      </c>
      <c r="B92" s="3" t="inlineStr">
        <is>
          <t>userCapGainsRates</t>
        </is>
      </c>
      <c r="C92" s="3" t="inlineStr">
        <is>
          <t>src/domain/income/onboarding.ts</t>
        </is>
      </c>
      <c r="D92" s="3" t="n">
        <v>1708</v>
      </c>
      <c r="E92" s="3" t="inlineStr">
        <is>
          <t>3 · DEPENDENT (feeds an action only)</t>
        </is>
      </c>
      <c r="F92" s="3" t="inlineStr">
        <is>
          <t>The person's own capital-gains tax rates, long-term and short-term, each with their state rate added.</t>
        </is>
      </c>
      <c r="G92" s="11"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49</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MK-CF-O-002 expenses
21. MK-CF-F-067 rentalList
22. MK-CF-F-062 equityRowValue
23. MK-CF-F-132 map
24. MK-CF-F-063 rowVestYear
25. MK-CF-F-060 salaryGrossByMonth
26. MK-CF-F-081 salaryActiveMonths
27. MK-CF-F-187 seniorDeductionFor
28. MK-CF-F-069 benefitActiveMonths
29. MK-CF-F-151 actualSpending
30. MK-CF-F-150 debtPaymentsCountedAsExpenses
31. MK-CF-F-153 radar
32. MK-CF-F-149 recurringDebtPayments
33. MK-ST-F-085 rentFigure
34. MK-CF-F-176 sumMonthsOverEarners
35. MK-CF-F-177 wageGrossByMonth
36. MK-CF-F-148 inMonth
37. MK-CF-F-191 ym
38. MK-ST-F-056 has
39. MK-CF-F-022 paymentShape
40. MK-CF-F-152 isRadarItem
41. MK-CF-F-023 requiredPayment
42. MK-CF-F-173 earnerWages
43. MK-CF-F-130 enteredMonthlyRaw
44. MK-CF-F-166 hasMonthlySalaryTable
45. MK-ST-F-036 reconcile
46. MK-CF-F-167 salaryCalendarYear
47. MK-CF-F-021 defaultPaymentType
48. MK-CF-F-172 hasWage
49. MK-CF-F-165 salaryMonths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W92" s="3" t="n"/>
      <c r="X92" s="3" t="n"/>
      <c r="Y92" s="3" t="inlineStr">
        <is>
          <t>NOTHING OPEN</t>
        </is>
      </c>
    </row>
    <row r="93" ht="60" customHeight="1">
      <c r="A93" s="3" t="inlineStr">
        <is>
          <t>MK-CF-F-092</t>
        </is>
      </c>
      <c r="B93" s="3" t="inlineStr">
        <is>
          <t>incomeMonthlyGrid</t>
        </is>
      </c>
      <c r="C93" s="3" t="inlineStr">
        <is>
          <t>src/domain/income/onboarding.ts</t>
        </is>
      </c>
      <c r="D93" s="3" t="n">
        <v>1770</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1"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k401 by month = household k401 by month(op)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K401 by month is household k401 by month(op).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1. Turns a monthly figure into a year by multiplying by twelve.
2. Uses today's date from the device clock, so the answer changes by itself overnight.
3. Never lets earned before401k fall below 0.</t>
        </is>
      </c>
      <c r="N93" s="3" t="inlineStr">
        <is>
          <t>Yes</t>
        </is>
      </c>
      <c r="O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t>
        </is>
      </c>
      <c r="P93" s="3" t="n">
        <v>110</v>
      </c>
      <c r="Q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
20. MK-CF-F-075 retirementIncomeMonthly
21. MK-CF-F-172 hasWage
22. MK-CF-F-062 equityRowValue
23. MK-CF-F-070 benefitAnnual
24. MK-ST-F-039 on
25. MK-CF-F-176 sumMonthsOverEarners
26. MK-CF-F-203 MONTH
27. MK-CF-F-090 effectiveRate
28. MK-CF-F-180 enteredLandsAnnual
29. MK-CF-F-085 filingStatusOf
30. MK-CF-F-089 over65CountOf
31. MK-CF-F-082 salaryAnnual
32. MK-CF-F-086 stateRateOf
33. MK-CF-F-101 taxOwedFor
34. MK-CF-F-084 taxableAnnual
35. MK-CF-O-002 expenses
36. MK-CF-F-067 rentalList
37. MK-CF-F-063 rowVestYear
38. MK-XS-F-122 n
39. MK-CF-F-130 enteredMonthlyRaw
40. MK-CF-F-166 hasMonthlySalaryTable
41. MK-ST-F-036 reconcile
42. MK-CF-F-167 salaryCalendarYear
43. MK-CF-O-010 theMonth
44. MK-CF-F-100 taxableIncomeFor
45. MK-CF-F-074 tipsAnnual
46. MK-CF-F-151 actualSpending
47. MK-CF-F-150 debtPaymentsCountedAsExpenses
48. MK-CF-F-153 radar
49. MK-CF-F-149 recurringDebtPayments
50. MK-ST-F-085 rentFigure
51. MK-CF-F-165 salaryMonths
52. MK-CF-F-155 cash
53. MK-CF-O-003 thisMonth
54. MK-CF-F-099 deductionFor
55. MK-CF-F-081 salaryActiveMonths
56. MK-CF-F-148 inMonth
57. MK-CF-F-191 ym
58. MK-CF-F-022 paymentShape
59. MK-CF-F-152 isRadarItem
60. MK-CF-F-023 requiredPayment
61. MK-CF-F-005 actualMonthFlow
62. MK-CF-F-156 plannedMonthFlow
63. MK-CF-F-187 seniorDeductionFor
64. MK-CF-F-021 defaultPaymentType
65. MK-NW-F-078 ONE
66. MK-CF-F-157 debtPaymentsByDebt
67. MK-CF-F-192 inflowLabel
68. MK-XS-F-027 takeHomeMonthly
69. MK-NW-F-077 ALL
70. MK-NW-F-059 currentYield
71. MK-XS-F-180 declareFigures
72. MK-ST-F-049 formatMoney
73. MK-ST-F-053 money
74. MK-NW-O-001 theBonds
75. MK-CF-F-193 inflowSourceWord
76. MK-CF-F-011 savingsByMonth
77. MK-NW-F-112 yearlyInterest
78. MK-ST-F-048 currencySymbol
79. MK-ST-F-027 accountId
80. MK-NW-F-057 annualCoupon
81. MK-NW-F-056 bondInfo
82. MK-NW-F-064 bondRateSensitivity
83. MK-NW-F-061 bondSummary
84. MK-NW-F-055 isBond
85. MK-NW-F-072 rowOf
86. MK-CF-F-008 spendByMonth
87. MK-ST-F-047 activeCurrency
88. MK-NW-F-060 approxYTM
89. MK-NW-F-069 priceAtYield
90. MK-NW-F-131 pricedLikeBond
91. MK-NW-F-125 isPastMaturity
92. MK-ST-F-065 isoLocalDate
93. MK-NW-F-126 yearlyInterestNow
94. MK-NW-F-011 assetClassOf
95. MK-NW-F-070 accruedInterestCaveat
96. MK-NW-F-058 yearsToMaturity
97. MK-CF-F-120 pctBaseMonthly
98. MK-CF-F-004 spendBuckets
99. MK-NW-F-119 estimatedAccrued
100. MK-NW-F-124 maturityParts
101. MK-NW-F-120 classEvidenceOf
102. MK-NW-F-067 plural
103. MK-CF-F-003 categoryMonthly
104. MK-NW-F-008 incomeBearingClassOf
105. MK-NW-F-009 maturityClass
106. MK-ST-F-010 nameEvidence
107. MK-NW-F-068 prettyDay
108. MK-XS-F-147 call
109. MK-XS-F-064 currentIdToken
110. MK-XS-F-112 relayUrl</t>
        </is>
      </c>
      <c r="R93"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S93" s="3" t="inlineStr">
        <is>
          <t>MK-XS-M-006</t>
        </is>
      </c>
      <c r="T93" s="3" t="inlineStr">
        <is>
          <t>—</t>
        </is>
      </c>
      <c r="U93" s="3" t="inlineStr">
        <is>
          <t>ACTIVE</t>
        </is>
      </c>
      <c r="V93" s="3" t="inlineStr">
        <is>
          <t>2026-09-28</t>
        </is>
      </c>
      <c r="W93" s="3" t="n"/>
      <c r="X93" s="3" t="n"/>
      <c r="Y93" s="3" t="inlineStr">
        <is>
          <t>NOTHING OPEN</t>
        </is>
      </c>
    </row>
    <row r="94" ht="60" customHeight="1">
      <c r="A94" s="3" t="inlineStr">
        <is>
          <t>MK-CF-F-097</t>
        </is>
      </c>
      <c r="B94" s="3" t="inlineStr">
        <is>
          <t>grossFromNet</t>
        </is>
      </c>
      <c r="C94" s="3" t="inlineStr">
        <is>
          <t>src/domain/income/tax.ts</t>
        </is>
      </c>
      <c r="D94" s="3" t="n">
        <v>52</v>
      </c>
      <c r="E94" s="3" t="inlineStr">
        <is>
          <t>3 · DEPENDENT</t>
        </is>
      </c>
      <c r="F94" s="3" t="inlineStr">
        <is>
          <t>Invert the schedule: the gross income whose take-home equals `net` (bisection).</t>
        </is>
      </c>
      <c r="G94" s="11"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W94" s="3" t="n"/>
      <c r="X94" s="3" t="n"/>
      <c r="Y94" s="6" t="inlineStr">
        <is>
          <t>TESTED, NOT VERIFIED (G35)</t>
        </is>
      </c>
    </row>
    <row r="95" ht="60" customHeight="1">
      <c r="A95" s="3" t="inlineStr">
        <is>
          <t>MK-CF-F-098</t>
        </is>
      </c>
      <c r="B95" s="3" t="inlineStr">
        <is>
          <t>progressiveMonthlyTax</t>
        </is>
      </c>
      <c r="C95" s="3" t="inlineStr">
        <is>
          <t>src/domain/income/tax.ts</t>
        </is>
      </c>
      <c r="D95" s="3" t="n">
        <v>97</v>
      </c>
      <c r="E95" s="3" t="inlineStr">
        <is>
          <t>3 · DEPENDENT</t>
        </is>
      </c>
      <c r="F95" s="3" t="inlineStr">
        <is>
          <t>The tax taken in each of the twelve months when the brackets fill as the year's income builds up, so a month with a bonus is taxed higher and the twelve add up to the year's tax exactly.</t>
        </is>
      </c>
      <c r="G95" s="11"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W95" s="3" t="n"/>
      <c r="X95" s="3" t="n"/>
      <c r="Y95" s="3" t="inlineStr">
        <is>
          <t>NOTHING OPEN</t>
        </is>
      </c>
    </row>
    <row r="96" ht="60" customHeight="1">
      <c r="A96" s="3" t="inlineStr">
        <is>
          <t>MK-CF-F-099</t>
        </is>
      </c>
      <c r="B96" s="3" t="inlineStr">
        <is>
          <t>deductionFor</t>
        </is>
      </c>
      <c r="C96" s="3" t="inlineStr">
        <is>
          <t>src/domain/income/tax.ts</t>
        </is>
      </c>
      <c r="D96" s="3" t="n">
        <v>256</v>
      </c>
      <c r="E96" s="3" t="inlineStr">
        <is>
          <t>3 · DEPENDENT</t>
        </is>
      </c>
      <c r="F96" s="3" t="inlineStr">
        <is>
          <t>The amount of income that is free of tax before the brackets start: the standard deduction for the way the person files, plus the extra amounts for anyone 65 or older.</t>
        </is>
      </c>
      <c r="G96" s="11"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W96" s="3" t="n"/>
      <c r="X96" s="3" t="n"/>
      <c r="Y96" s="6" t="inlineStr">
        <is>
          <t>TESTED, NOT VERIFIED (G3)</t>
        </is>
      </c>
    </row>
    <row r="97" ht="60" customHeight="1">
      <c r="A97" s="3" t="inlineStr">
        <is>
          <t>MK-CF-F-100</t>
        </is>
      </c>
      <c r="B97" s="3" t="inlineStr">
        <is>
          <t>taxableIncomeFor</t>
        </is>
      </c>
      <c r="C97" s="3" t="inlineStr">
        <is>
          <t>src/domain/income/tax.ts</t>
        </is>
      </c>
      <c r="D97" s="3" t="n">
        <v>290</v>
      </c>
      <c r="E97" s="3" t="inlineStr">
        <is>
          <t>3 · DEPENDENT</t>
        </is>
      </c>
      <c r="F97" s="3" t="inlineStr">
        <is>
          <t>What income is taxed, given how this person files?</t>
        </is>
      </c>
      <c r="G97" s="11"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W97" s="3" t="n"/>
      <c r="X97" s="3" t="n"/>
      <c r="Y97" s="6" t="inlineStr">
        <is>
          <t>TESTED, NOT VERIFIED (G3)</t>
        </is>
      </c>
    </row>
    <row r="98" ht="60" customHeight="1">
      <c r="A98" s="3" t="inlineStr">
        <is>
          <t>MK-CF-F-101</t>
        </is>
      </c>
      <c r="B98" s="3" t="inlineStr">
        <is>
          <t>taxOwedFor</t>
        </is>
      </c>
      <c r="C98" s="3" t="inlineStr">
        <is>
          <t>src/domain/income/tax.ts</t>
        </is>
      </c>
      <c r="D98" s="3" t="n">
        <v>333</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1"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W98" s="3" t="n"/>
      <c r="X98" s="3" t="n"/>
      <c r="Y98" s="6" t="inlineStr">
        <is>
          <t>TESTED, NOT VERIFIED (G23, G35)</t>
        </is>
      </c>
    </row>
    <row r="99" ht="60" customHeight="1">
      <c r="A99" s="3" t="inlineStr">
        <is>
          <t>MK-CF-F-102</t>
        </is>
      </c>
      <c r="B99" s="3" t="inlineStr">
        <is>
          <t>effectiveRateOnGrossFor</t>
        </is>
      </c>
      <c r="C99" s="3" t="inlineStr">
        <is>
          <t>src/domain/income/tax.ts</t>
        </is>
      </c>
      <c r="D99" s="3" t="n">
        <v>371</v>
      </c>
      <c r="E99" s="3" t="inlineStr">
        <is>
          <t>2 · DISPLAYED</t>
        </is>
      </c>
      <c r="F99" s="3" t="inlineStr">
        <is>
          <t>What share of my income actually goes in tax?</t>
        </is>
      </c>
      <c r="G99" s="11"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W99" s="3" t="n"/>
      <c r="X99" s="3" t="n"/>
      <c r="Y99" s="3" t="inlineStr">
        <is>
          <t>NOTHING OPEN</t>
        </is>
      </c>
    </row>
    <row r="100" ht="60" customHeight="1">
      <c r="A100" s="3" t="inlineStr">
        <is>
          <t>MK-CF-F-103</t>
        </is>
      </c>
      <c r="B100" s="3" t="inlineStr">
        <is>
          <t>marginalBracketFor</t>
        </is>
      </c>
      <c r="C100" s="3" t="inlineStr">
        <is>
          <t>src/domain/income/tax.ts</t>
        </is>
      </c>
      <c r="D100" s="3" t="n">
        <v>406</v>
      </c>
      <c r="E100" s="3" t="inlineStr">
        <is>
          <t>2 · DISPLAYED</t>
        </is>
      </c>
      <c r="F100" s="3" t="inlineStr">
        <is>
          <t>Which federal band does this person's last dollar fall in?</t>
        </is>
      </c>
      <c r="G100" s="11"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W100" s="3" t="n"/>
      <c r="X100" s="3" t="n"/>
      <c r="Y100" s="6" t="inlineStr">
        <is>
          <t>TESTED, NOT VERIFIED (G23)</t>
        </is>
      </c>
    </row>
    <row r="101" ht="60" customHeight="1">
      <c r="A101" s="3" t="inlineStr">
        <is>
          <t>MK-CF-F-104</t>
        </is>
      </c>
      <c r="B101" s="3" t="inlineStr">
        <is>
          <t>ltcgRateFor</t>
        </is>
      </c>
      <c r="C101" s="3" t="inlineStr">
        <is>
          <t>src/domain/income/tax.ts</t>
        </is>
      </c>
      <c r="D101" s="3" t="n">
        <v>444</v>
      </c>
      <c r="E101" s="3" t="inlineStr">
        <is>
          <t>2 · DISPLAYED</t>
        </is>
      </c>
      <c r="F101" s="3" t="inlineStr">
        <is>
          <t>The user's own long-term capital-gains rate, from their income + filing status (federal).</t>
        </is>
      </c>
      <c r="G101" s="11"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W101" s="3" t="n"/>
      <c r="X101" s="3" t="n"/>
      <c r="Y101" s="3" t="inlineStr">
        <is>
          <t>NOTHING OPEN</t>
        </is>
      </c>
    </row>
    <row r="102" ht="60" customHeight="1">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1"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2026-10-03</t>
        </is>
      </c>
      <c r="W102" s="3" t="n"/>
      <c r="X102" s="3" t="n"/>
      <c r="Y102" s="3" t="inlineStr">
        <is>
          <t>NOTHING OPEN</t>
        </is>
      </c>
    </row>
    <row r="103" ht="60" customHeight="1">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1"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22</v>
      </c>
      <c r="Q10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103" s="3" t="inlineStr">
        <is>
          <t>1. MK-CF-F-191 ym → MK-CF-F-148 inMonth → MK-CF-F-151 actualSpending → MK-CF-O-002 expenses → MK-PL-F-050 simulate → MK-CF-F-106 solveSafeDraw
2. MK-XS-F-122 n → MK-ST-F-052 toNum → MK-CF-F-151 actualSpending → MK-CF-O-002 expenses → MK-PL-F-050 simulate → MK-CF-F-106 solveSafeDraw
3. MK-CF-F-191 ym → MK-CF-F-151 actualSpending → MK-CF-O-002 expenses → MK-PL-F-050 simulate → MK-CF-F-106 solveSafeDraw
4. MK-ST-F-056 has → MK-CF-F-150 debtPaymentsCountedAsExpenses → MK-CF-O-002 expenses → MK-PL-F-050 simulate → MK-CF-F-106 solveSafeDraw
5. MK-CF-F-191 ym → MK-CF-F-148 inMonth → MK-CF-F-150 debtPaymentsCountedAsExpenses → MK-CF-O-002 expenses → MK-PL-F-050 simulate → MK-CF-F-106 solveSafeDraw
6. MK-CF-F-021 defaultPaymentType → MK-CF-F-022 paymentShape → MK-CF-F-150 debtPaymentsCountedAsExpenses → MK-CF-O-002 expenses → MK-PL-F-050 simulate → MK-CF-F-106 solveSafeDraw
7. MK-XS-F-122 n → MK-ST-F-052 toNum → MK-CF-F-150 debtPaymentsCountedAsExpenses → MK-CF-O-002 expenses → MK-PL-F-050 simulate → MK-CF-F-106 solveSafeDraw
8. MK-CF-F-191 ym → MK-CF-F-150 debtPaymentsCountedAsExpenses → MK-CF-O-002 expenses → MK-PL-F-050 simulate → MK-CF-F-106 solveSafeDraw
9. … and 4 more paths</t>
        </is>
      </c>
      <c r="S103" s="3" t="inlineStr">
        <is>
          <t>—</t>
        </is>
      </c>
      <c r="T103" s="3" t="inlineStr">
        <is>
          <t>—</t>
        </is>
      </c>
      <c r="U103" s="3" t="inlineStr">
        <is>
          <t>ACTIVE</t>
        </is>
      </c>
      <c r="V103" s="3" t="inlineStr">
        <is>
          <t>2026-10-03</t>
        </is>
      </c>
      <c r="W103" s="3" t="n"/>
      <c r="X103" s="3" t="n"/>
      <c r="Y103" s="3" t="inlineStr">
        <is>
          <t>NOTHING OPEN</t>
        </is>
      </c>
    </row>
    <row r="104" ht="60" customHeight="1">
      <c r="A104" s="3" t="inlineStr">
        <is>
          <t>MK-CF-F-107</t>
        </is>
      </c>
      <c r="B104" s="3" t="inlineStr">
        <is>
          <t>buildPaycheckYear</t>
        </is>
      </c>
      <c r="C104" s="3" t="inlineStr">
        <is>
          <t>src/domain/paycheck/index.ts</t>
        </is>
      </c>
      <c r="D104" s="3" t="n">
        <v>225</v>
      </c>
      <c r="E104" s="3" t="inlineStr">
        <is>
          <t>3 · DEPENDENT</t>
        </is>
      </c>
      <c r="F104" s="3" t="inlineStr">
        <is>
          <t>Build the month-by-month paycheck.</t>
        </is>
      </c>
      <c r="G104" s="11" t="inlineStr">
        <is>
          <t>now = opts.now (or new date() when missing)
rows = guaranteed rows(op, now)
nest egg = opts.nest egg (or retirement earmarked value(opts.accounts ?? [])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135</v>
      </c>
      <c r="Q104" s="3" t="inlineStr">
        <is>
          <t>1. MK-XS-F-004 buildDatedGrid
2. MK-CF-F-105 guaranteedRows
3. MK-CF-F-132 map
4. MK-NW-F-033 retirementEarmarkedValue
5. MK-CF-F-106 solveSafeDraw
6. MK-CF-F-069 benefitActiveMonths
7. MK-CF-F-072 currentRetirementIncomeMonthly
8. MK-CF-F-018 equityByMonth
9. MK-CF-O-002 expenses
10. MK-ST-F-056 has
11. MK-CF-F-204 line
12. MK-ST-F-053 money
13. MK-CF-F-087 monthlyTaxRates
14. MK-CF-F-073 otherIncomeMonth
15. MK-CF-F-022 paymentShape
16. MK-CF-F-068 rentalNetAnnual
17. MK-CF-F-023 requiredPayment
18. MK-CF-F-060 salaryGrossByMonth
19. MK-CF-F-008 spendByMonth
20. MK-ST-F-052 toNum
21. MK-NW-F-032 earmarkedAmount
22. MK-NW-F-031 primaryCarIdOf
23. MK-NW-F-110 primaryHomeIdOf
24. MK-PL-F-050 simulate
25. MK-CF-F-075 retirementIncomeMonthly
26. MK-CF-F-062 equityRowValue
27. MK-CF-F-066 rsuAnnual
28. MK-CF-F-121 zero12
29. MK-CF-F-151 actualSpending
30. MK-CF-F-150 debtPaymentsCountedAsExpenses
31. MK-CF-F-153 radar
32. MK-CF-F-149 recurringDebtPayments
33. MK-CF-F-203 MONTH
34. MK-XS-F-180 declareFigures
35. MK-ST-F-049 formatMoney
36. MK-XS-F-122 n
37. MK-CF-F-090 effectiveRate
38. MK-ST-F-039 on
39. MK-CF-F-021 defaultPaymentType
40. MK-CF-F-067 rentalList
41. MK-CF-F-176 sumMonthsOverEarners
42. MK-CF-F-177 wageGrossByMonth
43. MK-CF-F-120 pctBaseMonthly
44. MK-CF-F-004 spendBuckets
45. MK-NW-F-030 earmarkDefault
46. MK-NW-F-134 carValueNotEnteredNotes
47. MK-NW-F-133 valueEntered
48. MK-NW-F-117 propertyUseMap
49. MK-PL-F-074 median
50. MK-PL-F-072 mulberry32
51. MK-PL-F-073 normal
52. MK-PL-F-075 pctOfSorted
53. MK-ST-F-025 rmdStartAgeFromAge
54. MK-CF-F-063 rowVestYear
55. MK-CF-F-148 inMonth
56. MK-CF-F-191 ym
57. MK-CF-F-152 isRadarItem
58. MK-CF-O-010 theMonth
59. MK-ST-F-048 currencySymbol
60. MK-CF-F-181 rateInForce
61. MK-ST-F-085 rentFigure
62. MK-CF-F-173 earnerWages
63. MK-CF-F-130 enteredMonthlyRaw
64. MK-CF-F-166 hasMonthlySalaryTable
65. MK-ST-F-036 reconcile
66. MK-CF-F-167 salaryCalendarYear
67. MK-CF-F-092 incomeMonthlyGrid
68. MK-CF-F-003 categoryMonthly
69. MK-NW-F-011 assetClassOf
70. MK-NW-F-116 rentedIdsOf
71. MK-ST-F-024 rmdStartAge
72. MK-CF-F-155 cash
73. MK-CF-O-003 thisMonth
74. MK-ST-F-047 activeCurrency
75. MK-CF-F-180 enteredLandsAnnual
76. MK-CF-F-085 filingStatusOf
77. MK-CF-F-206 householdK401ByMonth
78. MK-CF-F-089 over65CountOf
79. MK-CF-F-082 salaryAnnual
80. MK-CF-F-086 stateRateOf
81. MK-CF-F-101 taxOwedFor
82. MK-CF-F-084 taxableAnnual
83. MK-CF-F-172 hasWage
84. MK-CF-F-165 salaryMonths
85. MK-CF-F-065 equityVestWeights
86. MK-CF-F-071 extraIncome
87. MK-CF-F-077 scholarshipByCalendarMonth
88. MK-CF-F-088 taxableByCalendarMonth
89. MK-PL-F-012 waterfall
90. MK-XS-F-027 takeHomeMonthly
91. MK-NW-F-120 classEvidenceOf
92. MK-NW-F-115 liveRent
93. MK-CF-F-005 actualMonthFlow
94. MK-CF-F-156 plannedMonthFlow
95. MK-CF-F-100 taxableIncomeFor
96. MK-CF-F-074 tipsAnnual
97. MK-CF-F-070 benefitAnnual
98. MK-CF-F-011 savingsByMonth
99. MK-NW-F-008 incomeBearingClassOf
100. MK-NW-F-009 maturityClass
101. MK-NW-F-114 rentAmount
102. MK-NW-F-078 ONE
103. MK-CF-F-157 debtPaymentsByDebt
104. MK-CF-F-192 inflowLabel
105. MK-CF-F-099 deductionFor
106. MK-CF-F-081 salaryActiveMonths
107. MK-ST-F-010 nameEvidence
108. MK-NW-F-068 prettyDay
109. MK-NW-F-077 ALL
110. MK-NW-F-059 currentYield
111. MK-NW-O-001 theBonds
112. MK-CF-F-193 inflowSourceWord
113. MK-CF-F-187 seniorDeductionFor
114. MK-XS-F-147 call
115. MK-NW-F-112 yearlyInterest
116. MK-ST-F-027 accountId
117. MK-NW-F-057 annualCoupon
118. MK-NW-F-056 bondInfo
119. MK-NW-F-064 bondRateSensitivity
120. MK-NW-F-061 bondSummary
121. MK-NW-F-055 isBond
122. MK-NW-F-072 rowOf
123. MK-XS-F-064 currentIdToken
124. MK-XS-F-112 relayUrl
125. MK-NW-F-060 approxYTM
126. MK-NW-F-069 priceAtYield
127. MK-NW-F-131 pricedLikeBond
128. MK-NW-F-125 isPastMaturity
129. MK-ST-F-065 isoLocalDate
130. MK-NW-F-126 yearlyInterestNow
131. MK-NW-F-070 accruedInterestCaveat
132. MK-NW-F-058 yearsToMaturity
133. MK-NW-F-119 estimatedAccrued
134. MK-NW-F-124 maturityParts
135. MK-NW-F-067 plural</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2026-10-03</t>
        </is>
      </c>
      <c r="W104" s="3" t="n"/>
      <c r="X104" s="3" t="n"/>
      <c r="Y104" s="6" t="inlineStr">
        <is>
          <t>TESTED, NOT VERIFIED (G14)</t>
        </is>
      </c>
    </row>
    <row r="105" ht="60" customHeight="1">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1"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2026-09-12</t>
        </is>
      </c>
      <c r="W105" s="3" t="n"/>
      <c r="X105" s="3" t="n"/>
      <c r="Y105" s="3" t="inlineStr">
        <is>
          <t>NOTHING OPEN</t>
        </is>
      </c>
    </row>
    <row r="106" ht="60" customHeight="1">
      <c r="A106" s="3" t="inlineStr">
        <is>
          <t>MK-CF-F-109</t>
        </is>
      </c>
      <c r="B106" s="3" t="inlineStr">
        <is>
          <t>reviewTransactions</t>
        </is>
      </c>
      <c r="C106" s="3" t="inlineStr">
        <is>
          <t>src/domain/transactions/flags.ts</t>
        </is>
      </c>
      <c r="D106" s="3" t="n">
        <v>206</v>
      </c>
      <c r="E106" s="3" t="inlineStr">
        <is>
          <t>3 · DEPENDENT</t>
        </is>
      </c>
      <c r="F106" s="3" t="inlineStr">
        <is>
          <t>Review new transactions against an account's history.</t>
        </is>
      </c>
      <c r="G106" s="11"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2026-09-12</t>
        </is>
      </c>
      <c r="W106" s="3" t="n"/>
      <c r="X106" s="3" t="n"/>
      <c r="Y106" s="3" t="inlineStr">
        <is>
          <t>NOTHING OPEN</t>
        </is>
      </c>
    </row>
    <row r="107" ht="60" customHeight="1">
      <c r="A107" s="3" t="inlineStr">
        <is>
          <t>MK-CF-F-110</t>
        </is>
      </c>
      <c r="B107" s="3" t="inlineStr">
        <is>
          <t>flagComparisonText</t>
        </is>
      </c>
      <c r="C107" s="3" t="inlineStr">
        <is>
          <t>src/domain/transactions/flags.ts</t>
        </is>
      </c>
      <c r="D107" s="3" t="n">
        <v>329</v>
      </c>
      <c r="E107" s="3" t="inlineStr">
        <is>
          <t>3 · DEPENDENT (feeds an action only)</t>
        </is>
      </c>
      <c r="F107" s="3" t="inlineStr">
        <is>
          <t>The plain-English comparison sentence for the detail view — fixed, human-reviewed templates.</t>
        </is>
      </c>
      <c r="G107" s="11"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t>
        </is>
      </c>
      <c r="M107" s="3" t="inlineStr">
        <is>
          <t>· Rounds the answer to a whole number.</t>
        </is>
      </c>
      <c r="N107" s="3" t="inlineStr">
        <is>
          <t>No</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2026-10-02</t>
        </is>
      </c>
      <c r="W107" s="3" t="n"/>
      <c r="X107" s="3" t="n"/>
      <c r="Y107" s="3" t="inlineStr">
        <is>
          <t>NOTHING OPEN</t>
        </is>
      </c>
    </row>
    <row r="108" ht="60" customHeight="1">
      <c r="A108" s="3" t="inlineStr">
        <is>
          <t>MK-CF-F-111</t>
        </is>
      </c>
      <c r="B108" s="3" t="inlineStr">
        <is>
          <t>applyTransaction</t>
        </is>
      </c>
      <c r="C108" s="3" t="inlineStr">
        <is>
          <t>src/domain/transactions/index.ts</t>
        </is>
      </c>
      <c r="D108" s="3" t="n">
        <v>486</v>
      </c>
      <c r="E108" s="3" t="inlineStr">
        <is>
          <t>3 · DEPENDENT</t>
        </is>
      </c>
      <c r="F108" s="3" t="inlineStr">
        <is>
          <t>Apply one transaction to the accounts (pure).</t>
        </is>
      </c>
      <c r="G108" s="11"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MK-CF-F-137 findPos
4. MK-CF-F-132 map
5. MK-CF-F-139 removeShares
6. MK-PF-F-001 totalShares</t>
        </is>
      </c>
      <c r="P108" s="3" t="n">
        <v>8</v>
      </c>
      <c r="Q108" s="3" t="inlineStr">
        <is>
          <t>1. MK-CF-F-138 addLot
2. MK-CF-F-136 bumpCash
3. MK-CF-F-137 findPos
4. MK-CF-F-132 map
5. MK-CF-F-139 removeShares
6. MK-PF-F-001 totalShares
7. MK-ST-F-043 newEntityId
8. MK-CF-F-134 usesSleeve</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is>
      </c>
      <c r="S108" s="3" t="inlineStr">
        <is>
          <t>—</t>
        </is>
      </c>
      <c r="T108" s="3" t="inlineStr">
        <is>
          <t>—</t>
        </is>
      </c>
      <c r="U108" s="3" t="inlineStr">
        <is>
          <t>ACTIVE</t>
        </is>
      </c>
      <c r="V108" s="3" t="inlineStr">
        <is>
          <t>2026-09-12</t>
        </is>
      </c>
      <c r="W108" s="3" t="n"/>
      <c r="X108" s="3" t="n"/>
      <c r="Y108" s="3" t="inlineStr">
        <is>
          <t>NOTHING OPEN</t>
        </is>
      </c>
    </row>
    <row r="109" ht="60" customHeight="1">
      <c r="A109" s="3" t="inlineStr">
        <is>
          <t>MK-CF-F-112</t>
        </is>
      </c>
      <c r="B109" s="3" t="inlineStr">
        <is>
          <t>makeTransaction</t>
        </is>
      </c>
      <c r="C109" s="3" t="inlineStr">
        <is>
          <t>src/domain/transactions/index.ts</t>
        </is>
      </c>
      <c r="D109" s="3" t="n">
        <v>574</v>
      </c>
      <c r="E109" s="3" t="inlineStr">
        <is>
          <t>3 · DEPENDENT</t>
        </is>
      </c>
      <c r="F109" s="3" t="inlineStr">
        <is>
          <t>Build a full transaction (id + created_at) from a partial.</t>
        </is>
      </c>
      <c r="G109" s="11"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W109" s="3" t="n"/>
      <c r="X109" s="3" t="n"/>
      <c r="Y109" s="3" t="inlineStr">
        <is>
          <t>NOTHING OPEN</t>
        </is>
      </c>
    </row>
    <row r="110" ht="45" customHeight="1">
      <c r="A110" s="3" t="inlineStr">
        <is>
          <t>MK-CF-F-113</t>
        </is>
      </c>
      <c r="B110" s="3" t="inlineStr">
        <is>
          <t>affectedAccountIds</t>
        </is>
      </c>
      <c r="C110" s="3" t="inlineStr">
        <is>
          <t>src/domain/transactions/index.ts</t>
        </is>
      </c>
      <c r="D110" s="3" t="n">
        <v>613</v>
      </c>
      <c r="E110" s="3" t="inlineStr">
        <is>
          <t>3 · DEPENDENT</t>
        </is>
      </c>
      <c r="F110" s="3" t="inlineStr">
        <is>
          <t>The account ids a transaction can touch.</t>
        </is>
      </c>
      <c r="G110" s="11"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W110" s="3" t="n"/>
      <c r="X110" s="3" t="n"/>
      <c r="Y110" s="3" t="inlineStr">
        <is>
          <t>NOTHING OPEN</t>
        </is>
      </c>
    </row>
    <row r="111" ht="60" customHeight="1">
      <c r="A111" s="3" t="inlineStr">
        <is>
          <t>MK-CF-F-114</t>
        </is>
      </c>
      <c r="B111" s="3" t="inlineStr">
        <is>
          <t>undoSnapshot</t>
        </is>
      </c>
      <c r="C111" s="3" t="inlineStr">
        <is>
          <t>src/domain/transactions/index.ts</t>
        </is>
      </c>
      <c r="D111" s="3" t="n">
        <v>646</v>
      </c>
      <c r="E111" s="3" t="inlineStr">
        <is>
          <t>3 · DEPENDENT</t>
        </is>
      </c>
      <c r="F111" s="3" t="inlineStr">
        <is>
          <t>Deep copies of the affected accounts, taken BEFORE applyTransaction.</t>
        </is>
      </c>
      <c r="G111" s="11"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W111" s="3" t="n"/>
      <c r="X111" s="3" t="n"/>
      <c r="Y111" s="3" t="inlineStr">
        <is>
          <t>NOTHING OPEN</t>
        </is>
      </c>
    </row>
    <row r="112" ht="60" customHeight="1">
      <c r="A112" s="3" t="inlineStr">
        <is>
          <t>MK-CF-F-115</t>
        </is>
      </c>
      <c r="B112" s="3" t="inlineStr">
        <is>
          <t>restoreUndo</t>
        </is>
      </c>
      <c r="C112" s="3" t="inlineStr">
        <is>
          <t>src/domain/transactions/index.ts</t>
        </is>
      </c>
      <c r="D112" s="3" t="n">
        <v>682</v>
      </c>
      <c r="E112" s="3" t="inlineStr">
        <is>
          <t>3 · DEPENDENT</t>
        </is>
      </c>
      <c r="F112" s="3" t="inlineStr">
        <is>
          <t>Restore the affected accounts to the transaction's pre-apply copies (pure).</t>
        </is>
      </c>
      <c r="G112" s="11"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W112" s="3" t="n"/>
      <c r="X112" s="3" t="n"/>
      <c r="Y112" s="3" t="inlineStr">
        <is>
          <t>NOTHING OPEN</t>
        </is>
      </c>
    </row>
    <row r="113" ht="60" customHeight="1">
      <c r="A113" s="3" t="inlineStr">
        <is>
          <t>MK-CF-F-116</t>
        </is>
      </c>
      <c r="B113" s="3" t="inlineStr">
        <is>
          <t>inverseOf</t>
        </is>
      </c>
      <c r="C113" s="3" t="inlineStr">
        <is>
          <t>src/domain/transactions/index.ts</t>
        </is>
      </c>
      <c r="D113" s="3" t="n">
        <v>724</v>
      </c>
      <c r="E113" s="3" t="inlineStr">
        <is>
          <t>3 · DEPENDENT</t>
        </is>
      </c>
      <c r="F113" s="3" t="inlineStr">
        <is>
          <t>Legacy fallback for rows recorded before undo_prev: a synthetic opposite transaction.</t>
        </is>
      </c>
      <c r="G113" s="11"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2026-09-12</t>
        </is>
      </c>
      <c r="W113" s="3" t="n"/>
      <c r="X113" s="3" t="n"/>
      <c r="Y113" s="3" t="inlineStr">
        <is>
          <t>NOTHING OPEN</t>
        </is>
      </c>
    </row>
    <row r="114" ht="45" customHeight="1">
      <c r="A114" s="3" t="inlineStr">
        <is>
          <t>MK-CF-F-117</t>
        </is>
      </c>
      <c r="B114" s="3" t="inlineStr">
        <is>
          <t>txnLabel</t>
        </is>
      </c>
      <c r="C114" s="3" t="inlineStr">
        <is>
          <t>src/domain/transactions/index.ts</t>
        </is>
      </c>
      <c r="D114" s="3" t="n">
        <v>764</v>
      </c>
      <c r="E114" s="3" t="inlineStr">
        <is>
          <t>2 · DISPLAYED</t>
        </is>
      </c>
      <c r="F114" s="3" t="inlineStr">
        <is>
          <t>What do we call this kind of row on screen?</t>
        </is>
      </c>
      <c r="G114" s="11"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W114" s="3" t="n"/>
      <c r="X114" s="3" t="n"/>
      <c r="Y114" s="3" t="inlineStr">
        <is>
          <t>NOTHING OPEN</t>
        </is>
      </c>
    </row>
    <row r="115" ht="60" customHeight="1">
      <c r="A115" s="3" t="inlineStr">
        <is>
          <t>MK-CF-F-118</t>
        </is>
      </c>
      <c r="B115" s="3" t="inlineStr">
        <is>
          <t>cashEffect</t>
        </is>
      </c>
      <c r="C115" s="3" t="inlineStr">
        <is>
          <t>src/domain/transactions/index.ts</t>
        </is>
      </c>
      <c r="D115" s="3" t="n">
        <v>797</v>
      </c>
      <c r="E115" s="3" t="inlineStr">
        <is>
          <t>2 · DISPLAYED</t>
        </is>
      </c>
      <c r="F115" s="3" t="inlineStr">
        <is>
          <t>Signed cash effect on the primary account (for display).</t>
        </is>
      </c>
      <c r="G115" s="11"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2026-09-12</t>
        </is>
      </c>
      <c r="W115" s="3" t="n"/>
      <c r="X115" s="3" t="n"/>
      <c r="Y115" s="3" t="inlineStr">
        <is>
          <t>NOTHING OPEN</t>
        </is>
      </c>
    </row>
    <row r="116" ht="60" customHeight="1">
      <c r="A116" s="3" t="inlineStr">
        <is>
          <t>MK-CF-F-119</t>
        </is>
      </c>
      <c r="B116" s="3" t="inlineStr">
        <is>
          <t>investmentIncomeAnnual</t>
        </is>
      </c>
      <c r="C116" s="3" t="inlineStr">
        <is>
          <t>src/domain/transactions/index.ts</t>
        </is>
      </c>
      <c r="D116" s="3" t="n">
        <v>832</v>
      </c>
      <c r="E116" s="3" t="inlineStr">
        <is>
          <t>3 · DEPENDENT (feeds an action only)</t>
        </is>
      </c>
      <c r="F116" s="3" t="inlineStr">
        <is>
          <t>Investment income (cash dividends/interest/coupons, not reinvested) over the trailing window — feeds the Income module.</t>
        </is>
      </c>
      <c r="G116" s="11"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t>
        </is>
      </c>
      <c r="N116" s="3" t="inlineStr">
        <is>
          <t>No</t>
        </is>
      </c>
      <c r="O116" s="3" t="inlineStr">
        <is>
          <t>—</t>
        </is>
      </c>
      <c r="P116" s="3" t="n">
        <v>0</v>
      </c>
      <c r="Q116" s="3" t="inlineStr">
        <is>
          <t>None — no dependent function stands behind it</t>
        </is>
      </c>
      <c r="R116" s="3" t="inlineStr">
        <is>
          <t>No dependent function — it reads its inputs and answers</t>
        </is>
      </c>
      <c r="S116" s="3" t="inlineStr">
        <is>
          <t>—</t>
        </is>
      </c>
      <c r="T116" s="3" t="inlineStr">
        <is>
          <t>—</t>
        </is>
      </c>
      <c r="U116" s="3" t="inlineStr">
        <is>
          <t>ACTIVE</t>
        </is>
      </c>
      <c r="V116" s="3" t="inlineStr">
        <is>
          <t>2026-08-28</t>
        </is>
      </c>
      <c r="W116" s="3" t="n"/>
      <c r="X116" s="3" t="n"/>
      <c r="Y116" s="3" t="inlineStr">
        <is>
          <t>NOTHING OPEN</t>
        </is>
      </c>
    </row>
    <row r="117" ht="60" customHeight="1">
      <c r="A117" s="3" t="inlineStr">
        <is>
          <t>MK-CF-F-120</t>
        </is>
      </c>
      <c r="B117" s="3" t="inlineStr">
        <is>
          <t>pctBaseMonthly</t>
        </is>
      </c>
      <c r="C117" s="3" t="inlineStr">
        <is>
          <t>src/domain/budget/index.ts</t>
        </is>
      </c>
      <c r="D117" s="3" t="n">
        <v>126</v>
      </c>
      <c r="E117" s="3" t="inlineStr">
        <is>
          <t>3 · DEPENDENT</t>
        </is>
      </c>
      <c r="F117" s="3" t="inlineStr">
        <is>
          <t>A-1: the %-of-income base = true take-home (after tax AND 401k) — the SAME base the expenses-plan screen uses (modules.tsx SpendingEditor → takeHomeMonthly).</t>
        </is>
      </c>
      <c r="G117" s="11"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110</v>
      </c>
      <c r="Q117" s="3" t="inlineStr">
        <is>
          <t>1. MK-CF-F-092 incomeMonthlyGrid
2. MK-CF-F-069 benefitActiveMonths
3. MK-CF-F-072 currentRetirementIncomeMonthly
4. MK-CF-F-173 earnerWages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MK-CF-F-177 wageGrossByMonth
20. MK-PL-F-012 waterfall
21. MK-CF-F-075 retirementIncomeMonthly
22. MK-CF-F-172 hasWage
23. MK-CF-F-062 equityRowValue
24. MK-CF-F-070 benefitAnnual
25. MK-ST-F-039 on
26. MK-CF-F-176 sumMonthsOverEarners
27. MK-CF-F-203 MONTH
28. MK-CF-F-090 effectiveRate
29. MK-CF-F-180 enteredLandsAnnual
30. MK-CF-F-085 filingStatusOf
31. MK-CF-F-089 over65CountOf
32. MK-CF-F-082 salaryAnnual
33. MK-CF-F-086 stateRateOf
34. MK-CF-F-101 taxOwedFor
35. MK-CF-F-084 taxableAnnual
36. MK-CF-O-002 expenses
37. MK-CF-F-067 rentalList
38. MK-CF-F-063 rowVestYear
39. MK-XS-F-122 n
40. MK-CF-F-130 enteredMonthlyRaw
41. MK-CF-F-166 hasMonthlySalaryTable
42. MK-ST-F-036 reconcile
43. MK-CF-F-167 salaryCalendarYear
44. MK-CF-O-010 theMonth
45. MK-CF-F-100 taxableIncomeFor
46. MK-CF-F-074 tipsAnnual
47. MK-CF-F-151 actualSpending
48. MK-CF-F-150 debtPaymentsCountedAsExpenses
49. MK-CF-F-153 radar
50. MK-CF-F-149 recurringDebtPayments
51. MK-ST-F-085 rentFigure
52. MK-CF-F-165 salaryMonths
53. MK-CF-F-155 cash
54. MK-CF-O-003 thisMonth
55. MK-CF-F-099 deductionFor
56. MK-CF-F-081 salaryActiveMonths
57. MK-CF-F-148 inMonth
58. MK-CF-F-191 ym
59. MK-CF-F-022 paymentShape
60. MK-CF-F-152 isRadarItem
61. MK-CF-F-023 requiredPayment
62. MK-CF-F-005 actualMonthFlow
63. MK-CF-F-156 plannedMonthFlow
64. MK-CF-F-187 seniorDeductionFor
65. MK-CF-F-021 defaultPaymentType
66. MK-NW-F-078 ONE
67. MK-CF-F-157 debtPaymentsByDebt
68. MK-CF-F-192 inflowLabel
69. MK-XS-F-027 takeHomeMonthly
70. MK-NW-F-077 ALL
71. MK-NW-F-059 currentYield
72. MK-XS-F-180 declareFigures
73. MK-ST-F-049 formatMoney
74. MK-ST-F-053 money
75. MK-NW-O-001 theBonds
76. MK-CF-F-193 inflowSourceWord
77. MK-CF-F-011 savingsByMonth
78. MK-NW-F-112 yearlyInterest
79. MK-ST-F-048 currencySymbol
80. MK-ST-F-027 accountId
81. MK-NW-F-057 annualCoupon
82. MK-NW-F-056 bondInfo
83. MK-NW-F-064 bondRateSensitivity
84. MK-NW-F-061 bondSummary
85. MK-NW-F-055 isBond
86. MK-NW-F-072 rowOf
87. MK-CF-F-008 spendByMonth
88. MK-ST-F-047 activeCurrency
89. MK-NW-F-060 approxYTM
90. MK-NW-F-069 priceAtYield
91. MK-NW-F-131 pricedLikeBond
92. MK-NW-F-125 isPastMaturity
93. MK-ST-F-065 isoLocalDate
94. MK-NW-F-126 yearlyInterestNow
95. MK-NW-F-011 assetClassOf
96. MK-NW-F-070 accruedInterestCaveat
97. MK-NW-F-058 yearsToMaturity
98. MK-CF-F-004 spendBuckets
99. MK-NW-F-119 estimatedAccrued
100. MK-NW-F-124 maturityParts
101. MK-NW-F-120 classEvidenceOf
102. MK-NW-F-067 plural
103. MK-CF-F-003 categoryMonthly
104. MK-NW-F-008 incomeBearingClassOf
105. MK-NW-F-009 maturityClass
106. MK-ST-F-010 nameEvidence
107. MK-NW-F-068 prettyDay
108. MK-XS-F-147 call
109. MK-XS-F-064 currentIdToken
110. MK-XS-F-112 relayUrl</t>
        </is>
      </c>
      <c r="R117" s="3" t="inlineStr">
        <is>
          <t>1. MK-CF-F-069 benefitActiveMonths → MK-CF-F-092 incomeMonthlyGrid → MK-CF-F-120 pctBaseMonthly
2. MK-XS-F-122 n → MK-ST-F-052 toNum → MK-CF-F-075 retirementIncomeMonthly → MK-CF-F-072 currentRetirementIncomeMonthly → MK-CF-F-092 incomeMonthlyGrid → MK-CF-F-120 pctBaseMonthly
3. MK-ST-F-056 has → MK-CF-F-172 hasWage → MK-CF-F-173 earnerWages → MK-CF-F-092 incomeMonthlyGrid → MK-CF-F-120 pctBaseMonthly
4. MK-XS-F-122 n → MK-ST-F-052 toNum → MK-CF-F-062 equityRowValue → MK-CF-F-065 equityVestWeights → MK-CF-F-092 incomeMonthlyGrid → MK-CF-F-120 pctBaseMonthly
5. MK-CF-F-132 map → MK-CF-F-065 equityVestWeights → MK-CF-F-092 incomeMonthlyGrid → MK-CF-F-120 pctBaseMonthly
6. MK-CF-F-069 benefitActiveMonths → MK-CF-F-070 benefitAnnual → MK-CF-F-071 extraIncome → MK-CF-F-092 incomeMonthlyGrid → MK-CF-F-120 pctBaseMonthly
7. MK-XS-F-122 n → MK-ST-F-052 toNum → MK-CF-F-070 benefitAnnual → MK-CF-F-071 extraIncome → MK-CF-F-092 incomeMonthlyGrid → MK-CF-F-120 pctBaseMonthly
8. MK-ST-F-039 on → MK-CF-F-071 extraIncome → MK-CF-F-092 incomeMonthlyGrid → MK-CF-F-120 pctBaseMonthly
9. … and 4 more paths</t>
        </is>
      </c>
      <c r="S117" s="3" t="inlineStr">
        <is>
          <t>—</t>
        </is>
      </c>
      <c r="T117" s="3" t="inlineStr">
        <is>
          <t>—</t>
        </is>
      </c>
      <c r="U117" s="3" t="inlineStr">
        <is>
          <t>ACTIVE</t>
        </is>
      </c>
      <c r="V117" s="3" t="inlineStr">
        <is>
          <t>2026-08-27</t>
        </is>
      </c>
      <c r="W117" s="3" t="n"/>
      <c r="X117" s="3" t="n"/>
      <c r="Y117" s="3" t="inlineStr">
        <is>
          <t>NOTHING OPEN</t>
        </is>
      </c>
    </row>
    <row r="118" ht="45" customHeight="1">
      <c r="A118" s="3" t="inlineStr">
        <is>
          <t>MK-CF-F-121</t>
        </is>
      </c>
      <c r="B118" s="3" t="inlineStr">
        <is>
          <t>zero12</t>
        </is>
      </c>
      <c r="C118" s="3" t="inlineStr">
        <is>
          <t>src/domain/cashflow/index.ts</t>
        </is>
      </c>
      <c r="D118" s="3" t="n">
        <v>36</v>
      </c>
      <c r="E118" s="3" t="inlineStr">
        <is>
          <t>3 · DEPENDENT</t>
        </is>
      </c>
      <c r="F118" s="3" t="inlineStr">
        <is>
          <t>Twelve zeros: an empty year, one slot for each month.</t>
        </is>
      </c>
      <c r="G118" s="11"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W118" s="3" t="n"/>
      <c r="X118" s="3" t="n"/>
      <c r="Y118" s="3" t="inlineStr">
        <is>
          <t>NOTHING OPEN</t>
        </is>
      </c>
    </row>
    <row r="119" ht="45" customHeight="1">
      <c r="A119" s="3" t="inlineStr">
        <is>
          <t>MK-CF-F-122</t>
        </is>
      </c>
      <c r="B119" s="3" t="inlineStr">
        <is>
          <t>addDays</t>
        </is>
      </c>
      <c r="C119" s="3" t="inlineStr">
        <is>
          <t>src/domain/cashflow/index.ts</t>
        </is>
      </c>
      <c r="D119" s="3" t="n">
        <v>140</v>
      </c>
      <c r="E119" s="3" t="inlineStr">
        <is>
          <t>2 · DISPLAYED</t>
        </is>
      </c>
      <c r="F119" s="3" t="inlineStr">
        <is>
          <t>The date a given number of days after another date.</t>
        </is>
      </c>
      <c r="G119" s="11"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W119" s="3" t="n"/>
      <c r="X119" s="3" t="n"/>
      <c r="Y119" s="3" t="inlineStr">
        <is>
          <t>NOTHING OPEN</t>
        </is>
      </c>
    </row>
    <row r="120" ht="60" customHeight="1">
      <c r="A120" s="3" t="inlineStr">
        <is>
          <t>MK-CF-F-124</t>
        </is>
      </c>
      <c r="B120" s="3" t="inlineStr">
        <is>
          <t>nextOccurrence</t>
        </is>
      </c>
      <c r="C120" s="3" t="inlineStr">
        <is>
          <t>src/domain/cashflow/index.ts</t>
        </is>
      </c>
      <c r="D120" s="3" t="n">
        <v>166</v>
      </c>
      <c r="E120" s="3" t="inlineStr">
        <is>
          <t>3 · DEPENDENT</t>
        </is>
      </c>
      <c r="F120" s="3" t="inlineStr">
        <is>
          <t>The next time (month, day) occurs on/after `now`, unless an explicit year is given.</t>
        </is>
      </c>
      <c r="G120" s="11"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W120" s="3" t="n"/>
      <c r="X120" s="3" t="n"/>
      <c r="Y120" s="3" t="inlineStr">
        <is>
          <t>NOTHING OPEN</t>
        </is>
      </c>
    </row>
    <row r="121" ht="60" customHeight="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1"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W121" s="3" t="n"/>
      <c r="X121" s="3" t="n"/>
      <c r="Y121" s="3" t="inlineStr">
        <is>
          <t>NOTHING OPEN</t>
        </is>
      </c>
    </row>
    <row r="122" ht="60" customHeight="1">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1"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W122" s="3" t="n"/>
      <c r="X122" s="3" t="n"/>
      <c r="Y122" s="3" t="inlineStr">
        <is>
          <t>NOTHING OPEN</t>
        </is>
      </c>
    </row>
    <row r="123" ht="45" customHeight="1">
      <c r="A123" s="3" t="inlineStr">
        <is>
          <t>MK-CF-F-127</t>
        </is>
      </c>
      <c r="B123" s="3" t="inlineStr">
        <is>
          <t>isRental</t>
        </is>
      </c>
      <c r="C123" s="3" t="inlineStr">
        <is>
          <t>src/domain/income/calc.ts</t>
        </is>
      </c>
      <c r="D123" s="3" t="n">
        <v>30</v>
      </c>
      <c r="E123" s="3" t="inlineStr">
        <is>
          <t>1 · ACTION</t>
        </is>
      </c>
      <c r="F123" s="3" t="inlineStr">
        <is>
          <t>Whether an income source is rent from a property, long-term or short-term.</t>
        </is>
      </c>
      <c r="G123" s="11"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W123" s="3" t="n"/>
      <c r="X123" s="3" t="n"/>
      <c r="Y123" s="3" t="inlineStr">
        <is>
          <t>NOTHING OPEN</t>
        </is>
      </c>
    </row>
    <row r="124" ht="60" customHeight="1">
      <c r="A124" s="3" t="inlineStr">
        <is>
          <t>MK-CF-F-128</t>
        </is>
      </c>
      <c r="B124" s="3" t="inlineStr">
        <is>
          <t>grossByMonth</t>
        </is>
      </c>
      <c r="C124" s="3" t="inlineStr">
        <is>
          <t>MoneyKeel/functions/cashflow/base-pay.ts</t>
        </is>
      </c>
      <c r="D124" s="3" t="n">
        <v>184</v>
      </c>
      <c r="E124" s="3" t="inlineStr">
        <is>
          <t>3 · DEPENDENT</t>
        </is>
      </c>
      <c r="F124" s="3" t="inlineStr">
        <is>
          <t>GROSS pay for each month the table covers, or twelve identical months when pay is steady.</t>
        </is>
      </c>
      <c r="G124" s="11"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W124" s="3" t="n"/>
      <c r="X124" s="3" t="n"/>
      <c r="Y124" s="3" t="inlineStr">
        <is>
          <t>NOTHING OPEN</t>
        </is>
      </c>
    </row>
    <row r="125" ht="45" customHeight="1">
      <c r="A125" s="3" t="inlineStr">
        <is>
          <t>MK-CF-F-129</t>
        </is>
      </c>
      <c r="B125" s="3" t="inlineStr">
        <is>
          <t>round4</t>
        </is>
      </c>
      <c r="C125" s="3" t="inlineStr">
        <is>
          <t>src/domain/income/calc.ts</t>
        </is>
      </c>
      <c r="D125" s="3" t="n">
        <v>282</v>
      </c>
      <c r="E125" s="3" t="inlineStr">
        <is>
          <t>1 · ACTION</t>
        </is>
      </c>
      <c r="F125" s="3" t="inlineStr">
        <is>
          <t>Returns a number unchanged, because rounding is done once, where a figure is shown.</t>
        </is>
      </c>
      <c r="G125" s="11"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W125" s="3" t="n"/>
      <c r="X125" s="3" t="n"/>
      <c r="Y125" s="3" t="inlineStr">
        <is>
          <t>NOTHING OPEN</t>
        </is>
      </c>
    </row>
    <row r="126" ht="60" customHeight="1">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1"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W126" s="3" t="n"/>
      <c r="X126" s="3" t="n"/>
      <c r="Y126" s="3" t="inlineStr">
        <is>
          <t>NOTHING OPEN</t>
        </is>
      </c>
    </row>
    <row r="127" ht="45" customHeight="1">
      <c r="A127" s="3" t="inlineStr">
        <is>
          <t>MK-CF-F-131</t>
        </is>
      </c>
      <c r="B127" s="3" t="inlineStr">
        <is>
          <t>normPayee</t>
        </is>
      </c>
      <c r="C127" s="3" t="inlineStr">
        <is>
          <t>src/domain/transactions/flags.ts</t>
        </is>
      </c>
      <c r="D127" s="3" t="n">
        <v>93</v>
      </c>
      <c r="E127" s="3" t="inlineStr">
        <is>
          <t>1 · ACTION</t>
        </is>
      </c>
      <c r="F127" s="3" t="inlineStr">
        <is>
          <t>Tidies a payee's name so two can be compared: trims the spaces and puts it in lower case.</t>
        </is>
      </c>
      <c r="G127" s="11"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W127" s="3" t="n"/>
      <c r="X127" s="3" t="n"/>
      <c r="Y127" s="3" t="inlineStr">
        <is>
          <t>NOTHING OPEN</t>
        </is>
      </c>
    </row>
    <row r="128" ht="60" customHeight="1">
      <c r="A128" s="3" t="inlineStr">
        <is>
          <t>MK-CF-F-132</t>
        </is>
      </c>
      <c r="B128" s="3" t="inlineStr">
        <is>
          <t>map</t>
        </is>
      </c>
      <c r="C128" s="3" t="inlineStr">
        <is>
          <t>src/domain/transactions/index.ts</t>
        </is>
      </c>
      <c r="D128" s="3" t="n">
        <v>131</v>
      </c>
      <c r="E128" s="3" t="inlineStr">
        <is>
          <t>1 · ACTION</t>
        </is>
      </c>
      <c r="F128" s="3" t="inlineStr">
        <is>
          <t>Applies one change to the one account named and leaves every other account as it was.</t>
        </is>
      </c>
      <c r="G128" s="11"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"ACCOUNTS (year-end)" — on the Tax organiser screen, under "ACCOUNTS (year-end)"
2. "Account name" — on the Import holdings screen, under "REVIEW YOUR HOLDINGS"
3. "Add a goal ›" — on the Goals together screen, under "TRY THESE TOGETHER"
4. "Add your income ›" — on the income summary screen
5. "COMING UP" — on the Bill calendar screen, under "COMING UP"
6. "Certain months" — on the setup questions, which appear on more than one screen</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W128" s="3" t="n"/>
      <c r="X128" s="3" t="n"/>
      <c r="Y128" s="3" t="inlineStr">
        <is>
          <t>NOTHING OPEN</t>
        </is>
      </c>
    </row>
    <row r="129" ht="45" customHeight="1">
      <c r="A129" s="3" t="inlineStr">
        <is>
          <t>MK-CF-F-133</t>
        </is>
      </c>
      <c r="B129" s="3" t="inlineStr">
        <is>
          <t>cashOf</t>
        </is>
      </c>
      <c r="C129" s="3" t="inlineStr">
        <is>
          <t>src/domain/transactions/index.ts</t>
        </is>
      </c>
      <c r="D129" s="3" t="n">
        <v>166</v>
      </c>
      <c r="E129" s="3" t="inlineStr">
        <is>
          <t>1 · ACTION</t>
        </is>
      </c>
      <c r="F129" s="3" t="inlineStr">
        <is>
          <t>The uninvested cash held inside an account, or zero when none is recorded.</t>
        </is>
      </c>
      <c r="G129" s="11"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W129" s="3" t="n"/>
      <c r="X129" s="3" t="n"/>
      <c r="Y129" s="3" t="inlineStr">
        <is>
          <t>NOTHING OPEN</t>
        </is>
      </c>
    </row>
    <row r="130" ht="60" customHeight="1">
      <c r="A130" s="3" t="inlineStr">
        <is>
          <t>MK-CF-F-134</t>
        </is>
      </c>
      <c r="B130" s="3" t="inlineStr">
        <is>
          <t>usesSleeve</t>
        </is>
      </c>
      <c r="C130" s="3" t="inlineStr">
        <is>
          <t>src/domain/transactions/index.ts</t>
        </is>
      </c>
      <c r="D130" s="3" t="n">
        <v>202</v>
      </c>
      <c r="E130" s="3" t="inlineStr">
        <is>
          <t>1 · ACTION</t>
        </is>
      </c>
      <c r="F130" s="3" t="inlineStr">
        <is>
          <t>Where an account's spendable cash lives: investment accounts use the cash_balance SLEEVE; cash accounts (checking/savings) and property hold their money in `balance`.</t>
        </is>
      </c>
      <c r="G130" s="11"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W130" s="3" t="n"/>
      <c r="X130" s="3" t="n"/>
      <c r="Y130" s="3" t="inlineStr">
        <is>
          <t>NOTHING OPEN</t>
        </is>
      </c>
    </row>
    <row r="131" ht="60" customHeight="1">
      <c r="A131" s="3" t="inlineStr">
        <is>
          <t>MK-CF-F-135</t>
        </is>
      </c>
      <c r="B131" s="3" t="inlineStr">
        <is>
          <t>availableCash</t>
        </is>
      </c>
      <c r="C131" s="3" t="inlineStr">
        <is>
          <t>src/domain/transactions/index.ts</t>
        </is>
      </c>
      <c r="D131" s="3" t="n">
        <v>230</v>
      </c>
      <c r="E131" s="3" t="inlineStr">
        <is>
          <t>1 · ACTION</t>
        </is>
      </c>
      <c r="F131" s="3" t="inlineStr">
        <is>
          <t>The cash an account can spend right now: the uninvested cash inside an investment account, or the whole balance of a bank account.</t>
        </is>
      </c>
      <c r="G131" s="11"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W131" s="3" t="n"/>
      <c r="X131" s="3" t="n"/>
      <c r="Y131" s="3" t="inlineStr">
        <is>
          <t>NOTHING OPEN</t>
        </is>
      </c>
    </row>
    <row r="132" ht="60" customHeight="1">
      <c r="A132" s="3" t="inlineStr">
        <is>
          <t>MK-CF-F-136</t>
        </is>
      </c>
      <c r="B132" s="3" t="inlineStr">
        <is>
          <t>bumpCash</t>
        </is>
      </c>
      <c r="C132" s="3" t="inlineStr">
        <is>
          <t>src/domain/transactions/index.ts</t>
        </is>
      </c>
      <c r="D132" s="3" t="n">
        <v>272</v>
      </c>
      <c r="E132" s="3" t="inlineStr">
        <is>
          <t>3 · DEPENDENT</t>
        </is>
      </c>
      <c r="F132" s="3" t="inlineStr">
        <is>
          <t>Adds cash to an account, or takes it out, in the right place: the uninvested cash of an investment account, or the balance of a bank account.</t>
        </is>
      </c>
      <c r="G132" s="11"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W132" s="3" t="n"/>
      <c r="X132" s="3" t="n"/>
      <c r="Y132" s="3" t="inlineStr">
        <is>
          <t>NOTHING OPEN</t>
        </is>
      </c>
    </row>
    <row r="133" ht="45" customHeight="1">
      <c r="A133" s="3" t="inlineStr">
        <is>
          <t>MK-CF-F-137</t>
        </is>
      </c>
      <c r="B133" s="3" t="inlineStr">
        <is>
          <t>findPos</t>
        </is>
      </c>
      <c r="C133" s="3" t="inlineStr">
        <is>
          <t>src/domain/transactions/index.ts</t>
        </is>
      </c>
      <c r="D133" s="3" t="n">
        <v>323</v>
      </c>
      <c r="E133" s="3" t="inlineStr">
        <is>
          <t>1 · ACTION</t>
        </is>
      </c>
      <c r="F133" s="3" t="inlineStr">
        <is>
          <t>Finds the holding a transaction refers to, by the holding's own identifier or by its ticker.</t>
        </is>
      </c>
      <c r="G133" s="11"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W133" s="3" t="n"/>
      <c r="X133" s="3" t="n"/>
      <c r="Y133" s="3" t="inlineStr">
        <is>
          <t>NOTHING OPEN</t>
        </is>
      </c>
    </row>
    <row r="134" ht="60" customHeight="1">
      <c r="A134" s="3" t="inlineStr">
        <is>
          <t>MK-CF-F-138</t>
        </is>
      </c>
      <c r="B134" s="3" t="inlineStr">
        <is>
          <t>addLot</t>
        </is>
      </c>
      <c r="C134" s="3" t="inlineStr">
        <is>
          <t>src/domain/transactions/index.ts</t>
        </is>
      </c>
      <c r="D134" s="3" t="n">
        <v>371</v>
      </c>
      <c r="E134" s="3" t="inlineStr">
        <is>
          <t>3 · DEPENDENT</t>
        </is>
      </c>
      <c r="F134" s="3" t="inlineStr">
        <is>
          <t>Add shares to a position (creating it if needed) at a cost basis — used by BUY and reinvested dividends.</t>
        </is>
      </c>
      <c r="G134" s="11"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W134" s="3" t="n"/>
      <c r="X134" s="3" t="n"/>
      <c r="Y134" s="3" t="inlineStr">
        <is>
          <t>NOTHING OPEN</t>
        </is>
      </c>
    </row>
    <row r="135" ht="60" customHeight="1">
      <c r="A135" s="3" t="inlineStr">
        <is>
          <t>MK-CF-F-139</t>
        </is>
      </c>
      <c r="B135" s="3" t="inlineStr">
        <is>
          <t>removeShares</t>
        </is>
      </c>
      <c r="C135" s="3" t="inlineStr">
        <is>
          <t>src/domain/transactions/index.ts</t>
        </is>
      </c>
      <c r="D135" s="3" t="n">
        <v>418</v>
      </c>
      <c r="E135" s="3" t="inlineStr">
        <is>
          <t>3 · DEPENDENT</t>
        </is>
      </c>
      <c r="F135" s="3" t="inlineStr">
        <is>
          <t>Remove `shares` from a position FIFO (oldest lots first); returns updated account.</t>
        </is>
      </c>
      <c r="G135" s="11" t="inlineStr">
        <is>
          <t>pos = find pos(a, t)
a   when pos is missing
remaining = shares
lots = for each of pos.lots: { ...each }
oldest first = [...lots].sort((x, y) =&gt; string(purchase date or '9999').locale compare(string(purchase date or '9999')))
take = min(shares, remaining)
kept = lots where shares &gt; 1e − 9
the answer = { ...a, positions }</t>
        </is>
      </c>
      <c r="H135" s="3" t="inlineStr">
        <is>
          <t>Pos is find pos(a, t). When pos is missing, it answers a. Remaining is shares. Lots is for each of pos.lots: { ...each }. Oldest first is [...lots].sort((x, y) =&gt; string(purchase date or '9999').locale compare(string(purchase date or '9999'))). Take: the smaller of shares and remaining. Kept is lots where shares &gt; 1e minus 9. The answer is { ...a, positions }.</t>
        </is>
      </c>
      <c r="I135" s="3" t="inlineStr">
        <is>
          <t>PARTLY READ — some of the code is still showing through; needs a hand pass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t>
        </is>
      </c>
      <c r="P135" s="3" t="n">
        <v>2</v>
      </c>
      <c r="Q135" s="3" t="inlineStr">
        <is>
          <t>1. MK-CF-F-137 findPos
2. MK-CF-F-132 map</t>
        </is>
      </c>
      <c r="R135" s="3" t="inlineStr">
        <is>
          <t>1. MK-CF-F-137 findPos → MK-CF-F-139 removeShares
2. MK-CF-F-132 map → MK-CF-F-139 removeShares</t>
        </is>
      </c>
      <c r="S135" s="3" t="inlineStr">
        <is>
          <t>—</t>
        </is>
      </c>
      <c r="T135" s="3" t="inlineStr">
        <is>
          <t>—</t>
        </is>
      </c>
      <c r="U135" s="3" t="inlineStr">
        <is>
          <t>ACTIVE</t>
        </is>
      </c>
      <c r="V135" s="3" t="inlineStr">
        <is>
          <t>2026-10-04</t>
        </is>
      </c>
      <c r="W135" s="3" t="n"/>
      <c r="X135" s="3" t="n"/>
      <c r="Y135" s="3" t="inlineStr">
        <is>
          <t>NOTHING OPEN</t>
        </is>
      </c>
    </row>
    <row r="136" ht="45" customHeight="1">
      <c r="A136" s="3" t="inlineStr">
        <is>
          <t>MK-CF-F-140</t>
        </is>
      </c>
      <c r="B136" s="3" t="inlineStr">
        <is>
          <t>periodsAYear</t>
        </is>
      </c>
      <c r="C136" s="3" t="inlineStr">
        <is>
          <t>MoneyKeel/functions/cashflow/base-pay.ts</t>
        </is>
      </c>
      <c r="D136" s="3" t="n">
        <v>80</v>
      </c>
      <c r="E136" s="3" t="inlineStr">
        <is>
          <t>1 · ACTION</t>
        </is>
      </c>
      <c r="F136" s="3" t="inlineStr">
        <is>
          <t>How many pay periods a year a pay frequency has, taken as 12 when it is monthly or not stated.</t>
        </is>
      </c>
      <c r="G136" s="11"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W136" s="3" t="n"/>
      <c r="X136" s="3" t="n"/>
      <c r="Y136" s="3" t="inlineStr">
        <is>
          <t>NOTHING OPEN</t>
        </is>
      </c>
    </row>
    <row r="137" ht="60" customHeight="1">
      <c r="A137" s="3" t="inlineStr">
        <is>
          <t>MK-CF-F-141</t>
        </is>
      </c>
      <c r="B137" s="3" t="inlineStr">
        <is>
          <t>perMonth</t>
        </is>
      </c>
      <c r="C137" s="3" t="inlineStr">
        <is>
          <t>MoneyKeel/functions/cashflow/base-pay.ts</t>
        </is>
      </c>
      <c r="D137" s="3" t="n">
        <v>112</v>
      </c>
      <c r="E137" s="3" t="inlineStr">
        <is>
          <t>3 · DEPENDENT</t>
        </is>
      </c>
      <c r="F137" s="3" t="inlineStr">
        <is>
          <t>One period of pay expressed as a month.</t>
        </is>
      </c>
      <c r="G137" s="11"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W137" s="3" t="n"/>
      <c r="X137" s="3" t="n"/>
      <c r="Y137" s="3" t="inlineStr">
        <is>
          <t>NOTHING OPEN</t>
        </is>
      </c>
    </row>
    <row r="138" ht="60" customHeight="1">
      <c r="A138" s="3" t="inlineStr">
        <is>
          <t>MK-CF-F-142</t>
        </is>
      </c>
      <c r="B138" s="3" t="inlineStr">
        <is>
          <t>monthsOf</t>
        </is>
      </c>
      <c r="C138" s="3" t="inlineStr">
        <is>
          <t>MoneyKeel/functions/cashflow/base-pay.ts</t>
        </is>
      </c>
      <c r="D138" s="3" t="n">
        <v>148</v>
      </c>
      <c r="E138" s="3" t="inlineStr">
        <is>
          <t>3 · DEPENDENT</t>
        </is>
      </c>
      <c r="F138" s="3" t="inlineStr">
        <is>
          <t>The months the person filled in, in order.</t>
        </is>
      </c>
      <c r="G138" s="11"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W138" s="3" t="n"/>
      <c r="X138" s="3" t="n"/>
      <c r="Y138" s="3" t="inlineStr">
        <is>
          <t>NOTHING OPEN</t>
        </is>
      </c>
    </row>
    <row r="139" ht="60" customHeight="1">
      <c r="A139" s="3" t="inlineStr">
        <is>
          <t>MK-CF-F-143</t>
        </is>
      </c>
      <c r="B139" s="3" t="inlineStr">
        <is>
          <t>annualisedGross</t>
        </is>
      </c>
      <c r="C139" s="3" t="inlineStr">
        <is>
          <t>MoneyKeel/functions/cashflow/base-pay.ts</t>
        </is>
      </c>
      <c r="D139" s="3" t="n">
        <v>233</v>
      </c>
      <c r="E139" s="3" t="inlineStr">
        <is>
          <t>3 · DEPENDENT</t>
        </is>
      </c>
      <c r="F139" s="3" t="inlineStr">
        <is>
          <t>GROSS PAY ANNUALISED — the figure a tax bracket is read from.</t>
        </is>
      </c>
      <c r="G139" s="11"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MK-CF-F-128 grossByMonth</t>
        </is>
      </c>
      <c r="P139" s="3" t="n">
        <v>9</v>
      </c>
      <c r="Q139" s="3" t="inlineStr">
        <is>
          <t>1. MK-CF-F-128 grossByMonth
2. MK-CF-F-142 monthsOf
3. MK-CF-F-141 perMonth
4. MK-ST-F-035 covers
5. MK-CF-F-132 map
6. MK-ST-F-052 toNum
7. MK-CF-F-140 periodsAYear
8. MK-ST-F-034 firstDate
9.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t>
        </is>
      </c>
      <c r="S139" s="3" t="inlineStr">
        <is>
          <t>—</t>
        </is>
      </c>
      <c r="T139" s="3" t="inlineStr">
        <is>
          <t>—</t>
        </is>
      </c>
      <c r="U139" s="3" t="inlineStr">
        <is>
          <t>ACTIVE</t>
        </is>
      </c>
      <c r="V139" s="3" t="inlineStr">
        <is>
          <t>2026-09-09</t>
        </is>
      </c>
      <c r="W139" s="3" t="n"/>
      <c r="X139" s="3" t="n"/>
      <c r="Y139" s="3" t="inlineStr">
        <is>
          <t>NOTHING OPEN</t>
        </is>
      </c>
    </row>
    <row r="140" ht="60" customHeight="1">
      <c r="A140" s="3" t="inlineStr">
        <is>
          <t>MK-CF-F-144</t>
        </is>
      </c>
      <c r="B140" s="3" t="inlineStr">
        <is>
          <t>takeHomeAsEntered</t>
        </is>
      </c>
      <c r="C140" s="3" t="inlineStr">
        <is>
          <t>MoneyKeel/functions/cashflow/base-pay.ts</t>
        </is>
      </c>
      <c r="D140" s="3" t="n">
        <v>291</v>
      </c>
      <c r="E140" s="3" t="inlineStr">
        <is>
          <t>3 · DEPENDENT</t>
        </is>
      </c>
      <c r="F140" s="3" t="inlineStr">
        <is>
          <t>A person's monthly take-home exactly as they entered it, averaged over their month-by-month table when their pay varies, or a calculated figure marked as calculated when they entered none.</t>
        </is>
      </c>
      <c r="G140" s="11"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MK-CF-F-101 taxOwedFor
5. MK-ST-F-052 toNum</t>
        </is>
      </c>
      <c r="P140" s="3" t="n">
        <v>15</v>
      </c>
      <c r="Q140" s="3" t="inlineStr">
        <is>
          <t>1. MK-CF-F-143 annualisedGross
2. MK-CF-F-142 monthsOf
3. MK-ST-F-039 on
4. MK-CF-F-101 taxOwedFor
5. MK-ST-F-052 toNum
6. MK-CF-F-128 grossByMonth
7. MK-ST-F-035 covers
8. MK-CF-F-132 map
9. MK-CF-F-100 taxableIncomeFor
10. MK-XS-F-122 n
11. MK-CF-F-141 perMonth
12. MK-ST-F-034 firstDate
13. MK-CF-F-099 deductionFor
14. MK-CF-F-140 periodsAYear
15.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MK-ST-F-034 firstDate → MK-ST-F-035 covers → MK-CF-F-142 monthsOf → MK-CF-F-144 takeHomeAsEntered
7. MK-CF-F-132 map → MK-CF-F-142 monthsOf → MK-CF-F-144 takeHomeAsEntered
8. MK-XS-F-122 n → MK-ST-F-052 toNum → MK-CF-F-142 monthsOf → MK-CF-F-144 takeHomeAsEntered
9. … and 3 more paths</t>
        </is>
      </c>
      <c r="S140" s="3" t="inlineStr">
        <is>
          <t>—</t>
        </is>
      </c>
      <c r="T140" s="3" t="inlineStr">
        <is>
          <t>—</t>
        </is>
      </c>
      <c r="U140" s="3" t="inlineStr">
        <is>
          <t>ACTIVE</t>
        </is>
      </c>
      <c r="V140" s="3" t="inlineStr">
        <is>
          <t>2026-09-09</t>
        </is>
      </c>
      <c r="W140" s="3" t="n"/>
      <c r="X140" s="3" t="n"/>
      <c r="Y140" s="3" t="inlineStr">
        <is>
          <t>NOTHING OPEN</t>
        </is>
      </c>
    </row>
    <row r="141" ht="60" customHeight="1">
      <c r="A141" s="3" t="inlineStr">
        <is>
          <t>MK-CF-F-145</t>
        </is>
      </c>
      <c r="B141" s="3" t="inlineStr">
        <is>
          <t>deductionsFromPay</t>
        </is>
      </c>
      <c r="C141" s="3" t="inlineStr">
        <is>
          <t>MoneyKeel/functions/cashflow/base-pay.ts</t>
        </is>
      </c>
      <c r="D141" s="3" t="n">
        <v>373</v>
      </c>
      <c r="E141" s="3" t="inlineStr">
        <is>
          <t>3 · DEPENDENT</t>
        </is>
      </c>
      <c r="F141" s="3" t="inlineStr">
        <is>
          <t>EVERYTHING ELSE TAKEN OUT — gross, less the 401(k), less the take-home.</t>
        </is>
      </c>
      <c r="G141" s="11"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16</v>
      </c>
      <c r="Q141" s="3" t="inlineStr">
        <is>
          <t>1. MK-CF-F-143 annualisedGross
2. MK-CF-F-144 takeHomeAsEntered
3. MK-ST-F-052 toNum
4. MK-CF-F-128 grossByMonth
5. MK-CF-F-142 monthsOf
6. MK-ST-F-039 on
7. MK-CF-F-101 taxOwedFor
8. MK-XS-F-122 n
9. MK-CF-F-141 perMonth
10. MK-ST-F-035 covers
11. MK-CF-F-132 map
12. MK-CF-F-100 taxableIncomeFor
13. MK-CF-F-140 periodsAYear
14. MK-ST-F-034 firstDate
15. MK-CF-F-099 deductionFor
16.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MK-ST-F-035 covers → MK-CF-F-142 monthsOf → MK-CF-F-128 grossByMonth → MK-CF-F-143 annualisedGross → MK-CF-F-144 takeHomeAsEntered → MK-CF-F-145 deductionsFromPay
7. MK-CF-F-132 map → MK-CF-F-142 monthsOf → MK-CF-F-128 grossByMonth → MK-CF-F-143 annualisedGross → MK-CF-F-144 takeHomeAsEntered → MK-CF-F-145 deductionsFromPay
8. MK-ST-F-052 toNum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W141" s="3" t="n"/>
      <c r="X141" s="3" t="n"/>
      <c r="Y141" s="3" t="inlineStr">
        <is>
          <t>NOTHING OPEN</t>
        </is>
      </c>
    </row>
    <row r="142" ht="60" customHeight="1">
      <c r="A142" s="3" t="inlineStr">
        <is>
          <t>MK-CF-F-146</t>
        </is>
      </c>
      <c r="B142" s="3" t="inlineStr">
        <is>
          <t>payFiguresAgree</t>
        </is>
      </c>
      <c r="C142" s="3" t="inlineStr">
        <is>
          <t>MoneyKeel/functions/cashflow/base-pay.ts</t>
        </is>
      </c>
      <c r="D142" s="3" t="n">
        <v>441</v>
      </c>
      <c r="E142" s="3" t="inlineStr">
        <is>
          <t>3 · DEPENDENT</t>
        </is>
      </c>
      <c r="F142" s="3" t="inlineStr">
        <is>
          <t>Checks month by month that gross pay, less the 401(k), is enough to leave the take-home the person entered, and says in words when it is not or when an unusually large share goes elsewhere.</t>
        </is>
      </c>
      <c r="G142" s="11" t="inlineStr">
        <is>
          <t>t = take home as entered(e)
ok = true
warn = false
say = ''   when estimated
k401 = monthly401k read as a number (0 when it is not one)
gm = gross by month(e)
lands = a lookup of lm
landed = lands.get(key) as number   if lands.has(key)
lands typical read as a number (0 when it is not one)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lands typical read as a number (0 — when it is one is missing)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MK-CF-F-144 takeHomeAsEntered
7. MK-ST-F-052 toNum</t>
        </is>
      </c>
      <c r="P142" s="3" t="n">
        <v>21</v>
      </c>
      <c r="Q142" s="3" t="inlineStr">
        <is>
          <t>1. MK-CF-F-128 grossByMonth
2. MK-ST-F-056 has
3. MK-CF-F-132 map
4. MK-ST-F-053 money
5. MK-CF-F-142 monthsOf
6. MK-CF-F-144 takeHomeAsEntered
7. MK-ST-F-052 toNum
8. MK-CF-F-141 perMonth
9. MK-ST-F-049 formatMoney
10. MK-XS-F-122 n
11. MK-ST-F-035 covers
12. MK-CF-F-143 annualisedGross
13. MK-ST-F-039 on
14. MK-CF-F-101 taxOwedFor
15. MK-CF-F-140 periodsAYear
16. MK-ST-F-048 currencySymbol
17. MK-ST-F-034 firstDate
18. MK-CF-F-100 taxableIncomeFor
19. MK-ST-F-047 activeCurrency
20. MK-CF-F-099 deductionFor
21.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2026-10-04</t>
        </is>
      </c>
      <c r="W142" s="3" t="n"/>
      <c r="X142" s="3" t="n"/>
      <c r="Y142" s="3" t="inlineStr">
        <is>
          <t>NOTHING OPEN</t>
        </is>
      </c>
    </row>
    <row r="143" ht="45" customHeight="1">
      <c r="A143" s="3" t="inlineStr">
        <is>
          <t>MK-CF-F-148</t>
        </is>
      </c>
      <c r="B143" s="3" t="inlineStr">
        <is>
          <t>inMonth</t>
        </is>
      </c>
      <c r="C143" s="3" t="inlineStr">
        <is>
          <t>MoneyKeel/functions/cashflow/logged-expenses.ts</t>
        </is>
      </c>
      <c r="D143" s="3" t="n">
        <v>50</v>
      </c>
      <c r="E143" s="3" t="inlineStr">
        <is>
          <t>1 · ACTION</t>
        </is>
      </c>
      <c r="F143" s="3" t="inlineStr">
        <is>
          <t>Does this logged expense fall in the month `ym` ("2026-08")?</t>
        </is>
      </c>
      <c r="G143" s="11"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W143" s="3" t="n"/>
      <c r="X143" s="3" t="n"/>
      <c r="Y143" s="3" t="inlineStr">
        <is>
          <t>NOTHING OPEN</t>
        </is>
      </c>
    </row>
    <row r="144" ht="60" customHeight="1">
      <c r="A144" s="3" t="inlineStr">
        <is>
          <t>MK-CF-F-149</t>
        </is>
      </c>
      <c r="B144" s="3" t="inlineStr">
        <is>
          <t>recurringDebtPayments</t>
        </is>
      </c>
      <c r="C144" s="3" t="inlineStr">
        <is>
          <t>MoneyKeel/functions/cashflow/expenses.ts</t>
        </is>
      </c>
      <c r="D144" s="3" t="n">
        <v>60</v>
      </c>
      <c r="E144" s="3" t="inlineStr">
        <is>
          <t>3 · DEPENDENT</t>
        </is>
      </c>
      <c r="F144" s="3" t="inlineStr">
        <is>
          <t>RECURRING DEBT PAYMENTS — the installment debts, one row each.</t>
        </is>
      </c>
      <c r="G144" s="11"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ExpensesInput</t>
        </is>
      </c>
      <c r="K144" s="3" t="inlineStr">
        <is>
          <t>NOT DECLARED — the code does not say what it gives back</t>
        </is>
      </c>
      <c r="L144" s="3" t="inlineStr">
        <is>
          <t>—</t>
        </is>
      </c>
      <c r="M144" s="3" t="inlineStr">
        <is>
          <t>None found in this function — anything it assumes comes from the functions it depends on.</t>
        </is>
      </c>
      <c r="N144" s="3" t="inlineStr">
        <is>
          <t>Yes</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2026-09-28</t>
        </is>
      </c>
      <c r="W144" s="3" t="n"/>
      <c r="X144" s="3" t="n"/>
      <c r="Y144" s="3" t="inlineStr">
        <is>
          <t>NOTHING OPEN</t>
        </is>
      </c>
    </row>
    <row r="145" ht="60" customHeight="1">
      <c r="A145" s="3" t="inlineStr">
        <is>
          <t>MK-CF-F-150</t>
        </is>
      </c>
      <c r="B145" s="3" t="inlineStr">
        <is>
          <t>debtPaymentsCountedAsExpenses</t>
        </is>
      </c>
      <c r="C145" s="3" t="inlineStr">
        <is>
          <t>MoneyKeel/functions/cashflow/expenses.ts</t>
        </is>
      </c>
      <c r="D145" s="3" t="n">
        <v>106</v>
      </c>
      <c r="E145" s="3" t="inlineStr">
        <is>
          <t>3 · DEPENDENT</t>
        </is>
      </c>
      <c r="F145" s="3" t="inlineStr">
        <is>
          <t>DEBT PAYMENTS THAT ARE COUNTED AS EXPENSES — revolving and due-in-full.</t>
        </is>
      </c>
      <c r="G145" s="11"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Yes</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2026-09-28</t>
        </is>
      </c>
      <c r="W145" s="3" t="n"/>
      <c r="X145" s="3" t="n"/>
      <c r="Y145" s="3" t="inlineStr">
        <is>
          <t>NOTHING OPEN</t>
        </is>
      </c>
    </row>
    <row r="146" ht="60" customHeight="1">
      <c r="A146" s="3" t="inlineStr">
        <is>
          <t>MK-CF-F-151</t>
        </is>
      </c>
      <c r="B146" s="3" t="inlineStr">
        <is>
          <t>actualSpending</t>
        </is>
      </c>
      <c r="C146" s="3" t="inlineStr">
        <is>
          <t>MoneyKeel/functions/cashflow/expenses.ts</t>
        </is>
      </c>
      <c r="D146" s="3" t="n">
        <v>160</v>
      </c>
      <c r="E146" s="3" t="inlineStr">
        <is>
          <t>3 · DEPENDENT</t>
        </is>
      </c>
      <c r="F146" s="3" t="inlineStr">
        <is>
          <t>What was actually spent in a month, debt payments left out: every expense newest first, the five shown, how many more there are and the totals, for all of them or only those entered by hand or only those imported.</t>
        </is>
      </c>
      <c r="G146" s="11"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1. s: ExpensesInput
2. origin?: 'by-hand' | 'imported'</t>
        </is>
      </c>
      <c r="K146" s="3" t="inlineStr">
        <is>
          <t>SpentList</t>
        </is>
      </c>
      <c r="L146" s="3" t="inlineStr">
        <is>
          <t>—</t>
        </is>
      </c>
      <c r="M146" s="3" t="inlineStr">
        <is>
          <t>None found in this function — anything it assumes comes from the functions it depends on.</t>
        </is>
      </c>
      <c r="N146" s="3" t="inlineStr">
        <is>
          <t>Yes</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2026-09-28</t>
        </is>
      </c>
      <c r="W146" s="3" t="n"/>
      <c r="X146" s="3" t="n"/>
      <c r="Y146" s="3" t="inlineStr">
        <is>
          <t>NOTHING OPEN</t>
        </is>
      </c>
    </row>
    <row r="147" ht="60" customHeight="1">
      <c r="A147" s="3" t="inlineStr">
        <is>
          <t>MK-CF-F-152</t>
        </is>
      </c>
      <c r="B147" s="3" t="inlineStr">
        <is>
          <t>isRadarItem</t>
        </is>
      </c>
      <c r="C147" s="3" t="inlineStr">
        <is>
          <t>MoneyKeel/functions/cashflow/expenses.ts</t>
        </is>
      </c>
      <c r="D147" s="3" t="n">
        <v>217</v>
      </c>
      <c r="E147" s="3" t="inlineStr">
        <is>
          <t>3 · DEPENDENT</t>
        </is>
      </c>
      <c r="F147" s="3" t="inlineStr">
        <is>
          <t>Whether a debt belongs on the big-ticket radar: yes for a card or a credit line and for a debt due in one lump, no for a loan paid the same every month.</t>
        </is>
      </c>
      <c r="G147" s="11"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Yes</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2026-09-28</t>
        </is>
      </c>
      <c r="W147" s="3" t="n"/>
      <c r="X147" s="3" t="n"/>
      <c r="Y147" s="3" t="inlineStr">
        <is>
          <t>NOTHING OPEN</t>
        </is>
      </c>
    </row>
    <row r="148" ht="60" customHeight="1">
      <c r="A148" s="3" t="inlineStr">
        <is>
          <t>MK-CF-F-153</t>
        </is>
      </c>
      <c r="B148" s="3" t="inlineStr">
        <is>
          <t>radar</t>
        </is>
      </c>
      <c r="C148" s="3" t="inlineStr">
        <is>
          <t>MoneyKeel/functions/cashflow/expenses.ts</t>
        </is>
      </c>
      <c r="D148" s="3" t="n">
        <v>259</v>
      </c>
      <c r="E148" s="3" t="inlineStr">
        <is>
          <t>3 · DEPENDENT</t>
        </is>
      </c>
      <c r="F148" s="3" t="inlineStr">
        <is>
          <t>The big-ticket radar for a month: each card, credit-line or lump-sum debt payment and each large dated bill, with its amount and whether it is already counted as an expense.</t>
        </is>
      </c>
      <c r="G148" s="11" t="inlineStr">
        <is>
          <t>out = []
reason = is radar item(d)
amount = paid   if paid &gt; 0
required payment(d)   otherwise
counted = !purchases captured.has(string(debt id))
name = label   if ÷ payment$ ÷ test(string(label).trim())
`${label} payment`   otherwise
the answer = out</t>
        </is>
      </c>
      <c r="H148" s="3" t="inlineStr">
        <is>
          <t>Out is []. Reason is is radar item(d). Amount is paid — when paid &gt; 0; required payment(d) — otherwise. Counted is !purchases captured.has(string(debt id)). Name is label — when divided by payment$ divided by test(string(label).trim()); `${label} payment` — otherwise. The answer is out.</t>
        </is>
      </c>
      <c r="I148" s="3" t="inlineStr">
        <is>
          <t>PARTLY READ — some of the code is still showing through; needs a hand pass</t>
        </is>
      </c>
      <c r="J148" s="3" t="inlineStr">
        <is>
          <t>1. s: ExpensesInput
2. purchasesCaptured: Set&lt;string&gt; = new Set()</t>
        </is>
      </c>
      <c r="K148" s="3" t="inlineStr">
        <is>
          <t>RadarItem[]</t>
        </is>
      </c>
      <c r="L148" s="3" t="inlineStr">
        <is>
          <t>—</t>
        </is>
      </c>
      <c r="M148" s="3" t="inlineStr">
        <is>
          <t>None found in this function — anything it assumes comes from the functions it depends on.</t>
        </is>
      </c>
      <c r="N148" s="3" t="inlineStr">
        <is>
          <t>Yes</t>
        </is>
      </c>
      <c r="O148" s="3" t="inlineStr">
        <is>
          <t>1. MK-CF-O-002 expenses
2. MK-ST-F-056 has
3. MK-CF-F-148 inMonth
4. MK-CF-F-152 isRadarItem
5. MK-CF-F-023 requiredPayment
6. MK-ST-F-052 toNum
7. MK-CF-F-191 ym</t>
        </is>
      </c>
      <c r="P148" s="3" t="n">
        <v>14</v>
      </c>
      <c r="Q148" s="3" t="inlineStr">
        <is>
          <t>1. MK-CF-O-002 expenses
2. MK-ST-F-056 has
3. MK-CF-F-148 inMonth
4. MK-CF-F-152 isRadarItem
5. MK-CF-F-023 requiredPayment
6. MK-ST-F-052 toNum
7. MK-CF-F-191 ym
8. MK-CF-F-151 actualSpending
9. MK-CF-F-150 debtPaymentsCountedAsExpenses
10. MK-CF-F-149 recurringDebtPayments
11. MK-CF-F-022 paymentShape
12. MK-XS-F-122 n
13. MK-CF-F-132 map
14. MK-CF-F-021 defaultPaymentType</t>
        </is>
      </c>
      <c r="R148" s="3" t="inlineStr">
        <is>
          <t>1. MK-CF-F-191 ym → MK-CF-F-148 inMonth → MK-CF-F-151 actualSpending → MK-CF-O-002 expenses → MK-CF-F-153 radar
2. MK-XS-F-122 n → MK-ST-F-052 toNum → MK-CF-F-151 actualSpending → MK-CF-O-002 expenses → MK-CF-F-153 radar
3. MK-CF-F-191 ym → MK-CF-F-151 actualSpending → MK-CF-O-002 expenses → MK-CF-F-153 radar
4. MK-ST-F-056 has → MK-CF-F-150 debtPaymentsCountedAsExpenses → MK-CF-O-002 expenses → MK-CF-F-153 radar
5. MK-CF-F-191 ym → MK-CF-F-148 inMonth → MK-CF-F-150 debtPaymentsCountedAsExpenses → MK-CF-O-002 expenses → MK-CF-F-153 radar
6. MK-CF-F-021 defaultPaymentType → MK-CF-F-022 paymentShape → MK-CF-F-150 debtPaymentsCountedAsExpenses → MK-CF-O-002 expenses → MK-CF-F-153 radar
7. MK-XS-F-122 n → MK-ST-F-052 toNum → MK-CF-F-150 debtPaymentsCountedAsExpenses → MK-CF-O-002 expenses → MK-CF-F-153 radar
8. MK-CF-F-191 ym → MK-CF-F-150 debtPaymentsCountedAsExpenses → MK-CF-O-002 expenses → MK-CF-F-153 radar
9. … and 5 more paths</t>
        </is>
      </c>
      <c r="S148" s="3" t="inlineStr">
        <is>
          <t>—</t>
        </is>
      </c>
      <c r="T148" s="3" t="inlineStr">
        <is>
          <t>—</t>
        </is>
      </c>
      <c r="U148" s="3" t="inlineStr">
        <is>
          <t>ACTIVE</t>
        </is>
      </c>
      <c r="V148" s="3" t="inlineStr">
        <is>
          <t>2026-10-03</t>
        </is>
      </c>
      <c r="W148" s="3" t="n"/>
      <c r="X148" s="3" t="n"/>
      <c r="Y148" s="3" t="inlineStr">
        <is>
          <t>NOTHING OPEN</t>
        </is>
      </c>
    </row>
    <row r="149" ht="60" customHeight="1">
      <c r="A149" s="3" t="inlineStr">
        <is>
          <t>MK-CF-F-155</t>
        </is>
      </c>
      <c r="B149" s="3" t="inlineStr">
        <is>
          <t>cash</t>
        </is>
      </c>
      <c r="C149" s="3" t="inlineStr">
        <is>
          <t>MoneyKeel/functions/cashflow/this-month.ts</t>
        </is>
      </c>
      <c r="D149" s="3" t="n">
        <v>205</v>
      </c>
      <c r="E149" s="3" t="inlineStr">
        <is>
          <t>1 · ACTION</t>
        </is>
      </c>
      <c r="F149" s="3" t="inlineStr">
        <is>
          <t>Negating zero in JavaScript gives NEGATIVE zero, which formats as "−$0" — and a person looking at "−$0" beside an unpaid car loan reasonably wonders what it means.</t>
        </is>
      </c>
      <c r="G149" s="11"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W149" s="3" t="n"/>
      <c r="X149" s="3" t="n"/>
      <c r="Y149" s="3" t="inlineStr">
        <is>
          <t>NOTHING OPEN</t>
        </is>
      </c>
    </row>
    <row r="150" ht="60" customHeight="1">
      <c r="A150" s="3" t="inlineStr">
        <is>
          <t>MK-CF-F-156</t>
        </is>
      </c>
      <c r="B150" s="3" t="inlineStr">
        <is>
          <t>plannedMonthFlow</t>
        </is>
      </c>
      <c r="C150" s="3" t="inlineStr">
        <is>
          <t>MoneyKeel/functions/cashflow/this-month.ts</t>
        </is>
      </c>
      <c r="D150" s="3" t="n">
        <v>251</v>
      </c>
      <c r="E150" s="3" t="inlineStr">
        <is>
          <t>3 · DEPENDENT</t>
        </is>
      </c>
      <c r="F150" s="3" t="inlineStr">
        <is>
          <t>THE PLAN for this month: the take-home, less each debt, less planned expenses.</t>
        </is>
      </c>
      <c r="G150" s="11" t="inlineStr">
        <is>
          <t>plan set = (planned expenses ?? 0) &gt; 0
every month = debts (or none when missing) where !is radar item(each)
radar = debts (or none when missing) where is radar item(each)
due = required payment(d)
radar kind = is radar item(d)
the answer:
lines = lines
surplus = cash(lines.reduce((t, l) =&gt; t + amount, 0))
plan set = plan set</t>
        </is>
      </c>
      <c r="H150" s="3" t="inlineStr">
        <is>
          <t>Plan set is (planned expenses ?? 0) &gt; 0. Every month is debts (or none — when missing) where !is radar item(each). Radar is debts (or none — when missing) where is radar item(each). Due is required payment(d). Radar kind is is radar item(d). The answer is lines = lines; surplus = cash(lines.reduce((t, l) =&gt; t plus amount, 0)); plan set = plan set.</t>
        </is>
      </c>
      <c r="I150" s="3" t="inlineStr">
        <is>
          <t>PARTLY READ — some of the code is still showing through; needs a hand pass</t>
        </is>
      </c>
      <c r="J150" s="3" t="inlineStr">
        <is>
          <t>m: MonthInput</t>
        </is>
      </c>
      <c r="K150" s="3" t="inlineStr">
        <is>
          <t>MonthBlock</t>
        </is>
      </c>
      <c r="L150" s="3" t="inlineStr">
        <is>
          <t>—</t>
        </is>
      </c>
      <c r="M150" s="3" t="inlineStr">
        <is>
          <t>· If planned expenses is missing it uses 0.</t>
        </is>
      </c>
      <c r="N150" s="3" t="inlineStr">
        <is>
          <t>Yes</t>
        </is>
      </c>
      <c r="O150" s="3" t="inlineStr">
        <is>
          <t>1. MK-CF-F-155 cash
2. MK-CF-F-192 inflowLabel
3. MK-CF-F-152 isRadarItem
4. MK-CF-F-023 requiredPayment
5. MK-XS-F-027 takeHomeMonthly</t>
        </is>
      </c>
      <c r="P150" s="3" t="n">
        <v>110</v>
      </c>
      <c r="Q150" s="3" t="inlineStr">
        <is>
          <t>1. MK-CF-F-155 cash
2. MK-CF-F-192 inflowLabel
3. MK-CF-F-152 isRadarItem
4. MK-CF-F-023 requiredPayment
5. MK-XS-F-027 takeHomeMonthly
6. MK-XS-F-122 n
7. MK-CF-F-193 inflowSourceWord
8. MK-CF-F-022 paymentShape
9. MK-CF-F-092 incomeMonthlyGrid
10. MK-CF-F-011 savingsByMonth
11. MK-CF-F-021 defaultPaymentType
12. MK-CF-F-069 benefitActiveMonths
13. MK-CF-F-072 currentRetirementIncomeMonthly
14. MK-CF-F-173 earnerWages
15. MK-CF-F-065 equityVestWeights
16. MK-CF-F-071 extraIncome
17. MK-ST-F-056 has
18. MK-CF-F-206 householdK401ByMonth
19. MK-CF-F-132 map
20. MK-CF-F-087 monthlyTaxRates
21. MK-CF-F-073 otherIncomeMonth
22. MK-CF-F-181 rateInForce
23. MK-CF-F-068 rentalNetAnnual
24. MK-CF-F-066 rsuAnnual
25. MK-CF-F-060 salaryGrossByMonth
26. MK-CF-F-077 scholarshipByCalendarMonth
27. MK-CF-F-088 taxableByCalendarMonth
28. MK-ST-F-052 toNum
29. MK-CF-F-177 wageGrossByMonth
30. MK-PL-F-012 waterfall
31. MK-CF-F-008 spendByMonth
32. MK-CF-F-075 retirementIncomeMonthly
33. MK-CF-F-172 hasWage
34. MK-CF-F-062 equityRowValue
35. MK-CF-F-070 benefitAnnual
36. MK-ST-F-039 on
37. MK-CF-F-176 sumMonthsOverEarners
38. MK-CF-F-203 MONTH
39. MK-CF-F-090 effectiveRate
40. MK-CF-F-180 enteredLandsAnnual
41. MK-CF-F-085 filingStatusOf
42. MK-CF-F-089 over65CountOf
43. MK-CF-F-082 salaryAnnual
44. MK-CF-F-086 stateRateOf
45. MK-CF-F-101 taxOwedFor
46. MK-CF-F-084 taxableAnnual
47. MK-CF-O-002 expenses
48. MK-CF-F-067 rentalList
49. MK-CF-F-063 rowVestYear
50. MK-CF-F-130 enteredMonthlyRaw
51. MK-CF-F-166 hasMonthlySalaryTable
52. MK-ST-F-036 reconcile
53. MK-CF-F-167 salaryCalendarYear
54. MK-CF-F-120 pctBaseMonthly
55. MK-CF-F-004 spendBuckets
56. MK-CF-O-010 theMonth
57. MK-CF-F-100 taxableIncomeFor
58. MK-CF-F-074 tipsAnnual
59. MK-CF-F-151 actualSpending
60. MK-CF-F-150 debtPaymentsCountedAsExpenses
61. MK-CF-F-153 radar
62. MK-CF-F-149 recurringDebtPayments
63. MK-ST-F-085 rentFigure
64. MK-CF-F-165 salaryMonths
65. MK-CF-F-003 categoryMonthly
66. MK-CF-O-003 thisMonth
67. MK-CF-F-099 deductionFor
68. MK-CF-F-081 salaryActiveMonths
69. MK-CF-F-148 inMonth
70. MK-CF-F-191 ym
71. MK-CF-F-005 actualMonthFlow
72. MK-CF-F-187 seniorDeductionFor
73. MK-NW-F-078 ONE
74. MK-CF-F-157 debtPaymentsByDebt
75. MK-NW-F-077 ALL
76. MK-NW-F-059 currentYield
77. MK-XS-F-180 declareFigures
78. MK-ST-F-049 formatMoney
79. MK-ST-F-053 money
80. MK-NW-O-001 theBonds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MK-NW-F-131 pricedLikeBond
94. MK-NW-F-125 isPastMaturity
95. MK-ST-F-065 isoLocalDate
96. MK-NW-F-126 yearlyInterestNow
97. MK-NW-F-011 assetClassOf
98. MK-NW-F-070 accruedInterestCaveat
99. MK-NW-F-058 yearsToMaturity
100. MK-NW-F-119 estimatedAccrued
101. MK-NW-F-124 maturityParts
102. MK-NW-F-120 classEvidenceOf
103. MK-NW-F-067 plural
104. MK-NW-F-008 incomeBearingClassOf
105. MK-NW-F-009 maturityClass
106. MK-ST-F-010 nameEvidence
107. MK-NW-F-068 prettyDay
108. MK-XS-F-147 call
109. MK-XS-F-064 currentIdToken
110. MK-XS-F-112 relayUrl</t>
        </is>
      </c>
      <c r="R150" s="3" t="inlineStr">
        <is>
          <t>1. MK-XS-F-122 n → MK-CF-F-155 cash → MK-CF-F-156 plannedMonthFlow
2. MK-CF-F-193 inflowSourceWord → MK-CF-F-192 inflowLabel → MK-CF-F-156 plannedMonthFlow
3. MK-CF-F-021 defaultPaymentType → MK-CF-F-022 paymentShape → MK-CF-F-152 isRadarItem → MK-CF-F-156 plannedMonthFlow
4. MK-CF-F-021 defaultPaymentType → MK-CF-F-022 paymentShape → MK-CF-F-023 requiredPayment → MK-CF-F-156 plannedMonthFlow
5. MK-CF-F-069 benefitActiveMonths → MK-CF-F-092 incomeMonthlyGrid → MK-XS-F-027 takeHomeMonthly → MK-CF-F-156 plannedMonthFlow
6. MK-ST-F-052 toNum → MK-CF-F-075 retirementIncomeMonthly → MK-CF-F-072 currentRetirementIncomeMonthly → MK-CF-F-092 incomeMonthlyGrid → MK-XS-F-027 takeHomeMonthly → MK-CF-F-156 plannedMonthFlow
7. MK-ST-F-056 has → MK-CF-F-172 hasWage → MK-CF-F-173 earnerWages → MK-CF-F-092 incomeMonthlyGrid → MK-XS-F-027 takeHomeMonthly → MK-CF-F-156 plannedMonthFlow
8. MK-ST-F-052 toNum → MK-CF-F-062 equityRowValue → MK-CF-F-065 equityVestWeights → MK-CF-F-092 incomeMonthlyGrid → MK-XS-F-027 takeHomeMonthly → MK-CF-F-156 plannedMonthFlow
9. … and 4 more paths</t>
        </is>
      </c>
      <c r="S150" s="3" t="inlineStr">
        <is>
          <t>—</t>
        </is>
      </c>
      <c r="T150" s="3" t="inlineStr">
        <is>
          <t>—</t>
        </is>
      </c>
      <c r="U150" s="3" t="inlineStr">
        <is>
          <t>ACTIVE</t>
        </is>
      </c>
      <c r="V150" s="3" t="inlineStr">
        <is>
          <t>2026-10-03</t>
        </is>
      </c>
      <c r="W150" s="3" t="n"/>
      <c r="X150" s="3" t="n"/>
      <c r="Y150" s="3" t="inlineStr">
        <is>
          <t>NOTHING OPEN</t>
        </is>
      </c>
    </row>
    <row r="151" ht="60" customHeight="1">
      <c r="A151" s="3" t="inlineStr">
        <is>
          <t>MK-CF-F-157</t>
        </is>
      </c>
      <c r="B151" s="3" t="inlineStr">
        <is>
          <t>debtPaymentsByDebt</t>
        </is>
      </c>
      <c r="C151" s="3" t="inlineStr">
        <is>
          <t>MoneyKeel/functions/cashflow/this-month.ts</t>
        </is>
      </c>
      <c r="D151" s="3" t="n">
        <v>417</v>
      </c>
      <c r="E151" s="3" t="inlineStr">
        <is>
          <t>3 · DEPENDENT</t>
        </is>
      </c>
      <c r="F151" s="3" t="inlineStr">
        <is>
          <t>WHICH DEBTS HAVE ACTUALLY BEEN PAID this month, and how much each.</t>
        </is>
      </c>
      <c r="G151" s="11"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MK-CF-F-203 MONTH
2. MK-CF-F-148 inMonth
3. MK-CF-F-132 map
4. MK-ST-F-052 toNum
5. MK-CF-F-191 ym</t>
        </is>
      </c>
      <c r="P151" s="3" t="n">
        <v>110</v>
      </c>
      <c r="Q151" s="3" t="inlineStr">
        <is>
          <t>1. MK-CF-F-203 MONTH
2. MK-CF-F-148 inMonth
3. MK-CF-F-132 map
4. MK-ST-F-052 toNum
5. MK-CF-F-191 ym
6. MK-CF-O-010 theMonth
7. MK-XS-F-122 n
8. MK-CF-F-155 cash
9. MK-CF-O-002 expenses
10. MK-CF-O-003 thisMonth
11. MK-CF-F-151 actualSpending
12. MK-CF-F-150 debtPaymentsCountedAsExpenses
13. MK-CF-F-153 radar
14. MK-CF-F-149 recurringDebtPayments
15. MK-CF-F-005 actualMonthFlow
16. MK-CF-F-156 plannedMonthFlow
17. MK-ST-F-056 has
18. MK-CF-F-022 paymentShape
19. MK-CF-F-152 isRadarItem
20. MK-CF-F-023 requiredPayment
21. MK-NW-F-078 ONE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MK-NW-F-131 pricedLikeBond
65. MK-NW-F-125 isPastMaturity
66. MK-ST-F-065 isoLocalDate
67. MK-NW-F-126 yearlyInterestNow
68. MK-NW-F-011 assetClassOf
69. MK-NW-F-070 accruedInterestCaveat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MK-NW-F-119 estimatedAccrued
93. MK-NW-F-124 maturityParts
94. MK-NW-F-120 classEvidenceOf
95. MK-NW-F-067 plural
96. MK-CF-F-100 taxableIncomeFor
97. MK-CF-F-074 tipsAnnual
98. MK-ST-F-085 rentFigure
99. MK-CF-F-165 salaryMonths
100. MK-CF-F-003 categoryMonthly
101. MK-NW-F-008 incomeBearingClassOf
102. MK-NW-F-009 maturityClass
103. MK-CF-F-099 deductionFor
104. MK-CF-F-081 salaryActiveMonths
105. MK-ST-F-010 nameEvidence
106. MK-NW-F-068 prettyDay
107. MK-CF-F-187 seniorDeductionFor
108. MK-XS-F-147 call
109. MK-XS-F-064 currentIdToken
110. MK-XS-F-112 relayUrl</t>
        </is>
      </c>
      <c r="R151" s="3" t="inlineStr">
        <is>
          <t>1. MONTH (already above — a loop) → MK-CF-O-010 theMonth → MK-CF-F-203 MONTH → MK-CF-F-157 debtPaymentsByDebt
2. MK-XS-F-122 n → MK-CF-F-155 cash → MK-CF-O-010 theMonth → MK-CF-F-203 MONTH → MK-CF-F-157 debtPaymentsByDebt
3. MK-CF-F-148 inMonth → MK-CF-F-151 actualSpending → MK-CF-O-002 expenses → MK-CF-O-010 theMonth → MK-CF-F-203 MONTH → MK-CF-F-157 debtPaymentsByDebt
4. MK-ST-F-052 toNum → MK-CF-F-151 actualSpending → MK-CF-O-002 expenses → MK-CF-O-010 theMonth → MK-CF-F-203 MONTH → MK-CF-F-157 debtPaymentsByDebt
5. MK-CF-F-191 ym → MK-CF-F-151 actualSpending → MK-CF-O-002 expenses → MK-CF-O-010 theMonth → MK-CF-F-203 MONTH → MK-CF-F-157 debtPaymentsByDebt
6. MK-ST-F-056 has → MK-CF-F-150 debtPaymentsCountedAsExpenses → MK-CF-O-002 expenses → MK-CF-O-010 theMonth → MK-CF-F-203 MONTH → MK-CF-F-157 debtPaymentsByDebt
7. MK-CF-F-148 inMonth → MK-CF-F-150 debtPaymentsCountedAsExpenses → MK-CF-O-002 expenses → MK-CF-O-010 theMonth → MK-CF-F-203 MONTH → MK-CF-F-157 debtPaymentsByDebt
8. MK-CF-F-022 paymentShape → MK-CF-F-150 debtPaymentsCountedAsExpenses → MK-CF-O-002 expenses → MK-CF-O-010 theMonth → MK-CF-F-203 MONTH → MK-CF-F-157 debtPaymentsByDebt
9. … and 5 more paths</t>
        </is>
      </c>
      <c r="S151" s="3" t="inlineStr">
        <is>
          <t>—</t>
        </is>
      </c>
      <c r="T151" s="3" t="inlineStr">
        <is>
          <t>—</t>
        </is>
      </c>
      <c r="U151" s="3" t="inlineStr">
        <is>
          <t>ACTIVE</t>
        </is>
      </c>
      <c r="V151" s="3" t="inlineStr">
        <is>
          <t>2026-08-27</t>
        </is>
      </c>
      <c r="W151" s="3" t="n"/>
      <c r="X151" s="3" t="n"/>
      <c r="Y151" s="3" t="inlineStr">
        <is>
          <t>NOTHING OPEN</t>
        </is>
      </c>
    </row>
    <row r="152" ht="45" customHeight="1">
      <c r="A152" s="3" t="inlineStr">
        <is>
          <t>MK-CF-F-159</t>
        </is>
      </c>
      <c r="B152" s="3" t="inlineStr">
        <is>
          <t>isRecurringDebt</t>
        </is>
      </c>
      <c r="C152" s="3" t="inlineStr">
        <is>
          <t>MoneyKeel/functions/cashflow/this-month.ts</t>
        </is>
      </c>
      <c r="D152" s="3" t="n">
        <v>684</v>
      </c>
      <c r="E152" s="3" t="inlineStr">
        <is>
          <t>1 · ACTION</t>
        </is>
      </c>
      <c r="F152" s="3" t="inlineStr">
        <is>
          <t>Is this debt one that repeats unchanged every month?</t>
        </is>
      </c>
      <c r="G152" s="11"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W152" s="3" t="n"/>
      <c r="X152" s="3" t="n"/>
      <c r="Y152" s="3" t="inlineStr">
        <is>
          <t>NOTHING OPEN</t>
        </is>
      </c>
    </row>
    <row r="153" ht="30" customHeight="1">
      <c r="A153" s="3" t="inlineStr">
        <is>
          <t>MK-CF-F-160</t>
        </is>
      </c>
      <c r="B153" s="3" t="inlineStr">
        <is>
          <t>daysBetweenDates</t>
        </is>
      </c>
      <c r="C153" s="3" t="inlineStr">
        <is>
          <t>src/domain/cashflow/index.ts</t>
        </is>
      </c>
      <c r="D153" s="3" t="n">
        <v>118</v>
      </c>
      <c r="E153" s="3" t="inlineStr">
        <is>
          <t>3 · DEPENDENT</t>
        </is>
      </c>
      <c r="F153" s="3" t="inlineStr">
        <is>
          <t>The number of whole days from one date to another.</t>
        </is>
      </c>
      <c r="G153" s="11"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W153" s="3" t="n"/>
      <c r="X153" s="3" t="n"/>
      <c r="Y153" s="3" t="inlineStr">
        <is>
          <t>NOTHING OPEN</t>
        </is>
      </c>
    </row>
    <row r="154" ht="60" customHeight="1">
      <c r="A154" s="3" t="inlineStr">
        <is>
          <t>MK-CF-F-161</t>
        </is>
      </c>
      <c r="B154" s="3" t="inlineStr">
        <is>
          <t>monthlyGrossOfSource</t>
        </is>
      </c>
      <c r="C154" s="3" t="inlineStr">
        <is>
          <t>src/domain/income/calc.ts</t>
        </is>
      </c>
      <c r="D154" s="3" t="n">
        <v>191</v>
      </c>
      <c r="E154" s="3" t="inlineStr">
        <is>
          <t>3 · DEPENDENT</t>
        </is>
      </c>
      <c r="F154" s="3" t="inlineStr">
        <is>
          <t>The gross amount one income source brings in each of the twelve months, with rent taken after its running costs and lump payments placed in the months they arrive.</t>
        </is>
      </c>
      <c r="G154" s="11"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W154" s="3" t="n"/>
      <c r="X154" s="3" t="n"/>
      <c r="Y154" s="3" t="inlineStr">
        <is>
          <t>NOTHING OPEN</t>
        </is>
      </c>
    </row>
    <row r="155" ht="60" customHeight="1">
      <c r="A155" s="3" t="inlineStr">
        <is>
          <t>MK-CF-F-162</t>
        </is>
      </c>
      <c r="B155" s="3" t="inlineStr">
        <is>
          <t>daysApart</t>
        </is>
      </c>
      <c r="C155" s="3" t="inlineStr">
        <is>
          <t>src/domain/transactions/flags.ts</t>
        </is>
      </c>
      <c r="D155" s="3" t="n">
        <v>133</v>
      </c>
      <c r="E155" s="3" t="inlineStr">
        <is>
          <t>1 · ACTION</t>
        </is>
      </c>
      <c r="F155" s="3" t="inlineStr">
        <is>
          <t>How many days lie between two dates, whichever comes first.</t>
        </is>
      </c>
      <c r="G155" s="11"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W155" s="3" t="n"/>
      <c r="X155" s="3" t="n"/>
      <c r="Y155" s="3" t="inlineStr">
        <is>
          <t>NOTHING OPEN</t>
        </is>
      </c>
    </row>
    <row r="156" ht="45" customHeight="1">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1"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W156" s="3" t="n"/>
      <c r="X156" s="3" t="n"/>
      <c r="Y156" s="3" t="inlineStr">
        <is>
          <t>NOTHING OPEN</t>
        </is>
      </c>
    </row>
    <row r="157" ht="60" customHeight="1">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1"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W157" s="3" t="n"/>
      <c r="X157" s="3" t="n"/>
      <c r="Y157" s="3" t="inlineStr">
        <is>
          <t>NOTHING OPEN</t>
        </is>
      </c>
    </row>
    <row r="158" ht="60" customHeight="1">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1"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W158" s="3" t="n"/>
      <c r="X158" s="3" t="n"/>
      <c r="Y158" s="3" t="inlineStr">
        <is>
          <t>NOTHING OPEN</t>
        </is>
      </c>
    </row>
    <row r="159" ht="45" customHeight="1">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1"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W159" s="3" t="n"/>
      <c r="X159" s="3" t="n"/>
      <c r="Y159" s="3" t="inlineStr">
        <is>
          <t>NOTHING OPEN</t>
        </is>
      </c>
    </row>
    <row r="160" ht="60" customHeight="1">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1"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W160" s="3" t="n"/>
      <c r="X160" s="3" t="n"/>
      <c r="Y160" s="3" t="inlineStr">
        <is>
          <t>NOTHING OPEN</t>
        </is>
      </c>
    </row>
    <row r="161" ht="60" customHeight="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1"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W161" s="3" t="n"/>
      <c r="X161" s="3" t="n"/>
      <c r="Y161" s="3" t="inlineStr">
        <is>
          <t>NOTHING OPEN</t>
        </is>
      </c>
    </row>
    <row r="162" ht="60" customHeight="1">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1"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W162" s="3" t="n"/>
      <c r="X162" s="3" t="n"/>
      <c r="Y162" s="3" t="inlineStr">
        <is>
          <t>NOTHING OPEN</t>
        </is>
      </c>
    </row>
    <row r="163" ht="45" customHeight="1">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1"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W163" s="3" t="n"/>
      <c r="X163" s="3" t="n"/>
      <c r="Y163" s="3" t="inlineStr">
        <is>
          <t>NOTHING OPEN</t>
        </is>
      </c>
    </row>
    <row r="164" ht="60" customHeight="1">
      <c r="A164" s="3" t="inlineStr">
        <is>
          <t>MK-CF-F-171</t>
        </is>
      </c>
      <c r="B164" s="3" t="inlineStr">
        <is>
          <t>earnerPay</t>
        </is>
      </c>
      <c r="C164" s="3" t="inlineStr">
        <is>
          <t>MoneyKeel/functions/cashflow/base-pay.ts</t>
        </is>
      </c>
      <c r="D164" s="3" t="n">
        <v>535</v>
      </c>
      <c r="E164" s="3" t="inlineStr">
        <is>
          <t>3 · DEPENDENT</t>
        </is>
      </c>
      <c r="F164" s="3" t="inlineStr">
        <is>
          <t>One earner's pay: gross for a month and for a year, their 401(k), their take-home and whether it was entered or calculated, and everything else taken out.</t>
        </is>
      </c>
      <c r="G164" s="11"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MK-CF-F-145 deductionsFromPay
3. MK-CF-F-128 grossByMonth
4. MK-ST-F-053 money
5. MK-CF-F-146 payFiguresAgree
6. MK-CF-F-144 takeHomeAsEntered
7. MK-ST-F-052 toNum</t>
        </is>
      </c>
      <c r="P164" s="3" t="n">
        <v>23</v>
      </c>
      <c r="Q164" s="3" t="inlineStr">
        <is>
          <t>1. MK-CF-F-143 annualisedGross
2. MK-CF-F-145 deductionsFromPay
3. MK-CF-F-128 grossByMonth
4. MK-ST-F-053 money
5. MK-CF-F-146 payFiguresAgree
6. MK-CF-F-144 takeHomeAsEntered
7. MK-ST-F-052 toNum
8. MK-CF-F-142 monthsOf
9. MK-CF-F-141 perMonth
10. MK-ST-F-049 formatMoney
11. MK-XS-F-122 n
12. MK-ST-F-056 has
13. MK-CF-F-132 map
14. MK-ST-F-039 on
15. MK-CF-F-101 taxOwedFor
16. MK-ST-F-035 covers
17. MK-CF-F-140 periodsAYear
18. MK-ST-F-048 currencySymbol
19. MK-CF-F-100 taxableIncomeFor
20. MK-ST-F-034 firstDate
21. MK-ST-F-047 activeCurrency
22. MK-CF-F-099 deductionFor
23.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MK-ST-F-035 covers → MK-CF-F-142 monthsOf → MK-CF-F-128 grossByMonth → MK-CF-F-143 annualisedGross → MK-CF-F-145 deductionsFromPay → MK-CF-F-171 earnerPay
7. MK-CF-F-132 map → MK-CF-F-142 monthsOf → MK-CF-F-128 grossByMonth → MK-CF-F-143 annualisedGross → MK-CF-F-145 deductionsFromPay → MK-CF-F-171 earnerPay
8. MK-ST-F-052 toNum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W164" s="3" t="n"/>
      <c r="X164" s="3" t="n"/>
      <c r="Y164" s="3" t="inlineStr">
        <is>
          <t>NOTHING OPEN</t>
        </is>
      </c>
    </row>
    <row r="165" ht="45" customHeight="1">
      <c r="A165" s="3" t="inlineStr">
        <is>
          <t>MK-CF-F-172</t>
        </is>
      </c>
      <c r="B165" s="3" t="inlineStr">
        <is>
          <t>hasWage</t>
        </is>
      </c>
      <c r="C165" s="3" t="inlineStr">
        <is>
          <t>src/domain/income/earners.ts</t>
        </is>
      </c>
      <c r="D165" s="3" t="n">
        <v>63</v>
      </c>
      <c r="E165" s="3" t="inlineStr">
        <is>
          <t>1 · ACTION</t>
        </is>
      </c>
      <c r="F165" s="3" t="inlineStr">
        <is>
          <t>Whether a person has a wage on record: a base salary above zero, or a month-by-month pay table.</t>
        </is>
      </c>
      <c r="G165" s="11"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W165" s="3" t="n"/>
      <c r="X165" s="3" t="n"/>
      <c r="Y165" s="3" t="inlineStr">
        <is>
          <t>NOTHING OPEN</t>
        </is>
      </c>
    </row>
    <row r="166" ht="60" customHeight="1">
      <c r="A166" s="3" t="inlineStr">
        <is>
          <t>MK-CF-F-173</t>
        </is>
      </c>
      <c r="B166" s="3" t="inlineStr">
        <is>
          <t>earnerWages</t>
        </is>
      </c>
      <c r="C166" s="3" t="inlineStr">
        <is>
          <t>src/domain/income/earners.ts</t>
        </is>
      </c>
      <c r="D166" s="3" t="n">
        <v>107</v>
      </c>
      <c r="E166" s="3" t="inlineStr">
        <is>
          <t>2 · DISPLAYED</t>
        </is>
      </c>
      <c r="F166" s="3" t="inlineStr">
        <is>
          <t>The wages this household actually has, in the order the screen shows them.</t>
        </is>
      </c>
      <c r="G166" s="11"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W166" s="3" t="n"/>
      <c r="X166" s="3" t="n"/>
      <c r="Y166" s="3" t="inlineStr">
        <is>
          <t>NOTHING OPEN</t>
        </is>
      </c>
    </row>
    <row r="167" ht="45" customHeight="1">
      <c r="A167" s="3" t="inlineStr">
        <is>
          <t>MK-CF-F-174</t>
        </is>
      </c>
      <c r="B167" s="3" t="inlineStr">
        <is>
          <t>hasTwoEarners</t>
        </is>
      </c>
      <c r="C167" s="3" t="inlineStr">
        <is>
          <t>src/domain/income/earners.ts</t>
        </is>
      </c>
      <c r="D167" s="3" t="n">
        <v>139</v>
      </c>
      <c r="E167" s="3" t="inlineStr">
        <is>
          <t>3 · DEPENDENT (feeds an action only)</t>
        </is>
      </c>
      <c r="F167" s="3" t="inlineStr">
        <is>
          <t>Does this household have a second wage on record?</t>
        </is>
      </c>
      <c r="G167" s="11"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W167" s="3" t="n"/>
      <c r="X167" s="3" t="n"/>
      <c r="Y167" s="3" t="inlineStr">
        <is>
          <t>NOTHING OPEN</t>
        </is>
      </c>
    </row>
    <row r="168" ht="45" customHeight="1">
      <c r="A168" s="3" t="inlineStr">
        <is>
          <t>MK-CF-F-175</t>
        </is>
      </c>
      <c r="B168" s="3" t="inlineStr">
        <is>
          <t>sumOverEarners</t>
        </is>
      </c>
      <c r="C168" s="3" t="inlineStr">
        <is>
          <t>src/domain/income/earners.ts</t>
        </is>
      </c>
      <c r="D168" s="3" t="n">
        <v>170</v>
      </c>
      <c r="E168" s="3" t="inlineStr">
        <is>
          <t>3 · DEPENDENT</t>
        </is>
      </c>
      <c r="F168" s="3" t="inlineStr">
        <is>
          <t>Adds up one figure across every earner in the household.</t>
        </is>
      </c>
      <c r="G168" s="11"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W168" s="3" t="n"/>
      <c r="X168" s="3" t="n"/>
      <c r="Y168" s="3" t="inlineStr">
        <is>
          <t>NOTHING OPEN</t>
        </is>
      </c>
    </row>
    <row r="169" ht="60" customHeight="1">
      <c r="A169" s="3" t="inlineStr">
        <is>
          <t>MK-CF-F-176</t>
        </is>
      </c>
      <c r="B169" s="3" t="inlineStr">
        <is>
          <t>sumMonthsOverEarners</t>
        </is>
      </c>
      <c r="C169" s="3" t="inlineStr">
        <is>
          <t>src/domain/income/earners.ts</t>
        </is>
      </c>
      <c r="D169" s="3" t="n">
        <v>206</v>
      </c>
      <c r="E169" s="3" t="inlineStr">
        <is>
          <t>3 · DEPENDENT</t>
        </is>
      </c>
      <c r="F169" s="3" t="inlineStr">
        <is>
          <t>Add up twelve numbers per earner, month by month.</t>
        </is>
      </c>
      <c r="G169" s="11"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W169" s="3" t="n"/>
      <c r="X169" s="3" t="n"/>
      <c r="Y169" s="3" t="inlineStr">
        <is>
          <t>NOTHING OPEN</t>
        </is>
      </c>
    </row>
    <row r="170" ht="60" customHeight="1">
      <c r="A170" s="3" t="inlineStr">
        <is>
          <t>MK-CF-F-177</t>
        </is>
      </c>
      <c r="B170" s="3" t="inlineStr">
        <is>
          <t>wageGrossByMonth</t>
        </is>
      </c>
      <c r="C170" s="3" t="inlineStr">
        <is>
          <t>src/domain/income/onboarding.ts</t>
        </is>
      </c>
      <c r="D170" s="3" t="n">
        <v>173</v>
      </c>
      <c r="E170" s="3" t="inlineStr">
        <is>
          <t>3 · DEPENDENT</t>
        </is>
      </c>
      <c r="F170" s="3" t="inlineStr">
        <is>
          <t>ONE person's wage, month by month, January first.</t>
        </is>
      </c>
      <c r="G170" s="11"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2026-10-04</t>
        </is>
      </c>
      <c r="W170" s="3" t="n"/>
      <c r="X170" s="3" t="n"/>
      <c r="Y170" s="3" t="inlineStr">
        <is>
          <t>NOTHING OPEN</t>
        </is>
      </c>
    </row>
    <row r="171" ht="60" customHeight="1">
      <c r="A171" s="3" t="inlineStr">
        <is>
          <t>MK-CF-F-178</t>
        </is>
      </c>
      <c r="B171" s="3" t="inlineStr">
        <is>
          <t>wageMatchMonthly</t>
        </is>
      </c>
      <c r="C171" s="3" t="inlineStr">
        <is>
          <t>src/domain/income/onboarding.ts</t>
        </is>
      </c>
      <c r="D171" s="3" t="n">
        <v>1035</v>
      </c>
      <c r="E171" s="3" t="inlineStr">
        <is>
          <t>3 · DEPENDENT (feeds an action only)</t>
        </is>
      </c>
      <c r="F171" s="3" t="inlineStr">
        <is>
          <t>ONE person's employer match: a share of their own contribution, or a flat amount.</t>
        </is>
      </c>
      <c r="G171" s="11"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W171" s="3" t="n"/>
      <c r="X171" s="3" t="n"/>
      <c r="Y171" s="3" t="inlineStr">
        <is>
          <t>NOTHING OPEN</t>
        </is>
      </c>
    </row>
    <row r="172" ht="60" customHeight="1">
      <c r="A172" s="3" t="inlineStr">
        <is>
          <t>MK-CF-F-179</t>
        </is>
      </c>
      <c r="B172" s="3" t="inlineStr">
        <is>
          <t>entryFromWage</t>
        </is>
      </c>
      <c r="C172" s="3" t="inlineStr">
        <is>
          <t>MoneyKeel/functions/cashflow/base-pay.ts</t>
        </is>
      </c>
      <c r="D172" s="3" t="n">
        <v>1102</v>
      </c>
      <c r="E172" s="3" t="inlineStr">
        <is>
          <t>2 · DISPLAYED</t>
        </is>
      </c>
      <c r="F172" s="3" t="inlineStr">
        <is>
          <t>Turns a wage as the profile stores it into the form the pay calculations read: how often it is paid, whether it varies, the gross, the 401(k) and the take-home entered.</t>
        </is>
      </c>
      <c r="G172" s="11"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W172" s="3" t="n"/>
      <c r="X172" s="3" t="n"/>
      <c r="Y172" s="3" t="inlineStr">
        <is>
          <t>NOTHING OPEN</t>
        </is>
      </c>
    </row>
    <row r="173" ht="60" customHeight="1">
      <c r="A173" s="3" t="inlineStr">
        <is>
          <t>MK-CF-F-180</t>
        </is>
      </c>
      <c r="B173" s="3" t="inlineStr">
        <is>
          <t>enteredLandsAnnual</t>
        </is>
      </c>
      <c r="C173" s="3" t="inlineStr">
        <is>
          <t>src/domain/income/tax-rate.ts</t>
        </is>
      </c>
      <c r="D173" s="3" t="n">
        <v>77</v>
      </c>
      <c r="E173" s="3" t="inlineStr">
        <is>
          <t>3 · DEPENDENT</t>
        </is>
      </c>
      <c r="F173" s="3" t="inlineStr">
        <is>
          <t>Every earner’s entered take-home, a year — or null when any of them did not say.</t>
        </is>
      </c>
      <c r="G173" s="11"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1. Uses a built-in total of 0.
2. Turns a monthly figure into a year by multiplying by twelve.</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W173" s="3" t="n"/>
      <c r="X173" s="3" t="n"/>
      <c r="Y173" s="3" t="inlineStr">
        <is>
          <t>NOTHING OPEN</t>
        </is>
      </c>
    </row>
    <row r="174" ht="60" customHeight="1">
      <c r="A174" s="3" t="inlineStr">
        <is>
          <t>MK-CF-F-181</t>
        </is>
      </c>
      <c r="B174" s="3" t="inlineStr">
        <is>
          <t>rateInForce</t>
        </is>
      </c>
      <c r="C174" s="3" t="inlineStr">
        <is>
          <t>src/domain/income/tax-rate.ts</t>
        </is>
      </c>
      <c r="D174" s="3" t="n">
        <v>132</v>
      </c>
      <c r="E174" s="3" t="inlineStr">
        <is>
          <t>3 · DEPENDENT</t>
        </is>
      </c>
      <c r="F174" s="3" t="inlineStr">
        <is>
          <t>THE ONE ANSWER every screen reads.</t>
        </is>
      </c>
      <c r="G174" s="11" t="inlineStr">
        <is>
          <t>a = op (or none when missing)
rate = min(max(to num(manual tax rate) ÷ 100, 0), 1)
gross = salary annual(op)
lands = entered lands annual(op)
k401 = Σ over earner wages(op) of (to num((each as any).c 401k) × 12)
out = max(0, gross − k401 − lands)
rate = min(max(out ÷ gross, 0), 1)
taxed = taxable annual(op)
k401 = Σ over household k401 by month(op) of (each)</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Taxed is taxable annual(op). K401: the each added up across household k401 by month(op).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MK-CF-F-180 enteredLandsAnnual
3. MK-CF-F-085 filingStatusOf
4. MK-CF-F-206 householdK401ByMonth
5. MK-CF-F-089 over65CountOf
6. MK-CF-F-082 salaryAnnual
7. MK-CF-F-086 stateRateOf
8. MK-CF-F-101 taxOwedFor
9. MK-CF-F-084 taxableAnnual
10. MK-ST-F-052 toNum</t>
        </is>
      </c>
      <c r="P174" s="3" t="n">
        <v>50</v>
      </c>
      <c r="Q174" s="3" t="inlineStr">
        <is>
          <t>1. MK-CF-F-173 earnerWages
2. MK-CF-F-180 enteredLandsAnnual
3. MK-CF-F-085 filingStatusOf
4. MK-CF-F-206 householdK401ByMonth
5. MK-CF-F-089 over65CountOf
6. MK-CF-F-082 salaryAnnual
7. MK-CF-F-086 stateRateOf
8. MK-CF-F-101 taxOwedFor
9. MK-CF-F-084 taxableAnnual
10. MK-ST-F-052 toNum
11. MK-CF-F-172 hasWage
12. MK-CF-F-132 map
13. MK-CF-F-176 sumMonthsOverEarners
14. MK-CF-F-177 wageGrossByMonth
15. MK-CF-F-060 salaryGrossByMonth
16. MK-CF-F-100 taxableIncomeFor
17. MK-CF-F-072 currentRetirementIncomeMonthly
18. MK-CF-F-071 extraIncome
19. MK-CF-F-068 rentalNetAnnual
20. MK-CF-F-066 rsuAnnual
21. MK-CF-F-074 tipsAnnual
22. MK-XS-F-122 n
23. MK-ST-F-056 has
24. MK-CF-F-130 enteredMonthlyRaw
25. MK-CF-F-166 hasMonthlySalaryTable
26. MK-ST-F-036 reconcile
27. MK-CF-F-167 salaryCalendarYear
28. MK-CF-F-099 deductionFor
29. MK-CF-F-075 retirementIncomeMonthly
30. MK-CF-F-070 benefitAnnual
31. MK-ST-F-039 on
32. MK-CF-O-002 expenses
33. MK-CF-F-067 rentalList
34. MK-CF-F-062 equityRowValue
35. MK-CF-F-063 rowVestYear
36. MK-CF-F-081 salaryActiveMonths
37. MK-CF-F-165 salaryMonths
38. MK-CF-F-187 seniorDeductionFor
39. MK-CF-F-069 benefitActiveMonths
40. MK-CF-F-151 actualSpending
41. MK-CF-F-150 debtPaymentsCountedAsExpenses
42. MK-CF-F-153 radar
43. MK-CF-F-149 recurringDebtPayments
44. MK-ST-F-085 rentFigure
45. MK-CF-F-148 inMonth
46. MK-CF-F-191 ym
47. MK-CF-F-022 paymentShape
48. MK-CF-F-152 isRadarItem
49. MK-CF-F-023 requiredPayment
50. MK-CF-F-021 defaultPaymentType</t>
        </is>
      </c>
      <c r="R174" s="3" t="inlineStr">
        <is>
          <t>1. MK-ST-F-056 has → MK-CF-F-172 hasWage → MK-CF-F-173 earnerWages → MK-CF-F-181 rateInForce
2. MK-ST-F-056 has → MK-CF-F-172 hasWage → MK-CF-F-173 earnerWages → MK-CF-F-180 enteredLandsAnnual → MK-CF-F-181 rateInForce
3. MK-XS-F-122 n → MK-ST-F-052 toNum → MK-CF-F-180 enteredLandsAnnual → MK-CF-F-181 rateInForce
4. MK-CF-F-085 filingStatusOf → MK-CF-F-181 rateInForce
5. MK-CF-F-132 map → MK-CF-F-206 householdK401ByMonth → MK-CF-F-181 rateInForce
6. MK-ST-F-056 has → MK-CF-F-172 hasWage → MK-CF-F-173 earnerWages → MK-CF-F-176 sumMonthsOverEarners → MK-CF-F-206 householdK401ByMonth → MK-CF-F-181 rateInForce
7. MK-CF-F-132 map → MK-CF-F-176 sumMonthsOverEarners → MK-CF-F-206 householdK401ByMonth → MK-CF-F-181 rateInForce
8. MK-XS-F-122 n → MK-ST-F-052 toNum → MK-CF-F-206 householdK401ByMonth → MK-CF-F-181 rateInForce
9. … and 5 more paths</t>
        </is>
      </c>
      <c r="S174" s="3" t="inlineStr">
        <is>
          <t>—</t>
        </is>
      </c>
      <c r="T174" s="3" t="inlineStr">
        <is>
          <t>—</t>
        </is>
      </c>
      <c r="U174" s="3" t="inlineStr">
        <is>
          <t>ACTIVE</t>
        </is>
      </c>
      <c r="V174" s="3" t="inlineStr">
        <is>
          <t>2026-10-04</t>
        </is>
      </c>
      <c r="W174" s="3" t="n"/>
      <c r="X174" s="3" t="n"/>
      <c r="Y174" s="6" t="inlineStr">
        <is>
          <t>TESTED, NOT VERIFIED (G46)</t>
        </is>
      </c>
    </row>
    <row r="175" ht="45" customHeight="1">
      <c r="A175" s="3" t="inlineStr">
        <is>
          <t>MK-CF-F-182</t>
        </is>
      </c>
      <c r="B175" s="3" t="inlineStr">
        <is>
          <t>asPercent</t>
        </is>
      </c>
      <c r="C175" s="3" t="inlineStr">
        <is>
          <t>src/domain/income/from-accounts.ts</t>
        </is>
      </c>
      <c r="D175" s="3" t="n">
        <v>59</v>
      </c>
      <c r="E175" s="3" t="inlineStr">
        <is>
          <t>1 · ACTION</t>
        </is>
      </c>
      <c r="F175" s="3" t="inlineStr">
        <is>
          <t>A rate as the person would say it: 3.8%, not 0.038.</t>
        </is>
      </c>
      <c r="G175" s="11"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0.038 × 100 is 3.8000000000000003</t>
        </is>
      </c>
      <c r="L175" s="3" t="inlineStr">
        <is>
          <t>—</t>
        </is>
      </c>
      <c r="M175" s="3" t="inlineStr">
        <is>
          <t>· Shows 2 decimal places.</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W175" s="3" t="n"/>
      <c r="X175" s="3" t="n"/>
      <c r="Y175" s="3" t="inlineStr">
        <is>
          <t>NOTHING OPEN</t>
        </is>
      </c>
    </row>
    <row r="176" ht="60" customHeight="1">
      <c r="A176" s="3" t="inlineStr">
        <is>
          <t>MK-CF-F-183</t>
        </is>
      </c>
      <c r="B176" s="3" t="inlineStr">
        <is>
          <t>paidOutByAccount</t>
        </is>
      </c>
      <c r="C176" s="3" t="inlineStr">
        <is>
          <t>src/domain/income/from-accounts.ts</t>
        </is>
      </c>
      <c r="D176" s="3" t="n">
        <v>90</v>
      </c>
      <c r="E176" s="3" t="inlineStr">
        <is>
          <t>3 · DEPENDENT</t>
        </is>
      </c>
      <c r="F176" s="3" t="inlineStr">
        <is>
          <t>What each account actually PAID OUT in the last year, by account.</t>
        </is>
      </c>
      <c r="G176" s="11"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MK-ST-F-065 isoLocalDate</t>
        </is>
      </c>
      <c r="P176" s="3" t="n">
        <v>1</v>
      </c>
      <c r="Q176" s="3" t="inlineStr">
        <is>
          <t>MK-ST-F-065 isoLocalDate</t>
        </is>
      </c>
      <c r="R176" s="3" t="inlineStr">
        <is>
          <t>MK-ST-F-065 isoLocalDate → MK-CF-F-183 paidOutByAccount</t>
        </is>
      </c>
      <c r="S176" s="3" t="inlineStr">
        <is>
          <t>—</t>
        </is>
      </c>
      <c r="T176" s="3" t="inlineStr">
        <is>
          <t>—</t>
        </is>
      </c>
      <c r="U176" s="3" t="inlineStr">
        <is>
          <t>ACTIVE</t>
        </is>
      </c>
      <c r="V176" s="3" t="inlineStr">
        <is>
          <t>2026-08-28</t>
        </is>
      </c>
      <c r="W176" s="3" t="n"/>
      <c r="X176" s="3" t="n"/>
      <c r="Y176" s="3" t="inlineStr">
        <is>
          <t>NOTHING OPEN</t>
        </is>
      </c>
    </row>
    <row r="177" ht="60" customHeight="1">
      <c r="A177" s="3" t="inlineStr">
        <is>
          <t>MK-CF-F-184</t>
        </is>
      </c>
      <c r="B177" s="3" t="inlineStr">
        <is>
          <t>incomeFromAccounts</t>
        </is>
      </c>
      <c r="C177" s="3" t="inlineStr">
        <is>
          <t>src/domain/income/from-accounts.ts</t>
        </is>
      </c>
      <c r="D177" s="3" t="n">
        <v>150</v>
      </c>
      <c r="E177" s="3" t="inlineStr">
        <is>
          <t>2 · DISPLAYED</t>
        </is>
      </c>
      <c r="F177" s="3" t="inlineStr">
        <is>
          <t>One line per account that pays something, and the total.</t>
        </is>
      </c>
      <c r="G177" s="11"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"From your accounts" — on the Income manager screen</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22</v>
      </c>
      <c r="Q177" s="3" t="inlineStr">
        <is>
          <t>1. MK-CF-F-182 asPercent
2. MK-NW-F-011 assetClassOf
3. MK-ST-F-053 money
4. MK-CF-F-183 paidOutByAccount
5. MK-NW-F-120 classEvidenceOf
6. MK-ST-F-049 formatMoney
7. MK-XS-F-122 n
8. MK-ST-F-065 isoLocalDate
9. MK-CF-F-155 cash
10. MK-NW-F-008 incomeBearingClassOf
11. MK-NW-F-009 maturityClass
12. MK-ST-F-048 currencySymbol
13. MK-ST-F-039 on
14. MK-ST-F-010 nameEvidence
15. MK-NW-F-068 prettyDay
16. MK-ST-F-047 activeCurrency
17. MK-XS-F-147 call
18. MK-ST-F-056 has
19. MK-CF-F-132 map
20. MK-ST-F-027 accountId
21. MK-XS-F-064 currentIdToken
22. MK-XS-F-112 relayUrl</t>
        </is>
      </c>
      <c r="R177" s="3" t="inlineStr">
        <is>
          <t>1. MK-CF-F-182 asPercent → MK-CF-F-184 incomeFromAccounts
2. MK-XS-F-122 n → MK-CF-F-155 cash → MK-NW-F-120 classEvidenceOf → MK-NW-F-011 assetClassOf → MK-CF-F-184 incomeFromAccounts
3. MK-XS-F-122 n → MK-CF-F-155 cash → MK-NW-F-008 incomeBearingClassOf → MK-NW-F-120 classEvidenceOf → MK-NW-F-011 assetClassOf → MK-CF-F-184 incomeFromAccounts
4. MK-XS-F-147 call → MK-ST-F-010 nameEvidence → MK-NW-F-008 incomeBearingClassOf → MK-NW-F-120 classEvidenceOf → MK-NW-F-011 assetClassOf → MK-CF-F-184 incomeFromAccounts
5. MK-ST-F-056 has → MK-ST-F-010 nameEvidence → MK-NW-F-008 incomeBearingClassOf → MK-NW-F-120 classEvidenceOf → MK-NW-F-011 assetClassOf → MK-CF-F-184 incomeFromAccounts
6. MK-CF-F-132 map → MK-ST-F-010 nameEvidence → MK-NW-F-008 incomeBearingClassOf → MK-NW-F-120 classEvidenceOf → MK-NW-F-011 assetClassOf → MK-CF-F-184 incomeFromAccounts
7. assetClassOf (already above — a loop) → MK-NW-F-009 maturityClass → MK-NW-F-120 classEvidenceOf → MK-NW-F-011 assetClassOf → MK-CF-F-184 incomeFromAccounts
8. MK-CF-F-132 map → MK-NW-F-068 prettyDay → MK-NW-F-009 maturityClass → MK-NW-F-120 classEvidenceOf → MK-NW-F-011 assetClassOf → MK-CF-F-184 incomeFromAccounts
9. … and 5 more paths</t>
        </is>
      </c>
      <c r="S177" s="3" t="inlineStr">
        <is>
          <t>—</t>
        </is>
      </c>
      <c r="T177" s="3" t="inlineStr">
        <is>
          <t>—</t>
        </is>
      </c>
      <c r="U177" s="3" t="inlineStr">
        <is>
          <t>ACTIVE</t>
        </is>
      </c>
      <c r="V177" s="3" t="inlineStr">
        <is>
          <t>2026-08-28</t>
        </is>
      </c>
      <c r="W177" s="3" t="n"/>
      <c r="X177" s="3" t="n"/>
      <c r="Y177" s="6" t="inlineStr">
        <is>
          <t>TESTED, NOT VERIFIED (A46)</t>
        </is>
      </c>
    </row>
    <row r="178" ht="45" customHeight="1">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1"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W178" s="3" t="n"/>
      <c r="X178" s="3" t="n"/>
      <c r="Y178" s="3" t="inlineStr">
        <is>
          <t>NOTHING OPEN</t>
        </is>
      </c>
    </row>
    <row r="179" ht="60" customHeight="1">
      <c r="A179" s="3" t="inlineStr">
        <is>
          <t>MK-CF-F-186</t>
        </is>
      </c>
      <c r="B179" s="3" t="inlineStr">
        <is>
          <t>convertTakeHomeMode</t>
        </is>
      </c>
      <c r="C179" s="3" t="inlineStr">
        <is>
          <t>src/domain/income/take-home-mode-migration.ts</t>
        </is>
      </c>
      <c r="D179" s="3" t="n">
        <v>94</v>
      </c>
      <c r="E179" s="3" t="inlineStr">
        <is>
          <t>3 · DEPENDENT</t>
        </is>
      </c>
      <c r="F179" s="3" t="inlineStr">
        <is>
          <t>Convert it. What they typed becomes what LANDS; the gross is worked back once and stored.</t>
        </is>
      </c>
      <c r="G179" s="11"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 Treats a year as twelve equal months.</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W179" s="3" t="n"/>
      <c r="X179" s="3" t="n"/>
      <c r="Y179" s="3" t="inlineStr">
        <is>
          <t>NOTHING OPEN</t>
        </is>
      </c>
    </row>
    <row r="180" ht="60" customHeight="1">
      <c r="A180" s="3" t="inlineStr">
        <is>
          <t>MK-CF-F-187</t>
        </is>
      </c>
      <c r="B180" s="3" t="inlineStr">
        <is>
          <t>seniorDeductionFor</t>
        </is>
      </c>
      <c r="C180" s="3" t="inlineStr">
        <is>
          <t>src/domain/income/tax.ts</t>
        </is>
      </c>
      <c r="D180" s="3" t="n">
        <v>209</v>
      </c>
      <c r="E180" s="3" t="inlineStr">
        <is>
          <t>3 · DEPENDENT</t>
        </is>
      </c>
      <c r="F180" s="3" t="inlineStr">
        <is>
          <t>How much of the $6,000-per-person senior deduction does this return get?</t>
        </is>
      </c>
      <c r="G180" s="11"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W180" s="3" t="n"/>
      <c r="X180" s="3" t="n"/>
      <c r="Y180" s="6" t="inlineStr">
        <is>
          <t>TESTED, NOT VERIFIED (Brief E8, G3)</t>
        </is>
      </c>
    </row>
    <row r="181" ht="60" customHeight="1">
      <c r="A181" s="3" t="inlineStr">
        <is>
          <t>MK-CF-F-188</t>
        </is>
      </c>
      <c r="B181" s="3" t="inlineStr">
        <is>
          <t>householdPreTaxContributionsAnnual</t>
        </is>
      </c>
      <c r="C181" s="3" t="inlineStr">
        <is>
          <t>src/domain/income/earners.ts</t>
        </is>
      </c>
      <c r="D181" s="3" t="n">
        <v>238</v>
      </c>
      <c r="E181" s="3" t="inlineStr">
        <is>
          <t>3 · DEPENDENT</t>
        </is>
      </c>
      <c r="F181" s="3" t="inlineStr">
        <is>
          <t>The household's pre-tax 401(k) contributions for the year — every earner's, added up.</t>
        </is>
      </c>
      <c r="G181" s="11"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W181" s="3" t="n"/>
      <c r="X181" s="3" t="n"/>
      <c r="Y181" s="6" t="inlineStr">
        <is>
          <t>TESTED, NOT VERIFIED (G22 / Q46)</t>
        </is>
      </c>
    </row>
    <row r="182" ht="60" customHeight="1">
      <c r="A182" s="3" t="inlineStr">
        <is>
          <t>MK-CF-F-189</t>
        </is>
      </c>
      <c r="B182" s="3" t="inlineStr">
        <is>
          <t>essentialsFromLoggedSpending</t>
        </is>
      </c>
      <c r="C182" s="3" t="inlineStr">
        <is>
          <t>MoneyKeel/functions/cashflow/essentials.ts</t>
        </is>
      </c>
      <c r="D182" s="3" t="n">
        <v>89</v>
      </c>
      <c r="E182" s="3" t="inlineStr">
        <is>
          <t>3 · DEPENDENT</t>
        </is>
      </c>
      <c r="F182" s="3" t="inlineStr">
        <is>
          <t>What does a month actually cost, from what has been logged?</t>
        </is>
      </c>
      <c r="G182" s="11"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2026-09-28</t>
        </is>
      </c>
      <c r="W182" s="3" t="n"/>
      <c r="X182" s="3" t="n"/>
      <c r="Y182" s="6" t="inlineStr">
        <is>
          <t>TESTED, NOT VERIFIED (G21 / Q47)</t>
        </is>
      </c>
    </row>
    <row r="183" ht="60" customHeight="1">
      <c r="A183" s="3" t="inlineStr">
        <is>
          <t>MK-CF-F-190</t>
        </is>
      </c>
      <c r="B183" s="3" t="inlineStr">
        <is>
          <t>essentialsMonthly</t>
        </is>
      </c>
      <c r="C183" s="3" t="inlineStr">
        <is>
          <t>MoneyKeel/functions/cashflow/essentials.ts</t>
        </is>
      </c>
      <c r="D183" s="3" t="n">
        <v>140</v>
      </c>
      <c r="E183" s="3" t="inlineStr">
        <is>
          <t>3 · DEPENDENT</t>
        </is>
      </c>
      <c r="F183" s="3" t="inlineStr">
        <is>
          <t>The one essentials-a-month figure a screen divides by, and where it came from.</t>
        </is>
      </c>
      <c r="G183" s="11"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1. MK-CF-F-189 essentialsFromLoggedSpending
2. MK-CF-O-002 expenses</t>
        </is>
      </c>
      <c r="P183" s="3" t="n">
        <v>16</v>
      </c>
      <c r="Q183" s="3" t="inlineStr">
        <is>
          <t>1. MK-CF-F-189 essentialsFromLoggedSpending
2. MK-CF-O-002 expenses
3. MK-ST-F-056 has
4. MK-XS-F-122 n
5. MK-ST-F-052 toNum
6. MK-CF-F-191 ym
7. MK-CF-F-151 actualSpending
8. MK-CF-F-150 debtPaymentsCountedAsExpenses
9. MK-CF-F-153 radar
10. MK-CF-F-149 recurringDebtPayments
11. MK-CF-F-148 inMonth
12. MK-CF-F-022 paymentShape
13. MK-CF-F-152 isRadarItem
14. MK-CF-F-023 requiredPayment
15. MK-CF-F-132 map
16. MK-CF-F-021 defaultPaymentType</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
5. MK-CF-F-191 ym → MK-CF-F-148 inMonth → MK-CF-F-151 actualSpending → MK-CF-O-002 expenses → MK-CF-F-190 essentialsMonthly
6. MK-XS-F-122 n → MK-ST-F-052 toNum → MK-CF-F-151 actualSpending → MK-CF-O-002 expenses → MK-CF-F-190 essentialsMonthly
7. MK-CF-F-191 ym → MK-CF-F-151 actualSpending → MK-CF-O-002 expenses → MK-CF-F-190 essentialsMonthly
8. MK-ST-F-056 has → MK-CF-F-150 debtPaymentsCountedAsExpenses → MK-CF-O-002 expenses → MK-CF-F-190 essentialsMonthly
9. … and 4 more paths</t>
        </is>
      </c>
      <c r="S183" s="3" t="inlineStr">
        <is>
          <t>MK-MN-M-024 · MK-MN-M-025 · MK-MN-M-026 · MK-NW-M-013 · MK-NW-M-014</t>
        </is>
      </c>
      <c r="T183" s="3" t="inlineStr">
        <is>
          <t>—</t>
        </is>
      </c>
      <c r="U183" s="3" t="inlineStr">
        <is>
          <t>ACTIVE</t>
        </is>
      </c>
      <c r="V183" s="3" t="inlineStr">
        <is>
          <t>2026-09-30</t>
        </is>
      </c>
      <c r="W183" s="3" t="n"/>
      <c r="X183" s="3" t="n"/>
      <c r="Y183" s="6" t="inlineStr">
        <is>
          <t>TESTED, NOT VERIFIED (G21 / Q47)</t>
        </is>
      </c>
    </row>
    <row r="184" ht="30" customHeight="1">
      <c r="A184" s="3" t="inlineStr">
        <is>
          <t>MK-CF-F-191</t>
        </is>
      </c>
      <c r="B184" s="3" t="inlineStr">
        <is>
          <t>ym</t>
        </is>
      </c>
      <c r="C184" s="3" t="inlineStr">
        <is>
          <t>MoneyKeel/functions/cashflow/essentials.ts</t>
        </is>
      </c>
      <c r="D184" s="3" t="n">
        <v>54</v>
      </c>
      <c r="E184" s="3" t="inlineStr">
        <is>
          <t>1 · ACTION</t>
        </is>
      </c>
      <c r="F184" s="3" t="inlineStr">
        <is>
          <t>Writes a date as its year and month: 2026-08.</t>
        </is>
      </c>
      <c r="G184" s="11"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W184" s="3" t="n"/>
      <c r="X184" s="3" t="n"/>
      <c r="Y184" s="3" t="inlineStr">
        <is>
          <t>NOTHING OPEN</t>
        </is>
      </c>
    </row>
    <row r="185" ht="60" customHeight="1">
      <c r="A185" s="3" t="inlineStr">
        <is>
          <t>MK-CF-F-192</t>
        </is>
      </c>
      <c r="B185" s="3" t="inlineStr">
        <is>
          <t>inflowLabel</t>
        </is>
      </c>
      <c r="C185" s="3" t="inlineStr">
        <is>
          <t>MoneyKeel/functions/cashflow/this-month.ts</t>
        </is>
      </c>
      <c r="D185" s="3" t="n">
        <v>106</v>
      </c>
      <c r="E185" s="3" t="inlineStr">
        <is>
          <t>3 · DEPENDENT</t>
        </is>
      </c>
      <c r="F185" s="3" t="inlineStr">
        <is>
          <t>The inflow line names what is inside it — founder's cluster #5 ruling (2026-09-10): the words in the brackets are the sources, "Inflow (income (take-home) + rent)".</t>
        </is>
      </c>
      <c r="G185" s="11"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2026-10-02</t>
        </is>
      </c>
      <c r="W185" s="3" t="n"/>
      <c r="X185" s="3" t="n"/>
      <c r="Y185" s="6" t="inlineStr">
        <is>
          <t>TESTED, NOT VERIFIED (Synonym cluster #5)</t>
        </is>
      </c>
    </row>
    <row r="186" ht="60" customHeight="1">
      <c r="A186" s="3" t="inlineStr">
        <is>
          <t>MK-CF-F-193</t>
        </is>
      </c>
      <c r="B186" s="3" t="inlineStr">
        <is>
          <t>inflowSourceWord</t>
        </is>
      </c>
      <c r="C186" s="3" t="inlineStr">
        <is>
          <t>MoneyKeel/functions/cashflow/this-month.ts</t>
        </is>
      </c>
      <c r="D186" s="3" t="n">
        <v>149</v>
      </c>
      <c r="E186" s="3" t="inlineStr">
        <is>
          <t>3 · DEPENDENT</t>
        </is>
      </c>
      <c r="F186" s="3" t="inlineStr">
        <is>
          <t>One source of money arriving, as the bracket says it: pay is "income (take-home)", a rental is "rent", Social Security keeps its name, anything else is its own name in lower case.</t>
        </is>
      </c>
      <c r="G186" s="11"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W186" s="3" t="n"/>
      <c r="X186" s="3" t="n"/>
      <c r="Y186" s="6" t="inlineStr">
        <is>
          <t>TESTED, NOT VERIFIED (Synonym cluster #5)</t>
        </is>
      </c>
    </row>
    <row r="187" ht="60" customHeight="1">
      <c r="A187" s="3" t="inlineStr">
        <is>
          <t>MK-CF-F-194</t>
        </is>
      </c>
      <c r="B187" s="3" t="inlineStr">
        <is>
          <t>monthOutflow</t>
        </is>
      </c>
      <c r="C187" s="3" t="inlineStr">
        <is>
          <t>MoneyKeel/functions/cashflow/this-month.ts</t>
        </is>
      </c>
      <c r="D187" s="3" t="n">
        <v>65</v>
      </c>
      <c r="E187" s="3" t="inlineStr">
        <is>
          <t>2 · DISPLAYED</t>
        </is>
      </c>
      <c r="F187" s="3" t="inlineStr">
        <is>
          <t>THE MONTH'S OUTFLOW — expenses plus the debt actually paid — from one place.</t>
        </is>
      </c>
      <c r="G187" s="11"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W187" s="3" t="n"/>
      <c r="X187" s="3" t="n"/>
      <c r="Y187" s="6" t="inlineStr">
        <is>
          <t>TESTED, NOT VERIFIED (G12)</t>
        </is>
      </c>
    </row>
    <row r="188" ht="60" customHeight="1">
      <c r="A188" s="3" t="inlineStr">
        <is>
          <t>MK-CF-F-195</t>
        </is>
      </c>
      <c r="B188" s="3" t="inlineStr">
        <is>
          <t>monthsLeftInYear</t>
        </is>
      </c>
      <c r="C188" s="3" t="inlineStr">
        <is>
          <t>src/domain/income/limits.ts</t>
        </is>
      </c>
      <c r="D188" s="3" t="n">
        <v>85</v>
      </c>
      <c r="E188" s="3" t="inlineStr">
        <is>
          <t>3 · DEPENDENT</t>
        </is>
      </c>
      <c r="F188" s="3" t="inlineStr">
        <is>
          <t>Months left in the year INCLUDING the current one — December counts as 1, never 0.</t>
        </is>
      </c>
      <c r="G188" s="11"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2026-09-28</t>
        </is>
      </c>
      <c r="W188" s="3" t="n"/>
      <c r="X188" s="3" t="n"/>
      <c r="Y188" s="6" t="inlineStr">
        <is>
          <t>TESTED, NOT VERIFIED (G36)</t>
        </is>
      </c>
    </row>
    <row r="189" ht="45" customHeight="1">
      <c r="A189" s="3" t="inlineStr">
        <is>
          <t>MK-CF-F-196</t>
        </is>
      </c>
      <c r="B189" s="3" t="inlineStr">
        <is>
          <t>perMonthToFill</t>
        </is>
      </c>
      <c r="C189" s="3" t="inlineStr">
        <is>
          <t>src/domain/income/limits.ts</t>
        </is>
      </c>
      <c r="D189" s="3" t="n">
        <v>112</v>
      </c>
      <c r="E189" s="3" t="inlineStr">
        <is>
          <t>3 · DEPENDENT</t>
        </is>
      </c>
      <c r="F189" s="3" t="inlineStr">
        <is>
          <t>What to put in each remaining month to use the room left this year, rounded to $100 for display.</t>
        </is>
      </c>
      <c r="G189" s="11"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2026-09-28</t>
        </is>
      </c>
      <c r="W189" s="3" t="n"/>
      <c r="X189" s="3" t="n"/>
      <c r="Y189" s="6" t="inlineStr">
        <is>
          <t>TESTED, NOT VERIFIED (G36)</t>
        </is>
      </c>
    </row>
    <row r="190" ht="60" customHeight="1">
      <c r="A190" s="3" t="inlineStr">
        <is>
          <t>MK-CF-F-197</t>
        </is>
      </c>
      <c r="B190" s="3" t="inlineStr">
        <is>
          <t>ageAttainedInYear</t>
        </is>
      </c>
      <c r="C190" s="3" t="inlineStr">
        <is>
          <t>src/domain/income/limits.ts</t>
        </is>
      </c>
      <c r="D190" s="3" t="n">
        <v>53</v>
      </c>
      <c r="E190" s="3" t="inlineStr">
        <is>
          <t>2 · DISPLAYED</t>
        </is>
      </c>
      <c r="F190" s="3" t="inlineStr">
        <is>
          <t>THE AGE THE LIMITS USE — the age a person attains at any time in the calendar year, which is this year minus the birth year.</t>
        </is>
      </c>
      <c r="G190" s="11"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W190" s="3" t="n"/>
      <c r="X190" s="3" t="n"/>
      <c r="Y190" s="3" t="inlineStr">
        <is>
          <t>NOTHING OPEN</t>
        </is>
      </c>
    </row>
    <row r="191" ht="60" customHeight="1">
      <c r="A191" s="3" t="inlineStr">
        <is>
          <t>MK-CF-F-198</t>
        </is>
      </c>
      <c r="B191" s="3" t="inlineStr">
        <is>
          <t>payrollTaxWithheld</t>
        </is>
      </c>
      <c r="C191" s="3" t="inlineStr">
        <is>
          <t>MoneyKeel/functions/cashflow/base-pay.ts</t>
        </is>
      </c>
      <c r="D191" s="3" t="n">
        <v>1056</v>
      </c>
      <c r="E191" s="3" t="inlineStr">
        <is>
          <t>3 · DEPENDENT</t>
        </is>
      </c>
      <c r="F191" s="3" t="inlineStr">
        <is>
          <t>Social Security and Medicare tax on a year's wages: 6.2% up to the wage cap, 1.45% of all of it, and 0.9% more above the higher-earner threshold.</t>
        </is>
      </c>
      <c r="G191" s="11"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W191" s="3" t="n"/>
      <c r="X191" s="3" t="n"/>
      <c r="Y191" s="3" t="inlineStr">
        <is>
          <t>NOTHING OPEN</t>
        </is>
      </c>
    </row>
    <row r="192" ht="60" customHeight="1">
      <c r="A192" s="3" t="inlineStr">
        <is>
          <t>MK-CF-F-199</t>
        </is>
      </c>
      <c r="B192" s="3" t="inlineStr">
        <is>
          <t>ROOM</t>
        </is>
      </c>
      <c r="C192" s="3" t="inlineStr">
        <is>
          <t>MoneyKeel/functions/cashflow/contribution-room.ts</t>
        </is>
      </c>
      <c r="D192" s="3" t="n">
        <v>145</v>
      </c>
      <c r="E192" s="3" t="inlineStr">
        <is>
          <t>1 · ACTION</t>
        </is>
      </c>
      <c r="F192" s="3" t="inlineStr">
        <is>
          <t>Example only: runs theContributionRoom on the worked example and calculates nothing of its own.</t>
        </is>
      </c>
      <c r="G192" s="11" t="inlineStr">
        <is>
          <t>the contribution room(EXAMPLE)</t>
        </is>
      </c>
      <c r="H192" s="3" t="inlineStr">
        <is>
          <t>the contribution room(EXAMPLE)</t>
        </is>
      </c>
      <c r="I192" s="3" t="inlineStr">
        <is>
          <t>READ FROM THE CODE — rendered from the expressions the function runs</t>
        </is>
      </c>
      <c r="J192" s="3" t="inlineStr">
        <is>
          <t>Nothing is handed to it</t>
        </is>
      </c>
      <c r="K192" s="3" t="inlineStr">
        <is>
          <t>NOT DECLARED — the code does not say what it gives back</t>
        </is>
      </c>
      <c r="L192" s="3" t="inlineStr">
        <is>
          <t>—</t>
        </is>
      </c>
      <c r="M192" s="3" t="inlineStr">
        <is>
          <t>None found in this function — anything it assumes comes from the functions it depends on.</t>
        </is>
      </c>
      <c r="N192" s="3" t="inlineStr">
        <is>
          <t>No</t>
        </is>
      </c>
      <c r="O192" s="3" t="inlineStr">
        <is>
          <t>1. MK-XS-F-180 declareFigures
2. MK-CF-O-005 theContributionRoom</t>
        </is>
      </c>
      <c r="P192" s="3" t="n">
        <v>9</v>
      </c>
      <c r="Q192" s="3" t="inlineStr">
        <is>
          <t>1. MK-XS-F-180 declareFigures
2. MK-CF-O-005 theContributionRoom
3. MK-CF-F-197 ageAttainedInYear
4. MK-CF-F-055 annualHsaLimit
5. MK-CF-F-054 annualIraLimit
6. MK-CF-F-056 k401Headroom
7. MK-CF-F-195 monthsLeftInYear
8. MK-CF-F-196 perMonthToFill
9. MK-CF-F-053 annual401kLimit</t>
        </is>
      </c>
      <c r="R192" s="3" t="inlineStr">
        <is>
          <t>1. MK-XS-F-180 declareFigures → MK-CF-F-199 ROOM
2. MK-CF-F-197 ageAttainedInYear → MK-CF-O-005 theContributionRoom → MK-CF-F-199 ROOM
3. MK-CF-F-055 annualHsaLimit → MK-CF-O-005 theContributionRoom → MK-CF-F-199 ROOM
4. MK-CF-F-054 annualIraLimit → MK-CF-O-005 theContributionRoom → MK-CF-F-199 ROOM
5. MK-CF-F-053 annual401kLimit → MK-CF-F-056 k401Headroom → MK-CF-O-005 theContributionRoom → MK-CF-F-199 ROOM
6. MK-CF-F-195 monthsLeftInYear → MK-CF-O-005 theContributionRoom → MK-CF-F-199 ROOM
7. MK-CF-F-195 monthsLeftInYear → MK-CF-F-196 perMonthToFill → MK-CF-O-005 theContributionRoom → MK-CF-F-199 ROOM</t>
        </is>
      </c>
      <c r="S192" s="3" t="inlineStr">
        <is>
          <t>—</t>
        </is>
      </c>
      <c r="T192" s="3" t="inlineStr">
        <is>
          <t>—</t>
        </is>
      </c>
      <c r="U192" s="3" t="inlineStr">
        <is>
          <t>ACTIVE</t>
        </is>
      </c>
      <c r="V192" s="3" t="inlineStr">
        <is>
          <t>2026-09-28</t>
        </is>
      </c>
      <c r="W192" s="3" t="n"/>
      <c r="X192" s="3" t="n"/>
      <c r="Y192" s="3" t="inlineStr">
        <is>
          <t>NOTHING OPEN</t>
        </is>
      </c>
    </row>
    <row r="193" ht="60" customHeight="1">
      <c r="A193" s="3" t="inlineStr">
        <is>
          <t>MK-CF-F-200</t>
        </is>
      </c>
      <c r="B193" s="3" t="inlineStr">
        <is>
          <t>LINE</t>
        </is>
      </c>
      <c r="C193" s="3" t="inlineStr">
        <is>
          <t>MoneyKeel/functions/cashflow/credit-line.ts</t>
        </is>
      </c>
      <c r="D193" s="3" t="n">
        <v>98</v>
      </c>
      <c r="E193" s="3" t="inlineStr">
        <is>
          <t>1 · ACTION</t>
        </is>
      </c>
      <c r="F193" s="3" t="inlineStr">
        <is>
          <t>Example only: runs theCreditLine on the worked example and calculates nothing of its own.</t>
        </is>
      </c>
      <c r="G193" s="11" t="inlineStr">
        <is>
          <t>NOT READ YET — the body is not a shape this can render faithfully, so nothing is claimed rather than something being guessed. It needs reading by hand.</t>
        </is>
      </c>
      <c r="H193" s="3" t="inlineStr">
        <is>
          <t>NOT READ YET — the body is not a shape this can render faithfully, so nothing is claimed rather than something being guessed. It needs reading by hand.</t>
        </is>
      </c>
      <c r="I193" s="3" t="inlineStr">
        <is>
          <t>NOT READ — nothing is claimed rather than something guessed</t>
        </is>
      </c>
      <c r="J193" s="3" t="inlineStr">
        <is>
          <t>Nothing is handed to it</t>
        </is>
      </c>
      <c r="K193" s="3" t="inlineStr">
        <is>
          <t>3100, limit: 12000 });</t>
        </is>
      </c>
      <c r="L193" s="3" t="inlineStr">
        <is>
          <t>—</t>
        </is>
      </c>
      <c r="M193" s="3" t="inlineStr">
        <is>
          <t>None found in this function — anything it assumes comes from the functions it depends on.</t>
        </is>
      </c>
      <c r="N193" s="3" t="inlineStr">
        <is>
          <t>Yes</t>
        </is>
      </c>
      <c r="O193" s="3" t="inlineStr">
        <is>
          <t>1. MK-XS-F-180 declareFigures
2. MK-CF-O-006 theCreditLine</t>
        </is>
      </c>
      <c r="P193" s="3" t="n">
        <v>114</v>
      </c>
      <c r="Q193" s="3" t="inlineStr">
        <is>
          <t>1. MK-XS-F-180 declareFigures
2. MK-CF-O-006 theCreditLine
3. MK-CF-F-031 creditUtilization
4. MK-CF-F-204 line
5. MK-CF-F-203 MONTH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MK-NW-F-112 yearlyInterest
39. MK-ST-F-048 currencySymbol
40. MK-ST-F-039 on
41. MK-ST-F-027 accountId
42. MK-NW-F-057 annualCoupon
43. MK-NW-F-056 bondInfo
44. MK-NW-F-064 bondRateSensitivity
45. MK-NW-F-061 bondSummary
46. MK-NW-F-055 isBond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MK-NW-F-131 pricedLikeBond
69. MK-NW-F-125 isPastMaturity
70. MK-ST-F-065 isoLocalDate
71. MK-NW-F-126 yearlyInterestNow
72. MK-NW-F-011 assetClassOf
73. MK-NW-F-070 accruedInterestCaveat
74. MK-NW-F-058 yearsToMaturity
75. MK-CF-F-075 retirementIncomeMonthly
76. MK-CF-F-172 hasWage
77. MK-CF-F-062 equityRowValue
78. MK-CF-F-070 benefitAnnual
79. MK-CF-F-176 sumMonthsOverEarners
80. MK-CF-F-090 effectiveRate
81. MK-CF-F-180 enteredLandsAnnual
82. MK-CF-F-085 filingStatusOf
83. MK-CF-F-089 over65CountOf
84. MK-CF-F-082 salaryAnnual
85. MK-CF-F-086 stateRateOf
86. MK-CF-F-101 taxOwedFor
87. MK-CF-F-084 taxableAnnual
88. MK-CF-F-067 rentalList
89. MK-CF-F-063 rowVestYear
90. MK-CF-F-130 enteredMonthlyRaw
91. MK-CF-F-166 hasMonthlySalaryTable
92. MK-ST-F-036 reconcile
93. MK-CF-F-167 salaryCalendarYear
94. MK-CF-F-120 pctBaseMonthly
95. MK-CF-F-004 spendBuckets
96. MK-NW-F-119 estimatedAccrued
97. MK-NW-F-124 maturityParts
98. MK-NW-F-120 classEvidenceOf
99. MK-NW-F-067 plural
100. MK-CF-F-100 taxableIncomeFor
101. MK-CF-F-074 tipsAnnual
102. MK-ST-F-085 rentFigure
103. MK-CF-F-165 salaryMonths
104. MK-CF-F-003 categoryMonthly
105. MK-NW-F-008 incomeBearingClassOf
106. MK-NW-F-009 maturityClass
107. MK-CF-F-099 deductionFor
108. MK-CF-F-081 salaryActiveMonths
109. MK-ST-F-010 nameEvidence
110. MK-NW-F-068 prettyDay
111. MK-CF-F-187 seniorDeductionFor
112. MK-XS-F-147 call
113. MK-XS-F-064 currentIdToken
114. MK-XS-F-112 relayUrl</t>
        </is>
      </c>
      <c r="R193" s="3" t="inlineStr">
        <is>
          <t>1. MK-XS-F-180 declareFigures → MK-CF-F-200 LINE
2. MK-CF-F-031 creditUtilization → MK-CF-O-006 theCreditLine → MK-CF-F-200 LINE
3. MONTH (already above — a loop) → MK-CF-O-010 theMonth → MK-CF-F-203 MONTH → MK-CF-F-204 line → MK-CF-O-006 theCreditLine → MK-CF-F-200 LINE
4. MK-CF-F-155 cash → MK-CF-O-010 theMonth → MK-CF-F-203 MONTH → MK-CF-F-204 line → MK-CF-O-006 theCreditLine → MK-CF-F-200 LINE
5. MK-CF-O-002 expenses → MK-CF-O-010 theMonth → MK-CF-F-203 MONTH → MK-CF-F-204 line → MK-CF-O-006 theCreditLine → MK-CF-F-200 LINE
6. MK-CF-O-003 thisMonth → MK-CF-O-010 theMonth → MK-CF-F-203 MONTH → MK-CF-F-204 line → MK-CF-O-006 theCreditLine → MK-CF-F-200 LINE
7. MK-XS-F-180 declareFigures → MK-CF-F-204 line → MK-CF-O-006 theCreditLine → MK-CF-F-200 LINE</t>
        </is>
      </c>
      <c r="S193" s="3" t="inlineStr">
        <is>
          <t>—</t>
        </is>
      </c>
      <c r="T193" s="3" t="inlineStr">
        <is>
          <t>—</t>
        </is>
      </c>
      <c r="U193" s="3" t="inlineStr">
        <is>
          <t>ACTIVE</t>
        </is>
      </c>
      <c r="V193" s="3" t="inlineStr">
        <is>
          <t>2026-09-28</t>
        </is>
      </c>
      <c r="W193" s="3" t="n"/>
      <c r="X193" s="3" t="n"/>
      <c r="Y193" s="3" t="inlineStr">
        <is>
          <t>NOTHING OPEN</t>
        </is>
      </c>
    </row>
    <row r="194" ht="60" customHeight="1">
      <c r="A194" s="3" t="inlineStr">
        <is>
          <t>MK-CF-F-201</t>
        </is>
      </c>
      <c r="B194" s="3" t="inlineStr">
        <is>
          <t>INCOME</t>
        </is>
      </c>
      <c r="C194" s="3" t="inlineStr">
        <is>
          <t>MoneyKeel/functions/cashflow/income-summary.ts</t>
        </is>
      </c>
      <c r="D194" s="3" t="n">
        <v>121</v>
      </c>
      <c r="E194" s="3" t="inlineStr">
        <is>
          <t>1 · ACTION</t>
        </is>
      </c>
      <c r="F194" s="3" t="inlineStr">
        <is>
          <t>Example only: runs incomeSummary on the worked example and calculates nothing of its own.</t>
        </is>
      </c>
      <c r="G194" s="11" t="inlineStr">
        <is>
          <t>income summary(EXAMPLE)</t>
        </is>
      </c>
      <c r="H194" s="3" t="inlineStr">
        <is>
          <t>income summary(EXAMPLE)</t>
        </is>
      </c>
      <c r="I194" s="3" t="inlineStr">
        <is>
          <t>READ FROM THE CODE — rendered from the expressions the function runs</t>
        </is>
      </c>
      <c r="J194" s="3" t="inlineStr">
        <is>
          <t>Nothing is handed to it</t>
        </is>
      </c>
      <c r="K194" s="3" t="inlineStr">
        <is>
          <t>NOT DECLARED — the code does not say what it gives back</t>
        </is>
      </c>
      <c r="L194" s="3" t="inlineStr">
        <is>
          <t>—</t>
        </is>
      </c>
      <c r="M194" s="3" t="inlineStr">
        <is>
          <t>None found in this function — anything it assumes comes from the functions it depends on.</t>
        </is>
      </c>
      <c r="N194" s="3" t="inlineStr">
        <is>
          <t>Yes</t>
        </is>
      </c>
      <c r="O194" s="3" t="inlineStr">
        <is>
          <t>1. MK-CF-F-207 SOURCE
2. MK-CF-O-004 incomeSummary</t>
        </is>
      </c>
      <c r="P194" s="3" t="n">
        <v>132</v>
      </c>
      <c r="Q194" s="3" t="inlineStr">
        <is>
          <t>1. MK-CF-F-207 SOURCE
2. MK-CF-O-004 incomeSummary
3. MK-CF-O-016 incomeSources
4. MK-CF-F-203 MONTH
5. MK-CF-O-001 basePay
6. MK-CF-F-069 benefitActiveMonths
7. MK-CF-F-072 currentRetirementIncomeMonthly
8. MK-CF-F-173 earnerWages
9. MK-CF-F-179 entryFromWage
10. MK-CF-F-071 extraIncome
11. MK-CF-F-085 filingStatusOf
12. MK-CF-F-092 incomeMonthlyGrid
13. MK-CF-F-192 inflowLabel
14. MK-CF-F-132 map
15. MK-CF-F-103 marginalBracketFor
16. MK-CF-F-089 over65CountOf
17. MK-CF-F-181 rateInForce
18. MK-CF-F-068 rentalNetAnnual
19. MK-CF-F-082 salaryAnnual
20. MK-CF-F-060 salaryGrossByMonth
21. MK-CF-F-084 taxableAnnual
22. MK-ST-F-052 toNum
23. MK-CF-F-075 retirementIncomeMonthly
24. MK-CF-F-066 rsuAnnual
25. MK-CF-O-010 theMonth
26. MK-ST-F-035 covers
27. MK-CF-F-171 earnerPay
28. MK-CF-F-204 line
29. MK-ST-F-053 money
30. MK-HM-F-006 money0
31. MK-XS-F-122 n
32. MK-CF-F-198 payrollTaxWithheld
33. MK-CF-F-172 hasWage
34. MK-CF-F-165 salaryMonths
35. MK-CF-F-070 benefitAnnual
36. MK-ST-F-039 on
37. MK-CF-F-065 equityVestWeights
38. MK-ST-F-056 has
39. MK-CF-F-206 householdK401ByMonth
40. MK-CF-F-087 monthlyTaxRates
41. MK-CF-F-073 otherIncomeMonth
42. MK-CF-F-077 scholarshipByCalendarMonth
43. MK-CF-F-088 taxableByCalendarMonth
44. MK-CF-F-177 wageGrossByMonth
45. MK-PL-F-012 waterfall
46. MK-CF-F-193 inflowSourceWord
47. MK-CF-F-100 taxableIncomeFor
48. MK-CF-F-180 enteredLandsAnnual
49. MK-CF-F-086 stateRateOf
50. MK-CF-F-101 taxOwedFor
51. MK-CF-O-002 expenses
52. MK-CF-F-067 rentalList
53. MK-CF-F-176 sumMonthsOverEarners
54. MK-CF-F-074 tipsAnnual
55. MK-CF-F-062 equityRowValue
56. MK-CF-F-063 rowVestYear
57. MK-CF-F-155 cash
58. MK-CF-O-003 thisMonth
59. MK-ST-F-034 firstDate
60. MK-CF-F-143 annualisedGross
61. MK-CF-F-145 deductionsFromPay
62. MK-CF-F-128 grossByMonth
63. MK-CF-F-146 payFiguresAgree
64. MK-CF-F-144 takeHomeAsEntered
65. MK-XS-F-180 declareFigures
66. MK-ST-F-049 formatMoney
67. MK-HM-F-005 pctTxt
68. MK-NW-F-067 plural
69. MK-CF-F-090 effectiveRate
70. MK-CF-F-130 enteredMonthlyRaw
71. MK-CF-F-166 hasMonthlySalaryTable
72. MK-ST-F-036 reconcile
73. MK-CF-F-167 salaryCalendarYear
74. MK-CF-F-099 deductionFor
75. MK-CF-F-151 actualSpending
76. MK-CF-F-150 debtPaymentsCountedAsExpenses
77. MK-CF-F-153 radar
78. MK-CF-F-149 recurringDebtPayments
79. MK-ST-F-085 rentFigure
80. MK-CF-F-081 salaryActiveMonths
81. MK-CF-F-005 actualMonthFlow
82. MK-CF-F-156 plannedMonthFlow
83. MK-CF-F-142 monthsOf
84. MK-CF-F-141 perMonth
85. MK-ST-F-048 currencySymbol
86. MK-CF-F-187 seniorDeductionFor
87. MK-CF-F-148 inMonth
88. MK-CF-F-191 ym
89. MK-CF-F-022 paymentShape
90. MK-CF-F-152 isRadarItem
91. MK-CF-F-023 requiredPayment
92. MK-NW-F-078 ONE
93. MK-CF-F-157 debtPaymentsByDebt
94. MK-XS-F-027 takeHomeMonthly
95. MK-CF-F-140 periodsAYear
96. MK-ST-F-047 activeCurrency
97. MK-CF-F-021 defaultPaymentType
98. MK-NW-F-077 ALL
99. MK-NW-F-059 currentYield
100. MK-NW-O-001 theBonds
101. MK-CF-F-011 savingsByMonth
102. MK-NW-F-112 yearlyInterest
103. MK-ST-F-027 accountId
104. MK-NW-F-057 annualCoupon
105. MK-NW-F-056 bondInfo
106. MK-NW-F-064 bondRateSensitivity
107. MK-NW-F-061 bondSummary
108. MK-NW-F-055 isBond
109. MK-NW-F-072 rowOf
110. MK-CF-F-008 spendByMonth
111. MK-NW-F-060 approxYTM
112. MK-NW-F-069 priceAtYield
113. MK-NW-F-131 pricedLikeBond
114. MK-NW-F-125 isPastMaturity
115. MK-ST-F-065 isoLocalDate
116. MK-NW-F-126 yearlyInterestNow
117. MK-NW-F-011 assetClassOf
118. MK-NW-F-070 accruedInterestCaveat
119. MK-NW-F-058 yearsToMaturity
120. MK-CF-F-120 pctBaseMonthly
121. MK-CF-F-004 spendBuckets
122. MK-NW-F-119 estimatedAccrued
123. MK-NW-F-124 maturityParts
124. MK-NW-F-120 classEvidenceOf
125. MK-CF-F-003 categoryMonthly
126. MK-NW-F-008 incomeBearingClassOf
127. MK-NW-F-009 maturityClass
128. MK-ST-F-010 nameEvidence
129. MK-NW-F-068 prettyDay
130. MK-XS-F-147 call
131. MK-XS-F-064 currentIdToken
132. MK-XS-F-112 relayUrl</t>
        </is>
      </c>
      <c r="R194" s="3" t="inlineStr">
        <is>
          <t>1. SOURCE (already above — a loop) → MK-CF-O-016 incomeSources → MK-CF-F-207 SOURCE → MK-CF-F-201 INCOME
2. MK-ST-F-052 toNum → MK-CF-F-075 retirementIncomeMonthly → MK-CF-F-072 currentRetirementIncomeMonthly → MK-CF-O-016 incomeSources → MK-CF-F-207 SOURCE → MK-CF-F-201 INCOME
3. MK-ST-F-056 has → MK-CF-F-172 hasWage → MK-CF-F-173 earnerWages → MK-CF-O-016 incomeSources → MK-CF-F-207 SOURCE → MK-CF-F-201 INCOME
4. MK-CF-F-151 actualSpending → MK-CF-O-002 expenses → MK-CF-F-068 rentalNetAnnual → MK-CF-O-016 incomeSources → MK-CF-F-207 SOURCE → MK-CF-F-201 INCOME
5. MK-CF-F-150 debtPaymentsCountedAsExpenses → MK-CF-O-002 expenses → MK-CF-F-068 rentalNetAnnual → MK-CF-O-016 incomeSources → MK-CF-F-207 SOURCE → MK-CF-F-201 INCOME
6. MK-CF-F-153 radar → MK-CF-O-002 expenses → MK-CF-F-068 rentalNetAnnual → MK-CF-O-016 incomeSources → MK-CF-F-207 SOURCE → MK-CF-F-201 INCOME
7. MK-CF-F-149 recurringDebtPayments → MK-CF-O-002 expenses → MK-CF-F-068 rentalNetAnnual → MK-CF-O-016 incomeSources → MK-CF-F-207 SOURCE → MK-CF-F-201 INCOME
8. MK-CF-O-002 expenses → MK-CF-F-067 rentalList → MK-CF-F-068 rentalNetAnnual → MK-CF-O-016 incomeSources → MK-CF-F-207 SOURCE → MK-CF-F-201 INCOME
9. … and 5 more paths</t>
        </is>
      </c>
      <c r="S194" s="3" t="inlineStr">
        <is>
          <t>—</t>
        </is>
      </c>
      <c r="T194" s="3" t="inlineStr">
        <is>
          <t>—</t>
        </is>
      </c>
      <c r="U194" s="3" t="inlineStr">
        <is>
          <t>ACTIVE</t>
        </is>
      </c>
      <c r="V194" s="3" t="inlineStr">
        <is>
          <t>2026-09-28</t>
        </is>
      </c>
      <c r="W194" s="3" t="n"/>
      <c r="X194" s="3" t="n"/>
      <c r="Y194" s="3" t="inlineStr">
        <is>
          <t>NOTHING OPEN</t>
        </is>
      </c>
    </row>
    <row r="195" ht="60" customHeight="1">
      <c r="A195" s="3" t="inlineStr">
        <is>
          <t>MK-CF-F-202</t>
        </is>
      </c>
      <c r="B195" s="3" t="inlineStr">
        <is>
          <t>TAX</t>
        </is>
      </c>
      <c r="C195" s="3" t="inlineStr">
        <is>
          <t>MoneyKeel/functions/cashflow/tax-organizer.ts</t>
        </is>
      </c>
      <c r="D195" s="3" t="n">
        <v>105</v>
      </c>
      <c r="E195" s="3" t="inlineStr">
        <is>
          <t>1 · ACTION</t>
        </is>
      </c>
      <c r="F195" s="3" t="inlineStr">
        <is>
          <t>Example only: runs theTaxOrganizer on the worked example and calculates nothing of its own.</t>
        </is>
      </c>
      <c r="G195" s="11" t="inlineStr">
        <is>
          <t>the tax organizer(EXAMPLE)</t>
        </is>
      </c>
      <c r="H195" s="3" t="inlineStr">
        <is>
          <t>the tax organizer(EXAMPLE)</t>
        </is>
      </c>
      <c r="I195" s="3" t="inlineStr">
        <is>
          <t>READ FROM THE CODE — rendered from the expressions the function runs</t>
        </is>
      </c>
      <c r="J195" s="3" t="inlineStr">
        <is>
          <t>Nothing is handed to it</t>
        </is>
      </c>
      <c r="K195" s="3" t="inlineStr">
        <is>
          <t>NOT DECLARED — the code does not say what it gives back</t>
        </is>
      </c>
      <c r="L195" s="3" t="inlineStr">
        <is>
          <t>—</t>
        </is>
      </c>
      <c r="M195" s="3" t="inlineStr">
        <is>
          <t>None found in this function — anything it assumes comes from the functions it depends on.</t>
        </is>
      </c>
      <c r="N195" s="3" t="inlineStr">
        <is>
          <t>No</t>
        </is>
      </c>
      <c r="O195" s="3" t="inlineStr">
        <is>
          <t>1. MK-XS-F-180 declareFigures
2. MK-ST-F-039 on
3. MK-CF-O-007 theTaxOrganizer</t>
        </is>
      </c>
      <c r="P195" s="3" t="n">
        <v>77</v>
      </c>
      <c r="Q195" s="3" t="inlineStr">
        <is>
          <t>1. MK-XS-F-180 declareFigures
2. MK-ST-F-039 on
3. MK-CF-O-007 theTaxOrganizer
4. MK-CF-F-184 incomeFromAccounts
5. MK-PL-F-031 taxOrganizer
6. MK-CF-F-182 asPercent
7. MK-NW-F-011 assetClassOf
8. MK-ST-F-053 money
9. MK-CF-F-183 paidOutByAccount
10. MK-CF-F-070 benefitAnnual
11. MK-CF-F-072 currentRetirementIncomeMonthly
12. MK-CF-F-090 effectiveRate
13. MK-ST-F-056 has
14. MK-CF-F-132 map
15. MK-CF-F-068 rentalNetAnnual
16. MK-CF-F-066 rsuAnnual
17. MK-CF-F-082 salaryAnnual
18. MK-PL-F-082 taxableIncomeSteps
19. MK-CF-F-074 tipsAnnual
20. MK-ST-F-052 toNum
21. MK-NW-F-120 classEvidenceOf
22. MK-ST-F-049 formatMoney
23. MK-XS-F-122 n
24. MK-ST-F-065 isoLocalDate
25. MK-CF-F-069 benefitActiveMonths
26. MK-CF-F-075 retirementIncomeMonthly
27. MK-CF-F-181 rateInForce
28. MK-CF-O-002 expenses
29. MK-CF-F-067 rentalList
30. MK-CF-F-062 equityRowValue
31. MK-CF-F-063 rowVestYear
32. MK-CF-F-060 salaryGrossByMonth
33. MK-CF-F-099 deductionFor
34. MK-CF-F-085 filingStatusOf
35. MK-CF-F-188 householdPreTaxContributionsAnnual
36. MK-CF-F-089 over65CountOf
37. MK-CF-F-187 seniorDeductionFor
38. MK-CF-F-081 salaryActiveMonths
39. MK-CF-F-155 cash
40. MK-NW-F-008 incomeBearingClassOf
41. MK-NW-F-009 maturityClass
42. MK-ST-F-048 currencySymbol
43. MK-CF-F-173 earnerWages
44. MK-CF-F-180 enteredLandsAnnual
45. MK-CF-F-206 householdK401ByMonth
46. MK-CF-F-086 stateRateOf
47. MK-CF-F-101 taxOwedFor
48. MK-CF-F-084 taxableAnnual
49. MK-CF-F-151 actualSpending
50. MK-CF-F-150 debtPaymentsCountedAsExpenses
51. MK-CF-F-153 radar
52. MK-CF-F-149 recurringDebtPayments
53. MK-ST-F-085 rentFigure
54. MK-CF-F-176 sumMonthsOverEarners
55. MK-CF-F-177 wageGrossByMonth
56. MK-CF-F-175 sumOverEarners
57. MK-ST-F-010 nameEvidence
58. MK-NW-F-068 prettyDay
59. MK-ST-F-047 activeCurrency
60. MK-CF-F-172 hasWage
61. MK-CF-F-100 taxableIncomeFor
62. MK-CF-F-071 extraIncome
63. MK-CF-F-148 inMonth
64. MK-CF-F-191 ym
65. MK-CF-F-022 paymentShape
66. MK-CF-F-152 isRadarItem
67. MK-CF-F-023 requiredPayment
68. MK-CF-F-130 enteredMonthlyRaw
69. MK-CF-F-166 hasMonthlySalaryTable
70. MK-ST-F-036 reconcile
71. MK-CF-F-167 salaryCalendarYear
72. MK-XS-F-147 call
73. MK-CF-F-021 defaultPaymentType
74. MK-CF-F-165 salaryMonths
75. MK-ST-F-027 accountId
76. MK-XS-F-064 currentIdToken
77. MK-XS-F-112 relayUrl</t>
        </is>
      </c>
      <c r="R195" s="3" t="inlineStr">
        <is>
          <t>1. MK-XS-F-180 declareFigures → MK-CF-F-202 TAX
2. MK-ST-F-039 on → MK-CF-F-202 TAX
3. MK-CF-F-182 asPercent → MK-CF-F-184 incomeFromAccounts → MK-CF-O-007 theTaxOrganizer → MK-CF-F-202 TAX
4. MK-CF-F-155 cash → MK-NW-F-120 classEvidenceOf → MK-NW-F-011 assetClassOf → MK-CF-F-184 incomeFromAccounts → MK-CF-O-007 theTaxOrganizer → MK-CF-F-202 TAX
5. MK-NW-F-008 incomeBearingClassOf → MK-NW-F-120 classEvidenceOf → MK-NW-F-011 assetClassOf → MK-CF-F-184 incomeFromAccounts → MK-CF-O-007 theTaxOrganizer → MK-CF-F-202 TAX
6. MK-NW-F-009 maturityClass → MK-NW-F-120 classEvidenceOf → MK-NW-F-011 assetClassOf → MK-CF-F-184 incomeFromAccounts → MK-CF-O-007 theTaxOrganizer → MK-CF-F-202 TAX
7. MK-ST-F-048 currencySymbol → MK-ST-F-049 formatMoney → MK-ST-F-053 money → MK-CF-F-184 incomeFromAccounts → MK-CF-O-007 theTaxOrganizer → MK-CF-F-202 TAX
8. MK-XS-F-122 n → MK-ST-F-049 formatMoney → MK-ST-F-053 money → MK-CF-F-184 incomeFromAccounts → MK-CF-O-007 theTaxOrganizer → MK-CF-F-202 TAX
9. … and 4 more paths</t>
        </is>
      </c>
      <c r="S195" s="3" t="inlineStr">
        <is>
          <t>—</t>
        </is>
      </c>
      <c r="T195" s="3" t="inlineStr">
        <is>
          <t>—</t>
        </is>
      </c>
      <c r="U195" s="3" t="inlineStr">
        <is>
          <t>ACTIVE</t>
        </is>
      </c>
      <c r="V195" s="3" t="inlineStr">
        <is>
          <t>2026-09-28</t>
        </is>
      </c>
      <c r="W195" s="3" t="n"/>
      <c r="X195" s="3" t="n"/>
      <c r="Y195" s="3" t="inlineStr">
        <is>
          <t>NOTHING OPEN</t>
        </is>
      </c>
    </row>
    <row r="196" ht="60" customHeight="1">
      <c r="A196" s="3" t="inlineStr">
        <is>
          <t>MK-CF-F-203</t>
        </is>
      </c>
      <c r="B196" s="3" t="inlineStr">
        <is>
          <t>MONTH</t>
        </is>
      </c>
      <c r="C196" s="3" t="inlineStr">
        <is>
          <t>MoneyKeel/functions/cashflow/the-month.ts</t>
        </is>
      </c>
      <c r="D196" s="3" t="n">
        <v>174</v>
      </c>
      <c r="E196" s="3" t="inlineStr">
        <is>
          <t>1 · ACTION</t>
        </is>
      </c>
      <c r="F196" s="3" t="inlineStr">
        <is>
          <t>Example only: runs theMonth on the worked example and calculates nothing of its own.</t>
        </is>
      </c>
      <c r="G196" s="11" t="inlineStr">
        <is>
          <t>the month(EXAMPLE)</t>
        </is>
      </c>
      <c r="H196" s="3" t="inlineStr">
        <is>
          <t>the month(EXAMPLE)</t>
        </is>
      </c>
      <c r="I196" s="3" t="inlineStr">
        <is>
          <t>READ FROM THE CODE — rendered from the expressions the function runs</t>
        </is>
      </c>
      <c r="J196" s="3" t="inlineStr">
        <is>
          <t>Nothing is handed to it</t>
        </is>
      </c>
      <c r="K196" s="3" t="inlineStr">
        <is>
          <t>NOT DECLARED — the code does not say what it gives back</t>
        </is>
      </c>
      <c r="L196" s="3" t="inlineStr">
        <is>
          <t>—</t>
        </is>
      </c>
      <c r="M196" s="3" t="inlineStr">
        <is>
          <t>None found in this function — anything it assumes comes from the functions it depends on.</t>
        </is>
      </c>
      <c r="N196" s="3" t="inlineStr">
        <is>
          <t>Yes</t>
        </is>
      </c>
      <c r="O196" s="3" t="inlineStr">
        <is>
          <t>MK-CF-O-010 theMonth</t>
        </is>
      </c>
      <c r="P196" s="3" t="n">
        <v>110</v>
      </c>
      <c r="Q196" s="3" t="inlineStr">
        <is>
          <t>1. MK-CF-O-010 theMonth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MK-NW-F-131 pricedLikeBond
65. MK-NW-F-125 isPastMaturity
66. MK-ST-F-065 isoLocalDate
67. MK-NW-F-126 yearlyInterestNow
68. MK-NW-F-011 assetClassOf
69. MK-NW-F-070 accruedInterestCaveat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MK-NW-F-119 estimatedAccrued
93. MK-NW-F-124 maturityParts
94. MK-NW-F-120 classEvidenceOf
95. MK-NW-F-067 plural
96. MK-CF-F-100 taxableIncomeFor
97. MK-CF-F-074 tipsAnnual
98. MK-ST-F-085 rentFigure
99. MK-CF-F-165 salaryMonths
100. MK-CF-F-003 categoryMonthly
101. MK-NW-F-008 incomeBearingClassOf
102. MK-NW-F-009 maturityClass
103. MK-CF-F-099 deductionFor
104. MK-CF-F-081 salaryActiveMonths
105. MK-ST-F-010 nameEvidence
106. MK-NW-F-068 prettyDay
107. MK-CF-F-187 seniorDeductionFor
108. MK-XS-F-147 call
109. MK-XS-F-064 currentIdToken
110. MK-XS-F-112 relayUrl</t>
        </is>
      </c>
      <c r="R196" s="3" t="inlineStr">
        <is>
          <t>1. MONTH (already above — a loop) → MK-CF-O-010 theMonth → MK-CF-F-203 MONTH
2. MK-XS-F-122 n → MK-CF-F-155 cash → MK-CF-O-010 theMonth → MK-CF-F-203 MONTH
3. MK-CF-F-191 ym → MK-CF-F-148 inMonth → MK-CF-F-151 actualSpending → MK-CF-O-002 expenses → MK-CF-O-010 theMonth → MK-CF-F-203 MONTH
4. MK-XS-F-122 n → MK-ST-F-052 toNum → MK-CF-F-151 actualSpending → MK-CF-O-002 expenses → MK-CF-O-010 theMonth → MK-CF-F-203 MONTH
5. MK-CF-F-191 ym → MK-CF-F-151 actualSpending → MK-CF-O-002 expenses → MK-CF-O-010 theMonth → MK-CF-F-203 MONTH
6. MK-ST-F-056 has → MK-CF-F-150 debtPaymentsCountedAsExpenses → MK-CF-O-002 expenses → MK-CF-O-010 theMonth → MK-CF-F-203 MONTH
7. MK-CF-F-191 ym → MK-CF-F-148 inMonth → MK-CF-F-150 debtPaymentsCountedAsExpenses → MK-CF-O-002 expenses → MK-CF-O-010 theMonth → MK-CF-F-203 MONTH
8. MK-CF-F-021 defaultPaymentType → MK-CF-F-022 paymentShape → MK-CF-F-150 debtPaymentsCountedAsExpenses → MK-CF-O-002 expenses → MK-CF-O-010 theMonth → MK-CF-F-203 MONTH
9. … and 4 more paths</t>
        </is>
      </c>
      <c r="S196" s="3" t="inlineStr">
        <is>
          <t>—</t>
        </is>
      </c>
      <c r="T196" s="3" t="inlineStr">
        <is>
          <t>—</t>
        </is>
      </c>
      <c r="U196" s="3" t="inlineStr">
        <is>
          <t>ACTIVE</t>
        </is>
      </c>
      <c r="V196" s="3" t="inlineStr">
        <is>
          <t>2026-09-28</t>
        </is>
      </c>
      <c r="W196" s="3" t="n"/>
      <c r="X196" s="3" t="n"/>
      <c r="Y196" s="3" t="inlineStr">
        <is>
          <t>NOTHING OPEN</t>
        </is>
      </c>
    </row>
    <row r="197" ht="60" customHeight="1">
      <c r="A197" s="3" t="inlineStr">
        <is>
          <t>MK-CF-F-204</t>
        </is>
      </c>
      <c r="B197" s="3" t="inlineStr">
        <is>
          <t>line</t>
        </is>
      </c>
      <c r="C197" s="3" t="inlineStr">
        <is>
          <t>MoneyKeel/functions/cashflow/the-month.ts</t>
        </is>
      </c>
      <c r="D197" s="3" t="n">
        <v>213</v>
      </c>
      <c r="E197" s="3" t="inlineStr">
        <is>
          <t>1 · ACTION</t>
        </is>
      </c>
      <c r="F197" s="3" t="inlineStr">
        <is>
          <t>Example only: reads one row's amount from the worked example of the month.</t>
        </is>
      </c>
      <c r="G197" s="11" t="inlineStr">
        <is>
          <t>NOT READ YET — the body is not a shape this can render faithfully, so nothing is claimed rather than something being guessed. It needs reading by hand.</t>
        </is>
      </c>
      <c r="H197" s="3" t="inlineStr">
        <is>
          <t>NOT READ YET — the body is not a shape this can render faithfully, so nothing is claimed rather than something being guessed. It needs reading by hand.</t>
        </is>
      </c>
      <c r="I197" s="3" t="inlineStr">
        <is>
          <t>NOT READ — nothing is claimed rather than something guessed</t>
        </is>
      </c>
      <c r="J197" s="3" t="inlineStr">
        <is>
          <t>1. block: 'planned' | 'actual'
2. startsWith: string</t>
        </is>
      </c>
      <c r="K197" s="3" t="inlineStr">
        <is>
          <t>NOT DECLARED — the code does not say what it gives back</t>
        </is>
      </c>
      <c r="L197" s="3" t="inlineStr">
        <is>
          <t>—</t>
        </is>
      </c>
      <c r="M197" s="3" t="inlineStr">
        <is>
          <t>None found in this function — anything it assumes comes from the functions it depends on.</t>
        </is>
      </c>
      <c r="N197" s="3" t="inlineStr">
        <is>
          <t>Yes</t>
        </is>
      </c>
      <c r="O197" s="3" t="inlineStr">
        <is>
          <t>1. MK-CF-F-203 MONTH
2. MK-XS-F-180 declareFigures</t>
        </is>
      </c>
      <c r="P197" s="3" t="n">
        <v>111</v>
      </c>
      <c r="Q197" s="3" t="inlineStr">
        <is>
          <t>1. MK-CF-F-203 MONTH
2. MK-XS-F-180 declareFigures
3. MK-CF-O-010 theMonth
4. MK-CF-F-155 cash
5. MK-CF-O-002 expenses
6. MK-CF-O-003 thisMonth
7. MK-XS-F-122 n
8. MK-CF-F-151 actualSpending
9. MK-CF-F-150 debtPaymentsCountedAsExpenses
10. MK-CF-F-153 radar
11. MK-CF-F-149 recurringDebtPayments
12. MK-CF-F-005 actualMonthFlow
13. MK-CF-F-156 plannedMonthFlow
14. MK-CF-F-148 inMonth
15. MK-ST-F-052 toNum
16. MK-CF-F-191 ym
17. MK-ST-F-056 has
18. MK-CF-F-022 paymentShape
19. MK-CF-F-152 isRadarItem
20. MK-CF-F-023 requiredPayment
21. MK-CF-F-132 map
22. MK-NW-F-078 ONE
23. MK-CF-F-157 debtPaymentsByDebt
24. MK-CF-F-192 inflowLabel
25. MK-XS-F-027 takeHomeMonthly
26. MK-CF-F-021 defaultPaymentType
27. MK-NW-F-077 ALL
28. MK-NW-F-059 currentYield
29. MK-ST-F-049 formatMoney
30. MK-ST-F-053 money
31. MK-NW-O-001 theBonds
32. MK-CF-F-193 inflowSourceWord
33. MK-CF-F-092 incomeMonthlyGrid
34. MK-CF-F-011 savingsByMonth
35. MK-NW-F-112 yearlyInterest
36. MK-ST-F-048 currencySymbol
37. MK-ST-F-039 on
38. MK-ST-F-027 accountId
39. MK-NW-F-057 annualCoupon
40. MK-NW-F-056 bondInfo
41. MK-NW-F-064 bondRateSensitivity
42. MK-NW-F-061 bondSummary
43. MK-NW-F-055 isBond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MK-NW-F-131 pricedLikeBond
66. MK-NW-F-125 isPastMaturity
67. MK-ST-F-065 isoLocalDate
68. MK-NW-F-126 yearlyInterestNow
69. MK-NW-F-011 assetClassOf
70. MK-NW-F-070 accruedInterestCaveat
71. MK-NW-F-058 yearsToMaturity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MK-NW-F-119 estimatedAccrued
94. MK-NW-F-124 maturityParts
95. MK-NW-F-120 classEvidenceOf
96. MK-NW-F-067 plural
97. MK-CF-F-100 taxableIncomeFor
98. MK-CF-F-074 tipsAnnual
99. MK-ST-F-085 rentFigure
100. MK-CF-F-165 salaryMonths
101. MK-CF-F-003 categoryMonthly
102. MK-NW-F-008 incomeBearingClassOf
103. MK-NW-F-009 maturityClass
104. MK-CF-F-099 deductionFor
105. MK-CF-F-081 salaryActiveMonths
106. MK-ST-F-010 nameEvidence
107. MK-NW-F-068 prettyDay
108. MK-CF-F-187 seniorDeductionFor
109. MK-XS-F-147 call
110. MK-XS-F-064 currentIdToken
111. MK-XS-F-112 relayUrl</t>
        </is>
      </c>
      <c r="R197" s="3" t="inlineStr">
        <is>
          <t>1. MONTH (already above — a loop) → MK-CF-O-010 theMonth → MK-CF-F-203 MONTH → MK-CF-F-204 line
2. MK-XS-F-122 n → MK-CF-F-155 cash → MK-CF-O-010 theMonth → MK-CF-F-203 MONTH → MK-CF-F-204 line
3. MK-CF-F-148 inMonth → MK-CF-F-151 actualSpending → MK-CF-O-002 expenses → MK-CF-O-010 theMonth → MK-CF-F-203 MONTH → MK-CF-F-204 line
4. MK-ST-F-052 toNum → MK-CF-F-151 actualSpending → MK-CF-O-002 expenses → MK-CF-O-010 theMonth → MK-CF-F-203 MONTH → MK-CF-F-204 line
5. MK-CF-F-191 ym → MK-CF-F-151 actualSpending → MK-CF-O-002 expenses → MK-CF-O-010 theMonth → MK-CF-F-203 MONTH → MK-CF-F-204 line
6. MK-ST-F-056 has → MK-CF-F-150 debtPaymentsCountedAsExpenses → MK-CF-O-002 expenses → MK-CF-O-010 theMonth → MK-CF-F-203 MONTH → MK-CF-F-204 line
7. MK-CF-F-148 inMonth → MK-CF-F-150 debtPaymentsCountedAsExpenses → MK-CF-O-002 expenses → MK-CF-O-010 theMonth → MK-CF-F-203 MONTH → MK-CF-F-204 line
8. MK-CF-F-022 paymentShape → MK-CF-F-150 debtPaymentsCountedAsExpenses → MK-CF-O-002 expenses → MK-CF-O-010 theMonth → MK-CF-F-203 MONTH → MK-CF-F-204 line
9. … and 5 more paths</t>
        </is>
      </c>
      <c r="S197" s="3" t="inlineStr">
        <is>
          <t>—</t>
        </is>
      </c>
      <c r="T197" s="3" t="inlineStr">
        <is>
          <t>—</t>
        </is>
      </c>
      <c r="U197" s="3" t="inlineStr">
        <is>
          <t>ACTIVE</t>
        </is>
      </c>
      <c r="V197" s="3" t="inlineStr">
        <is>
          <t>2026-09-28</t>
        </is>
      </c>
      <c r="W197" s="3" t="n"/>
      <c r="X197" s="3" t="n"/>
      <c r="Y197" s="3" t="inlineStr">
        <is>
          <t>NOTHING OPEN</t>
        </is>
      </c>
    </row>
    <row r="198" ht="60" customHeight="1">
      <c r="A198" s="3" t="inlineStr">
        <is>
          <t>MK-CF-F-205</t>
        </is>
      </c>
      <c r="B198" s="3" t="inlineStr">
        <is>
          <t>COMING</t>
        </is>
      </c>
      <c r="C198" s="3" t="inlineStr">
        <is>
          <t>MoneyKeel/functions/cashflow/whats-coming.ts</t>
        </is>
      </c>
      <c r="D198" s="3" t="n">
        <v>118</v>
      </c>
      <c r="E198" s="3" t="inlineStr">
        <is>
          <t>1 · ACTION</t>
        </is>
      </c>
      <c r="F198" s="3" t="inlineStr">
        <is>
          <t>Example only: runs whatsComing on the worked example and calculates nothing of its own.</t>
        </is>
      </c>
      <c r="G198" s="11" t="inlineStr">
        <is>
          <t>whats coming(EXAMPLE)</t>
        </is>
      </c>
      <c r="H198" s="3" t="inlineStr">
        <is>
          <t>whats coming(EXAMPLE)</t>
        </is>
      </c>
      <c r="I198" s="3" t="inlineStr">
        <is>
          <t>READ FROM THE CODE — rendered from the expressions the function runs</t>
        </is>
      </c>
      <c r="J198" s="3" t="inlineStr">
        <is>
          <t>Nothing is handed to it</t>
        </is>
      </c>
      <c r="K198" s="3" t="inlineStr">
        <is>
          <t>NOT DECLARED — the code does not say what it gives back</t>
        </is>
      </c>
      <c r="L198" s="3" t="inlineStr">
        <is>
          <t>—</t>
        </is>
      </c>
      <c r="M198" s="3" t="inlineStr">
        <is>
          <t>None found in this function — anything it assumes comes from the functions it depends on.</t>
        </is>
      </c>
      <c r="N198" s="3" t="inlineStr">
        <is>
          <t>Yes</t>
        </is>
      </c>
      <c r="O198" s="3" t="inlineStr">
        <is>
          <t>1. MK-CF-F-203 MONTH
2. MK-CF-O-008 whatsComing</t>
        </is>
      </c>
      <c r="P198" s="3" t="n">
        <v>118</v>
      </c>
      <c r="Q198" s="3" t="inlineStr">
        <is>
          <t>1. MK-CF-F-203 MONTH
2. MK-CF-O-008 whatsComing
3. MK-CF-O-010 theMonth
4. MK-CF-F-019 upcomingBills
5. MK-CF-F-155 cash
6. MK-CF-O-002 expenses
7. MK-CF-O-003 thisMonth
8. MK-CF-F-122 addDays
9. MK-CF-F-070 benefitAnnual
10. MK-CF-F-072 currentRetirementIncomeMonthly
11. MK-CF-F-160 daysBetweenDates
12. MK-CF-F-090 effectiveRate
13. MK-CF-F-061 grossSalaryMonthly
14. MK-ST-F-065 isoLocalDate
15. MK-CF-F-132 map
16. MK-CF-F-124 nextOccurrence
17. MK-CF-F-068 rentalNetAnnual
18. MK-CF-F-004 spendBuckets
19. MK-CF-F-084 taxableAnnual
20. MK-ST-F-052 toNum
21. MK-CF-F-083 totalGrossAnnual
22. MK-XS-F-122 n
23. MK-CF-F-151 actualSpending
24. MK-CF-F-150 debtPaymentsCountedAsExpenses
25. MK-CF-F-153 radar
26. MK-CF-F-149 recurringDebtPayments
27. MK-CF-F-005 actualMonthFlow
28. MK-CF-F-156 plannedMonthFlow
29. MK-CF-F-069 benefitActiveMonths
30. MK-CF-F-075 retirementIncomeMonthly
31. MK-CF-F-181 rateInForce
32. MK-CF-F-060 salaryGrossByMonth
33. MK-CF-F-067 rentalList
34. MK-CF-F-003 categoryMonthly
35. MK-CF-F-071 extraIncome
36. MK-CF-F-066 rsuAnnual
37. MK-CF-F-082 salaryAnnual
38. MK-CF-F-074 tipsAnnual
39. MK-CF-F-148 inMonth
40. MK-CF-F-191 ym
41. MK-ST-F-056 has
42. MK-CF-F-022 paymentShape
43. MK-CF-F-152 isRadarItem
44. MK-CF-F-023 requiredPayment
45. MK-NW-F-078 ONE
46. MK-CF-F-157 debtPaymentsByDebt
47. MK-CF-F-192 inflowLabel
48. MK-XS-F-027 takeHomeMonthly
49. MK-CF-F-173 earnerWages
50. MK-CF-F-180 enteredLandsAnnual
51. MK-CF-F-085 filingStatusOf
52. MK-CF-F-206 householdK401ByMonth
53. MK-CF-F-089 over65CountOf
54. MK-CF-F-086 stateRateOf
55. MK-CF-F-101 taxOwedFor
56. MK-CF-F-176 sumMonthsOverEarners
57. MK-CF-F-177 wageGrossByMonth
58. MK-ST-F-085 rentFigure
59. MK-CF-F-120 pctBaseMonthly
60. MK-ST-F-039 on
61. MK-CF-F-062 equityRowValue
62. MK-CF-F-063 rowVestYear
63. MK-CF-F-081 salaryActiveMonths
64. MK-CF-F-021 defaultPaymentType
65. MK-NW-F-077 ALL
66. MK-NW-F-059 currentYield
67. MK-XS-F-180 declareFigures
68. MK-ST-F-049 formatMoney
69. MK-ST-F-053 money
70. MK-NW-O-001 theBonds
71. MK-CF-F-193 inflowSourceWord
72. MK-CF-F-092 incomeMonthlyGrid
73. MK-CF-F-011 savingsByMonth
74. MK-CF-F-172 hasWage
75. MK-CF-F-100 taxableIncomeFor
76. MK-CF-F-130 enteredMonthlyRaw
77. MK-CF-F-166 hasMonthlySalaryTable
78. MK-ST-F-036 reconcile
79. MK-CF-F-167 salaryCalendarYear
80. MK-NW-F-112 yearlyInterest
81. MK-ST-F-048 currencySymbol
82. MK-ST-F-027 accountId
83. MK-NW-F-057 annualCoupon
84. MK-NW-F-056 bondInfo
85. MK-NW-F-064 bondRateSensitivity
86. MK-NW-F-061 bondSummary
87. MK-NW-F-055 isBond
88. MK-NW-F-072 rowOf
89. MK-CF-F-065 equityVestWeights
90. MK-CF-F-087 monthlyTaxRates
91. MK-CF-F-073 otherIncomeMonth
92. MK-CF-F-077 scholarshipByCalendarMonth
93. MK-CF-F-088 taxableByCalendarMonth
94. MK-PL-F-012 waterfall
95. MK-CF-F-008 spendByMonth
96. MK-CF-F-099 deductionFor
97. MK-CF-F-165 salaryMonths
98. MK-ST-F-047 activeCurrency
99. MK-NW-F-060 approxYTM
100. MK-NW-F-069 priceAtYield
101. MK-NW-F-131 pricedLikeBond
102. MK-NW-F-125 isPastMaturity
103. MK-NW-F-126 yearlyInterestNow
104. MK-NW-F-011 assetClassOf
105. MK-NW-F-070 accruedInterestCaveat
106. MK-NW-F-058 yearsToMaturity
107. MK-CF-F-187 seniorDeductionFor
108. MK-NW-F-119 estimatedAccrued
109. MK-NW-F-124 maturityParts
110. MK-NW-F-120 classEvidenceOf
111. MK-NW-F-067 plural
112. MK-NW-F-008 incomeBearingClassOf
113. MK-NW-F-009 maturityClass
114. MK-ST-F-010 nameEvidence
115. MK-NW-F-068 prettyDay
116. MK-XS-F-147 call
117. MK-XS-F-064 currentIdToken
118. MK-XS-F-112 relayUrl</t>
        </is>
      </c>
      <c r="R198" s="3" t="inlineStr">
        <is>
          <t>1. MONTH (already above — a loop) → MK-CF-O-010 theMonth → MK-CF-F-203 MONTH → MK-CF-F-205 COMING
2. MK-XS-F-122 n → MK-CF-F-155 cash → MK-CF-O-010 theMonth → MK-CF-F-203 MONTH → MK-CF-F-205 COMING
3. MK-CF-F-148 inMonth → MK-CF-F-151 actualSpending → MK-CF-O-002 expenses → MK-CF-O-010 theMonth → MK-CF-F-203 MONTH → MK-CF-F-205 COMING
4. MK-ST-F-052 toNum → MK-CF-F-151 actualSpending → MK-CF-O-002 expenses → MK-CF-O-010 theMonth → MK-CF-F-203 MONTH → MK-CF-F-205 COMING
5. MK-CF-F-191 ym → MK-CF-F-151 actualSpending → MK-CF-O-002 expenses → MK-CF-O-010 theMonth → MK-CF-F-203 MONTH → MK-CF-F-205 COMING
6. MK-ST-F-056 has → MK-CF-F-150 debtPaymentsCountedAsExpenses → MK-CF-O-002 expenses → MK-CF-O-010 theMonth → MK-CF-F-203 MONTH → MK-CF-F-205 COMING
7. MK-CF-F-148 inMonth → MK-CF-F-150 debtPaymentsCountedAsExpenses → MK-CF-O-002 expenses → MK-CF-O-010 theMonth → MK-CF-F-203 MONTH → MK-CF-F-205 COMING
8. MK-CF-F-022 paymentShape → MK-CF-F-150 debtPaymentsCountedAsExpenses → MK-CF-O-002 expenses → MK-CF-O-010 theMonth → MK-CF-F-203 MONTH → MK-CF-F-205 COMING
9. … and 5 more paths</t>
        </is>
      </c>
      <c r="S198" s="3" t="inlineStr">
        <is>
          <t>—</t>
        </is>
      </c>
      <c r="T198" s="3" t="inlineStr">
        <is>
          <t>—</t>
        </is>
      </c>
      <c r="U198" s="3" t="inlineStr">
        <is>
          <t>ACTIVE</t>
        </is>
      </c>
      <c r="V198" s="3" t="inlineStr">
        <is>
          <t>2026-09-28</t>
        </is>
      </c>
      <c r="W198" s="3" t="n"/>
      <c r="X198" s="3" t="n"/>
      <c r="Y198" s="3" t="inlineStr">
        <is>
          <t>NOTHING OPEN</t>
        </is>
      </c>
    </row>
    <row r="199" ht="60" customHeight="1">
      <c r="A199" s="3" t="inlineStr">
        <is>
          <t>MK-CF-F-206</t>
        </is>
      </c>
      <c r="B199" s="3" t="inlineStr">
        <is>
          <t>householdK401ByMonth</t>
        </is>
      </c>
      <c r="C199" s="3" t="inlineStr">
        <is>
          <t>src/domain/income/onboarding.ts</t>
        </is>
      </c>
      <c r="D199" s="3" t="n">
        <v>1498</v>
      </c>
      <c r="E199" s="3" t="inlineStr">
        <is>
          <t>3 · DEPENDENT</t>
        </is>
      </c>
      <c r="F199" s="3" t="inlineStr">
        <is>
          <t>THE HOUSEHOLD'S 401(k) CONTRIBUTIONS, MONTH BY MONTH — every earner's, in the months that earner is actually paid.</t>
        </is>
      </c>
      <c r="G199" s="11" t="inlineStr">
        <is>
          <t>own = wage gross by month(w)
c = (w as any).c 401k read as a number (0 when it is not one)
the answer:
for each of own: c   if each &gt; 0
0   otherwise</t>
        </is>
      </c>
      <c r="H199" s="3" t="inlineStr">
        <is>
          <t>Own is wage gross by month(w). C is (w as any).c 401k read as a number (0 — when it is one is missing). The answer is for each of own: c — when each &gt; 0; 0 — otherwise.</t>
        </is>
      </c>
      <c r="I199" s="3" t="inlineStr">
        <is>
          <t>PARTLY READ — some of the code is still showing through; needs a hand pass</t>
        </is>
      </c>
      <c r="J199" s="3" t="inlineStr">
        <is>
          <t>op: OnboardingProfile | null</t>
        </is>
      </c>
      <c r="K199" s="3" t="inlineStr">
        <is>
          <t>number[]</t>
        </is>
      </c>
      <c r="L199" s="3" t="inlineStr">
        <is>
          <t>—</t>
        </is>
      </c>
      <c r="M199" s="3" t="inlineStr">
        <is>
          <t>None found in this function — anything it assumes comes from the functions it depends on.</t>
        </is>
      </c>
      <c r="N199" s="3" t="inlineStr">
        <is>
          <t>Yes</t>
        </is>
      </c>
      <c r="O199" s="3" t="inlineStr">
        <is>
          <t>1. MK-CF-F-132 map
2. MK-CF-F-176 sumMonthsOverEarners
3. MK-ST-F-052 toNum
4. MK-CF-F-177 wageGrossByMonth</t>
        </is>
      </c>
      <c r="P199" s="3" t="n">
        <v>13</v>
      </c>
      <c r="Q199" s="3" t="inlineStr">
        <is>
          <t>1. MK-CF-F-132 map
2. MK-CF-F-176 sumMonthsOverEarners
3. MK-ST-F-052 toNum
4. MK-CF-F-177 wageGrossByMonth
5. MK-CF-F-173 earnerWages
6. MK-XS-F-122 n
7. MK-CF-F-130 enteredMonthlyRaw
8. MK-CF-F-166 hasMonthlySalaryTable
9. MK-ST-F-036 reconcile
10. MK-CF-F-167 salaryCalendarYear
11. MK-CF-F-172 hasWage
12. MK-CF-F-165 salaryMonths
13. MK-ST-F-056 has</t>
        </is>
      </c>
      <c r="R199" s="3" t="inlineStr">
        <is>
          <t>1. MK-CF-F-132 map → MK-CF-F-206 householdK401ByMonth
2. MK-ST-F-056 has → MK-CF-F-172 hasWage → MK-CF-F-173 earnerWages → MK-CF-F-176 sumMonthsOverEarners → MK-CF-F-206 householdK401ByMonth
3. MK-CF-F-132 map → MK-CF-F-176 sumMonthsOverEarners → MK-CF-F-206 householdK401ByMonth
4. MK-XS-F-122 n → MK-ST-F-052 toNum → MK-CF-F-206 householdK401ByMonth
5. MK-XS-F-122 n → MK-ST-F-052 toNum → MK-CF-F-130 enteredMonthlyRaw → MK-CF-F-177 wageGrossByMonth → MK-CF-F-206 householdK401ByMonth
6. MK-XS-F-122 n → MK-ST-F-052 toNum → MK-CF-F-165 salaryMonths → MK-CF-F-166 hasMonthlySalaryTable → MK-CF-F-177 wageGrossByMonth → MK-CF-F-206 householdK401ByMonth
7. MK-CF-F-132 map → MK-CF-F-177 wageGrossByMonth → MK-CF-F-206 householdK401ByMonth
8. MK-ST-F-036 reconcile → MK-CF-F-177 wageGrossByMonth → MK-CF-F-206 householdK401ByMonth
9. … and 1 more paths</t>
        </is>
      </c>
      <c r="S199" s="3" t="inlineStr">
        <is>
          <t>—</t>
        </is>
      </c>
      <c r="T199" s="3" t="inlineStr">
        <is>
          <t>—</t>
        </is>
      </c>
      <c r="U199" s="3" t="inlineStr">
        <is>
          <t>ACTIVE</t>
        </is>
      </c>
      <c r="V199" s="3" t="inlineStr">
        <is>
          <t>2026-09-28</t>
        </is>
      </c>
      <c r="W199" s="3" t="n"/>
      <c r="X199" s="3" t="n"/>
      <c r="Y199" s="6" t="inlineStr">
        <is>
          <t>TESTED, NOT VERIFIED (G37)</t>
        </is>
      </c>
    </row>
    <row r="200" ht="60" customHeight="1">
      <c r="A200" s="3" t="inlineStr">
        <is>
          <t>MK-CF-F-207</t>
        </is>
      </c>
      <c r="B200" s="3" t="inlineStr">
        <is>
          <t>SOURCE</t>
        </is>
      </c>
      <c r="C200" s="3" t="inlineStr">
        <is>
          <t>MoneyKeel/functions/cashflow/income-summary.ts</t>
        </is>
      </c>
      <c r="D200" s="3" t="n">
        <v>168</v>
      </c>
      <c r="E200" s="3" t="inlineStr">
        <is>
          <t>1 · ACTION</t>
        </is>
      </c>
      <c r="F200" s="3" t="inlineStr">
        <is>
          <t>Example only: picks one kind of income source out of the worked example household.</t>
        </is>
      </c>
      <c r="G200" s="11" t="inlineStr">
        <is>
          <t>income sources(SOURCES_EXAMPLE).find((x) =&gt; kind = kind)!</t>
        </is>
      </c>
      <c r="H200" s="3" t="inlineStr">
        <is>
          <t>income sources(SOURCES_EXAMPLE).find((x) =&gt; kind = kind)!</t>
        </is>
      </c>
      <c r="I200" s="3" t="inlineStr">
        <is>
          <t>PARTLY READ — some of the code is still showing through; needs a hand pass</t>
        </is>
      </c>
      <c r="J200" s="3" t="inlineStr">
        <is>
          <t>kind: IncomeSource['kind']</t>
        </is>
      </c>
      <c r="K200" s="3" t="inlineStr">
        <is>
          <t>NOT DECLARED — the code does not say what it gives back</t>
        </is>
      </c>
      <c r="L200" s="3" t="inlineStr">
        <is>
          <t>—</t>
        </is>
      </c>
      <c r="M200" s="3" t="inlineStr">
        <is>
          <t>None found in this function — anything it assumes comes from the functions it depends on.</t>
        </is>
      </c>
      <c r="N200" s="3" t="inlineStr">
        <is>
          <t>Yes</t>
        </is>
      </c>
      <c r="O200" s="3" t="inlineStr">
        <is>
          <t>MK-CF-O-016 incomeSources</t>
        </is>
      </c>
      <c r="P200" s="3" t="n">
        <v>26</v>
      </c>
      <c r="Q200" s="3" t="inlineStr">
        <is>
          <t>1. MK-CF-O-016 incomeSources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MK-ST-F-085 rentFigure
21. MK-CF-F-148 inMonth
22. MK-CF-F-191 ym
23. MK-CF-F-022 paymentShape
24. MK-CF-F-152 isRadarItem
25. MK-CF-F-023 requiredPayment
26. MK-CF-F-021 defaultPaymentType</t>
        </is>
      </c>
      <c r="R200" s="3" t="inlineStr">
        <is>
          <t>1. SOURCE (already above — a loop) → MK-CF-O-016 incomeSources → MK-CF-F-207 SOURCE
2. MK-XS-F-122 n → MK-ST-F-052 toNum → MK-CF-F-075 retirementIncomeMonthly → MK-CF-F-072 currentRetirementIncomeMonthly → MK-CF-O-016 incomeSources → MK-CF-F-207 SOURCE
3. MK-ST-F-056 has → MK-CF-F-172 hasWage → MK-CF-F-173 earnerWages → MK-CF-O-016 incomeSources → MK-CF-F-207 SOURCE
4. MK-CF-F-148 inMonth → MK-CF-F-151 actualSpending → MK-CF-O-002 expenses → MK-CF-F-068 rentalNetAnnual → MK-CF-O-016 incomeSources → MK-CF-F-207 SOURCE
5. MK-ST-F-052 toNum → MK-CF-F-151 actualSpending → MK-CF-O-002 expenses → MK-CF-F-068 rentalNetAnnual → MK-CF-O-016 incomeSources → MK-CF-F-207 SOURCE
6. MK-CF-F-191 ym → MK-CF-F-151 actualSpending → MK-CF-O-002 expenses → MK-CF-F-068 rentalNetAnnual → MK-CF-O-016 incomeSources → MK-CF-F-207 SOURCE
7. MK-ST-F-056 has → MK-CF-F-150 debtPaymentsCountedAsExpenses → MK-CF-O-002 expenses → MK-CF-F-068 rentalNetAnnual → MK-CF-O-016 incomeSources → MK-CF-F-207 SOURCE
8. MK-CF-F-148 inMonth → MK-CF-F-150 debtPaymentsCountedAsExpenses → MK-CF-O-002 expenses → MK-CF-F-068 rentalNetAnnual → MK-CF-O-016 incomeSources → MK-CF-F-207 SOURCE
9. … and 4 more paths</t>
        </is>
      </c>
      <c r="S200" s="3" t="inlineStr">
        <is>
          <t>—</t>
        </is>
      </c>
      <c r="T200" s="3" t="inlineStr">
        <is>
          <t>—</t>
        </is>
      </c>
      <c r="U200" s="3" t="inlineStr">
        <is>
          <t>ACTIVE</t>
        </is>
      </c>
      <c r="V200" s="3" t="inlineStr">
        <is>
          <t>2026-10-02</t>
        </is>
      </c>
      <c r="W200" s="3" t="n"/>
      <c r="X200" s="3" t="n"/>
      <c r="Y200" s="3" t="inlineStr">
        <is>
          <t>NOTHING OPEN</t>
        </is>
      </c>
    </row>
    <row r="201" ht="60" customHeight="1">
      <c r="A201" s="3" t="inlineStr">
        <is>
          <t>MK-CF-F-210</t>
        </is>
      </c>
      <c r="B201" s="3" t="inlineStr">
        <is>
          <t>annualOfSource</t>
        </is>
      </c>
      <c r="C201" s="3" t="inlineStr">
        <is>
          <t>MoneyKeel/functions/cashflow/income-summary.ts</t>
        </is>
      </c>
      <c r="D201" s="3" t="n">
        <v>198</v>
      </c>
      <c r="E201" s="3" t="inlineStr">
        <is>
          <t>3 · DEPENDENT (feeds an action only)</t>
        </is>
      </c>
      <c r="F201" s="3" t="inlineStr">
        <is>
          <t>A source's yearly amount: a monthly one × 12, a yearly one as it is, a salary from its pay period.</t>
        </is>
      </c>
      <c r="G201" s="11" t="inlineStr">
        <is>
          <t>amount × 12   when per = 'month'
amount   when per = 'year'
salary annual((op ?? {}) as any) (or amount when missing or zero)</t>
        </is>
      </c>
      <c r="H201" s="3" t="inlineStr">
        <is>
          <t>When per = 'month', it answers amount times 12. When per = 'year', it answers amount. salary annual((op ?? {}) as any) (or amount — when missing or zero).</t>
        </is>
      </c>
      <c r="I201" s="3" t="inlineStr">
        <is>
          <t>PARTLY READ — some of the code is still showing through; needs a hand pass</t>
        </is>
      </c>
      <c r="J201" s="3" t="inlineStr">
        <is>
          <t>1. x: IncomeSource
2. op?: Record&lt;string, any&gt; | null</t>
        </is>
      </c>
      <c r="K201" s="3" t="inlineStr">
        <is>
          <t>number</t>
        </is>
      </c>
      <c r="L201" s="3" t="inlineStr">
        <is>
          <t>—</t>
        </is>
      </c>
      <c r="M201" s="3" t="inlineStr">
        <is>
          <t>· Turns a monthly figure into a year by multiplying by twelve.</t>
        </is>
      </c>
      <c r="N201" s="3" t="inlineStr">
        <is>
          <t>No</t>
        </is>
      </c>
      <c r="O201" s="3" t="inlineStr">
        <is>
          <t>1. MK-CF-F-201 INCOME
2. MK-CF-F-207 SOURCE
3. MK-XS-F-180 declareFigures
4. MK-CF-F-076 guaranteedOutsideStreams
5. MK-CF-F-184 incomeFromAccounts
6. MK-CF-O-004 incomeSummary
7. MK-CF-F-075 retirementIncomeMonthly
8. MK-CF-F-082 salaryAnnual
9. MK-CF-O-019 theIncomeManager</t>
        </is>
      </c>
      <c r="P201" s="3" t="n">
        <v>138</v>
      </c>
      <c r="Q201" s="3" t="inlineStr">
        <is>
          <t>1. MK-CF-F-201 INCOME
2. MK-CF-F-207 SOURCE
3. MK-XS-F-180 declareFigures
4. MK-CF-F-076 guaranteedOutsideStreams
5. MK-CF-F-184 incomeFromAccounts
6. MK-CF-O-004 incomeSummary
7. MK-CF-F-075 retirementIncomeMonthly
8. MK-CF-F-082 salaryAnnual
9. MK-CF-O-019 theIncomeManager
10. MK-CF-O-016 incomeSources
11. MK-ST-F-052 toNum
12. MK-CF-F-182 asPercent
13. MK-NW-F-011 assetClassOf
14. MK-ST-F-053 money
15. MK-CF-F-183 paidOutByAccount
16. MK-CF-F-203 MONTH
17. MK-CF-O-001 basePay
18. MK-CF-F-069 benefitActiveMonths
19. MK-CF-F-072 currentRetirementIncomeMonthly
20. MK-CF-F-173 earnerWages
21. MK-CF-F-179 entryFromWage
22. MK-CF-F-071 extraIncome
23. MK-CF-F-085 filingStatusOf
24. MK-CF-F-092 incomeMonthlyGrid
25. MK-CF-F-192 inflowLabel
26. MK-CF-F-132 map
27. MK-CF-F-103 marginalBracketFor
28. MK-CF-F-089 over65CountOf
29. MK-CF-F-181 rateInForce
30. MK-CF-F-068 rentalNetAnnual
31. MK-CF-F-060 salaryGrossByMonth
32. MK-CF-F-084 taxableAnnual
33. MK-NW-F-067 plural
34. MK-CF-F-067 rentalList
35. MK-CF-F-066 rsuAnnual
36. MK-XS-F-122 n
37. MK-NW-F-120 classEvidenceOf
38. MK-ST-F-049 formatMoney
39. MK-ST-F-065 isoLocalDate
40. MK-CF-O-010 theMonth
41. MK-ST-F-035 covers
42. MK-CF-F-171 earnerPay
43. MK-CF-F-204 line
44. MK-HM-F-006 money0
45. MK-CF-F-198 payrollTaxWithheld
46. MK-CF-F-172 hasWage
47. MK-CF-F-165 salaryMonths
48. MK-CF-F-070 benefitAnnual
49. MK-ST-F-039 on
50. MK-CF-F-065 equityVestWeights
51. MK-ST-F-056 has
52. MK-CF-F-206 householdK401ByMonth
53. MK-CF-F-087 monthlyTaxRates
54. MK-CF-F-073 otherIncomeMonth
55. MK-CF-F-077 scholarshipByCalendarMonth
56. MK-CF-F-088 taxableByCalendarMonth
57. MK-CF-F-177 wageGrossByMonth
58. MK-PL-F-012 waterfall
59. MK-CF-F-193 inflowSourceWord
60. MK-CF-F-100 taxableIncomeFor
61. MK-CF-F-180 enteredLandsAnnual
62. MK-CF-F-086 stateRateOf
63. MK-CF-F-101 taxOwedFor
64. MK-CF-O-002 expenses
65. MK-CF-F-176 sumMonthsOverEarners
66. MK-CF-F-074 tipsAnnual
67. MK-ST-F-085 rentFigure
68. MK-CF-F-062 equityRowValue
69. MK-CF-F-063 rowVestYear
70. MK-CF-F-155 cash
71. MK-NW-F-008 incomeBearingClassOf
72. MK-NW-F-009 maturityClass
73. MK-ST-F-048 currencySymbol
74. MK-CF-O-003 thisMonth
75. MK-ST-F-034 firstDate
76. MK-CF-F-143 annualisedGross
77. MK-CF-F-145 deductionsFromPay
78. MK-CF-F-128 grossByMonth
79. MK-CF-F-146 payFiguresAgree
80. MK-CF-F-144 takeHomeAsEntered
81. MK-HM-F-005 pctTxt
82. MK-CF-F-090 effectiveRate
83. MK-CF-F-130 enteredMonthlyRaw
84. MK-CF-F-166 hasMonthlySalaryTable
85. MK-ST-F-036 reconcile
86. MK-CF-F-167 salaryCalendarYear
87. MK-CF-F-099 deductionFor
88. MK-CF-F-151 actualSpending
89. MK-CF-F-150 debtPaymentsCountedAsExpenses
90. MK-CF-F-153 radar
91. MK-CF-F-149 recurringDebtPayments
92. MK-CF-F-081 salaryActiveMonths
93. MK-ST-F-010 nameEvidence
94. MK-NW-F-068 prettyDay
95. MK-ST-F-047 activeCurrency
96. MK-CF-F-005 actualMonthFlow
97. MK-CF-F-156 plannedMonthFlow
98. MK-CF-F-142 monthsOf
99. MK-CF-F-141 perMonth
100. MK-CF-F-187 seniorDeductionFor
101. MK-CF-F-148 inMonth
102. MK-CF-F-191 ym
103. MK-CF-F-022 paymentShape
104. MK-CF-F-152 isRadarItem
105. MK-CF-F-023 requiredPayment
106. MK-XS-F-147 call
107. MK-NW-F-078 ONE
108. MK-CF-F-157 debtPaymentsByDebt
109. MK-XS-F-027 takeHomeMonthly
110. MK-CF-F-140 periodsAYear
111. MK-CF-F-021 defaultPaymentType
112. MK-ST-F-027 accountId
113. MK-XS-F-064 currentIdToken
114. MK-XS-F-112 relayUrl
115. MK-NW-F-077 ALL
116. MK-NW-F-059 currentYield
117. MK-NW-O-001 theBonds
118. MK-CF-F-011 savingsByMonth
119. MK-NW-F-112 yearlyInterest
120. MK-NW-F-057 annualCoupon
121. MK-NW-F-056 bondInfo
122. MK-NW-F-064 bondRateSensitivity
123. MK-NW-F-061 bondSummary
124. MK-NW-F-055 isBond
125. MK-NW-F-072 rowOf
126. MK-CF-F-008 spendByMonth
127. MK-NW-F-060 approxYTM
128. MK-NW-F-069 priceAtYield
129. MK-NW-F-131 pricedLikeBond
130. MK-NW-F-125 isPastMaturity
131. MK-NW-F-126 yearlyInterestNow
132. MK-NW-F-070 accruedInterestCaveat
133. MK-NW-F-058 yearsToMaturity
134. MK-CF-F-120 pctBaseMonthly
135. MK-CF-F-004 spendBuckets
136. MK-NW-F-119 estimatedAccrued
137. MK-NW-F-124 maturityParts
138. MK-CF-F-003 categoryMonthly</t>
        </is>
      </c>
      <c r="R201" s="3" t="inlineStr">
        <is>
          <t>1. SOURCE (already above — a loop) → MK-CF-O-016 incomeSources → MK-CF-F-207 SOURCE → MK-CF-F-201 INCOME → MK-CF-F-210 annualOfSource
2. MK-CF-F-075 retirementIncomeMonthly → MK-CF-F-072 currentRetirementIncomeMonthly → MK-CF-O-016 incomeSources → MK-CF-F-207 SOURCE → MK-CF-F-201 INCOME → MK-CF-F-210 annualOfSource
3. MK-CF-F-172 hasWage → MK-CF-F-173 earnerWages → MK-CF-O-016 incomeSources → MK-CF-F-207 SOURCE → MK-CF-F-201 INCOME → MK-CF-F-210 annualOfSource
4. MK-CF-O-002 expenses → MK-CF-F-068 rentalNetAnnual → MK-CF-O-016 incomeSources → MK-CF-F-207 SOURCE → MK-CF-F-201 INCOME → MK-CF-F-210 annualOfSource
5. MK-CF-F-067 rentalList → MK-CF-F-068 rentalNetAnnual → MK-CF-O-016 incomeSources → MK-CF-F-207 SOURCE → MK-CF-F-201 INCOME → MK-CF-F-210 annualOfSource
6. MK-ST-F-052 toNum → MK-CF-F-075 retirementIncomeMonthly → MK-CF-O-016 incomeSources → MK-CF-F-207 SOURCE → MK-CF-F-201 INCOME → MK-CF-F-210 annualOfSource
7. MK-CF-F-062 equityRowValue → MK-CF-F-066 rsuAnnual → MK-CF-O-016 incomeSources → MK-CF-F-207 SOURCE → MK-CF-F-201 INCOME → MK-CF-F-210 annualOfSource
8. MK-CF-F-132 map → MK-CF-F-066 rsuAnnual → MK-CF-O-016 incomeSources → MK-CF-F-207 SOURCE → MK-CF-F-201 INCOME → MK-CF-F-210 annualOfSource
9. … and 5 more paths</t>
        </is>
      </c>
      <c r="S201" s="3" t="inlineStr">
        <is>
          <t>—</t>
        </is>
      </c>
      <c r="T201" s="3" t="inlineStr">
        <is>
          <t>—</t>
        </is>
      </c>
      <c r="U201" s="3" t="inlineStr">
        <is>
          <t>ACTIVE</t>
        </is>
      </c>
      <c r="V201" s="3" t="inlineStr">
        <is>
          <t>2026-10-02</t>
        </is>
      </c>
      <c r="W201" s="3" t="n"/>
      <c r="X201" s="3" t="n"/>
      <c r="Y201" s="3" t="inlineStr">
        <is>
          <t>NOTHING OPEN</t>
        </is>
      </c>
    </row>
    <row r="202" ht="60" customHeight="1">
      <c r="A202" s="3" t="inlineStr">
        <is>
          <t>MK-CF-F-211</t>
        </is>
      </c>
      <c r="B202" s="3" t="inlineStr">
        <is>
          <t>DEBTS</t>
        </is>
      </c>
      <c r="C202" s="3" t="inlineStr">
        <is>
          <t>MoneyKeel/functions/cashflow/the-debts.ts</t>
        </is>
      </c>
      <c r="D202" s="3" t="n">
        <v>110</v>
      </c>
      <c r="E202" s="3" t="inlineStr">
        <is>
          <t>1 · ACTION</t>
        </is>
      </c>
      <c r="F202" s="3" t="inlineStr">
        <is>
          <t>Example only: runs theDebts on the worked example and calculates nothing of its own.</t>
        </is>
      </c>
      <c r="G202" s="11" t="inlineStr">
        <is>
          <t>the debts(EXAMPLE)</t>
        </is>
      </c>
      <c r="H202" s="3" t="inlineStr">
        <is>
          <t>the debts(EXAMPLE)</t>
        </is>
      </c>
      <c r="I202" s="3" t="inlineStr">
        <is>
          <t>READ FROM THE CODE — rendered from the expressions the function runs</t>
        </is>
      </c>
      <c r="J202" s="3" t="inlineStr">
        <is>
          <t>Nothing is handed to it</t>
        </is>
      </c>
      <c r="K202" s="3" t="inlineStr">
        <is>
          <t>NOT DECLARED — the code does not say what it gives back</t>
        </is>
      </c>
      <c r="L202" s="3" t="inlineStr">
        <is>
          <t>—</t>
        </is>
      </c>
      <c r="M202" s="3" t="inlineStr">
        <is>
          <t>None found in this function — anything it assumes comes from the functions it depends on.</t>
        </is>
      </c>
      <c r="N202" s="3" t="inlineStr">
        <is>
          <t>No</t>
        </is>
      </c>
      <c r="O202" s="3" t="inlineStr">
        <is>
          <t>1. MK-XS-F-180 declareFigures
2. MK-ST-F-030 record
3. MK-CF-F-023 requiredPayment
4. MK-CF-O-018 theDebts</t>
        </is>
      </c>
      <c r="P202" s="3" t="n">
        <v>138</v>
      </c>
      <c r="Q202" s="3" t="inlineStr">
        <is>
          <t>1. MK-XS-F-180 declareFigures
2. MK-ST-F-030 record
3. MK-CF-F-023 requiredPayment
4. MK-CF-O-018 theDebts
5. MK-CF-F-022 paymentShape
6. MK-CF-F-025 minimumDebtService
7. MK-CF-F-034 payoffPlan
8. MK-CF-F-024 totalDebtMonthly
9. MK-CF-F-021 defaultPaymentType
10. MK-CF-F-132 map
11. MK-CF-F-201 INCOME
12. MK-CF-F-207 SOURCE
13. MK-CF-O-004 incomeSummary
14. MK-CF-O-016 incomeSources
15. MK-CF-F-203 MONTH
16. MK-CF-O-001 basePay
17. MK-CF-F-069 benefitActiveMonths
18. MK-CF-F-072 currentRetirementIncomeMonthly
19. MK-CF-F-173 earnerWages
20. MK-CF-F-179 entryFromWage
21. MK-CF-F-071 extraIncome
22. MK-CF-F-085 filingStatusOf
23. MK-CF-F-092 incomeMonthlyGrid
24. MK-CF-F-192 inflowLabel
25. MK-CF-F-103 marginalBracketFor
26. MK-CF-F-089 over65CountOf
27. MK-CF-F-181 rateInForce
28. MK-CF-F-068 rentalNetAnnual
29. MK-CF-F-082 salaryAnnual
30. MK-CF-F-060 salaryGrossByMonth
31. MK-CF-F-084 taxableAnnual
32. MK-ST-F-052 toNum
33. MK-CF-F-075 retirementIncomeMonthly
34. MK-CF-F-066 rsuAnnual
35. MK-CF-O-010 theMonth
36. MK-ST-F-035 covers
37. MK-CF-F-171 earnerPay
38. MK-CF-F-204 line
39. MK-ST-F-053 money
40. MK-HM-F-006 money0
41. MK-XS-F-122 n
42. MK-CF-F-198 payrollTaxWithheld
43. MK-CF-F-172 hasWage
44. MK-CF-F-165 salaryMonths
45. MK-CF-F-070 benefitAnnual
46. MK-ST-F-039 on
47. MK-CF-F-065 equityVestWeights
48. MK-ST-F-056 has
49. MK-CF-F-206 householdK401ByMonth
50. MK-CF-F-087 monthlyTaxRates
51. MK-CF-F-073 otherIncomeMonth
52. MK-CF-F-077 scholarshipByCalendarMonth
53. MK-CF-F-088 taxableByCalendarMonth
54. MK-CF-F-177 wageGrossByMonth
55. MK-PL-F-012 waterfall
56. MK-CF-F-193 inflowSourceWord
57. MK-CF-F-100 taxableIncomeFor
58. MK-CF-F-180 enteredLandsAnnual
59. MK-CF-F-086 stateRateOf
60. MK-CF-F-101 taxOwedFor
61. MK-CF-O-002 expenses
62. MK-CF-F-067 rentalList
63. MK-CF-F-176 sumMonthsOverEarners
64. MK-CF-F-074 tipsAnnual
65. MK-CF-F-062 equityRowValue
66. MK-CF-F-063 rowVestYear
67. MK-CF-F-155 cash
68. MK-CF-O-003 thisMonth
69. MK-ST-F-034 firstDate
70. MK-CF-F-143 annualisedGross
71. MK-CF-F-145 deductionsFromPay
72. MK-CF-F-128 grossByMonth
73. MK-CF-F-146 payFiguresAgree
74. MK-CF-F-144 takeHomeAsEntered
75. MK-ST-F-049 formatMoney
76. MK-HM-F-005 pctTxt
77. MK-NW-F-067 plural
78. MK-CF-F-090 effectiveRate
79. MK-CF-F-130 enteredMonthlyRaw
80. MK-CF-F-166 hasMonthlySalaryTable
81. MK-ST-F-036 reconcile
82. MK-CF-F-167 salaryCalendarYear
83. MK-CF-F-099 deductionFor
84. MK-CF-F-151 actualSpending
85. MK-CF-F-150 debtPaymentsCountedAsExpenses
86. MK-CF-F-153 radar
87. MK-CF-F-149 recurringDebtPayments
88. MK-ST-F-085 rentFigure
89. MK-CF-F-081 salaryActiveMonths
90. MK-CF-F-005 actualMonthFlow
91. MK-CF-F-156 plannedMonthFlow
92. MK-CF-F-142 monthsOf
93. MK-CF-F-141 perMonth
94. MK-ST-F-048 currencySymbol
95. MK-CF-F-187 seniorDeductionFor
96. MK-CF-F-148 inMonth
97. MK-CF-F-191 ym
98. MK-CF-F-152 isRadarItem
99. MK-NW-F-078 ONE
100. MK-CF-F-157 debtPaymentsByDebt
101. MK-XS-F-027 takeHomeMonthly
102. MK-CF-F-140 periodsAYear
103. MK-ST-F-047 activeCurrency
104. MK-NW-F-077 ALL
105. MK-NW-F-059 currentYield
106. MK-NW-O-001 theBonds
107. MK-CF-F-011 savingsByMonth
108. MK-NW-F-112 yearlyInterest
109. MK-ST-F-027 accountId
110. MK-NW-F-057 annualCoupon
111. MK-NW-F-056 bondInfo
112. MK-NW-F-064 bondRateSensitivity
113. MK-NW-F-061 bondSummary
114. MK-NW-F-055 isBond
115. MK-NW-F-072 rowOf
116. MK-CF-F-008 spendByMonth
117. MK-NW-F-060 approxYTM
118. MK-NW-F-069 priceAtYield
119. MK-NW-F-131 pricedLikeBond
120. MK-NW-F-125 isPastMaturity
121. MK-ST-F-065 isoLocalDate
122. MK-NW-F-126 yearlyInterestNow
123. MK-NW-F-011 assetClassOf
124. MK-NW-F-070 accruedInterestCaveat
125. MK-NW-F-058 yearsToMaturity
126. MK-CF-F-120 pctBaseMonthly
127. MK-CF-F-004 spendBuckets
128. MK-NW-F-119 estimatedAccrued
129. MK-NW-F-124 maturityParts
130. MK-NW-F-120 classEvidenceOf
131. MK-CF-F-003 categoryMonthly
132. MK-NW-F-008 incomeBearingClassOf
133. MK-NW-F-009 maturityClass
134. MK-ST-F-010 nameEvidence
135. MK-NW-F-068 prettyDay
136. MK-XS-F-147 call
137. MK-XS-F-064 currentIdToken
138. MK-XS-F-112 relayUrl</t>
        </is>
      </c>
      <c r="R202" s="3" t="inlineStr">
        <is>
          <t>1. MK-XS-F-180 declareFigures → MK-CF-F-211 DEBTS
2. MK-ST-F-030 record → MK-CF-F-211 DEBTS
3. MK-CF-F-021 defaultPaymentType → MK-CF-F-022 paymentShape → MK-CF-F-023 requiredPayment → MK-CF-F-211 DEBTS
4. MK-CF-F-021 defaultPaymentType → MK-CF-F-022 paymentShape → MK-CF-F-025 minimumDebtService → MK-CF-O-018 theDebts → MK-CF-F-211 DEBTS
5. MK-CF-F-132 map → MK-CF-F-034 payoffPlan → MK-CF-O-018 theDebts → MK-CF-F-211 DEBTS
6. MK-CF-F-021 defaultPaymentType → MK-CF-F-022 paymentShape → MK-CF-F-034 payoffPlan → MK-CF-O-018 theDebts → MK-CF-F-211 DEBTS
7. MK-CF-O-016 incomeSources → MK-CF-F-207 SOURCE → MK-CF-F-201 INCOME → MK-CF-F-024 totalDebtMonthly → MK-CF-O-018 theDebts → MK-CF-F-211 DEBTS
8. MK-CF-F-203 MONTH → MK-CF-O-004 incomeSummary → MK-CF-F-201 INCOME → MK-CF-F-024 totalDebtMonthly → MK-CF-O-018 theDebts → MK-CF-F-211 DEBTS
9. … and 4 more paths</t>
        </is>
      </c>
      <c r="S202" s="3" t="inlineStr">
        <is>
          <t>—</t>
        </is>
      </c>
      <c r="T202" s="3" t="inlineStr">
        <is>
          <t>—</t>
        </is>
      </c>
      <c r="U202" s="3" t="inlineStr">
        <is>
          <t>ACTIVE</t>
        </is>
      </c>
      <c r="V202" s="3" t="inlineStr">
        <is>
          <t>2026-10-02</t>
        </is>
      </c>
      <c r="W202" s="3" t="n"/>
      <c r="X202" s="3" t="n"/>
      <c r="Y202" s="3" t="inlineStr">
        <is>
          <t>NOTHING OPEN</t>
        </is>
      </c>
    </row>
    <row r="203" ht="60" customHeight="1">
      <c r="A203" s="3" t="inlineStr">
        <is>
          <t>MK-CF-F-212</t>
        </is>
      </c>
      <c r="B203" s="3" t="inlineStr">
        <is>
          <t>receivedInMonth</t>
        </is>
      </c>
      <c r="C203" s="3" t="inlineStr">
        <is>
          <t>MoneyKeel/functions/cashflow/whats-coming.ts</t>
        </is>
      </c>
      <c r="D203" s="3" t="n">
        <v>141</v>
      </c>
      <c r="E203" s="3" t="inlineStr">
        <is>
          <t>2 · DISPLAYED</t>
        </is>
      </c>
      <c r="F203" s="3" t="inlineStr">
        <is>
          <t>RECEIVED THIS MONTH (MK-CF-M-012) — the income records dated inside the month, newest first.</t>
        </is>
      </c>
      <c r="G203" s="11" t="inlineStr">
        <is>
          <t>NOT READ YET — the body is not a shape this can render faithfully, so nothing is claimed rather than something being guessed. It needs reading by hand.</t>
        </is>
      </c>
      <c r="H203" s="3" t="inlineStr">
        <is>
          <t>NOT READ YET — the body is not a shape this can render faithfully, so nothing is claimed rather than something being guessed. It needs reading by hand.</t>
        </is>
      </c>
      <c r="I203" s="3" t="inlineStr">
        <is>
          <t>NOT READ — nothing is claimed rather than something guessed</t>
        </is>
      </c>
      <c r="J203" s="3" t="inlineStr">
        <is>
          <t>1. incomes: { date?: string; amount?: any }[] | null | undefined
2. ym: string</t>
        </is>
      </c>
      <c r="K203" s="3" t="inlineStr">
        <is>
          <t>NOT DECLARED — the code does not say what it gives back</t>
        </is>
      </c>
      <c r="L203" s="3" t="inlineStr">
        <is>
          <t>"Nothing received yet this month." — on the Cash flow screen, under "current ?"</t>
        </is>
      </c>
      <c r="M203" s="3" t="inlineStr">
        <is>
          <t>None found in this function — anything it assumes comes from the functions it depends on.</t>
        </is>
      </c>
      <c r="N203" s="3" t="inlineStr">
        <is>
          <t>Yes</t>
        </is>
      </c>
      <c r="O203" s="3" t="inlineStr">
        <is>
          <t>1. MK-CF-F-205 COMING
2. MK-XS-F-004 buildDatedGrid
3. MK-XS-F-180 declareFigures
4. MK-CF-F-191 ym</t>
        </is>
      </c>
      <c r="P203" s="3" t="n">
        <v>123</v>
      </c>
      <c r="Q203" s="3" t="inlineStr">
        <is>
          <t>1. MK-CF-F-205 COMING
2. MK-XS-F-004 buildDatedGrid
3. MK-XS-F-180 declareFigures
4. MK-CF-F-191 ym
5. MK-CF-F-203 MONTH
6. MK-CF-O-008 whatsComing
7. MK-CF-F-069 benefitActiveMonths
8. MK-CF-F-072 currentRetirementIncomeMonthly
9. MK-CF-F-018 equityByMonth
10. MK-CF-O-002 expenses
11. MK-ST-F-056 has
12. MK-CF-F-204 line
13. MK-CF-F-132 map
14. MK-ST-F-053 money
15. MK-CF-F-087 monthlyTaxRates
16. MK-CF-F-073 otherIncomeMonth
17. MK-CF-F-022 paymentShape
18. MK-CF-F-068 rentalNetAnnual
19. MK-CF-F-023 requiredPayment
20. MK-CF-F-060 salaryGrossByMonth
21. MK-CF-F-008 spendByMonth
22. MK-ST-F-052 toNum
23. MK-CF-O-010 theMonth
24. MK-CF-F-019 upcomingBills
25. MK-CF-F-075 retirementIncomeMonthly
26. MK-CF-F-062 equityRowValue
27. MK-CF-F-066 rsuAnnual
28. MK-CF-F-121 zero12
29. MK-CF-F-151 actualSpending
30. MK-CF-F-150 debtPaymentsCountedAsExpenses
31. MK-CF-F-153 radar
32. MK-CF-F-149 recurringDebtPayments
33. MK-ST-F-049 formatMoney
34. MK-XS-F-122 n
35. MK-CF-F-090 effectiveRate
36. MK-ST-F-039 on
37. MK-CF-F-021 defaultPaymentType
38. MK-CF-F-067 rentalList
39. MK-CF-F-176 sumMonthsOverEarners
40. MK-CF-F-177 wageGrossByMonth
41. MK-CF-F-120 pctBaseMonthly
42. MK-CF-F-004 spendBuckets
43. MK-CF-F-155 cash
44. MK-CF-O-003 thisMonth
45. MK-CF-F-122 addDays
46. MK-CF-F-070 benefitAnnual
47. MK-CF-F-160 daysBetweenDates
48. MK-CF-F-061 grossSalaryMonthly
49. MK-ST-F-065 isoLocalDate
50. MK-CF-F-124 nextOccurrence
51. MK-CF-F-084 taxableAnnual
52. MK-CF-F-083 totalGrossAnnual
53. MK-CF-F-063 rowVestYear
54. MK-CF-F-148 inMonth
55. MK-CF-F-152 isRadarItem
56. MK-ST-F-048 currencySymbol
57. MK-CF-F-181 rateInForce
58. MK-ST-F-085 rentFigure
59. MK-CF-F-173 earnerWages
60. MK-CF-F-130 enteredMonthlyRaw
61. MK-CF-F-166 hasMonthlySalaryTable
62. MK-ST-F-036 reconcile
63. MK-CF-F-167 salaryCalendarYear
64. MK-CF-F-092 incomeMonthlyGrid
65. MK-CF-F-003 categoryMonthly
66. MK-CF-F-005 actualMonthFlow
67. MK-CF-F-156 plannedMonthFlow
68. MK-CF-F-071 extraIncome
69. MK-CF-F-082 salaryAnnual
70. MK-CF-F-074 tipsAnnual
71. MK-ST-F-047 activeCurrency
72. MK-CF-F-180 enteredLandsAnnual
73. MK-CF-F-085 filingStatusOf
74. MK-CF-F-206 householdK401ByMonth
75. MK-CF-F-089 over65CountOf
76. MK-CF-F-086 stateRateOf
77. MK-CF-F-101 taxOwedFor
78. MK-CF-F-172 hasWage
79. MK-CF-F-165 salaryMonths
80. MK-CF-F-065 equityVestWeights
81. MK-CF-F-077 scholarshipByCalendarMonth
82. MK-CF-F-088 taxableByCalendarMonth
83. MK-PL-F-012 waterfall
84. MK-XS-F-027 takeHomeMonthly
85. MK-NW-F-078 ONE
86. MK-CF-F-157 debtPaymentsByDebt
87. MK-CF-F-192 inflowLabel
88. MK-CF-F-081 salaryActiveMonths
89. MK-CF-F-100 taxableIncomeFor
90. MK-CF-F-011 savingsByMonth
91. MK-NW-F-077 ALL
92. MK-NW-F-059 currentYield
93. MK-NW-O-001 theBonds
94. MK-CF-F-193 inflowSourceWord
95. MK-CF-F-099 deductionFor
96. MK-NW-F-112 yearlyInterest
97. MK-ST-F-027 accountId
98. MK-NW-F-057 annualCoupon
99. MK-NW-F-056 bondInfo
100. MK-NW-F-064 bondRateSensitivity
101. MK-NW-F-061 bondSummary
102. MK-NW-F-055 isBond
103. MK-NW-F-072 rowOf
104. MK-CF-F-187 seniorDeductionFor
105. MK-NW-F-060 approxYTM
106. MK-NW-F-069 priceAtYield
107. MK-NW-F-131 pricedLikeBond
108. MK-NW-F-125 isPastMaturity
109. MK-NW-F-126 yearlyInterestNow
110. MK-NW-F-011 assetClassOf
111. MK-NW-F-070 accruedInterestCaveat
112. MK-NW-F-058 yearsToMaturity
113. MK-NW-F-119 estimatedAccrued
114. MK-NW-F-124 maturityParts
115. MK-NW-F-120 classEvidenceOf
116. MK-NW-F-067 plural
117. MK-NW-F-008 incomeBearingClassOf
118. MK-NW-F-009 maturityClass
119. MK-ST-F-010 nameEvidence
120. MK-NW-F-068 prettyDay
121. MK-XS-F-147 call
122. MK-XS-F-064 currentIdToken
123. MK-XS-F-112 relayUrl</t>
        </is>
      </c>
      <c r="R203" s="3" t="inlineStr">
        <is>
          <t>1. MONTH (already above — a loop) → MK-CF-O-010 theMonth → MK-CF-F-203 MONTH → MK-CF-F-205 COMING → MK-CF-F-212 receivedInMonth
2. MK-XS-F-122 n → MK-CF-F-155 cash → MK-CF-O-010 theMonth → MK-CF-F-203 MONTH → MK-CF-F-205 COMING → MK-CF-F-212 receivedInMonth
3. MK-CF-F-151 actualSpending → MK-CF-O-002 expenses → MK-CF-O-010 theMonth → MK-CF-F-203 MONTH → MK-CF-F-205 COMING → MK-CF-F-212 receivedInMonth
4. MK-CF-F-150 debtPaymentsCountedAsExpenses → MK-CF-O-002 expenses → MK-CF-O-010 theMonth → MK-CF-F-203 MONTH → MK-CF-F-205 COMING → MK-CF-F-212 receivedInMonth
5. MK-CF-F-153 radar → MK-CF-O-002 expenses → MK-CF-O-010 theMonth → MK-CF-F-203 MONTH → MK-CF-F-205 COMING → MK-CF-F-212 receivedInMonth
6. MK-CF-F-149 recurringDebtPayments → MK-CF-O-002 expenses → MK-CF-O-010 theMonth → MK-CF-F-203 MONTH → MK-CF-F-205 COMING → MK-CF-F-212 receivedInMonth
7. MK-CF-F-005 actualMonthFlow → MK-CF-O-003 thisMonth → MK-CF-O-010 theMonth → MK-CF-F-203 MONTH → MK-CF-F-205 COMING → MK-CF-F-212 receivedInMonth
8. MK-CF-F-156 plannedMonthFlow → MK-CF-O-003 thisMonth → MK-CF-O-010 theMonth → MK-CF-F-203 MONTH → MK-CF-F-205 COMING → MK-CF-F-212 receivedInMonth
9. … and 5 more paths</t>
        </is>
      </c>
      <c r="S203" s="3" t="inlineStr">
        <is>
          <t>—</t>
        </is>
      </c>
      <c r="T203" s="3" t="inlineStr">
        <is>
          <t>—</t>
        </is>
      </c>
      <c r="U203" s="3" t="inlineStr">
        <is>
          <t>ACTIVE</t>
        </is>
      </c>
      <c r="V203" s="3" t="inlineStr">
        <is>
          <t>2026-10-02</t>
        </is>
      </c>
      <c r="W203" s="3" t="n"/>
      <c r="X203" s="3" t="n"/>
      <c r="Y203" s="3" t="inlineStr">
        <is>
          <t>NOTHING OPEN</t>
        </is>
      </c>
    </row>
    <row r="204" ht="60" customHeight="1">
      <c r="A204" s="3" t="inlineStr">
        <is>
          <t>MK-CF-O-001</t>
        </is>
      </c>
      <c r="B204" s="3" t="inlineStr">
        <is>
          <t>basePay</t>
        </is>
      </c>
      <c r="C204" s="3" t="inlineStr">
        <is>
          <t>MoneyKeel/functions/cashflow/base-pay.ts</t>
        </is>
      </c>
      <c r="D204" s="3" t="n">
        <v>904</v>
      </c>
      <c r="E204" s="3" t="inlineStr">
        <is>
          <t>2 · DISPLAYED</t>
        </is>
      </c>
      <c r="F204" s="3" t="inlineStr">
        <is>
          <t>What does this household's base pay come to: each earner's pay, and the household's gross, tax bracket, tax, 401(k)s and take-home for a month?</t>
        </is>
      </c>
      <c r="G204" s="11"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204"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204" s="3" t="inlineStr">
        <is>
          <t>PARTLY READ — some of the code is still showing through; needs a hand pass</t>
        </is>
      </c>
      <c r="J204" s="3" t="inlineStr">
        <is>
          <t>h: HouseholdPayInput</t>
        </is>
      </c>
      <c r="K204" s="3" t="inlineStr">
        <is>
          <t>BasePay</t>
        </is>
      </c>
      <c r="L204" s="3" t="inlineStr">
        <is>
          <t>1. "Calculated federal tax" — on the base pay screen
2. "Everything else taken out" — on the base pay screen
3. "Federal tax bracket" — on the base pay screen
4. "Gross /year" — on the base pay screen
5. "Nothing is taken out for a 401(k)" — on the base pay screen
6. "Your 401(k)s" — on the base pay screen</t>
        </is>
      </c>
      <c r="M204" s="3" t="inlineStr">
        <is>
          <t>1. If over65 is missing it uses 0.
2. If gross annualised is missing it uses 0.
3. Uses a built-in f i c a s h a r e of 7.65%.
4. Treats a year as twelve equal months.
5. Rounds the answer to a whole number.</t>
        </is>
      </c>
      <c r="N204" s="3" t="inlineStr">
        <is>
          <t>Yes</t>
        </is>
      </c>
      <c r="O204" s="3" t="inlineStr">
        <is>
          <t>1. MK-ST-F-035 covers
2. MK-CF-F-171 earnerPay
3. MK-CF-F-204 line
4. MK-CF-F-132 map
5. MK-CF-F-103 marginalBracketFor
6. MK-ST-F-053 money
7. MK-HM-F-006 money0
8. MK-XS-F-122 n
9. MK-CF-F-198 payrollTaxWithheld
10. MK-CF-F-181 rateInForce</t>
        </is>
      </c>
      <c r="P204" s="3" t="n">
        <v>127</v>
      </c>
      <c r="Q204" s="3" t="inlineStr">
        <is>
          <t>1. MK-ST-F-035 covers
2. MK-CF-F-171 earnerPay
3. MK-CF-F-204 line
4. MK-CF-F-132 map
5. MK-CF-F-103 marginalBracketFor
6. MK-ST-F-053 money
7. MK-HM-F-006 money0
8. MK-XS-F-122 n
9. MK-CF-F-198 payrollTaxWithheld
10. MK-CF-F-181 rateInForce
11. MK-ST-F-034 firstDate
12. MK-CF-F-143 annualisedGross
13. MK-CF-F-145 deductionsFromPay
14. MK-CF-F-128 grossByMonth
15. MK-CF-F-146 payFiguresAgree
16. MK-CF-F-144 takeHomeAsEntered
17. MK-ST-F-052 toNum
18. MK-CF-F-203 MONTH
19. MK-XS-F-180 declareFigures
20. MK-CF-F-100 taxableIncomeFor
21. MK-ST-F-049 formatMoney
22. MK-CF-F-155 cash
23. MK-HM-F-005 pctTxt
24. MK-NW-F-067 plural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MK-ST-F-085 rentFigure
74. MK-CF-F-148 inMonth
75. MK-CF-F-191 ym
76. MK-CF-F-022 paymentShape
77. MK-CF-F-152 isRadarItem
78. MK-CF-F-023 requiredPayment
79. MK-NW-F-078 ONE
80. MK-CF-F-157 debtPaymentsByDebt
81. MK-CF-F-192 inflowLabel
82. MK-XS-F-027 takeHomeMonthly
83. MK-CF-F-021 defaultPaymentType
84. MK-NW-F-077 ALL
85. MK-NW-F-059 currentYield
86. MK-NW-O-001 theBonds
87. MK-CF-F-193 inflowSourceWord
88. MK-CF-F-092 incomeMonthlyGrid
89. MK-CF-F-011 savingsByMonth
90. MK-NW-F-112 yearlyInterest
91. MK-ST-F-027 accountId
92. MK-NW-F-057 annualCoupon
93. MK-NW-F-056 bondInfo
94. MK-NW-F-064 bondRateSensitivity
95. MK-NW-F-061 bondSummary
96. MK-NW-F-055 isBond
97. MK-NW-F-072 rowOf
98. MK-CF-F-065 equityVestWeights
99. MK-CF-F-087 monthlyTaxRates
100. MK-CF-F-073 otherIncomeMonth
101. MK-CF-F-077 scholarshipByCalendarMonth
102. MK-CF-F-088 taxableByCalendarMonth
103. MK-PL-F-012 waterfall
104. MK-CF-F-008 spendByMonth
105. MK-NW-F-060 approxYTM
106. MK-NW-F-069 priceAtYield
107. MK-NW-F-131 pricedLikeBond
108. MK-NW-F-125 isPastMaturity
109. MK-ST-F-065 isoLocalDate
110. MK-NW-F-126 yearlyInterestNow
111. MK-NW-F-011 assetClassOf
112. MK-NW-F-070 accruedInterestCaveat
113. MK-NW-F-058 yearsToMaturity
114. MK-CF-F-090 effectiveRate
115. MK-CF-F-120 pctBaseMonthly
116. MK-CF-F-004 spendBuckets
117. MK-NW-F-119 estimatedAccrued
118. MK-NW-F-124 maturityParts
119. MK-NW-F-120 classEvidenceOf
120. MK-CF-F-003 categoryMonthly
121. MK-NW-F-008 incomeBearingClassOf
122. MK-NW-F-009 maturityClass
123. MK-ST-F-010 nameEvidence
124. MK-NW-F-068 prettyDay
125. MK-XS-F-147 call
126. MK-XS-F-064 currentIdToken
127. MK-XS-F-112 relayUrl</t>
        </is>
      </c>
      <c r="R204"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MK-CF-F-142 monthsOf → MK-CF-F-128 grossByMonth → MK-CF-F-143 annualisedGross → MK-CF-F-145 deductionsFromPay → MK-CF-F-171 earnerPay → MK-CF-O-001 basePay
8. MK-CF-F-141 perMonth → MK-CF-F-128 grossByMonth → MK-CF-F-143 annualisedGross → MK-CF-F-145 deductionsFromPay → MK-CF-F-171 earnerPay → MK-CF-O-001 basePay
9. … and 5 more paths</t>
        </is>
      </c>
      <c r="S204" s="3" t="inlineStr">
        <is>
          <t>MK-CF-M-030 · MK-CF-M-031 · MK-CF-M-032 · MK-CF-M-033 · MK-CF-M-034 · MK-CF-M-035 · MK-CF-M-036 · MK-CF-M-045 · MK-CF-M-046</t>
        </is>
      </c>
      <c r="T204" s="3" t="inlineStr">
        <is>
          <t>—</t>
        </is>
      </c>
      <c r="U204" s="3" t="inlineStr">
        <is>
          <t>ACTIVE</t>
        </is>
      </c>
      <c r="V204" s="3" t="inlineStr">
        <is>
          <t>2026-09-09</t>
        </is>
      </c>
      <c r="W204" s="3" t="n"/>
      <c r="X204" s="3" t="n"/>
      <c r="Y204" s="6" t="inlineStr">
        <is>
          <t>TESTED, NOT VERIFIED (G37, G38, G4, G41, G42, G45)</t>
        </is>
      </c>
    </row>
    <row r="205" ht="60" customHeight="1">
      <c r="A205" s="3" t="inlineStr">
        <is>
          <t>MK-CF-O-002</t>
        </is>
      </c>
      <c r="B205" s="3" t="inlineStr">
        <is>
          <t>expenses</t>
        </is>
      </c>
      <c r="C205" s="3" t="inlineStr">
        <is>
          <t>MoneyKeel/functions/cashflow/expenses.ts</t>
        </is>
      </c>
      <c r="D205" s="3" t="n">
        <v>345</v>
      </c>
      <c r="E205" s="3" t="inlineStr">
        <is>
          <t>2 · DISPLAYED</t>
        </is>
      </c>
      <c r="F205" s="3" t="inlineStr">
        <is>
          <t>What is being spent this month: the debts that repeat every month, the planned expenses by category, what was actually spent by where it came from, and the big-ticket radar?</t>
        </is>
      </c>
      <c r="G205" s="11" t="inlineStr">
        <is>
          <t>rec = recurring debt payments(s)
act = actual expenses(s)
debt exp = debt payments counted as expenses(s, purchases captured)</t>
        </is>
      </c>
      <c r="H205" s="3" t="inlineStr">
        <is>
          <t>Rec is recurring debt payments(s). Act is actual expenses(s). Debt exp is debt payments counted as expenses(s, purchases captured).</t>
        </is>
      </c>
      <c r="I205" s="3" t="inlineStr">
        <is>
          <t>READ FROM THE CODE — rendered from the expressions the function runs</t>
        </is>
      </c>
      <c r="J205" s="3" t="inlineStr">
        <is>
          <t>1. s: ExpensesInput
2. purchasesCaptured: Set&lt;string&gt; = new Set()</t>
        </is>
      </c>
      <c r="K205" s="3" t="inlineStr">
        <is>
          <t>Expenses</t>
        </is>
      </c>
      <c r="L205" s="3" t="inlineStr">
        <is>
          <t>NOT FOUND — a screen calls it, but the words printed beside its answer could not be traced automatically. Needs reading.</t>
        </is>
      </c>
      <c r="M205" s="3" t="inlineStr">
        <is>
          <t>None found in this function — anything it assumes comes from the functions it depends on.</t>
        </is>
      </c>
      <c r="N205" s="3" t="inlineStr">
        <is>
          <t>Yes</t>
        </is>
      </c>
      <c r="O205" s="3" t="inlineStr">
        <is>
          <t>1. MK-CF-F-151 actualSpending
2. MK-CF-F-150 debtPaymentsCountedAsExpenses
3. MK-CF-F-153 radar
4. MK-CF-F-149 recurringDebtPayments</t>
        </is>
      </c>
      <c r="P205" s="3" t="n">
        <v>14</v>
      </c>
      <c r="Q205"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205" s="3" t="inlineStr">
        <is>
          <t>1. MK-CF-F-191 ym → MK-CF-F-148 inMonth → MK-CF-F-151 actualSpending → MK-CF-O-002 expenses
2. MK-XS-F-122 n → MK-ST-F-052 toNum → MK-CF-F-151 actualSpending → MK-CF-O-002 expenses
3. MK-CF-F-191 ym → MK-CF-F-151 actualSpending → MK-CF-O-002 expenses
4. MK-ST-F-056 has → MK-CF-F-150 debtPaymentsCountedAsExpenses → MK-CF-O-002 expenses
5. MK-CF-F-191 ym → MK-CF-F-148 inMonth → MK-CF-F-150 debtPaymentsCountedAsExpenses → MK-CF-O-002 expenses
6. MK-CF-F-021 defaultPaymentType → MK-CF-F-022 paymentShape → MK-CF-F-150 debtPaymentsCountedAsExpenses → MK-CF-O-002 expenses
7. MK-XS-F-122 n → MK-ST-F-052 toNum → MK-CF-F-150 debtPaymentsCountedAsExpenses → MK-CF-O-002 expenses
8. MK-CF-F-191 ym → MK-CF-F-150 debtPaymentsCountedAsExpenses → MK-CF-O-002 expenses
9. … and 5 more paths</t>
        </is>
      </c>
      <c r="S205" s="3" t="inlineStr">
        <is>
          <t>—</t>
        </is>
      </c>
      <c r="T205" s="3" t="inlineStr">
        <is>
          <t>—</t>
        </is>
      </c>
      <c r="U205" s="3" t="inlineStr">
        <is>
          <t>DECOMMISSIONED 2026-09-28 — it was here and is not any more. Kept so the number is never reused and earlier work can still be traced.</t>
        </is>
      </c>
      <c r="V205" s="3" t="inlineStr">
        <is>
          <t>2026-09-28</t>
        </is>
      </c>
      <c r="W205" s="3" t="n"/>
      <c r="X205" s="3" t="n"/>
      <c r="Y205" s="9" t="inlineStr">
        <is>
          <t>CODED, NOT TESTED (Cash-flow worked example)</t>
        </is>
      </c>
    </row>
    <row r="206" ht="60" customHeight="1">
      <c r="A206" s="3" t="inlineStr">
        <is>
          <t>MK-CF-O-003</t>
        </is>
      </c>
      <c r="B206" s="3" t="inlineStr">
        <is>
          <t>thisMonth</t>
        </is>
      </c>
      <c r="C206" s="3" t="inlineStr">
        <is>
          <t>MoneyKeel/functions/cashflow/this-month.ts</t>
        </is>
      </c>
      <c r="D206" s="3" t="n">
        <v>662</v>
      </c>
      <c r="E206" s="3" t="inlineStr">
        <is>
          <t>3 · DEPENDENT</t>
        </is>
      </c>
      <c r="F206" s="3" t="inlineStr">
        <is>
          <t>How is the month going: what the plan says it holds and what has actually happened so far, each row by row and each ending in its surplus?</t>
        </is>
      </c>
      <c r="G206" s="11" t="inlineStr">
        <is>
          <t>planned = planned month flow(m)
actual = actual month flow(m)</t>
        </is>
      </c>
      <c r="H206" s="3" t="inlineStr">
        <is>
          <t>planned = planned month flow(m); actual = actual month flow(m).</t>
        </is>
      </c>
      <c r="I206" s="3" t="inlineStr">
        <is>
          <t>READ FROM THE CODE — rendered from the expressions the function runs</t>
        </is>
      </c>
      <c r="J206" s="3" t="inlineStr">
        <is>
          <t>m: MonthInput</t>
        </is>
      </c>
      <c r="K206" s="3" t="inlineStr">
        <is>
          <t>ThisMonth</t>
        </is>
      </c>
      <c r="L206" s="3" t="inlineStr">
        <is>
          <t>—</t>
        </is>
      </c>
      <c r="M206" s="3" t="inlineStr">
        <is>
          <t>None found in this function — anything it assumes comes from the functions it depends on.</t>
        </is>
      </c>
      <c r="N206" s="3" t="inlineStr">
        <is>
          <t>Yes</t>
        </is>
      </c>
      <c r="O206" s="3" t="inlineStr">
        <is>
          <t>1. MK-CF-F-005 actualMonthFlow
2. MK-CF-F-156 plannedMonthFlow</t>
        </is>
      </c>
      <c r="P206" s="3" t="n">
        <v>110</v>
      </c>
      <c r="Q206" s="3" t="inlineStr">
        <is>
          <t>1. MK-CF-F-005 actualMonthFlow
2. MK-CF-F-156 plannedMonthFlow
3. MK-NW-F-078 ONE
4. MK-CF-F-155 cash
5. MK-CF-F-157 debtPaymentsByDebt
6. MK-CF-F-148 inMonth
7. MK-CF-F-192 inflowLabel
8. MK-CF-F-152 isRadarItem
9. MK-CF-F-023 requiredPayment
10. MK-XS-F-027 takeHomeMonthly
11. MK-ST-F-052 toNum
12. MK-CF-F-191 ym
13. MK-NW-F-077 ALL
14. MK-NW-F-059 currentYield
15. MK-XS-F-180 declareFigures
16. MK-ST-F-049 formatMoney
17. MK-ST-F-053 money
18. MK-NW-O-001 theBonds
19. MK-XS-F-122 n
20. MK-CF-F-203 MONTH
21. MK-CF-F-132 map
22. MK-CF-F-193 inflowSourceWord
23. MK-CF-F-022 paymentShape
24. MK-CF-F-092 incomeMonthlyGrid
25. MK-CF-F-011 savingsByMonth
26. MK-NW-F-112 yearlyInterest
27. MK-ST-F-048 currencySymbol
28. MK-ST-F-039 on
29. MK-ST-F-027 accountId
30. MK-NW-F-057 annualCoupon
31. MK-NW-F-056 bondInfo
32. MK-NW-F-064 bondRateSensitivity
33. MK-NW-F-061 bondSummary
34. MK-NW-F-055 isBond
35. MK-NW-F-072 rowOf
36. MK-CF-O-010 theMonth
37. MK-CF-F-021 defaultPaymentType
38. MK-CF-F-069 benefitActiveMonths
39. MK-CF-F-072 currentRetirementIncomeMonthly
40. MK-CF-F-173 earnerWages
41. MK-CF-F-065 equityVestWeights
42. MK-CF-F-071 extraIncome
43. MK-ST-F-056 has
44. MK-CF-F-206 householdK401ByMonth
45. MK-CF-F-087 monthlyTaxRates
46. MK-CF-F-073 otherIncomeMonth
47. MK-CF-F-181 rateInForce
48. MK-CF-F-068 rentalNetAnnual
49. MK-CF-F-066 rsuAnnual
50. MK-CF-F-060 salaryGrossByMonth
51. MK-CF-F-077 scholarshipByCalendarMonth
52. MK-CF-F-088 taxableByCalendarMonth
53. MK-CF-F-177 wageGrossByMonth
54. MK-PL-F-012 waterfall
55. MK-CF-F-008 spendByMonth
56. MK-ST-F-047 activeCurrency
57. MK-NW-F-060 approxYTM
58. MK-NW-F-069 priceAtYield
59. MK-NW-F-131 pricedLikeBond
60. MK-NW-F-125 isPastMaturity
61. MK-ST-F-065 isoLocalDate
62. MK-NW-F-126 yearlyInterestNow
63. MK-NW-F-011 assetClassOf
64. MK-NW-F-070 accruedInterestCaveat
65. MK-NW-F-058 yearsToMaturity
66. MK-CF-O-002 expenses
67. MK-CF-F-075 retirementIncomeMonthly
68. MK-CF-F-172 hasWage
69. MK-CF-F-062 equityRowValue
70. MK-CF-F-070 benefitAnnual
71. MK-CF-F-176 sumMonthsOverEarners
72. MK-CF-F-090 effectiveRate
73. MK-CF-F-180 enteredLandsAnnual
74. MK-CF-F-085 filingStatusOf
75. MK-CF-F-089 over65CountOf
76. MK-CF-F-082 salaryAnnual
77. MK-CF-F-086 stateRateOf
78. MK-CF-F-101 taxOwedFor
79. MK-CF-F-084 taxableAnnual
80. MK-CF-F-067 rentalList
81. MK-CF-F-063 rowVestYear
82. MK-CF-F-130 enteredMonthlyRaw
83. MK-CF-F-166 hasMonthlySalaryTable
84. MK-ST-F-036 reconcile
85. MK-CF-F-167 salaryCalendarYear
86. MK-CF-F-120 pctBaseMonthly
87. MK-CF-F-004 spendBuckets
88. MK-NW-F-119 estimatedAccrued
89. MK-NW-F-124 maturityParts
90. MK-NW-F-120 classEvidenceOf
91. MK-NW-F-067 plural
92. MK-CF-F-151 actualSpending
93. MK-CF-F-150 debtPaymentsCountedAsExpenses
94. MK-CF-F-153 radar
95. MK-CF-F-149 recurringDebtPayments
96. MK-CF-F-100 taxableIncomeFor
97. MK-CF-F-074 tipsAnnual
98. MK-ST-F-085 rentFigure
99. MK-CF-F-165 salaryMonths
100. MK-CF-F-003 categoryMonthly
101. MK-NW-F-008 incomeBearingClassOf
102. MK-NW-F-009 maturityClass
103. MK-CF-F-099 deductionFor
104. MK-CF-F-081 salaryActiveMonths
105. MK-ST-F-010 nameEvidence
106. MK-NW-F-068 prettyDay
107. MK-CF-F-187 seniorDeductionFor
108. MK-XS-F-147 call
109. MK-XS-F-064 currentIdToken
110. MK-XS-F-112 relayUrl</t>
        </is>
      </c>
      <c r="R206" s="3" t="inlineStr">
        <is>
          <t>1. MK-ST-F-027 accountId → MK-NW-O-001 theBonds → MK-NW-F-077 ALL → MK-NW-F-078 ONE → MK-CF-F-005 actualMonthFlow → MK-CF-O-003 thisMonth
2. MK-NW-F-057 annualCoupon → MK-NW-O-001 theBonds → MK-NW-F-077 ALL → MK-NW-F-078 ONE → MK-CF-F-005 actualMonthFlow → MK-CF-O-003 thisMonth
3. MK-NW-F-056 bondInfo → MK-NW-O-001 theBonds → MK-NW-F-077 ALL → MK-NW-F-078 ONE → MK-CF-F-005 actualMonthFlow → MK-CF-O-003 thisMonth
4. MK-NW-F-064 bondRateSensitivity → MK-NW-O-001 theBonds → MK-NW-F-077 ALL → MK-NW-F-078 ONE → MK-CF-F-005 actualMonthFlow → MK-CF-O-003 thisMonth
5. MK-NW-F-061 bondSummary → MK-NW-O-001 theBonds → MK-NW-F-077 ALL → MK-NW-F-078 ONE → MK-CF-F-005 actualMonthFlow → MK-CF-O-003 thisMonth
6. MK-NW-F-055 isBond → MK-NW-O-001 theBonds → MK-NW-F-077 ALL → MK-NW-F-078 ONE → MK-CF-F-005 actualMonthFlow → MK-CF-O-003 thisMonth
7. MK-CF-F-132 map → MK-NW-O-001 theBonds → MK-NW-F-077 ALL → MK-NW-F-078 ONE → MK-CF-F-005 actualMonthFlow → MK-CF-O-003 thisMonth
8. MK-NW-F-072 rowOf → MK-NW-O-001 theBonds → MK-NW-F-077 ALL → MK-NW-F-078 ONE → MK-CF-F-005 actualMonthFlow → MK-CF-O-003 thisMonth
9. … and 5 more paths</t>
        </is>
      </c>
      <c r="S206" s="3" t="inlineStr">
        <is>
          <t>MK-CF-M-047 · MK-CF-M-048 · MK-CF-M-049 · MK-CF-M-050 · MK-CF-M-051 · MK-CF-M-052 · MK-CF-M-053 · MK-CF-M-054</t>
        </is>
      </c>
      <c r="T206" s="3" t="inlineStr">
        <is>
          <t>—</t>
        </is>
      </c>
      <c r="U206" s="3" t="inlineStr">
        <is>
          <t>ACTIVE</t>
        </is>
      </c>
      <c r="V206" s="3" t="inlineStr">
        <is>
          <t>2026-09-28</t>
        </is>
      </c>
      <c r="W206" s="3" t="n"/>
      <c r="X206" s="3" t="n"/>
      <c r="Y206" s="9" t="inlineStr">
        <is>
          <t>CODED, NOT TESTED (Cash-flow worked example)</t>
        </is>
      </c>
    </row>
    <row r="207" ht="60" customHeight="1">
      <c r="A207" s="3" t="inlineStr">
        <is>
          <t>MK-CF-O-004</t>
        </is>
      </c>
      <c r="B207" s="3" t="inlineStr">
        <is>
          <t>incomeSummary</t>
        </is>
      </c>
      <c r="C207" s="3" t="inlineStr">
        <is>
          <t>MoneyKeel/functions/cashflow/income-summary.ts</t>
        </is>
      </c>
      <c r="D207" s="3" t="n">
        <v>599</v>
      </c>
      <c r="E207" s="3" t="inlineStr">
        <is>
          <t>2 · DISPLAYED</t>
        </is>
      </c>
      <c r="F207" s="3" t="inlineStr">
        <is>
          <t>What is this household's income: what reaches the bank each month, and what the year is taxed on?</t>
        </is>
      </c>
      <c r="G207" s="11" t="inlineStr">
        <is>
          <t>a = op (or none when missing)
wages = earner wages(op as any)
inf = rate in force(op as any)
r = inf.rate, theirs = inf.mine
after tax = (x: number) =&gt; x × (1 − r)
steady pay = salary gross by month(op as any).every((m) =&gt; m &gt; 0)
tips = tips monthly read as a number (0 when it is not one)   if steady pay
0   otherwise
self employed = to num(se amount) ÷ 12   if se freq = 'annual'
se amount read as a number (0 when it is not one)   otherwise
rent = rental net annual(op as any) ÷ 12
rent arriving = rent   if theirs
after tax(rent)   otherwise   if rent &gt; 0
0   otherwise
inv monthly = to num(inv annual) ÷ 12
… the first steps only — the rest of the body needs reading by hand.</t>
        </is>
      </c>
      <c r="H207" s="3" t="inlineStr">
        <is>
          <t>A is op (or none — when missing). Wages is earner wages(op as any). Inf is rate in force(op as any). R is inf.rate, theirs = inf.mine. After tax is (x: number) =&gt; x times (1 minus r). Steady pay is salary gross by month(op as any).every((m) =&gt; m &gt; 0). Tips is tips monthly read as a number (0 when it is one is missing) — when steady pay; 0 — otherwise. Self employed is to num(se amount) divided by 12 — when se freq = 'annual'; se amount read as a number (0 — when it is one is missing) — otherwise. Rent is rental net annual(op as any) divided by 12. Rent arriving is rent — when theirs; after tax(rent) — otherwise — when rent &gt; 0; 0 — otherwise. Inv monthly is to num(inv annual) divided by 12. Only the first steps are shown; the rest of the body needs reading by hand.</t>
        </is>
      </c>
      <c r="I207" s="3" t="inlineStr">
        <is>
          <t>PARTLY READ — some of the code is still showing through; needs a hand pass</t>
        </is>
      </c>
      <c r="J207" s="3" t="inlineStr">
        <is>
          <t>op: Record&lt;string, any&gt; | null</t>
        </is>
      </c>
      <c r="K207" s="3" t="inlineStr">
        <is>
          <t>IncomeSummary</t>
        </is>
      </c>
      <c r="L207" s="3" t="inlineStr">
        <is>
          <t>1. "Add your income ›" — on the income summary screen
2. "Federal tax bracket" — on the income summary screen
3. "Take-home each month" — on the income summary screen
4. "What it is taxed on" — on the income summary screen</t>
        </is>
      </c>
      <c r="M207" s="3" t="inlineStr">
        <is>
          <t>· Rounds the answer to a whole number.</t>
        </is>
      </c>
      <c r="N207" s="3" t="inlineStr">
        <is>
          <t>Yes</t>
        </is>
      </c>
      <c r="O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t>
        </is>
      </c>
      <c r="P207" s="3" t="n">
        <v>129</v>
      </c>
      <c r="Q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
20. MK-CF-O-010 theMonth
21. MK-ST-F-035 covers
22. MK-CF-F-171 earnerPay
23. MK-CF-F-204 line
24. MK-ST-F-053 money
25. MK-HM-F-006 money0
26. MK-XS-F-122 n
27. MK-CF-F-198 payrollTaxWithheld
28. MK-CF-F-075 retirementIncomeMonthly
29. MK-CF-F-172 hasWage
30. MK-CF-F-165 salaryMonths
31. MK-CF-F-070 benefitAnnual
32. MK-ST-F-039 on
33. MK-CF-F-065 equityVestWeights
34. MK-ST-F-056 has
35. MK-CF-F-206 householdK401ByMonth
36. MK-CF-F-087 monthlyTaxRates
37. MK-CF-F-073 otherIncomeMonth
38. MK-CF-F-066 rsuAnnual
39. MK-CF-F-077 scholarshipByCalendarMonth
40. MK-CF-F-088 taxableByCalendarMonth
41. MK-CF-F-177 wageGrossByMonth
42. MK-PL-F-012 waterfall
43. MK-CF-F-193 inflowSourceWord
44. MK-CF-F-100 taxableIncomeFor
45. MK-CF-F-180 enteredLandsAnnual
46. MK-CF-F-086 stateRateOf
47. MK-CF-F-101 taxOwedFor
48. MK-CF-O-002 expenses
49. MK-CF-F-067 rentalList
50. MK-CF-F-176 sumMonthsOverEarners
51. MK-CF-F-074 tipsAnnual
52. MK-CF-F-155 cash
53. MK-CF-O-003 thisMonth
54. MK-ST-F-034 firstDate
55. MK-CF-F-143 annualisedGross
56. MK-CF-F-145 deductionsFromPay
57. MK-CF-F-128 grossByMonth
58. MK-CF-F-146 payFiguresAgree
59. MK-CF-F-144 takeHomeAsEntered
60. MK-XS-F-180 declareFigures
61. MK-ST-F-049 formatMoney
62. MK-HM-F-005 pctTxt
63. MK-NW-F-067 plural
64. MK-CF-F-062 equityRowValue
65. MK-CF-F-090 effectiveRate
66. MK-CF-F-063 rowVestYear
67. MK-CF-F-130 enteredMonthlyRaw
68. MK-CF-F-166 hasMonthlySalaryTable
69. MK-ST-F-036 reconcile
70. MK-CF-F-167 salaryCalendarYear
71. MK-CF-F-099 deductionFor
72. MK-CF-F-151 actualSpending
73. MK-CF-F-150 debtPaymentsCountedAsExpenses
74. MK-CF-F-153 radar
75. MK-CF-F-149 recurringDebtPayments
76. MK-ST-F-085 rentFigure
77. MK-CF-F-081 salaryActiveMonths
78. MK-CF-F-005 actualMonthFlow
79. MK-CF-F-156 plannedMonthFlow
80. MK-CF-F-142 monthsOf
81. MK-CF-F-141 perMonth
82. MK-ST-F-048 currencySymbol
83. MK-CF-F-187 seniorDeductionFor
84. MK-CF-F-148 inMonth
85. MK-CF-F-191 ym
86. MK-CF-F-022 paymentShape
87. MK-CF-F-152 isRadarItem
88. MK-CF-F-023 requiredPayment
89. MK-NW-F-078 ONE
90. MK-CF-F-157 debtPaymentsByDebt
91. MK-XS-F-027 takeHomeMonthly
92. MK-CF-F-140 periodsAYear
93. MK-ST-F-047 activeCurrency
94. MK-CF-F-021 defaultPaymentType
95. MK-NW-F-077 ALL
96. MK-NW-F-059 currentYield
97. MK-NW-O-001 theBonds
98. MK-CF-F-011 savingsByMonth
99. MK-NW-F-112 yearlyInterest
100. MK-ST-F-027 accountId
101. MK-NW-F-057 annualCoupon
102. MK-NW-F-056 bondInfo
103. MK-NW-F-064 bondRateSensitivity
104. MK-NW-F-061 bondSummary
105. MK-NW-F-055 isBond
106. MK-NW-F-072 rowOf
107. MK-CF-F-008 spendByMonth
108. MK-NW-F-060 approxYTM
109. MK-NW-F-069 priceAtYield
110. MK-NW-F-131 pricedLikeBond
111. MK-NW-F-125 isPastMaturity
112. MK-ST-F-065 isoLocalDate
113. MK-NW-F-126 yearlyInterestNow
114. MK-NW-F-011 assetClassOf
115. MK-NW-F-070 accruedInterestCaveat
116. MK-NW-F-058 yearsToMaturity
117. MK-CF-F-120 pctBaseMonthly
118. MK-CF-F-004 spendBuckets
119. MK-NW-F-119 estimatedAccrued
120. MK-NW-F-124 maturityParts
121. MK-NW-F-120 classEvidenceOf
122. MK-CF-F-003 categoryMonthly
123. MK-NW-F-008 incomeBearingClassOf
124. MK-NW-F-009 maturityClass
125. MK-ST-F-010 nameEvidence
126. MK-NW-F-068 prettyDay
127. MK-XS-F-147 call
128. MK-XS-F-064 currentIdToken
129. MK-XS-F-112 relayUrl</t>
        </is>
      </c>
      <c r="R207" s="3" t="inlineStr">
        <is>
          <t>1. MONTH (already above — a loop) → MK-CF-O-010 theMonth → MK-CF-F-203 MONTH → MK-CF-O-004 incomeSummary
2. MK-XS-F-122 n → MK-CF-F-155 cash → MK-CF-O-010 theMonth → MK-CF-F-203 MONTH → MK-CF-O-004 incomeSummary
3. MK-CF-F-148 inMonth → MK-CF-F-151 actualSpending → MK-CF-O-002 expenses → MK-CF-O-010 theMonth → MK-CF-F-203 MONTH → MK-CF-O-004 incomeSummary
4. MK-ST-F-052 toNum → MK-CF-F-151 actualSpending → MK-CF-O-002 expenses → MK-CF-O-010 theMonth → MK-CF-F-203 MONTH → MK-CF-O-004 incomeSummary
5. MK-CF-F-191 ym → MK-CF-F-151 actualSpending → MK-CF-O-002 expenses → MK-CF-O-010 theMonth → MK-CF-F-203 MONTH → MK-CF-O-004 incomeSummary
6. MK-ST-F-056 has → MK-CF-F-150 debtPaymentsCountedAsExpenses → MK-CF-O-002 expenses → MK-CF-O-010 theMonth → MK-CF-F-203 MONTH → MK-CF-O-004 incomeSummary
7. MK-CF-F-148 inMonth → MK-CF-F-150 debtPaymentsCountedAsExpenses → MK-CF-O-002 expenses → MK-CF-O-010 theMonth → MK-CF-F-203 MONTH → MK-CF-O-004 incomeSummary
8. MK-CF-F-022 paymentShape → MK-CF-F-150 debtPaymentsCountedAsExpenses → MK-CF-O-002 expenses → MK-CF-O-010 theMonth → MK-CF-F-203 MONTH → MK-CF-O-004 incomeSummary
9. … and 5 more paths</t>
        </is>
      </c>
      <c r="S207" s="3" t="inlineStr">
        <is>
          <t>MK-CF-M-006 · MK-CF-M-007 · MK-CF-M-008 · MK-CF-M-009 · MK-CF-M-010 · MK-CF-M-011 · MK-CF-M-024 · MK-CF-M-027 · MK-CF-M-037 · MK-CF-M-038 · MK-CF-M-039 · MK-CF-M-040 · MK-CF-M-041 · MK-CF-M-042 · MK-CF-M-043 · MK-CF-M-044 · MK-CF-M-066 · MK-CF-M-069 · MK-MN-M-011 · MK-MN-M-012 · MK-MN-M-013</t>
        </is>
      </c>
      <c r="T207" s="3" t="inlineStr">
        <is>
          <t>—</t>
        </is>
      </c>
      <c r="U207" s="3" t="inlineStr">
        <is>
          <t>ACTIVE</t>
        </is>
      </c>
      <c r="V207" s="3" t="inlineStr">
        <is>
          <t>2026-10-04</t>
        </is>
      </c>
      <c r="W207" s="3" t="n"/>
      <c r="X207" s="3" t="n"/>
      <c r="Y207" s="6" t="inlineStr">
        <is>
          <t>TESTED, NOT VERIFIED (G37, G47, G48)</t>
        </is>
      </c>
    </row>
    <row r="208" ht="60" customHeight="1">
      <c r="A208" s="3" t="inlineStr">
        <is>
          <t>MK-CF-O-005</t>
        </is>
      </c>
      <c r="B208" s="3" t="inlineStr">
        <is>
          <t>theContributionRoom</t>
        </is>
      </c>
      <c r="C208" s="3" t="inlineStr">
        <is>
          <t>MoneyKeel/functions/cashflow/contribution-room.ts</t>
        </is>
      </c>
      <c r="D208" s="3" t="n">
        <v>75</v>
      </c>
      <c r="E208" s="3" t="inlineStr">
        <is>
          <t>2 · DISPLAYED</t>
        </is>
      </c>
      <c r="F208" s="3" t="inlineStr">
        <is>
          <t>How much room is left in my 401(k), IRA and HSA this year, and what would fill it?</t>
        </is>
      </c>
      <c r="G208" s="11" t="inlineStr">
        <is>
          <t>op = input.profile (or none when missing)
num = (v: any) =&gt; (number.is finite(number(v)) ? number(v) : 0)
age = age attained in year(num(op.birth year) or nothing)
k401 = k401 headroom(age, num(op.c 401k) × 12)
ira limit = annual ira limit(age)
ira used = min(num(op.c roth) × 12, ira limit)
medicare = true   if op.medicare enrolled = 'yes'
false   if op.medicare enrolled = 'no'
nothing   otherwise   otherwise
hsa limit = annual hsa limit(age, false, medicare)
hsa used = min(num(op.c hsa) × 12, hsa limit)</t>
        </is>
      </c>
      <c r="H208" s="3" t="inlineStr">
        <is>
          <t>Op is input.profile (or none — when missing). Num is (v: any) =&gt; (number.is finite(number(v)) ? number(v) : 0). Age is age attained in year(num(op.birth year) or no answer). K401 is k401 headroom(age, num(op.c 401k) times 12). Ira limit is annual ira limit(age). Ira used: the smaller of num(op.c roth) times 12 and ira limit. Medicare is true — when op.medicare enrolled = 'yes'; false — when op.medicare enrolled = 'no'; no answer — otherwise — otherwise. Hsa limit is annual hsa limit(age, false, medicare). Hsa used: the smaller of num(op.c hsa) times 12 and hsa limit.</t>
        </is>
      </c>
      <c r="I208" s="3" t="inlineStr">
        <is>
          <t>PARTLY READ — some of the code is still showing through; needs a hand pass</t>
        </is>
      </c>
      <c r="J208" s="3" t="inlineStr">
        <is>
          <t>Nothing is handed to it</t>
        </is>
      </c>
      <c r="K208" s="3" t="inlineStr">
        <is>
          <t>NOT DECLARED — the code does not say what it gives back</t>
        </is>
      </c>
      <c r="L208" s="3" t="inlineStr">
        <is>
          <t>NOT FOUND — a screen calls it, but the words printed beside its answer could not be traced automatically. Needs reading.</t>
        </is>
      </c>
      <c r="M208" s="3" t="inlineStr">
        <is>
          <t>· Turns a monthly figure into a year by multiplying by twelve.</t>
        </is>
      </c>
      <c r="N208" s="3" t="inlineStr">
        <is>
          <t>Yes</t>
        </is>
      </c>
      <c r="O208" s="3" t="inlineStr">
        <is>
          <t>1. MK-CF-F-197 ageAttainedInYear
2. MK-CF-F-055 annualHsaLimit
3. MK-CF-F-054 annualIraLimit
4. MK-CF-F-056 k401Headroom
5. MK-CF-F-195 monthsLeftInYear
6. MK-CF-F-196 perMonthToFill</t>
        </is>
      </c>
      <c r="P208" s="3" t="n">
        <v>7</v>
      </c>
      <c r="Q208" s="3" t="inlineStr">
        <is>
          <t>1. MK-CF-F-197 ageAttainedInYear
2. MK-CF-F-055 annualHsaLimit
3. MK-CF-F-054 annualIraLimit
4. MK-CF-F-056 k401Headroom
5. MK-CF-F-195 monthsLeftInYear
6. MK-CF-F-196 perMonthToFill
7. MK-CF-F-053 annual401kLimit</t>
        </is>
      </c>
      <c r="R208" s="3" t="inlineStr">
        <is>
          <t>1. MK-CF-F-197 ageAttainedInYear → MK-CF-O-005 theContributionRoom
2. MK-CF-F-055 annualHsaLimit → MK-CF-O-005 theContributionRoom
3. MK-CF-F-054 annualIraLimit → MK-CF-O-005 theContributionRoom
4. MK-CF-F-053 annual401kLimit → MK-CF-F-056 k401Headroom → MK-CF-O-005 theContributionRoom
5. MK-CF-F-195 monthsLeftInYear → MK-CF-O-005 theContributionRoom
6. MK-CF-F-195 monthsLeftInYear → MK-CF-F-196 perMonthToFill → MK-CF-O-005 theContributionRoom</t>
        </is>
      </c>
      <c r="S208" s="3" t="inlineStr">
        <is>
          <t>—</t>
        </is>
      </c>
      <c r="T208" s="3" t="inlineStr">
        <is>
          <t>—</t>
        </is>
      </c>
      <c r="U208" s="3" t="inlineStr">
        <is>
          <t>ACTIVE</t>
        </is>
      </c>
      <c r="V208" s="3" t="inlineStr">
        <is>
          <t>2026-09-28</t>
        </is>
      </c>
      <c r="W208" s="3" t="n"/>
      <c r="X208" s="3" t="n"/>
      <c r="Y208" s="3" t="inlineStr">
        <is>
          <t>NOTHING OPEN</t>
        </is>
      </c>
    </row>
    <row r="209" ht="60" customHeight="1">
      <c r="A209" s="3" t="inlineStr">
        <is>
          <t>MK-CF-O-006</t>
        </is>
      </c>
      <c r="B209" s="3" t="inlineStr">
        <is>
          <t>theCreditLine</t>
        </is>
      </c>
      <c r="C209" s="3" t="inlineStr">
        <is>
          <t>MoneyKeel/functions/cashflow/credit-line.ts</t>
        </is>
      </c>
      <c r="D209" s="3" t="n">
        <v>60</v>
      </c>
      <c r="E209" s="3" t="inlineStr">
        <is>
          <t>2 · DISPLAYED</t>
        </is>
      </c>
      <c r="F209" s="3" t="inlineStr">
        <is>
          <t>How much of my credit limit am I using?</t>
        </is>
      </c>
      <c r="G209" s="11" t="inlineStr">
        <is>
          <t>balance = input.balance (or 0 when missing or zero)
limit = input.limit (or 0 when missing or zero)
balance = balance
limit = limit
used = nothing
status = nothing   when not (limit &gt; 0)
u = credit utilization(balance, limit)
the answer:
balance = balance
limit = limit
used = ratio
status = status</t>
        </is>
      </c>
      <c r="H209" s="3" t="inlineStr">
        <is>
          <t>Balance is input.balance (or 0 — when missing or zero). Limit is input.limit (or 0 — when missing or zero). When not (limit &gt; 0), it answers balance = balance; limit = limit; used is missing; status is missing. U is credit utilization(balance, limit). The answer is balance = balance; limit = limit; used = ratio; status = status.</t>
        </is>
      </c>
      <c r="I209" s="3" t="inlineStr">
        <is>
          <t>PARTLY READ — some of the code is still showing through; needs a hand pass</t>
        </is>
      </c>
      <c r="J209" s="3" t="inlineStr">
        <is>
          <t>input: { balance: number; limit: number }</t>
        </is>
      </c>
      <c r="K209" s="3" t="inlineStr">
        <is>
          <t>CreditLine</t>
        </is>
      </c>
      <c r="L209" s="3" t="inlineStr">
        <is>
          <t>NOT FOUND — a screen calls it, but the words printed beside its answer could not be traced automatically. Needs reading.</t>
        </is>
      </c>
      <c r="M209" s="3" t="inlineStr">
        <is>
          <t>1. If balance is missing it counts as zero, so nothing recorded and a real zero look the same.
2. If limit is missing it counts as zero, so nothing recorded and a real zero look the same.</t>
        </is>
      </c>
      <c r="N209" s="3" t="inlineStr">
        <is>
          <t>Yes</t>
        </is>
      </c>
      <c r="O209" s="3" t="inlineStr">
        <is>
          <t>1. MK-CF-F-031 creditUtilization
2. MK-CF-F-204 line</t>
        </is>
      </c>
      <c r="P209" s="3" t="n">
        <v>113</v>
      </c>
      <c r="Q209" s="3" t="inlineStr">
        <is>
          <t>1. MK-CF-F-031 creditUtilization
2. MK-CF-F-204 line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MK-CF-F-132 map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MK-NW-F-112 yearlyInterest
38. MK-ST-F-048 currencySymbol
39. MK-ST-F-039 on
40. MK-ST-F-027 accountId
41. MK-NW-F-057 annualCoupon
42. MK-NW-F-056 bondInfo
43. MK-NW-F-064 bondRateSensitivity
44. MK-NW-F-061 bondSummary
45. MK-NW-F-055 isBond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MK-NW-F-131 pricedLikeBond
68. MK-NW-F-125 isPastMaturity
69. MK-ST-F-065 isoLocalDate
70. MK-NW-F-126 yearlyInterestNow
71. MK-NW-F-011 assetClassOf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MK-NW-F-119 estimatedAccrued
96. MK-NW-F-124 maturityParts
97. MK-NW-F-120 classEvidenceOf
98. MK-NW-F-067 plural
99. MK-CF-F-100 taxableIncomeFor
100. MK-CF-F-074 tipsAnnual
101. MK-ST-F-085 rentFigure
102. MK-CF-F-165 salaryMonths
103. MK-CF-F-003 categoryMonthly
104. MK-NW-F-008 incomeBearingClassOf
105. MK-NW-F-009 maturityClass
106. MK-CF-F-099 deductionFor
107. MK-CF-F-081 salaryActiveMonths
108. MK-ST-F-010 nameEvidence
109. MK-NW-F-068 prettyDay
110. MK-CF-F-187 seniorDeductionFor
111. MK-XS-F-147 call
112. MK-XS-F-064 currentIdToken
113. MK-XS-F-112 relayUrl</t>
        </is>
      </c>
      <c r="R209" s="3" t="inlineStr">
        <is>
          <t>1. MK-CF-F-031 creditUtilization → MK-CF-O-006 theCreditLine
2. MONTH (already above — a loop) → MK-CF-O-010 theMonth → MK-CF-F-203 MONTH → MK-CF-F-204 line → MK-CF-O-006 theCreditLine
3. MK-XS-F-122 n → MK-CF-F-155 cash → MK-CF-O-010 theMonth → MK-CF-F-203 MONTH → MK-CF-F-204 line → MK-CF-O-006 theCreditLine
4. MK-CF-F-151 actualSpending → MK-CF-O-002 expenses → MK-CF-O-010 theMonth → MK-CF-F-203 MONTH → MK-CF-F-204 line → MK-CF-O-006 theCreditLine
5. MK-CF-F-150 debtPaymentsCountedAsExpenses → MK-CF-O-002 expenses → MK-CF-O-010 theMonth → MK-CF-F-203 MONTH → MK-CF-F-204 line → MK-CF-O-006 theCreditLine
6. MK-CF-F-153 radar → MK-CF-O-002 expenses → MK-CF-O-010 theMonth → MK-CF-F-203 MONTH → MK-CF-F-204 line → MK-CF-O-006 theCreditLine
7. MK-CF-F-149 recurringDebtPayments → MK-CF-O-002 expenses → MK-CF-O-010 theMonth → MK-CF-F-203 MONTH → MK-CF-F-204 line → MK-CF-O-006 theCreditLine
8. MK-CF-F-005 actualMonthFlow → MK-CF-O-003 thisMonth → MK-CF-O-010 theMonth → MK-CF-F-203 MONTH → MK-CF-F-204 line → MK-CF-O-006 theCreditLine
9. … and 2 more paths</t>
        </is>
      </c>
      <c r="S209" s="3" t="inlineStr">
        <is>
          <t>MK-MN-M-006</t>
        </is>
      </c>
      <c r="T209" s="3" t="inlineStr">
        <is>
          <t>—</t>
        </is>
      </c>
      <c r="U209" s="3" t="inlineStr">
        <is>
          <t>ACTIVE</t>
        </is>
      </c>
      <c r="V209" s="3" t="inlineStr">
        <is>
          <t>2026-09-28</t>
        </is>
      </c>
      <c r="W209" s="3" t="n"/>
      <c r="X209" s="3" t="n"/>
      <c r="Y209" s="3" t="inlineStr">
        <is>
          <t>NOTHING OPEN</t>
        </is>
      </c>
    </row>
    <row r="210" ht="60" customHeight="1">
      <c r="A210" s="3" t="inlineStr">
        <is>
          <t>MK-CF-O-007</t>
        </is>
      </c>
      <c r="B210" s="3" t="inlineStr">
        <is>
          <t>theTaxOrganizer</t>
        </is>
      </c>
      <c r="C210" s="3" t="inlineStr">
        <is>
          <t>MoneyKeel/functions/cashflow/tax-organizer.ts</t>
        </is>
      </c>
      <c r="D210" s="3" t="n">
        <v>46</v>
      </c>
      <c r="E210" s="3" t="inlineStr">
        <is>
          <t>2 · DISPLAYED</t>
        </is>
      </c>
      <c r="F210" s="3" t="inlineStr">
        <is>
          <t>What will my taxes look like: each taxable line, the deduction and the tax?</t>
        </is>
      </c>
      <c r="G210" s="11" t="inlineStr">
        <is>
          <t>year = input.year (or the date ).get full year( when missing)
actual passive = round(income from accounts(input.accounts ?? [], input.transactions ?? []).annual)</t>
        </is>
      </c>
      <c r="H210" s="3" t="inlineStr">
        <is>
          <t>Year is input.year (or the date ).get full year( — when missing). Actual passive is income from accounts(input.accounts ?? [], input.transactions ?? [], to a whole number.annual).</t>
        </is>
      </c>
      <c r="I210" s="3" t="inlineStr">
        <is>
          <t>PARTLY READ — some of the code is still showing through; needs a hand pass</t>
        </is>
      </c>
      <c r="J210" s="3" t="inlineStr">
        <is>
          <t>Nothing is handed to it</t>
        </is>
      </c>
      <c r="K210" s="3" t="inlineStr">
        <is>
          <t>NOT DECLARED — the code does not say what it gives back</t>
        </is>
      </c>
      <c r="L210" s="3" t="inlineStr">
        <is>
          <t>NOT FOUND — a screen calls it, but the words printed beside its answer could not be traced automatically. Needs reading.</t>
        </is>
      </c>
      <c r="M210" s="3" t="inlineStr">
        <is>
          <t>1. Uses today's date from the device clock, so the answer changes by itself overnight.
2. Rounds the answer to a whole number.</t>
        </is>
      </c>
      <c r="N210" s="3" t="inlineStr">
        <is>
          <t>Yes</t>
        </is>
      </c>
      <c r="O210" s="3" t="inlineStr">
        <is>
          <t>1. MK-CF-F-184 incomeFromAccounts
2. MK-PL-F-031 taxOrganizer</t>
        </is>
      </c>
      <c r="P210" s="3" t="n">
        <v>75</v>
      </c>
      <c r="Q210" s="3" t="inlineStr">
        <is>
          <t>1. MK-CF-F-184 incomeFromAccounts
2. MK-PL-F-031 taxOrganizer
3. MK-CF-F-182 asPercent
4. MK-NW-F-011 assetClassOf
5. MK-ST-F-053 money
6. MK-CF-F-183 paidOutByAccount
7. MK-CF-F-070 benefitAnnual
8. MK-CF-F-072 currentRetirementIncomeMonthly
9. MK-CF-F-090 effectiveRate
10. MK-ST-F-056 has
11. MK-CF-F-132 map
12. MK-CF-F-068 rentalNetAnnual
13. MK-CF-F-066 rsuAnnual
14. MK-CF-F-082 salaryAnnual
15. MK-PL-F-082 taxableIncomeSteps
16. MK-CF-F-074 tipsAnnual
17. MK-ST-F-052 toNum
18. MK-NW-F-120 classEvidenceOf
19. MK-ST-F-049 formatMoney
20. MK-XS-F-122 n
21. MK-ST-F-065 isoLocalDate
22. MK-CF-F-069 benefitActiveMonths
23. MK-CF-F-075 retirementIncomeMonthly
24. MK-CF-F-181 rateInForce
25. MK-CF-O-002 expenses
26. MK-CF-F-067 rentalList
27. MK-CF-F-062 equityRowValue
28. MK-CF-F-063 rowVestYear
29. MK-CF-F-060 salaryGrossByMonth
30. MK-CF-F-099 deductionFor
31. MK-CF-F-085 filingStatusOf
32. MK-CF-F-188 householdPreTaxContributionsAnnual
33. MK-ST-F-039 on
34. MK-CF-F-089 over65CountOf
35. MK-CF-F-187 seniorDeductionFor
36. MK-CF-F-081 salaryActiveMonths
37. MK-CF-F-155 cash
38. MK-NW-F-008 incomeBearingClassOf
39. MK-NW-F-009 maturityClass
40. MK-ST-F-048 currencySymbol
41. MK-CF-F-173 earnerWages
42. MK-CF-F-180 enteredLandsAnnual
43. MK-CF-F-206 householdK401ByMonth
44. MK-CF-F-086 stateRateOf
45. MK-CF-F-101 taxOwedFor
46. MK-CF-F-084 taxableAnnual
47. MK-CF-F-151 actualSpending
48. MK-CF-F-150 debtPaymentsCountedAsExpenses
49. MK-CF-F-153 radar
50. MK-CF-F-149 recurringDebtPayments
51. MK-ST-F-085 rentFigure
52. MK-CF-F-176 sumMonthsOverEarners
53. MK-CF-F-177 wageGrossByMonth
54. MK-CF-F-175 sumOverEarners
55. MK-ST-F-010 nameEvidence
56. MK-NW-F-068 prettyDay
57. MK-ST-F-047 activeCurrency
58. MK-CF-F-172 hasWage
59. MK-CF-F-100 taxableIncomeFor
60. MK-CF-F-071 extraIncome
61. MK-CF-F-148 inMonth
62. MK-CF-F-191 ym
63. MK-CF-F-022 paymentShape
64. MK-CF-F-152 isRadarItem
65. MK-CF-F-023 requiredPayment
66. MK-CF-F-130 enteredMonthlyRaw
67. MK-CF-F-166 hasMonthlySalaryTable
68. MK-ST-F-036 reconcile
69. MK-CF-F-167 salaryCalendarYear
70. MK-XS-F-147 call
71. MK-CF-F-021 defaultPaymentType
72. MK-CF-F-165 salaryMonths
73. MK-ST-F-027 accountId
74. MK-XS-F-064 currentIdToken
75. MK-XS-F-112 relayUrl</t>
        </is>
      </c>
      <c r="R210" s="3" t="inlineStr">
        <is>
          <t>1. MK-CF-F-182 asPercent → MK-CF-F-184 incomeFromAccounts → MK-CF-O-007 theTaxOrganizer
2. MK-XS-F-122 n → MK-CF-F-155 cash → MK-NW-F-120 classEvidenceOf → MK-NW-F-011 assetClassOf → MK-CF-F-184 incomeFromAccounts → MK-CF-O-007 theTaxOrganizer
3. MK-CF-F-155 cash → MK-NW-F-008 incomeBearingClassOf → MK-NW-F-120 classEvidenceOf → MK-NW-F-011 assetClassOf → MK-CF-F-184 incomeFromAccounts → MK-CF-O-007 theTaxOrganizer
4. MK-ST-F-010 nameEvidence → MK-NW-F-008 incomeBearingClassOf → MK-NW-F-120 classEvidenceOf → MK-NW-F-011 assetClassOf → MK-CF-F-184 incomeFromAccounts → MK-CF-O-007 theTaxOrganizer
5. assetClassOf (already above — a loop) → MK-NW-F-009 maturityClass → MK-NW-F-120 classEvidenceOf → MK-NW-F-011 assetClassOf → MK-CF-F-184 incomeFromAccounts → MK-CF-O-007 theTaxOrganizer
6. MK-NW-F-068 prettyDay → MK-NW-F-009 maturityClass → MK-NW-F-120 classEvidenceOf → MK-NW-F-011 assetClassOf → MK-CF-F-184 incomeFromAccounts → MK-CF-O-007 theTaxOrganizer
7. MK-ST-F-047 activeCurrency → MK-ST-F-048 currencySymbol → MK-ST-F-049 formatMoney → MK-ST-F-053 money → MK-CF-F-184 incomeFromAccounts → MK-CF-O-007 theTaxOrganizer
8. MK-XS-F-122 n → MK-ST-F-049 formatMoney → MK-ST-F-053 money → MK-CF-F-184 incomeFromAccounts → MK-CF-O-007 theTaxOrganizer
9. … and 4 more paths</t>
        </is>
      </c>
      <c r="S210" s="3" t="inlineStr">
        <is>
          <t>—</t>
        </is>
      </c>
      <c r="T210" s="3" t="inlineStr">
        <is>
          <t>—</t>
        </is>
      </c>
      <c r="U210" s="3" t="inlineStr">
        <is>
          <t>ACTIVE</t>
        </is>
      </c>
      <c r="V210" s="3" t="inlineStr">
        <is>
          <t>2026-09-28</t>
        </is>
      </c>
      <c r="W210" s="3" t="n"/>
      <c r="X210" s="3" t="n"/>
      <c r="Y210" s="3" t="inlineStr">
        <is>
          <t>NOTHING OPEN</t>
        </is>
      </c>
    </row>
    <row r="211" ht="60" customHeight="1">
      <c r="A211" s="3" t="inlineStr">
        <is>
          <t>MK-CF-O-008</t>
        </is>
      </c>
      <c r="B211" s="3" t="inlineStr">
        <is>
          <t>whatsComing</t>
        </is>
      </c>
      <c r="C211" s="3" t="inlineStr">
        <is>
          <t>MoneyKeel/functions/cashflow/whats-coming.ts</t>
        </is>
      </c>
      <c r="D211" s="3" t="n">
        <v>58</v>
      </c>
      <c r="E211" s="3" t="inlineStr">
        <is>
          <t>2 · DISPLAYED</t>
        </is>
      </c>
      <c r="F211" s="3" t="inlineStr">
        <is>
          <t>Which bills and paychecks are coming over the next twelve months, and which look out of the ordinary?</t>
        </is>
      </c>
      <c r="G211" s="11" t="inlineStr">
        <is>
          <t>bills = bills
next = the first of bills   if count of bills
nothing   otherwise</t>
        </is>
      </c>
      <c r="H211" s="3" t="inlineStr">
        <is>
          <t>bills = bills; next = the first of bills — when how many bills there are; no answer — otherwise.</t>
        </is>
      </c>
      <c r="I211" s="3" t="inlineStr">
        <is>
          <t>READ FROM THE CODE — rendered from the expressions the function runs</t>
        </is>
      </c>
      <c r="J211" s="3" t="inlineStr">
        <is>
          <t>Nothing is handed to it</t>
        </is>
      </c>
      <c r="K211" s="3" t="inlineStr">
        <is>
          <t>NOT DECLARED — the code does not say what it gives back</t>
        </is>
      </c>
      <c r="L211" s="3" t="inlineStr">
        <is>
          <t>1. "Bill calendar" — on the Bill calendar screen
2. "IF YOU CAN" — on the Bill calendar screen, under "IF YOU CAN"</t>
        </is>
      </c>
      <c r="M211" s="3" t="inlineStr">
        <is>
          <t>1. If start balance is missing it uses 0.
2. Uses today's date from the device clock, so the answer changes by itself overnight.</t>
        </is>
      </c>
      <c r="N211" s="3" t="inlineStr">
        <is>
          <t>Yes</t>
        </is>
      </c>
      <c r="O211" s="3" t="inlineStr">
        <is>
          <t>MK-CF-F-019 upcomingBills</t>
        </is>
      </c>
      <c r="P211" s="3" t="n">
        <v>117</v>
      </c>
      <c r="Q211" s="3" t="inlineStr">
        <is>
          <t>1. MK-CF-F-019 upcomingBills
2. MK-CF-F-122 addDays
3. MK-CF-F-070 benefitAnnual
4. MK-CF-F-072 currentRetirementIncomeMonthly
5. MK-CF-F-160 daysBetweenDates
6. MK-CF-F-090 effectiveRate
7. MK-CF-F-061 grossSalaryMonthly
8. MK-ST-F-065 isoLocalDate
9. MK-CF-F-132 map
10. MK-CF-F-124 nextOccurrence
11. MK-CF-F-068 rentalNetAnnual
12. MK-CF-F-004 spendBuckets
13. MK-CF-F-084 taxableAnnual
14. MK-ST-F-052 toNum
15. MK-CF-F-083 totalGrossAnnual
16. MK-CF-F-069 benefitActiveMonths
17. MK-CF-F-075 retirementIncomeMonthly
18. MK-CF-F-181 rateInForce
19. MK-CF-F-060 salaryGrossByMonth
20. MK-CF-O-002 expenses
21. MK-CF-F-067 rentalList
22. MK-CF-F-003 categoryMonthly
23. MK-CF-F-071 extraIncome
24. MK-CF-F-066 rsuAnnual
25. MK-CF-F-082 salaryAnnual
26. MK-CF-F-074 tipsAnnual
27. MK-XS-F-122 n
28. MK-CF-F-173 earnerWages
29. MK-CF-F-180 enteredLandsAnnual
30. MK-CF-F-085 filingStatusOf
31. MK-CF-F-206 householdK401ByMonth
32. MK-CF-F-089 over65CountOf
33. MK-CF-F-086 stateRateOf
34. MK-CF-F-101 taxOwedFor
35. MK-CF-F-176 sumMonthsOverEarners
36. MK-CF-F-177 wageGrossByMonth
37. MK-CF-F-151 actualSpending
38. MK-CF-F-150 debtPaymentsCountedAsExpenses
39. MK-CF-F-153 radar
40. MK-CF-F-149 recurringDebtPayments
41. MK-ST-F-085 rentFigure
42. MK-CF-F-120 pctBaseMonthly
43. MK-XS-F-027 takeHomeMonthly
44. MK-ST-F-039 on
45. MK-CF-F-062 equityRowValue
46. MK-CF-F-063 rowVestYear
47. MK-CF-F-081 salaryActiveMonths
48. MK-CF-F-172 hasWage
49. MK-CF-F-100 taxableIncomeFor
50. MK-CF-F-130 enteredMonthlyRaw
51. MK-CF-F-166 hasMonthlySalaryTable
52. MK-ST-F-036 reconcile
53. MK-CF-F-167 salaryCalendarYear
54. MK-CF-F-148 inMonth
55. MK-CF-F-191 ym
56. MK-ST-F-056 has
57. MK-CF-F-022 paymentShape
58. MK-CF-F-152 isRadarItem
59. MK-CF-F-023 requiredPayment
60. MK-CF-F-092 incomeMonthlyGrid
61. MK-CF-F-011 savingsByMonth
62. MK-CF-F-099 deductionFor
63. MK-CF-F-165 salaryMonths
64. MK-CF-F-021 defaultPaymentType
65. MK-CF-F-065 equityVestWeights
66. MK-CF-F-087 monthlyTaxRates
67. MK-CF-F-073 otherIncomeMonth
68. MK-CF-F-077 scholarshipByCalendarMonth
69. MK-CF-F-088 taxableByCalendarMonth
70. MK-PL-F-012 waterfall
71. MK-CF-F-008 spendByMonth
72. MK-CF-F-187 seniorDeductionFor
73. MK-CF-F-203 MONTH
74. MK-CF-O-010 theMonth
75. MK-CF-F-155 cash
76. MK-CF-O-003 thisMonth
77. MK-CF-F-005 actualMonthFlow
78. MK-CF-F-156 plannedMonthFlow
79. MK-NW-F-078 ONE
80. MK-CF-F-157 debtPaymentsByDebt
81. MK-CF-F-192 inflowLabel
82. MK-NW-F-077 ALL
83. MK-NW-F-059 currentYield
84. MK-XS-F-180 declareFigures
85. MK-ST-F-049 formatMoney
86. MK-ST-F-053 money
87. MK-NW-O-001 theBonds
88. MK-CF-F-193 inflowSourceWord
89. MK-NW-F-112 yearlyInterest
90. MK-ST-F-048 currencySymbol
91. MK-ST-F-027 accountId
92. MK-NW-F-057 annualCoupon
93. MK-NW-F-056 bondInfo
94. MK-NW-F-064 bondRateSensitivity
95. MK-NW-F-061 bondSummary
96. MK-NW-F-055 isBond
97. MK-NW-F-072 rowOf
98. MK-ST-F-047 activeCurrency
99. MK-NW-F-060 approxYTM
100. MK-NW-F-069 priceAtYield
101. MK-NW-F-131 pricedLikeBond
102. MK-NW-F-125 isPastMaturity
103. MK-NW-F-126 yearlyInterestNow
104. MK-NW-F-011 assetClassOf
105. MK-NW-F-070 accruedInterestCaveat
106. MK-NW-F-058 yearsToMaturity
107. MK-NW-F-119 estimatedAccrued
108. MK-NW-F-124 maturityParts
109. MK-NW-F-120 classEvidenceOf
110. MK-NW-F-067 plural
111. MK-NW-F-008 incomeBearingClassOf
112. MK-NW-F-009 maturityClass
113. MK-ST-F-010 nameEvidence
114. MK-NW-F-068 prettyDay
115. MK-XS-F-147 call
116. MK-XS-F-064 currentIdToken
117. MK-XS-F-112 relayUrl</t>
        </is>
      </c>
      <c r="R211" s="3" t="inlineStr">
        <is>
          <t>1. MK-CF-F-122 addDays → MK-CF-F-019 upcomingBills → MK-CF-O-008 whatsComing
2. MK-CF-F-069 benefitActiveMonths → MK-CF-F-070 benefitAnnual → MK-CF-F-019 upcomingBills → MK-CF-O-008 whatsComing
3. MK-XS-F-122 n → MK-ST-F-052 toNum → MK-CF-F-070 benefitAnnual → MK-CF-F-019 upcomingBills → MK-CF-O-008 whatsComing
4. MK-XS-F-122 n → MK-ST-F-052 toNum → MK-CF-F-075 retirementIncomeMonthly → MK-CF-F-072 currentRetirementIncomeMonthly → MK-CF-F-019 upcomingBills → MK-CF-O-008 whatsComing
5. MK-CF-F-160 daysBetweenDates → MK-CF-F-019 upcomingBills → MK-CF-O-008 whatsComing
6. MK-CF-F-172 hasWage → MK-CF-F-173 earnerWages → MK-CF-F-181 rateInForce → MK-CF-F-090 effectiveRate → MK-CF-F-019 upcomingBills → MK-CF-O-008 whatsComing
7. MK-CF-F-173 earnerWages → MK-CF-F-180 enteredLandsAnnual → MK-CF-F-181 rateInForce → MK-CF-F-090 effectiveRate → MK-CF-F-019 upcomingBills → MK-CF-O-008 whatsComing
8. MK-ST-F-052 toNum → MK-CF-F-180 enteredLandsAnnual → MK-CF-F-181 rateInForce → MK-CF-F-090 effectiveRate → MK-CF-F-019 upcomingBills → MK-CF-O-008 whatsComing
9. … and 4 more paths</t>
        </is>
      </c>
      <c r="S211" s="3" t="inlineStr">
        <is>
          <t>MK-CF-M-012 · MK-CF-M-016 · MK-CF-M-028 · MK-CF-M-060 · MK-CF-M-061 · MK-CF-M-062 · MK-CF-M-063 · MK-MN-M-030</t>
        </is>
      </c>
      <c r="T211" s="3" t="inlineStr">
        <is>
          <t>—</t>
        </is>
      </c>
      <c r="U211" s="3" t="inlineStr">
        <is>
          <t>ACTIVE</t>
        </is>
      </c>
      <c r="V211" s="3" t="inlineStr">
        <is>
          <t>2026-09-28</t>
        </is>
      </c>
      <c r="W211" s="3" t="n"/>
      <c r="X211" s="3" t="n"/>
      <c r="Y211" s="3" t="inlineStr">
        <is>
          <t>NOTHING OPEN</t>
        </is>
      </c>
    </row>
    <row r="212" ht="60" customHeight="1">
      <c r="A212" s="3" t="inlineStr">
        <is>
          <t>MK-CF-O-010</t>
        </is>
      </c>
      <c r="B212" s="3" t="inlineStr">
        <is>
          <t>theMonth</t>
        </is>
      </c>
      <c r="C212" s="3" t="inlineStr">
        <is>
          <t>MoneyKeel/functions/cashflow/the-month.ts</t>
        </is>
      </c>
      <c r="D212" s="3" t="n">
        <v>86</v>
      </c>
      <c r="E212" s="3" t="inlineStr">
        <is>
          <t>2 · DISPLAYED</t>
        </is>
      </c>
      <c r="F212" s="3" t="inlineStr">
        <is>
          <t>How is this month going: the plan, what has actually happened, the detail behind the expenses, and what is free after anything already promised to a goal?</t>
        </is>
      </c>
      <c r="G212" s="11" t="inlineStr">
        <is>
          <t>flow = this month(input)
committed = cash((input.commitments ?? []).reduce((t, c) =&gt; t + (monthly amount or 0), 0))</t>
        </is>
      </c>
      <c r="H212" s="3" t="inlineStr">
        <is>
          <t>Flow is this month(input). Committed is cash((input.commitments ?? []).reduce((t, c) =&gt; t plus (monthly amount or 0), 0)).</t>
        </is>
      </c>
      <c r="I212" s="3" t="inlineStr">
        <is>
          <t>PARTLY READ — some of the code is still showing through; needs a hand pass</t>
        </is>
      </c>
      <c r="J212" s="3" t="inlineStr">
        <is>
          <t>input: MonthInput &amp; ExpensesInput</t>
        </is>
      </c>
      <c r="K212" s="3" t="inlineStr">
        <is>
          <t>TheMonth</t>
        </is>
      </c>
      <c r="L212" s="3" t="inlineStr">
        <is>
          <t>1. "ACTUAL EXPENSES" — on the Cash flow screen, under "ACTUAL EXPENSES"
2. "Cash flow" — on the Cash flow screen
3. "DEBT PAYMENTS COUNTED AS EXPENSES" — on the Cash flow screen, under "DEBT PAYMENTS COUNTED AS EXPENSES"
4. "ENTERED BY HAND" — on the Cash flow screen, under "ENTERED BY HAND"
5. "IMPORTED FROM YOUR CARD" — on the Cash flow screen, under "IMPORTED FROM YOUR CARD"
6. "MONTHLY RECURRING EXPENSES" — on the Cash flow screen, under "MONTHLY RECURRING EXPENSES"</t>
        </is>
      </c>
      <c r="M212" s="3" t="inlineStr">
        <is>
          <t>· If monthly amount is missing it counts as zero, so nothing recorded and a real zero look the same.</t>
        </is>
      </c>
      <c r="N212" s="3" t="inlineStr">
        <is>
          <t>Yes</t>
        </is>
      </c>
      <c r="O212" s="3" t="inlineStr">
        <is>
          <t>1. MK-CF-F-203 MONTH
2. MK-CF-F-155 cash
3. MK-CF-O-002 expenses
4. MK-CF-O-003 thisMonth</t>
        </is>
      </c>
      <c r="P212" s="3" t="n">
        <v>110</v>
      </c>
      <c r="Q212" s="3" t="inlineStr">
        <is>
          <t>1. MK-CF-F-203 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MK-NW-F-131 pricedLikeBond
65. MK-NW-F-125 isPastMaturity
66. MK-ST-F-065 isoLocalDate
67. MK-NW-F-126 yearlyInterestNow
68. MK-NW-F-011 assetClassOf
69. MK-NW-F-070 accruedInterestCaveat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MK-NW-F-119 estimatedAccrued
93. MK-NW-F-124 maturityParts
94. MK-NW-F-120 classEvidenceOf
95. MK-NW-F-067 plural
96. MK-CF-F-100 taxableIncomeFor
97. MK-CF-F-074 tipsAnnual
98. MK-ST-F-085 rentFigure
99. MK-CF-F-165 salaryMonths
100. MK-CF-F-003 categoryMonthly
101. MK-NW-F-008 incomeBearingClassOf
102. MK-NW-F-009 maturityClass
103. MK-CF-F-099 deductionFor
104. MK-CF-F-081 salaryActiveMonths
105. MK-ST-F-010 nameEvidence
106. MK-NW-F-068 prettyDay
107. MK-CF-F-187 seniorDeductionFor
108. MK-XS-F-147 call
109. MK-XS-F-064 currentIdToken
110. MK-XS-F-112 relayUrl</t>
        </is>
      </c>
      <c r="R212" s="3" t="inlineStr">
        <is>
          <t>1. theMonth (already above — a loop) → MK-CF-F-203 MONTH → MK-CF-O-010 theMonth
2. MK-XS-F-122 n → MK-CF-F-155 cash → MK-CF-O-010 theMonth
3. MK-CF-F-191 ym → MK-CF-F-148 inMonth → MK-CF-F-151 actualSpending → MK-CF-O-002 expenses → MK-CF-O-010 theMonth
4. MK-XS-F-122 n → MK-ST-F-052 toNum → MK-CF-F-151 actualSpending → MK-CF-O-002 expenses → MK-CF-O-010 theMonth
5. MK-CF-F-191 ym → MK-CF-F-151 actualSpending → MK-CF-O-002 expenses → MK-CF-O-010 theMonth
6. MK-ST-F-056 has → MK-CF-F-150 debtPaymentsCountedAsExpenses → MK-CF-O-002 expenses → MK-CF-O-010 theMonth
7. MK-CF-F-191 ym → MK-CF-F-148 inMonth → MK-CF-F-150 debtPaymentsCountedAsExpenses → MK-CF-O-002 expenses → MK-CF-O-010 theMonth
8. MK-CF-F-021 defaultPaymentType → MK-CF-F-022 paymentShape → MK-CF-F-150 debtPaymentsCountedAsExpenses → MK-CF-O-002 expenses → MK-CF-O-010 theMonth
9. … and 5 more paths</t>
        </is>
      </c>
      <c r="S212" s="3" t="inlineStr">
        <is>
          <t>MK-CF-M-001 · MK-CF-M-002 · MK-CF-M-003 · MK-CF-M-013 · MK-CF-M-014 · MK-CF-M-015 · MK-CF-M-020 · MK-CF-M-021 · MK-CF-M-056</t>
        </is>
      </c>
      <c r="T212" s="3" t="inlineStr">
        <is>
          <t>—</t>
        </is>
      </c>
      <c r="U212" s="3" t="inlineStr">
        <is>
          <t>ACTIVE</t>
        </is>
      </c>
      <c r="V212" s="3" t="inlineStr">
        <is>
          <t>2026-10-01</t>
        </is>
      </c>
      <c r="W212" s="3" t="n"/>
      <c r="X212" s="3" t="n"/>
      <c r="Y212" s="3" t="inlineStr">
        <is>
          <t>NOTHING OPEN</t>
        </is>
      </c>
    </row>
    <row r="213" ht="60" customHeight="1">
      <c r="A213" s="3" t="inlineStr">
        <is>
          <t>MK-CF-O-011</t>
        </is>
      </c>
      <c r="B213" s="3" t="inlineStr">
        <is>
          <t>PAY</t>
        </is>
      </c>
      <c r="C213" s="3" t="inlineStr">
        <is>
          <t>MoneyKeel/functions/cashflow/base-pay.ts</t>
        </is>
      </c>
      <c r="D213" s="3" t="n">
        <v>672</v>
      </c>
      <c r="E213" s="3" t="inlineStr">
        <is>
          <t>1 · ACTION</t>
        </is>
      </c>
      <c r="F213" s="3" t="inlineStr">
        <is>
          <t>Example only: runs basePay on the worked example household with a tax rate of their own.</t>
        </is>
      </c>
      <c r="G213" s="11" t="inlineStr">
        <is>
          <t>NOT READ YET — the body is not a shape this can render faithfully, so nothing is claimed rather than something being guessed. It needs reading by hand.</t>
        </is>
      </c>
      <c r="H213" s="3" t="inlineStr">
        <is>
          <t>NOT READ YET — the body is not a shape this can render faithfully, so nothing is claimed rather than something being guessed. It needs reading by hand.</t>
        </is>
      </c>
      <c r="I213" s="3" t="inlineStr">
        <is>
          <t>NOT READ — nothing is claimed rather than something guessed</t>
        </is>
      </c>
      <c r="J213" s="3" t="inlineStr">
        <is>
          <t>Nothing is handed to it</t>
        </is>
      </c>
      <c r="K213" s="3" t="inlineStr">
        <is>
          <t>EXAMPLE_EARNERS as any, filingStatus: 'married', over65: 0,</t>
        </is>
      </c>
      <c r="L213" s="3" t="inlineStr">
        <is>
          <t>—</t>
        </is>
      </c>
      <c r="M213" s="3" t="inlineStr">
        <is>
          <t>None found in this function — anything it assumes comes from the functions it depends on.</t>
        </is>
      </c>
      <c r="N213" s="3" t="inlineStr">
        <is>
          <t>No</t>
        </is>
      </c>
      <c r="O213" s="3" t="inlineStr">
        <is>
          <t>MK-CF-O-001 basePay</t>
        </is>
      </c>
      <c r="P213" s="3" t="n">
        <v>128</v>
      </c>
      <c r="Q213"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MK-NW-F-067 plural
26. MK-CF-F-173 earnerWages
27. MK-CF-F-180 enteredLandsAnnual
28. MK-CF-F-085 filingStatusOf
29. MK-CF-F-206 householdK401ByMonth
30. MK-CF-F-089 over65CountOf
31. MK-CF-F-082 salaryAnnual
32. MK-CF-F-086 stateRateOf
33. MK-CF-F-101 taxOwedFor
34. MK-CF-F-084 taxableAnnual
35. MK-CF-F-142 monthsOf
36. MK-CF-F-141 perMonth
37. MK-ST-F-056 has
38. MK-ST-F-039 on
39. MK-CF-O-010 theMonth
40. MK-CF-F-099 deductionFor
41. MK-ST-F-048 currencySymbol
42. MK-CF-F-172 hasWage
43. MK-CF-F-176 sumMonthsOverEarners
44. MK-CF-F-177 wageGrossByMonth
45. MK-CF-F-060 salaryGrossByMonth
46. MK-CF-F-072 currentRetirementIncomeMonthly
47. MK-CF-F-071 extraIncome
48. MK-CF-F-068 rentalNetAnnual
49. MK-CF-F-066 rsuAnnual
50. MK-CF-F-074 tipsAnnual
51. MK-CF-F-140 periodsAYear
52. MK-CF-O-002 expenses
53. MK-CF-O-003 thisMonth
54. MK-CF-F-187 seniorDeductionFor
55. MK-ST-F-047 activeCurrency
56. MK-CF-F-130 enteredMonthlyRaw
57. MK-CF-F-166 hasMonthlySalaryTable
58. MK-ST-F-036 reconcile
59. MK-CF-F-167 salaryCalendarYear
60. MK-CF-F-075 retirementIncomeMonthly
61. MK-CF-F-070 benefitAnnual
62. MK-CF-F-067 rentalList
63. MK-CF-F-062 equityRowValue
64. MK-CF-F-063 rowVestYear
65. MK-CF-F-081 salaryActiveMonths
66. MK-CF-F-151 actualSpending
67. MK-CF-F-150 debtPaymentsCountedAsExpenses
68. MK-CF-F-153 radar
69. MK-CF-F-149 recurringDebtPayments
70. MK-CF-F-005 actualMonthFlow
71. MK-CF-F-156 plannedMonthFlow
72. MK-CF-F-165 salaryMonths
73. MK-CF-F-069 benefitActiveMonths
74. MK-ST-F-085 rentFigure
75. MK-CF-F-148 inMonth
76. MK-CF-F-191 ym
77. MK-CF-F-022 paymentShape
78. MK-CF-F-152 isRadarItem
79. MK-CF-F-023 requiredPayment
80. MK-NW-F-078 ONE
81. MK-CF-F-157 debtPaymentsByDebt
82. MK-CF-F-192 inflowLabel
83. MK-XS-F-027 takeHomeMonthly
84. MK-CF-F-021 defaultPaymentType
85. MK-NW-F-077 ALL
86. MK-NW-F-059 currentYield
87. MK-NW-O-001 theBonds
88. MK-CF-F-193 inflowSourceWord
89. MK-CF-F-092 incomeMonthlyGrid
90. MK-CF-F-011 savingsByMonth
91. MK-NW-F-112 yearlyInterest
92. MK-ST-F-027 accountId
93. MK-NW-F-057 annualCoupon
94. MK-NW-F-056 bondInfo
95. MK-NW-F-064 bondRateSensitivity
96. MK-NW-F-061 bondSummary
97. MK-NW-F-055 isBond
98. MK-NW-F-072 rowOf
99. MK-CF-F-065 equityVestWeights
100. MK-CF-F-087 monthlyTaxRates
101. MK-CF-F-073 otherIncomeMonth
102. MK-CF-F-077 scholarshipByCalendarMonth
103. MK-CF-F-088 taxableByCalendarMonth
104. MK-PL-F-012 waterfall
105. MK-CF-F-008 spendByMonth
106. MK-NW-F-060 approxYTM
107. MK-NW-F-069 priceAtYield
108. MK-NW-F-131 pricedLikeBond
109. MK-NW-F-125 isPastMaturity
110. MK-ST-F-065 isoLocalDate
111. MK-NW-F-126 yearlyInterestNow
112. MK-NW-F-011 assetClassOf
113. MK-NW-F-070 accruedInterestCaveat
114. MK-NW-F-058 yearsToMaturity
115. MK-CF-F-090 effectiveRate
116. MK-CF-F-120 pctBaseMonthly
117. MK-CF-F-004 spendBuckets
118. MK-NW-F-119 estimatedAccrued
119. MK-NW-F-124 maturityParts
120. MK-NW-F-120 classEvidenceOf
121. MK-CF-F-003 categoryMonthly
122. MK-NW-F-008 incomeBearingClassOf
123. MK-NW-F-009 maturityClass
124. MK-ST-F-010 nameEvidence
125. MK-NW-F-068 prettyDay
126. MK-XS-F-147 call
127. MK-XS-F-064 currentIdToken
128. MK-XS-F-112 relayUrl</t>
        </is>
      </c>
      <c r="R213" s="3" t="inlineStr">
        <is>
          <t>1. MK-ST-F-034 firstDate → MK-ST-F-035 covers → MK-CF-O-001 basePay → MK-CF-O-011 PAY
2. MK-CF-F-142 monthsOf → MK-CF-F-128 grossByMonth → MK-CF-F-143 annualisedGross → MK-CF-F-171 earnerPay → MK-CF-O-001 basePay → MK-CF-O-011 PAY
3. MK-CF-F-141 perMonth → MK-CF-F-128 grossByMonth → MK-CF-F-143 annualisedGross → MK-CF-F-171 earnerPay → MK-CF-O-001 basePay → MK-CF-O-011 PAY
4. MK-CF-F-128 grossByMonth → MK-CF-F-143 annualisedGross → MK-CF-F-145 deductionsFromPay → MK-CF-F-171 earnerPay → MK-CF-O-001 basePay → MK-CF-O-011 PAY
5. MK-CF-F-143 annualisedGross → MK-CF-F-144 takeHomeAsEntered → MK-CF-F-145 deductionsFromPay → MK-CF-F-171 earnerPay → MK-CF-O-001 basePay → MK-CF-O-011 PAY
6. MK-CF-F-142 monthsOf → MK-CF-F-144 takeHomeAsEntered → MK-CF-F-145 deductionsFromPay → MK-CF-F-171 earnerPay → MK-CF-O-001 basePay → MK-CF-O-011 PAY
7. MK-ST-F-039 on → MK-CF-F-144 takeHomeAsEntered → MK-CF-F-145 deductionsFromPay → MK-CF-F-171 earnerPay → MK-CF-O-001 basePay → MK-CF-O-011 PAY
8. MK-CF-F-101 taxOwedFor → MK-CF-F-144 takeHomeAsEntered → MK-CF-F-145 deductionsFromPay → MK-CF-F-171 earnerPay → MK-CF-O-001 basePay → MK-CF-O-011 PAY
9. … and 4 more paths</t>
        </is>
      </c>
      <c r="S213" s="3" t="inlineStr">
        <is>
          <t>—</t>
        </is>
      </c>
      <c r="T213" s="3" t="inlineStr">
        <is>
          <t>—</t>
        </is>
      </c>
      <c r="U213" s="3" t="inlineStr">
        <is>
          <t>ACTIVE</t>
        </is>
      </c>
      <c r="V213" s="3" t="inlineStr">
        <is>
          <t>2026-09-28</t>
        </is>
      </c>
      <c r="W213" s="3" t="n"/>
      <c r="X213" s="3" t="n"/>
      <c r="Y213" s="3" t="inlineStr">
        <is>
          <t>NOTHING OPEN</t>
        </is>
      </c>
    </row>
    <row r="214" ht="60" customHeight="1">
      <c r="A214" s="3" t="inlineStr">
        <is>
          <t>MK-CF-O-012</t>
        </is>
      </c>
      <c r="B214" s="3" t="inlineStr">
        <is>
          <t>PAY_ESTIMATED</t>
        </is>
      </c>
      <c r="C214" s="3" t="inlineStr">
        <is>
          <t>MoneyKeel/functions/cashflow/base-pay.ts</t>
        </is>
      </c>
      <c r="D214" s="3" t="n">
        <v>695</v>
      </c>
      <c r="E214" s="3" t="inlineStr">
        <is>
          <t>1 · ACTION</t>
        </is>
      </c>
      <c r="F214" s="3" t="inlineStr">
        <is>
          <t>Example only: runs basePay on the worked example household with the tax rate calculated.</t>
        </is>
      </c>
      <c r="G214" s="11" t="inlineStr">
        <is>
          <t>NOT READ YET — the body is not a shape this can render faithfully, so nothing is claimed rather than something being guessed. It needs reading by hand.</t>
        </is>
      </c>
      <c r="H214" s="3" t="inlineStr">
        <is>
          <t>NOT READ YET — the body is not a shape this can render faithfully, so nothing is claimed rather than something being guessed. It needs reading by hand.</t>
        </is>
      </c>
      <c r="I214" s="3" t="inlineStr">
        <is>
          <t>NOT READ — nothing is claimed rather than something guessed</t>
        </is>
      </c>
      <c r="J214" s="3" t="inlineStr">
        <is>
          <t>Nothing is handed to it</t>
        </is>
      </c>
      <c r="K214" s="3" t="inlineStr">
        <is>
          <t>EXAMPLE_EARNERS as any, filingStatus: 'married', over65: 0, profile:</t>
        </is>
      </c>
      <c r="L214" s="3" t="inlineStr">
        <is>
          <t>—</t>
        </is>
      </c>
      <c r="M214" s="3" t="inlineStr">
        <is>
          <t>None found in this function — anything it assumes comes from the functions it depends on.</t>
        </is>
      </c>
      <c r="N214" s="3" t="inlineStr">
        <is>
          <t>No</t>
        </is>
      </c>
      <c r="O214" s="3" t="inlineStr">
        <is>
          <t>MK-CF-O-001 basePay</t>
        </is>
      </c>
      <c r="P214" s="3" t="n">
        <v>128</v>
      </c>
      <c r="Q214"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MK-NW-F-067 plural
26. MK-CF-F-173 earnerWages
27. MK-CF-F-180 enteredLandsAnnual
28. MK-CF-F-085 filingStatusOf
29. MK-CF-F-206 householdK401ByMonth
30. MK-CF-F-089 over65CountOf
31. MK-CF-F-082 salaryAnnual
32. MK-CF-F-086 stateRateOf
33. MK-CF-F-101 taxOwedFor
34. MK-CF-F-084 taxableAnnual
35. MK-CF-F-142 monthsOf
36. MK-CF-F-141 perMonth
37. MK-ST-F-056 has
38. MK-ST-F-039 on
39. MK-CF-O-010 theMonth
40. MK-CF-F-099 deductionFor
41. MK-ST-F-048 currencySymbol
42. MK-CF-F-172 hasWage
43. MK-CF-F-176 sumMonthsOverEarners
44. MK-CF-F-177 wageGrossByMonth
45. MK-CF-F-060 salaryGrossByMonth
46. MK-CF-F-072 currentRetirementIncomeMonthly
47. MK-CF-F-071 extraIncome
48. MK-CF-F-068 rentalNetAnnual
49. MK-CF-F-066 rsuAnnual
50. MK-CF-F-074 tipsAnnual
51. MK-CF-F-140 periodsAYear
52. MK-CF-O-002 expenses
53. MK-CF-O-003 thisMonth
54. MK-CF-F-187 seniorDeductionFor
55. MK-ST-F-047 activeCurrency
56. MK-CF-F-130 enteredMonthlyRaw
57. MK-CF-F-166 hasMonthlySalaryTable
58. MK-ST-F-036 reconcile
59. MK-CF-F-167 salaryCalendarYear
60. MK-CF-F-075 retirementIncomeMonthly
61. MK-CF-F-070 benefitAnnual
62. MK-CF-F-067 rentalList
63. MK-CF-F-062 equityRowValue
64. MK-CF-F-063 rowVestYear
65. MK-CF-F-081 salaryActiveMonths
66. MK-CF-F-151 actualSpending
67. MK-CF-F-150 debtPaymentsCountedAsExpenses
68. MK-CF-F-153 radar
69. MK-CF-F-149 recurringDebtPayments
70. MK-CF-F-005 actualMonthFlow
71. MK-CF-F-156 plannedMonthFlow
72. MK-CF-F-165 salaryMonths
73. MK-CF-F-069 benefitActiveMonths
74. MK-ST-F-085 rentFigure
75. MK-CF-F-148 inMonth
76. MK-CF-F-191 ym
77. MK-CF-F-022 paymentShape
78. MK-CF-F-152 isRadarItem
79. MK-CF-F-023 requiredPayment
80. MK-NW-F-078 ONE
81. MK-CF-F-157 debtPaymentsByDebt
82. MK-CF-F-192 inflowLabel
83. MK-XS-F-027 takeHomeMonthly
84. MK-CF-F-021 defaultPaymentType
85. MK-NW-F-077 ALL
86. MK-NW-F-059 currentYield
87. MK-NW-O-001 theBonds
88. MK-CF-F-193 inflowSourceWord
89. MK-CF-F-092 incomeMonthlyGrid
90. MK-CF-F-011 savingsByMonth
91. MK-NW-F-112 yearlyInterest
92. MK-ST-F-027 accountId
93. MK-NW-F-057 annualCoupon
94. MK-NW-F-056 bondInfo
95. MK-NW-F-064 bondRateSensitivity
96. MK-NW-F-061 bondSummary
97. MK-NW-F-055 isBond
98. MK-NW-F-072 rowOf
99. MK-CF-F-065 equityVestWeights
100. MK-CF-F-087 monthlyTaxRates
101. MK-CF-F-073 otherIncomeMonth
102. MK-CF-F-077 scholarshipByCalendarMonth
103. MK-CF-F-088 taxableByCalendarMonth
104. MK-PL-F-012 waterfall
105. MK-CF-F-008 spendByMonth
106. MK-NW-F-060 approxYTM
107. MK-NW-F-069 priceAtYield
108. MK-NW-F-131 pricedLikeBond
109. MK-NW-F-125 isPastMaturity
110. MK-ST-F-065 isoLocalDate
111. MK-NW-F-126 yearlyInterestNow
112. MK-NW-F-011 assetClassOf
113. MK-NW-F-070 accruedInterestCaveat
114. MK-NW-F-058 yearsToMaturity
115. MK-CF-F-090 effectiveRate
116. MK-CF-F-120 pctBaseMonthly
117. MK-CF-F-004 spendBuckets
118. MK-NW-F-119 estimatedAccrued
119. MK-NW-F-124 maturityParts
120. MK-NW-F-120 classEvidenceOf
121. MK-CF-F-003 categoryMonthly
122. MK-NW-F-008 incomeBearingClassOf
123. MK-NW-F-009 maturityClass
124. MK-ST-F-010 nameEvidence
125. MK-NW-F-068 prettyDay
126. MK-XS-F-147 call
127. MK-XS-F-064 currentIdToken
128. MK-XS-F-112 relayUrl</t>
        </is>
      </c>
      <c r="R214" s="3" t="inlineStr">
        <is>
          <t>1. MK-ST-F-034 firstDate → MK-ST-F-035 covers → MK-CF-O-001 basePay → MK-CF-O-012 PAY_ESTIMATED
2. MK-CF-F-142 monthsOf → MK-CF-F-128 grossByMonth → MK-CF-F-143 annualisedGross → MK-CF-F-171 earnerPay → MK-CF-O-001 basePay → MK-CF-O-012 PAY_ESTIMATED
3. MK-CF-F-141 perMonth → MK-CF-F-128 grossByMonth → MK-CF-F-143 annualisedGross → MK-CF-F-171 earnerPay → MK-CF-O-001 basePay → MK-CF-O-012 PAY_ESTIMATED
4. MK-CF-F-128 grossByMonth → MK-CF-F-143 annualisedGross → MK-CF-F-145 deductionsFromPay → MK-CF-F-171 earnerPay → MK-CF-O-001 basePay → MK-CF-O-012 PAY_ESTIMATED
5. MK-CF-F-143 annualisedGross → MK-CF-F-144 takeHomeAsEntered → MK-CF-F-145 deductionsFromPay → MK-CF-F-171 earnerPay → MK-CF-O-001 basePay → MK-CF-O-012 PAY_ESTIMATED
6. MK-CF-F-142 monthsOf → MK-CF-F-144 takeHomeAsEntered → MK-CF-F-145 deductionsFromPay → MK-CF-F-171 earnerPay → MK-CF-O-001 basePay → MK-CF-O-012 PAY_ESTIMATED
7. MK-ST-F-039 on → MK-CF-F-144 takeHomeAsEntered → MK-CF-F-145 deductionsFromPay → MK-CF-F-171 earnerPay → MK-CF-O-001 basePay → MK-CF-O-012 PAY_ESTIMATED
8. MK-CF-F-101 taxOwedFor → MK-CF-F-144 takeHomeAsEntered → MK-CF-F-145 deductionsFromPay → MK-CF-F-171 earnerPay → MK-CF-O-001 basePay → MK-CF-O-012 PAY_ESTIMATED
9. … and 4 more paths</t>
        </is>
      </c>
      <c r="S214" s="3" t="inlineStr">
        <is>
          <t>—</t>
        </is>
      </c>
      <c r="T214" s="3" t="inlineStr">
        <is>
          <t>—</t>
        </is>
      </c>
      <c r="U214" s="3" t="inlineStr">
        <is>
          <t>ACTIVE</t>
        </is>
      </c>
      <c r="V214" s="3" t="inlineStr">
        <is>
          <t>2026-09-28</t>
        </is>
      </c>
      <c r="W214" s="3" t="n"/>
      <c r="X214" s="3" t="n"/>
      <c r="Y214" s="3" t="inlineStr">
        <is>
          <t>NOTHING OPEN</t>
        </is>
      </c>
    </row>
    <row r="215" ht="60" customHeight="1">
      <c r="A215" s="3" t="inlineStr">
        <is>
          <t>MK-CF-O-013</t>
        </is>
      </c>
      <c r="B215" s="3" t="inlineStr">
        <is>
          <t>PAY_LANDS_TYPED</t>
        </is>
      </c>
      <c r="C215" s="3" t="inlineStr">
        <is>
          <t>MoneyKeel/functions/cashflow/base-pay.ts</t>
        </is>
      </c>
      <c r="D215" s="3" t="n">
        <v>715</v>
      </c>
      <c r="E215" s="3" t="inlineStr">
        <is>
          <t>1 · ACTION</t>
        </is>
      </c>
      <c r="F215" s="3" t="inlineStr">
        <is>
          <t>Example only: runs basePay on the worked example household with the take-home entered.</t>
        </is>
      </c>
      <c r="G215" s="11" t="inlineStr">
        <is>
          <t>NOT READ YET — the body is not a shape this can render faithfully, so nothing is claimed rather than something being guessed. It needs reading by hand.</t>
        </is>
      </c>
      <c r="H215" s="3" t="inlineStr">
        <is>
          <t>NOT READ YET — the body is not a shape this can render faithfully, so nothing is claimed rather than something being guessed. It needs reading by hand.</t>
        </is>
      </c>
      <c r="I215" s="3" t="inlineStr">
        <is>
          <t>NOT READ — nothing is claimed rather than something guessed</t>
        </is>
      </c>
      <c r="J215" s="3" t="inlineStr">
        <is>
          <t>Nothing is handed to it</t>
        </is>
      </c>
      <c r="K215" s="3" t="inlineStr">
        <is>
          <t>EXAMPLE_EARNERS_WITH_LANDS as any, filingStatus: 'married', over65: 0, profile:</t>
        </is>
      </c>
      <c r="L215" s="3" t="inlineStr">
        <is>
          <t>—</t>
        </is>
      </c>
      <c r="M215" s="3" t="inlineStr">
        <is>
          <t>None found in this function — anything it assumes comes from the functions it depends on.</t>
        </is>
      </c>
      <c r="N215" s="3" t="inlineStr">
        <is>
          <t>No</t>
        </is>
      </c>
      <c r="O215" s="3" t="inlineStr">
        <is>
          <t>1. MK-CF-O-011 PAY
2. MK-CF-O-012 PAY_ESTIMATED
3. MK-CF-O-001 basePay
4. MK-XS-F-180 declareFigures
5. MK-ST-F-039 on</t>
        </is>
      </c>
      <c r="P215" s="3" t="n">
        <v>130</v>
      </c>
      <c r="Q215" s="3" t="inlineStr">
        <is>
          <t>1. MK-CF-O-011 PAY
2. MK-CF-O-012 PAY_ESTIMATED
3. MK-CF-O-001 basePay
4. MK-XS-F-180 declareFigures
5. MK-ST-F-039 on
6. MK-ST-F-035 covers
7. MK-CF-F-171 earnerPay
8. MK-CF-F-204 line
9. MK-CF-F-132 map
10. MK-CF-F-103 marginalBracketFor
11. MK-ST-F-053 money
12. MK-HM-F-006 money0
13. MK-XS-F-122 n
14. MK-CF-F-198 payrollTaxWithheld
15. MK-CF-F-181 rateInForce
16. MK-ST-F-034 firstDate
17. MK-CF-F-143 annualisedGross
18. MK-CF-F-145 deductionsFromPay
19. MK-CF-F-128 grossByMonth
20. MK-CF-F-146 payFiguresAgree
21. MK-CF-F-144 takeHomeAsEntered
22. MK-ST-F-052 toNum
23. MK-CF-F-203 MONTH
24. MK-CF-F-100 taxableIncomeFor
25. MK-ST-F-049 formatMoney
26. MK-CF-F-155 cash
27. MK-HM-F-005 pctTxt
28. MK-NW-F-067 plural
29. MK-CF-F-173 earnerWages
30. MK-CF-F-180 enteredLandsAnnual
31. MK-CF-F-085 filingStatusOf
32. MK-CF-F-206 householdK401ByMonth
33. MK-CF-F-089 over65CountOf
34. MK-CF-F-082 salaryAnnual
35. MK-CF-F-086 stateRateOf
36. MK-CF-F-101 taxOwedFor
37. MK-CF-F-084 taxableAnnual
38. MK-CF-F-142 monthsOf
39. MK-CF-F-141 perMonth
40. MK-ST-F-056 has
41. MK-CF-O-010 theMonth
42. MK-CF-F-099 deductionFor
43. MK-ST-F-048 currencySymbol
44. MK-CF-F-172 hasWage
45. MK-CF-F-176 sumMonthsOverEarners
46. MK-CF-F-177 wageGrossByMonth
47. MK-CF-F-060 salaryGrossByMonth
48. MK-CF-F-072 currentRetirementIncomeMonthly
49. MK-CF-F-071 extraIncome
50. MK-CF-F-068 rentalNetAnnual
51. MK-CF-F-066 rsuAnnual
52. MK-CF-F-074 tipsAnnual
53. MK-CF-F-140 periodsAYear
54. MK-CF-O-002 expenses
55. MK-CF-O-003 thisMonth
56. MK-CF-F-187 seniorDeductionFor
57. MK-ST-F-047 activeCurrency
58. MK-CF-F-130 enteredMonthlyRaw
59. MK-CF-F-166 hasMonthlySalaryTable
60. MK-ST-F-036 reconcile
61. MK-CF-F-167 salaryCalendarYear
62. MK-CF-F-075 retirementIncomeMonthly
63. MK-CF-F-070 benefitAnnual
64. MK-CF-F-067 rentalList
65. MK-CF-F-062 equityRowValue
66. MK-CF-F-063 rowVestYear
67. MK-CF-F-081 salaryActiveMonths
68. MK-CF-F-151 actualSpending
69. MK-CF-F-150 debtPaymentsCountedAsExpenses
70. MK-CF-F-153 radar
71. MK-CF-F-149 recurringDebtPayments
72. MK-CF-F-005 actualMonthFlow
73. MK-CF-F-156 plannedMonthFlow
74. MK-CF-F-165 salaryMonths
75. MK-CF-F-069 benefitActiveMonths
76. MK-ST-F-085 rentFigure
77. MK-CF-F-148 inMonth
78. MK-CF-F-191 ym
79. MK-CF-F-022 paymentShape
80. MK-CF-F-152 isRadarItem
81. MK-CF-F-023 requiredPayment
82. MK-NW-F-078 ONE
83. MK-CF-F-157 debtPaymentsByDebt
84. MK-CF-F-192 inflowLabel
85. MK-XS-F-027 takeHomeMonthly
86. MK-CF-F-021 defaultPaymentType
87. MK-NW-F-077 ALL
88. MK-NW-F-059 currentYield
89. MK-NW-O-001 theBonds
90. MK-CF-F-193 inflowSourceWord
91. MK-CF-F-092 incomeMonthlyGrid
92. MK-CF-F-011 savingsByMonth
93. MK-NW-F-112 yearlyInterest
94. MK-ST-F-027 accountId
95. MK-NW-F-057 annualCoupon
96. MK-NW-F-056 bondInfo
97. MK-NW-F-064 bondRateSensitivity
98. MK-NW-F-061 bondSummary
99. MK-NW-F-055 isBond
100. MK-NW-F-072 rowOf
101. MK-CF-F-065 equityVestWeights
102. MK-CF-F-087 monthlyTaxRates
103. MK-CF-F-073 otherIncomeMonth
104. MK-CF-F-077 scholarshipByCalendarMonth
105. MK-CF-F-088 taxableByCalendarMonth
106. MK-PL-F-012 waterfall
107. MK-CF-F-008 spendByMonth
108. MK-NW-F-060 approxYTM
109. MK-NW-F-069 priceAtYield
110. MK-NW-F-131 pricedLikeBond
111. MK-NW-F-125 isPastMaturity
112. MK-ST-F-065 isoLocalDate
113. MK-NW-F-126 yearlyInterestNow
114. MK-NW-F-011 assetClassOf
115. MK-NW-F-070 accruedInterestCaveat
116. MK-NW-F-058 yearsToMaturity
117. MK-CF-F-090 effectiveRate
118. MK-CF-F-120 pctBaseMonthly
119. MK-CF-F-004 spendBuckets
120. MK-NW-F-119 estimatedAccrued
121. MK-NW-F-124 maturityParts
122. MK-NW-F-120 classEvidenceOf
123. MK-CF-F-003 categoryMonthly
124. MK-NW-F-008 incomeBearingClassOf
125. MK-NW-F-009 maturityClass
126. MK-ST-F-010 nameEvidence
127. MK-NW-F-068 prettyDay
128. MK-XS-F-147 call
129. MK-XS-F-064 currentIdToken
130. MK-XS-F-112 relayUrl</t>
        </is>
      </c>
      <c r="R215" s="3" t="inlineStr">
        <is>
          <t>1. MK-ST-F-034 firstDate → MK-ST-F-035 covers → MK-CF-O-001 basePay → MK-CF-O-011 PAY → MK-CF-O-013 PAY_LANDS_TYPED
2. MK-CF-F-128 grossByMonth → MK-CF-F-143 annualisedGross → MK-CF-F-171 earnerPay → MK-CF-O-001 basePay → MK-CF-O-011 PAY → MK-CF-O-013 PAY_LANDS_TYPED
3. MK-CF-F-143 annualisedGross → MK-CF-F-145 deductionsFromPay → MK-CF-F-171 earnerPay → MK-CF-O-001 basePay → MK-CF-O-011 PAY → MK-CF-O-013 PAY_LANDS_TYPED
4. MK-CF-F-144 takeHomeAsEntered → MK-CF-F-145 deductionsFromPay → MK-CF-F-171 earnerPay → MK-CF-O-001 basePay → MK-CF-O-011 PAY → MK-CF-O-013 PAY_LANDS_TYPED
5. MK-ST-F-052 toNum → MK-CF-F-145 deductionsFromPay → MK-CF-F-171 earnerPay → MK-CF-O-001 basePay → MK-CF-O-011 PAY → MK-CF-O-013 PAY_LANDS_TYPED
6. MK-CF-F-142 monthsOf → MK-CF-F-128 grossByMonth → MK-CF-F-171 earnerPay → MK-CF-O-001 basePay → MK-CF-O-011 PAY → MK-CF-O-013 PAY_LANDS_TYPED
7. MK-CF-F-141 perMonth → MK-CF-F-128 grossByMonth → MK-CF-F-171 earnerPay → MK-CF-O-001 basePay → MK-CF-O-011 PAY → MK-CF-O-013 PAY_LANDS_TYPED
8. MK-ST-F-049 formatMoney → MK-ST-F-053 money → MK-CF-F-171 earnerPay → MK-CF-O-001 basePay → MK-CF-O-011 PAY → MK-CF-O-013 PAY_LANDS_TYPED
9. … and 5 more paths</t>
        </is>
      </c>
      <c r="S215" s="3" t="inlineStr">
        <is>
          <t>—</t>
        </is>
      </c>
      <c r="T215" s="3" t="inlineStr">
        <is>
          <t>—</t>
        </is>
      </c>
      <c r="U215" s="3" t="inlineStr">
        <is>
          <t>ACTIVE</t>
        </is>
      </c>
      <c r="V215" s="3" t="inlineStr">
        <is>
          <t>2026-09-28</t>
        </is>
      </c>
      <c r="W215" s="3" t="n"/>
      <c r="X215" s="3" t="n"/>
      <c r="Y215" s="3" t="inlineStr">
        <is>
          <t>NOTHING OPEN</t>
        </is>
      </c>
    </row>
    <row r="216" ht="60" customHeight="1">
      <c r="A216" s="3" t="inlineStr">
        <is>
          <t>MK-CF-O-014</t>
        </is>
      </c>
      <c r="B216" s="3" t="inlineStr">
        <is>
          <t>M</t>
        </is>
      </c>
      <c r="C216" s="3" t="inlineStr">
        <is>
          <t>MoneyKeel/functions/cashflow/this-month.ts</t>
        </is>
      </c>
      <c r="D216" s="3" t="n">
        <v>484</v>
      </c>
      <c r="E216" s="3" t="inlineStr">
        <is>
          <t>1 · ACTION</t>
        </is>
      </c>
      <c r="F216" s="3" t="inlineStr">
        <is>
          <t>Example only: runs thisMonth on the worked example and calculates nothing of its own.</t>
        </is>
      </c>
      <c r="G216" s="11" t="inlineStr">
        <is>
          <t>this month(EXAMPLE)</t>
        </is>
      </c>
      <c r="H216" s="3" t="inlineStr">
        <is>
          <t>this month(EXAMPLE)</t>
        </is>
      </c>
      <c r="I216" s="3" t="inlineStr">
        <is>
          <t>READ FROM THE CODE — rendered from the expressions the function runs</t>
        </is>
      </c>
      <c r="J216" s="3" t="inlineStr">
        <is>
          <t>Nothing is handed to it</t>
        </is>
      </c>
      <c r="K216" s="3" t="inlineStr">
        <is>
          <t>NOT DECLARED — the code does not say what it gives back</t>
        </is>
      </c>
      <c r="L216" s="3" t="inlineStr">
        <is>
          <t>—</t>
        </is>
      </c>
      <c r="M216" s="3" t="inlineStr">
        <is>
          <t>None found in this function — anything it assumes comes from the functions it depends on.</t>
        </is>
      </c>
      <c r="N216" s="3" t="inlineStr">
        <is>
          <t>No</t>
        </is>
      </c>
      <c r="O216" s="3" t="inlineStr">
        <is>
          <t>MK-CF-O-003 thisMonth</t>
        </is>
      </c>
      <c r="P216" s="3" t="n">
        <v>111</v>
      </c>
      <c r="Q216" s="3" t="inlineStr">
        <is>
          <t>1. MK-CF-O-003 thisMonth
2. MK-CF-F-005 actualMonthFlow
3. MK-CF-F-156 plannedMonthFlow
4. MK-NW-F-078 ONE
5. MK-CF-F-155 cash
6. MK-CF-F-157 debtPaymentsByDebt
7. MK-CF-F-148 inMonth
8. MK-CF-F-192 inflowLabel
9. MK-CF-F-152 isRadarItem
10. MK-CF-F-023 requiredPayment
11. MK-XS-F-027 takeHomeMonthly
12. MK-ST-F-052 toNum
13. MK-CF-F-191 ym
14. MK-NW-F-077 ALL
15. MK-NW-F-059 currentYield
16. MK-XS-F-180 declareFigures
17. MK-ST-F-049 formatMoney
18. MK-ST-F-053 money
19. MK-NW-O-001 theBonds
20. MK-XS-F-122 n
21. MK-CF-F-203 MONTH
22. MK-CF-F-132 map
23. MK-CF-F-193 inflowSourceWord
24. MK-CF-F-022 paymentShape
25. MK-CF-F-092 incomeMonthlyGrid
26. MK-CF-F-011 savingsByMonth
27. MK-NW-F-112 yearlyInterest
28. MK-ST-F-048 currencySymbol
29. MK-ST-F-039 on
30. MK-ST-F-027 accountId
31. MK-NW-F-057 annualCoupon
32. MK-NW-F-056 bondInfo
33. MK-NW-F-064 bondRateSensitivity
34. MK-NW-F-061 bondSummary
35. MK-NW-F-055 isBond
36. MK-NW-F-072 rowOf
37. MK-CF-O-010 theMonth
38. MK-CF-F-021 defaultPaymentType
39. MK-CF-F-069 benefitActiveMonths
40. MK-CF-F-072 currentRetirementIncomeMonthly
41. MK-CF-F-173 earnerWages
42. MK-CF-F-065 equityVestWeights
43. MK-CF-F-071 extraIncome
44. MK-ST-F-056 has
45. MK-CF-F-206 householdK401ByMonth
46. MK-CF-F-087 monthlyTaxRates
47. MK-CF-F-073 otherIncomeMonth
48. MK-CF-F-181 rateInForce
49. MK-CF-F-068 rentalNetAnnual
50. MK-CF-F-066 rsuAnnual
51. MK-CF-F-060 salaryGrossByMonth
52. MK-CF-F-077 scholarshipByCalendarMonth
53. MK-CF-F-088 taxableByCalendarMonth
54. MK-CF-F-177 wageGrossByMonth
55. MK-PL-F-012 waterfall
56. MK-CF-F-008 spendByMonth
57. MK-ST-F-047 activeCurrency
58. MK-NW-F-060 approxYTM
59. MK-NW-F-069 priceAtYield
60. MK-NW-F-131 pricedLikeBond
61. MK-NW-F-125 isPastMaturity
62. MK-ST-F-065 isoLocalDate
63. MK-NW-F-126 yearlyInterestNow
64. MK-NW-F-011 assetClassOf
65. MK-NW-F-070 accruedInterestCaveat
66. MK-NW-F-058 yearsToMaturity
67. MK-CF-O-002 expenses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MK-NW-F-119 estimatedAccrued
90. MK-NW-F-124 maturityParts
91. MK-NW-F-120 classEvidenceOf
92. MK-NW-F-067 plural
93. MK-CF-F-151 actualSpending
94. MK-CF-F-150 debtPaymentsCountedAsExpenses
95. MK-CF-F-153 radar
96. MK-CF-F-149 recurringDebtPayments
97. MK-CF-F-100 taxableIncomeFor
98. MK-CF-F-074 tipsAnnual
99. MK-ST-F-085 rentFigure
100. MK-CF-F-165 salaryMonths
101. MK-CF-F-003 categoryMonthly
102. MK-NW-F-008 incomeBearingClassOf
103. MK-NW-F-009 maturityClass
104. MK-CF-F-099 deductionFor
105. MK-CF-F-081 salaryActiveMonths
106. MK-ST-F-010 nameEvidence
107. MK-NW-F-068 prettyDay
108. MK-CF-F-187 seniorDeductionFor
109. MK-XS-F-147 call
110. MK-XS-F-064 currentIdToken
111. MK-XS-F-112 relayUrl</t>
        </is>
      </c>
      <c r="R216" s="3" t="inlineStr">
        <is>
          <t>1. MK-NW-O-001 theBonds → MK-NW-F-077 ALL → MK-NW-F-078 ONE → MK-CF-F-005 actualMonthFlow → MK-CF-O-003 thisMonth → MK-CF-O-014 M
2. MK-NW-F-112 yearlyInterest → MK-NW-F-059 currentYield → MK-NW-F-078 ONE → MK-CF-F-005 actualMonthFlow → MK-CF-O-003 thisMonth → MK-CF-O-014 M
3. MK-XS-F-180 declareFigures → MK-NW-F-078 ONE → MK-CF-F-005 actualMonthFlow → MK-CF-O-003 thisMonth → MK-CF-O-014 M
4. MK-ST-F-048 currencySymbol → MK-ST-F-049 formatMoney → MK-NW-F-078 ONE → MK-CF-F-005 actualMonthFlow → MK-CF-O-003 thisMonth → MK-CF-O-014 M
5. MK-XS-F-122 n → MK-ST-F-049 formatMoney → MK-NW-F-078 ONE → MK-CF-F-005 actualMonthFlow → MK-CF-O-003 thisMonth → MK-CF-O-014 M
6. MK-ST-F-039 on → MK-ST-F-049 formatMoney → MK-NW-F-078 ONE → MK-CF-F-005 actualMonthFlow → MK-CF-O-003 thisMonth → MK-CF-O-014 M
7. MK-ST-F-049 formatMoney → MK-ST-F-053 money → MK-NW-F-078 ONE → MK-CF-F-005 actualMonthFlow → MK-CF-O-003 thisMonth → MK-CF-O-014 M
8. MK-XS-F-122 n → MK-ST-F-053 money → MK-NW-F-078 ONE → MK-CF-F-005 actualMonthFlow → MK-CF-O-003 thisMonth → MK-CF-O-014 M
9. … and 4 more paths</t>
        </is>
      </c>
      <c r="S216" s="3" t="inlineStr">
        <is>
          <t>—</t>
        </is>
      </c>
      <c r="T216" s="3" t="inlineStr">
        <is>
          <t>—</t>
        </is>
      </c>
      <c r="U216" s="3" t="inlineStr">
        <is>
          <t>ACTIVE</t>
        </is>
      </c>
      <c r="V216" s="3" t="inlineStr">
        <is>
          <t>2026-09-28</t>
        </is>
      </c>
      <c r="W216" s="3" t="n"/>
      <c r="X216" s="3" t="n"/>
      <c r="Y216" s="3" t="inlineStr">
        <is>
          <t>NOTHING OPEN</t>
        </is>
      </c>
    </row>
    <row r="217" ht="60" customHeight="1">
      <c r="A217" s="3" t="inlineStr">
        <is>
          <t>MK-CF-O-015</t>
        </is>
      </c>
      <c r="B217" s="3" t="inlineStr">
        <is>
          <t>workedLineAmount</t>
        </is>
      </c>
      <c r="C217" s="3" t="inlineStr">
        <is>
          <t>MoneyKeel/functions/cashflow/this-month.ts</t>
        </is>
      </c>
      <c r="D217" s="3" t="n">
        <v>504</v>
      </c>
      <c r="E217" s="3" t="inlineStr">
        <is>
          <t>1 · ACTION</t>
        </is>
      </c>
      <c r="F217" s="3" t="inlineStr">
        <is>
          <t>Example only: reads one row's amount from the worked example of the month.</t>
        </is>
      </c>
      <c r="G217" s="11" t="inlineStr">
        <is>
          <t>NOT READ YET — the body is not a shape this can render faithfully, so nothing is claimed rather than something being guessed. It needs reading by hand.</t>
        </is>
      </c>
      <c r="H217" s="3" t="inlineStr">
        <is>
          <t>NOT READ YET — the body is not a shape this can render faithfully, so nothing is claimed rather than something being guessed. It needs reading by hand.</t>
        </is>
      </c>
      <c r="I217" s="3" t="inlineStr">
        <is>
          <t>NOT READ — nothing is claimed rather than something guessed</t>
        </is>
      </c>
      <c r="J217" s="3" t="inlineStr">
        <is>
          <t>1. block: 'planned' | 'actual'
2. startsWith: string</t>
        </is>
      </c>
      <c r="K217" s="3" t="inlineStr">
        <is>
          <t>NOT DECLARED — the code does not say what it gives back</t>
        </is>
      </c>
      <c r="L217" s="3" t="inlineStr">
        <is>
          <t>—</t>
        </is>
      </c>
      <c r="M217" s="3" t="inlineStr">
        <is>
          <t>None found in this function — anything it assumes comes from the functions it depends on.</t>
        </is>
      </c>
      <c r="N217" s="3" t="inlineStr">
        <is>
          <t>No</t>
        </is>
      </c>
      <c r="O217" s="3" t="inlineStr">
        <is>
          <t>1. MK-CF-O-014 M
2. MK-XS-F-180 declareFigures</t>
        </is>
      </c>
      <c r="P217" s="3" t="n">
        <v>112</v>
      </c>
      <c r="Q217" s="3" t="inlineStr">
        <is>
          <t>1. MK-CF-O-014 M
2. MK-XS-F-180 declareFigures
3. MK-CF-O-003 thisMonth
4. MK-CF-F-005 actualMonthFlow
5. MK-CF-F-156 plannedMonthFlow
6. MK-NW-F-078 ONE
7. MK-CF-F-155 cash
8. MK-CF-F-157 debtPaymentsByDebt
9. MK-CF-F-148 inMonth
10. MK-CF-F-192 inflowLabel
11. MK-CF-F-152 isRadarItem
12. MK-CF-F-023 requiredPayment
13. MK-XS-F-027 takeHomeMonthly
14. MK-ST-F-052 toNum
15. MK-CF-F-191 ym
16. MK-NW-F-077 ALL
17. MK-NW-F-059 currentYield
18. MK-ST-F-049 formatMoney
19. MK-ST-F-053 money
20. MK-NW-O-001 theBonds
21. MK-XS-F-122 n
22. MK-CF-F-203 MONTH
23. MK-CF-F-132 map
24. MK-CF-F-193 inflowSourceWord
25. MK-CF-F-022 paymentShape
26. MK-CF-F-092 incomeMonthlyGrid
27. MK-CF-F-011 savingsByMonth
28. MK-NW-F-112 yearlyInterest
29. MK-ST-F-048 currencySymbol
30. MK-ST-F-039 on
31. MK-ST-F-027 accountId
32. MK-NW-F-057 annualCoupon
33. MK-NW-F-056 bondInfo
34. MK-NW-F-064 bondRateSensitivity
35. MK-NW-F-061 bondSummary
36. MK-NW-F-055 isBond
37. MK-NW-F-072 rowOf
38. MK-CF-O-010 theMonth
39. MK-CF-F-021 defaultPaymentType
40. MK-CF-F-069 benefitActiveMonths
41. MK-CF-F-072 currentRetirementIncomeMonthly
42. MK-CF-F-173 earnerWages
43. MK-CF-F-065 equityVestWeights
44. MK-CF-F-071 extraIncome
45. MK-ST-F-056 has
46. MK-CF-F-206 householdK401ByMonth
47. MK-CF-F-087 monthlyTaxRates
48. MK-CF-F-073 otherIncomeMonth
49. MK-CF-F-181 rateInForce
50. MK-CF-F-068 rentalNetAnnual
51. MK-CF-F-066 rsuAnnual
52. MK-CF-F-060 salaryGrossByMonth
53. MK-CF-F-077 scholarshipByCalendarMonth
54. MK-CF-F-088 taxableByCalendarMonth
55. MK-CF-F-177 wageGrossByMonth
56. MK-PL-F-012 waterfall
57. MK-CF-F-008 spendByMonth
58. MK-ST-F-047 activeCurrency
59. MK-NW-F-060 approxYTM
60. MK-NW-F-069 priceAtYield
61. MK-NW-F-131 pricedLikeBond
62. MK-NW-F-125 isPastMaturity
63. MK-ST-F-065 isoLocalDate
64. MK-NW-F-126 yearlyInterestNow
65. MK-NW-F-011 assetClassOf
66. MK-NW-F-070 accruedInterestCaveat
67. MK-NW-F-058 yearsToMaturity
68. MK-CF-O-002 expenses
69. MK-CF-F-075 retirementIncomeMonthly
70. MK-CF-F-172 hasWage
71. MK-CF-F-062 equityRowValue
72. MK-CF-F-070 benefitAnnual
73. MK-CF-F-176 sumMonthsOverEarners
74. MK-CF-F-090 effectiveRate
75. MK-CF-F-180 enteredLandsAnnual
76. MK-CF-F-085 filingStatusOf
77. MK-CF-F-089 over65CountOf
78. MK-CF-F-082 salaryAnnual
79. MK-CF-F-086 stateRateOf
80. MK-CF-F-101 taxOwedFor
81. MK-CF-F-084 taxableAnnual
82. MK-CF-F-067 rentalList
83. MK-CF-F-063 rowVestYear
84. MK-CF-F-130 enteredMonthlyRaw
85. MK-CF-F-166 hasMonthlySalaryTable
86. MK-ST-F-036 reconcile
87. MK-CF-F-167 salaryCalendarYear
88. MK-CF-F-120 pctBaseMonthly
89. MK-CF-F-004 spendBuckets
90. MK-NW-F-119 estimatedAccrued
91. MK-NW-F-124 maturityParts
92. MK-NW-F-120 classEvidenceOf
93. MK-NW-F-067 plural
94. MK-CF-F-151 actualSpending
95. MK-CF-F-150 debtPaymentsCountedAsExpenses
96. MK-CF-F-153 radar
97. MK-CF-F-149 recurringDebtPayments
98. MK-CF-F-100 taxableIncomeFor
99. MK-CF-F-074 tipsAnnual
100. MK-ST-F-085 rentFigure
101. MK-CF-F-165 salaryMonths
102. MK-CF-F-003 categoryMonthly
103. MK-NW-F-008 incomeBearingClassOf
104. MK-NW-F-009 maturityClass
105. MK-CF-F-099 deductionFor
106. MK-CF-F-081 salaryActiveMonths
107. MK-ST-F-010 nameEvidence
108. MK-NW-F-068 prettyDay
109. MK-CF-F-187 seniorDeductionFor
110. MK-XS-F-147 call
111. MK-XS-F-064 currentIdToken
112. MK-XS-F-112 relayUrl</t>
        </is>
      </c>
      <c r="R217" s="3" t="inlineStr">
        <is>
          <t>1. MK-NW-F-077 ALL → MK-NW-F-078 ONE → MK-CF-F-005 actualMonthFlow → MK-CF-O-003 thisMonth → MK-CF-O-014 M → MK-CF-O-015 workedLineAmount
2. MK-NW-F-059 currentYield → MK-NW-F-078 ONE → MK-CF-F-005 actualMonthFlow → MK-CF-O-003 thisMonth → MK-CF-O-014 M → MK-CF-O-015 workedLineAmount
3. MK-XS-F-180 declareFigures → MK-NW-F-078 ONE → MK-CF-F-005 actualMonthFlow → MK-CF-O-003 thisMonth → MK-CF-O-014 M → MK-CF-O-015 workedLineAmount
4. MK-ST-F-049 formatMoney → MK-NW-F-078 ONE → MK-CF-F-005 actualMonthFlow → MK-CF-O-003 thisMonth → MK-CF-O-014 M → MK-CF-O-015 workedLineAmount
5. MK-ST-F-053 money → MK-NW-F-078 ONE → MK-CF-F-005 actualMonthFlow → MK-CF-O-003 thisMonth → MK-CF-O-014 M → MK-CF-O-015 workedLineAmount
6. MK-NW-O-001 theBonds → MK-NW-F-078 ONE → MK-CF-F-005 actualMonthFlow → MK-CF-O-003 thisMonth → MK-CF-O-014 M → MK-CF-O-015 workedLineAmount
7. MK-XS-F-122 n → MK-CF-F-155 cash → MK-CF-F-005 actualMonthFlow → MK-CF-O-003 thisMonth → MK-CF-O-014 M → MK-CF-O-015 workedLineAmount
8. MK-CF-F-203 MONTH → MK-CF-F-157 debtPaymentsByDebt → MK-CF-F-005 actualMonthFlow → MK-CF-O-003 thisMonth → MK-CF-O-014 M → MK-CF-O-015 workedLineAmount
9. … and 5 more paths</t>
        </is>
      </c>
      <c r="S217" s="3" t="inlineStr">
        <is>
          <t>—</t>
        </is>
      </c>
      <c r="T217" s="3" t="inlineStr">
        <is>
          <t>—</t>
        </is>
      </c>
      <c r="U217" s="3" t="inlineStr">
        <is>
          <t>ACTIVE</t>
        </is>
      </c>
      <c r="V217" s="3" t="inlineStr">
        <is>
          <t>2026-09-28</t>
        </is>
      </c>
      <c r="W217" s="3" t="n"/>
      <c r="X217" s="3" t="n"/>
      <c r="Y217" s="3" t="inlineStr">
        <is>
          <t>NOTHING OPEN</t>
        </is>
      </c>
    </row>
    <row r="218" ht="60" customHeight="1">
      <c r="A218" s="3" t="inlineStr">
        <is>
          <t>MK-CF-O-016</t>
        </is>
      </c>
      <c r="B218" s="3" t="inlineStr">
        <is>
          <t>incomeSources</t>
        </is>
      </c>
      <c r="C218" s="3" t="inlineStr">
        <is>
          <t>MoneyKeel/functions/cashflow/income-summary.ts</t>
        </is>
      </c>
      <c r="D218" s="3" t="n">
        <v>483</v>
      </c>
      <c r="E218" s="3" t="inlineStr">
        <is>
          <t>3 · DEPENDENT</t>
        </is>
      </c>
      <c r="F218" s="3" t="inlineStr">
        <is>
          <t>Which sources of income has this household entered, and what does each one bring in?</t>
        </is>
      </c>
      <c r="G218" s="11" t="inlineStr">
        <is>
          <t>o = (op ?? {}) as any
out = []
wages = earner wages(o)
varies = string((w as any).salary mode) = 'varies' (or !!(w as any).salary by month when missing or zero)
whose = 'You'   if w = o
spouse name (or 'Spouse' when missing or zero)   otherwise   if wages.length &gt; 1
nothing   otherwise
m = bonus month read as a number
vesting = rsu annual(o)
rent = rental net annual(o)
guaranteed = retirement income monthly(o)
the answer = out</t>
        </is>
      </c>
      <c r="H218" s="3" t="inlineStr">
        <is>
          <t>O is (op ?? {}) as any. Out is []. Wages is earner wages(o). Varies is string((w as any).salary mode) = 'varies' (or !!(w as any).salary by month — when missing or zero). Whose is 'You' — when w = o; spouse name (or 'Spouse' when missing or zero) — otherwise — when wages.length &gt; 1; no answer — otherwise. M is bonus month read as a number. Vesting is rsu annual(o). Rent is rental net annual(o). Guaranteed is retirement income monthly(o). The answer is out.</t>
        </is>
      </c>
      <c r="I218" s="3" t="inlineStr">
        <is>
          <t>PARTLY READ — some of the code is still showing through; needs a hand pass</t>
        </is>
      </c>
      <c r="J218" s="3" t="inlineStr">
        <is>
          <t>op: Record&lt;string, any&gt; | null</t>
        </is>
      </c>
      <c r="K218" s="3" t="inlineStr">
        <is>
          <t>IncomeSource[]</t>
        </is>
      </c>
      <c r="L218" s="3" t="inlineStr">
        <is>
          <t>—</t>
        </is>
      </c>
      <c r="M218" s="3" t="inlineStr">
        <is>
          <t>None found in this function — anything it assumes comes from the functions it depends on.</t>
        </is>
      </c>
      <c r="N218" s="3" t="inlineStr">
        <is>
          <t>Yes</t>
        </is>
      </c>
      <c r="O218" s="3" t="inlineStr">
        <is>
          <t>1. MK-CF-F-207 SOURCE
2. MK-CF-F-072 currentRetirementIncomeMonthly
3. MK-CF-F-173 earnerWages
4. MK-CF-F-068 rentalNetAnnual
5. MK-CF-F-075 retirementIncomeMonthly
6. MK-CF-F-066 rsuAnnual
7. MK-ST-F-052 toNum</t>
        </is>
      </c>
      <c r="P218" s="3" t="n">
        <v>26</v>
      </c>
      <c r="Q218" s="3" t="inlineStr">
        <is>
          <t>1. MK-CF-F-207 SOURCE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MK-ST-F-085 rentFigure
21. MK-CF-F-148 inMonth
22. MK-CF-F-191 ym
23. MK-CF-F-022 paymentShape
24. MK-CF-F-152 isRadarItem
25. MK-CF-F-023 requiredPayment
26. MK-CF-F-021 defaultPaymentType</t>
        </is>
      </c>
      <c r="R218" s="3" t="inlineStr">
        <is>
          <t>1. incomeSources (already above — a loop) → MK-CF-F-207 SOURCE → MK-CF-O-016 incomeSources
2. MK-XS-F-122 n → MK-ST-F-052 toNum → MK-CF-F-075 retirementIncomeMonthly → MK-CF-F-072 currentRetirementIncomeMonthly → MK-CF-O-016 incomeSources
3. MK-ST-F-056 has → MK-CF-F-172 hasWage → MK-CF-F-173 earnerWages → MK-CF-O-016 incomeSources
4. MK-CF-F-191 ym → MK-CF-F-148 inMonth → MK-CF-F-151 actualSpending → MK-CF-O-002 expenses → MK-CF-F-068 rentalNetAnnual → MK-CF-O-016 incomeSources
5. MK-XS-F-122 n → MK-ST-F-052 toNum → MK-CF-F-151 actualSpending → MK-CF-O-002 expenses → MK-CF-F-068 rentalNetAnnual → MK-CF-O-016 incomeSources
6. MK-CF-F-191 ym → MK-CF-F-151 actualSpending → MK-CF-O-002 expenses → MK-CF-F-068 rentalNetAnnual → MK-CF-O-016 incomeSources
7. MK-ST-F-056 has → MK-CF-F-150 debtPaymentsCountedAsExpenses → MK-CF-O-002 expenses → MK-CF-F-068 rentalNetAnnual → MK-CF-O-016 incomeSources
8. MK-CF-F-191 ym → MK-CF-F-148 inMonth → MK-CF-F-150 debtPaymentsCountedAsExpenses → MK-CF-O-002 expenses → MK-CF-F-068 rentalNetAnnual → MK-CF-O-016 incomeSources
9. … and 5 more paths</t>
        </is>
      </c>
      <c r="S218" s="3" t="inlineStr">
        <is>
          <t>—</t>
        </is>
      </c>
      <c r="T218" s="3" t="inlineStr">
        <is>
          <t>—</t>
        </is>
      </c>
      <c r="U218" s="3" t="inlineStr">
        <is>
          <t>ACTIVE</t>
        </is>
      </c>
      <c r="V218" s="3" t="inlineStr">
        <is>
          <t>2026-10-02</t>
        </is>
      </c>
      <c r="W218" s="3" t="n"/>
      <c r="X218" s="3" t="n"/>
      <c r="Y218" s="3" t="inlineStr">
        <is>
          <t>NOTHING OPEN</t>
        </is>
      </c>
    </row>
    <row r="219" ht="60" customHeight="1">
      <c r="A219" s="3" t="inlineStr">
        <is>
          <t>MK-CF-O-017</t>
        </is>
      </c>
      <c r="B219" s="3" t="inlineStr">
        <is>
          <t>futurePaycheck</t>
        </is>
      </c>
      <c r="C219" s="3" t="inlineStr">
        <is>
          <t>MoneyKeel/functions/cashflow/future-paycheck.ts</t>
        </is>
      </c>
      <c r="D219" s="3" t="n">
        <v>67</v>
      </c>
      <c r="E219" s="3" t="inlineStr">
        <is>
          <t>2 · DISPLAYED</t>
        </is>
      </c>
      <c r="F219" s="3" t="inlineStr">
        <is>
          <t>About what would a month bring in at retirement: the guaranteed income plus a level draw from savings?</t>
        </is>
      </c>
      <c r="G219" s="11" t="inlineStr">
        <is>
          <t>age = age from profile(op)
retire age = A.retire age (or op.target retirement age read as a number (or 67 when missing or zero) when missing)
guaranteed = Σ over guaranteed outside streams(op) of (monthly)
nothing   when age = nothing (or age ≥ retire age when missing or zero)
inputs = will it last inputs({ op, accounts: input.accounts ?? [], assumptions: A, big costs: input.big costs, inflation rate: input.inflation rate, employment status: input.employment status } as any)
nothing   when inputs is missing (or inputs.start balance ≤ 0 when missing or zero)
projected egg = simulate(inputs).projected at retirement
nothing   when projected egg is missing (or projected egg ≤ 0 when missing or zero)
the answer:
retire age = retire age
monthly = round(guaranteed + proj year.draw from savings monthly)
guaranteed = round(guaranteed)
draw = round(proj year.draw from savings monthly)</t>
        </is>
      </c>
      <c r="H219" s="3" t="inlineStr">
        <is>
          <t>Age is age from profile(op). Retire age is A.retire age (or op.target retirement age read as a number (or 67 — when missing or zero) — when missing). Guaranteed: the monthly added up across guaranteed outside streams(op). When age is missing (or age is at least retire age — when missing or zero), it answers no answer. Inputs is will it last inputs({ op, accounts: input.accounts ?? [], assumptions: A, big costs: input.big costs, inflation rate: input.inflation rate, employment status: input.employment status } as any). When inputs is missing (or inputs.start balance is at most 0 — when missing or zero), it answers no answer. Projected egg is simulate(inputs).projected at retirement. When projected egg is missing (or projected egg is at most 0 — when missing or zero), it answers no answer. The answer is retire age = retire age; monthly = guaranteed plus proj year.draw from savings monthly, to a whole number; guaranteed = guaranteed, to a whole number; draw = proj year.draw from savings monthly, to a whole number.</t>
        </is>
      </c>
      <c r="I219" s="3" t="inlineStr">
        <is>
          <t>PARTLY READ — some of the code is still showing through; needs a hand pass</t>
        </is>
      </c>
      <c r="J219" s="3" t="inlineStr">
        <is>
          <t>Nothing is handed to it</t>
        </is>
      </c>
      <c r="K219" s="3" t="inlineStr">
        <is>
          <t>NOT DECLARED — the code does not say what it gives back</t>
        </is>
      </c>
      <c r="L219" s="3" t="inlineStr">
        <is>
          <t>1. "Draw from savings" — on the Cash flow screen, under "YOUR FUTURE PAYCHECK"
2. "PROJECTION — an estimate, not a promise" — on the Cash flow screen, under "YOUR FUTURE PAYCHECK"
3. "Social Security
4. pension" — on the Cash flow screen, under "YOUR FUTURE PAYCHECK"</t>
        </is>
      </c>
      <c r="M219" s="3" t="inlineStr">
        <is>
          <t>· Rounds the answer to a whole number.</t>
        </is>
      </c>
      <c r="N219" s="3" t="inlineStr">
        <is>
          <t>Yes</t>
        </is>
      </c>
      <c r="O219" s="3" t="inlineStr">
        <is>
          <t>1. MK-CF-F-107 buildPaycheckYear
2. MK-XS-F-180 declareFigures
3. MK-CF-F-076 guaranteedOutsideStreams
4. MK-ST-F-039 on
5. MK-PL-F-050 simulate
6. MK-PL-F-001 taxBucketSplit
7. MK-PL-F-067 willItLastInputs
8. MK-PL-F-004 withdrawalOrder</t>
        </is>
      </c>
      <c r="P219" s="3" t="n">
        <v>174</v>
      </c>
      <c r="Q219" s="3" t="inlineStr">
        <is>
          <t>1. MK-CF-F-107 buildPaycheckYear
2. MK-XS-F-180 declareFigures
3. MK-CF-F-076 guaranteedOutsideStreams
4. MK-ST-F-039 on
5. MK-PL-F-050 simulate
6. MK-PL-F-001 taxBucketSplit
7. MK-PL-F-067 willItLastInputs
8. MK-PL-F-004 withdrawalOrder
9. MK-XS-F-004 buildDatedGrid
10. MK-CF-F-105 guaranteedRows
11. MK-CF-F-132 map
12. MK-NW-F-033 retirementEarmarkedValue
13. MK-CF-F-106 solveSafeDraw
14. MK-ST-F-052 toNum
15. MK-CF-O-002 expenses
16. MK-PL-F-074 median
17. MK-PL-F-072 mulberry32
18. MK-XS-F-122 n
19. MK-PL-F-073 normal
20. MK-PL-F-075 pctOfSorted
21. MK-ST-F-025 rmdStartAgeFromAge
22. MK-NW-F-026 accountDisplayNames
23. MK-NW-F-032 earmarkedAmount
24. MK-NW-F-031 primaryCarIdOf
25. MK-NW-F-110 primaryHomeIdOf
26. MK-PL-F-086 splitBucketOf
27. MK-PL-F-087 taxTypeNotStated
28. MK-CF-F-197 ageAttainedInYear
29. MK-XS-F-179 ageToday
30. MK-NW-F-037 blendedReturn
31. MK-NW-F-035 blendedVolatility
32. MK-CF-F-102 effectiveRateOnGrossFor
33. MK-CF-F-085 filingStatusOf
34. MK-PL-F-083 inflationRateInForce
35. MK-NW-F-041 monthlyContributionsFromOnboarding
36. MK-PL-F-079 numOrZero
37. MK-CF-F-089 over65CountOf
38. MK-NW-F-004 portfolioActualReturn
39. MK-PL-F-049 retirementSpendMonthly
40. MK-PL-F-060 ssBenefitAt
41. MK-CF-F-086 stateRateOf
42. MK-CF-F-083 totalGrossAnnual
43. MK-PL-F-065 volOf
44. MK-PL-F-007 rmdAtAge
45. MK-PL-F-005 rmdStartAgeFor
46. MK-CF-F-069 benefitActiveMonths
47. MK-CF-F-072 currentRetirementIncomeMonthly
48. MK-CF-F-018 equityByMonth
49. MK-ST-F-056 has
50. MK-CF-F-204 line
51. MK-ST-F-053 money
52. MK-CF-F-087 monthlyTaxRates
53. MK-CF-F-073 otherIncomeMonth
54. MK-CF-F-022 paymentShape
55. MK-CF-F-068 rentalNetAnnual
56. MK-CF-F-023 requiredPayment
57. MK-CF-F-060 salaryGrossByMonth
58. MK-CF-F-008 spendByMonth
59. MK-CF-F-151 actualSpending
60. MK-CF-F-150 debtPaymentsCountedAsExpenses
61. MK-CF-F-153 radar
62. MK-CF-F-149 recurringDebtPayments
63. MK-ST-F-024 rmdStartAge
64. MK-NW-F-025 accountDisplayName
65. MK-NW-F-030 earmarkDefault
66. MK-NW-F-134 carValueNotEnteredNotes
67. MK-NW-F-133 valueEntered
68. MK-NW-F-117 propertyUseMap
69. MK-NW-F-007 assetKind
70. MK-NW-F-012 taxTreatmentOf
71. MK-XS-F-017 currentAge
72. MK-NW-F-034 benchmarkReturn
73. MK-CF-F-155 cash
74. MK-CF-F-101 taxOwedFor
75. MK-CF-F-053 annual401kLimit
76. MK-CF-F-078 employerMatchMonthly
77. MK-PL-F-047 colFactor
78. MK-PL-F-058 ssClaimFactorFor
79. MK-CF-F-071 extraIncome
80. MK-CF-F-066 rsuAnnual
81. MK-CF-F-082 salaryAnnual
82. MK-CF-F-074 tipsAnnual
83. MK-PL-F-077 clamp
84. MK-PL-F-078 rmdDivisorAtAge
85. MK-CF-F-075 retirementIncomeMonthly
86. MK-CF-F-062 equityRowValue
87. MK-CF-F-121 zero12
88. MK-CF-F-203 MONTH
89. MK-ST-F-049 formatMoney
90. MK-CF-F-090 effectiveRate
91. MK-CF-F-021 defaultPaymentType
92. MK-CF-F-067 rentalList
93. MK-CF-F-176 sumMonthsOverEarners
94. MK-CF-F-177 wageGrossByMonth
95. MK-CF-F-120 pctBaseMonthly
96. MK-CF-F-004 spendBuckets
97. MK-CF-F-148 inMonth
98. MK-CF-F-191 ym
99. MK-CF-F-152 isRadarItem
100. MK-NW-F-024 accountLastFour
101. MK-NW-F-023 wrapperWord
102. MK-NW-F-011 assetClassOf
103. MK-NW-F-116 rentedIdsOf
104. MK-CF-F-100 taxableIncomeFor
105. MK-CF-F-175 sumOverEarners
106. MK-CF-F-178 wageMatchMonthly
107. MK-PL-F-057 fullRetirementAge
108. MK-CF-F-070 benefitAnnual
109. MK-CF-F-063 rowVestYear
110. MK-CF-F-081 salaryActiveMonths
111. MK-CF-O-010 theMonth
112. MK-ST-F-048 currencySymbol
113. MK-CF-F-181 rateInForce
114. MK-ST-F-085 rentFigure
115. MK-CF-F-173 earnerWages
116. MK-CF-F-130 enteredMonthlyRaw
117. MK-CF-F-166 hasMonthlySalaryTable
118. MK-ST-F-036 reconcile
119. MK-CF-F-167 salaryCalendarYear
120. MK-CF-F-092 incomeMonthlyGrid
121. MK-CF-F-003 categoryMonthly
122. MK-NW-F-120 classEvidenceOf
123. MK-NW-F-115 liveRent
124. MK-CF-F-099 deductionFor
125. MK-CF-O-003 thisMonth
126. MK-ST-F-047 activeCurrency
127. MK-CF-F-180 enteredLandsAnnual
128. MK-CF-F-206 householdK401ByMonth
129. MK-CF-F-084 taxableAnnual
130. MK-CF-F-172 hasWage
131. MK-CF-F-165 salaryMonths
132. MK-CF-F-065 equityVestWeights
133. MK-CF-F-077 scholarshipByCalendarMonth
134. MK-CF-F-088 taxableByCalendarMonth
135. MK-PL-F-012 waterfall
136. MK-XS-F-027 takeHomeMonthly
137. MK-NW-F-008 incomeBearingClassOf
138. MK-NW-F-009 maturityClass
139. MK-NW-F-114 rentAmount
140. MK-CF-F-187 seniorDeductionFor
141. MK-CF-F-005 actualMonthFlow
142. MK-CF-F-156 plannedMonthFlow
143. MK-CF-F-011 savingsByMonth
144. MK-ST-F-010 nameEvidence
145. MK-NW-F-068 prettyDay
146. MK-NW-F-078 ONE
147. MK-CF-F-157 debtPaymentsByDebt
148. MK-CF-F-192 inflowLabel
149. MK-XS-F-147 call
150. MK-NW-F-077 ALL
151. MK-NW-F-059 currentYield
152. MK-NW-O-001 theBonds
153. MK-CF-F-193 inflowSourceWord
154. MK-ST-F-027 accountId
155. MK-XS-F-064 currentIdToken
156. MK-XS-F-112 relayUrl
157. MK-NW-F-112 yearlyInterest
158. MK-NW-F-057 annualCoupon
159. MK-NW-F-056 bondInfo
160. MK-NW-F-064 bondRateSensitivity
161. MK-NW-F-061 bondSummary
162. MK-NW-F-055 isBond
163. MK-NW-F-072 rowOf
164. MK-NW-F-060 approxYTM
165. MK-NW-F-069 priceAtYield
166. MK-NW-F-131 pricedLikeBond
167. MK-NW-F-125 isPastMaturity
168. MK-ST-F-065 isoLocalDate
169. MK-NW-F-126 yearlyInterestNow
170. MK-NW-F-070 accruedInterestCaveat
171. MK-NW-F-058 yearsToMaturity
172. MK-NW-F-119 estimatedAccrued
173. MK-NW-F-124 maturityParts
174. MK-NW-F-067 plural</t>
        </is>
      </c>
      <c r="R219" s="3" t="inlineStr">
        <is>
          <t>1. MK-CF-F-069 benefitActiveMonths → MK-XS-F-004 buildDatedGrid → MK-CF-F-107 buildPaycheckYear → MK-CF-O-017 futurePaycheck
2. MK-ST-F-052 toNum → MK-CF-F-075 retirementIncomeMonthly → MK-CF-F-072 currentRetirementIncomeMonthly → MK-XS-F-004 buildDatedGrid → MK-CF-F-107 buildPaycheckYear → MK-CF-O-017 futurePaycheck
3. MK-ST-F-052 toNum → MK-CF-F-062 equityRowValue → MK-CF-F-018 equityByMonth → MK-XS-F-004 buildDatedGrid → MK-CF-F-107 buildPaycheckYear → MK-CF-O-017 futurePaycheck
4. MK-CF-F-062 equityRowValue → MK-CF-F-066 rsuAnnual → MK-CF-F-018 equityByMonth → MK-XS-F-004 buildDatedGrid → MK-CF-F-107 buildPaycheckYear → MK-CF-O-017 futurePaycheck
5. MK-CF-F-132 map → MK-CF-F-066 rsuAnnual → MK-CF-F-018 equityByMonth → MK-XS-F-004 buildDatedGrid → MK-CF-F-107 buildPaycheckYear → MK-CF-O-017 futurePaycheck
6. MK-CF-F-063 rowVestYear → MK-CF-F-066 rsuAnnual → MK-CF-F-018 equityByMonth → MK-XS-F-004 buildDatedGrid → MK-CF-F-107 buildPaycheckYear → MK-CF-O-017 futurePaycheck
7. MK-ST-F-052 toNum → MK-CF-F-066 rsuAnnual → MK-CF-F-018 equityByMonth → MK-XS-F-004 buildDatedGrid → MK-CF-F-107 buildPaycheckYear → MK-CF-O-017 futurePaycheck
8. MK-CF-F-121 zero12 → MK-CF-F-018 equityByMonth → MK-XS-F-004 buildDatedGrid → MK-CF-F-107 buildPaycheckYear → MK-CF-O-017 futurePaycheck
9. … and 5 more paths</t>
        </is>
      </c>
      <c r="S219" s="3" t="inlineStr">
        <is>
          <t>MK-CF-M-055 · MK-CF-M-070</t>
        </is>
      </c>
      <c r="T219" s="3" t="inlineStr">
        <is>
          <t>—</t>
        </is>
      </c>
      <c r="U219" s="3" t="inlineStr">
        <is>
          <t>DECOMMISSIONED 2026-10-03 — it was here and is not any more. Kept so the number is never reused and earlier work can still be traced.</t>
        </is>
      </c>
      <c r="V219" s="3" t="inlineStr">
        <is>
          <t>2026-10-03</t>
        </is>
      </c>
      <c r="W219" s="3" t="n"/>
      <c r="X219" s="3" t="n"/>
      <c r="Y219" s="3" t="inlineStr">
        <is>
          <t>NOTHING OPEN</t>
        </is>
      </c>
    </row>
    <row r="220" ht="60" customHeight="1">
      <c r="A220" s="3" t="inlineStr">
        <is>
          <t>MK-CF-O-018</t>
        </is>
      </c>
      <c r="B220" s="3" t="inlineStr">
        <is>
          <t>theDebts</t>
        </is>
      </c>
      <c r="C220" s="3" t="inlineStr">
        <is>
          <t>MoneyKeel/functions/cashflow/the-debts.ts</t>
        </is>
      </c>
      <c r="D220" s="3" t="n">
        <v>65</v>
      </c>
      <c r="E220" s="3" t="inlineStr">
        <is>
          <t>2 · DISPLAYED</t>
        </is>
      </c>
      <c r="F220" s="3" t="inlineStr">
        <is>
          <t>What do I owe, what does it ask of me each month, when would I be clear of it, and how much have I paid down this year?</t>
        </is>
      </c>
      <c r="G220" s="11" t="inlineStr">
        <is>
          <t>active = input.debts (or none when missing) where (remaining balance or 0) &gt; 0
total now = Σ over active of (remaining balance (or 0 when missing or zero))
began = input.start of year debt (or 0 when missing)
paid down = began − total now</t>
        </is>
      </c>
      <c r="H220" s="3" t="inlineStr">
        <is>
          <t>Active is input.debts (or none — when missing) where (remaining balance or 0) &gt; 0. Total now: the remaining balance (or 0 — when missing or zero) added up across active. Began is input.start of year debt (or 0 — when missing). Paid down is began minus total now.</t>
        </is>
      </c>
      <c r="I220" s="3" t="inlineStr">
        <is>
          <t>PARTLY READ — some of the code is still showing through; needs a hand pass</t>
        </is>
      </c>
      <c r="J220" s="3" t="inlineStr">
        <is>
          <t>Nothing is handed to it</t>
        </is>
      </c>
      <c r="K220" s="3" t="inlineStr">
        <is>
          <t>NOT DECLARED — the code does not say what it gives back</t>
        </is>
      </c>
      <c r="L220" s="3" t="inlineStr">
        <is>
          <t>"PROGRESS" — on the budget screen, under "PROGRESS"</t>
        </is>
      </c>
      <c r="M220" s="3" t="inlineStr">
        <is>
          <t>1. If start of year debt is missing it uses 0.
2. If extra monthly is missing it uses 0.
3. If remaining balance is missing it counts as zero, so nothing recorded and a real zero look the same.
4. If interest rate apr is missing it counts as zero, so nothing recorded and a real zero look the same.
5. Uses today's date from the device clock, so the answer changes by itself overnight.</t>
        </is>
      </c>
      <c r="N220" s="3" t="inlineStr">
        <is>
          <t>Yes</t>
        </is>
      </c>
      <c r="O220" s="3" t="inlineStr">
        <is>
          <t>1. MK-CF-F-025 minimumDebtService
2. MK-CF-F-034 payoffPlan
3. MK-CF-F-024 totalDebtMonthly</t>
        </is>
      </c>
      <c r="P220" s="3" t="n">
        <v>136</v>
      </c>
      <c r="Q220" s="3" t="inlineStr">
        <is>
          <t>1. MK-CF-F-025 minimumDebtService
2. MK-CF-F-034 payoffPlan
3. MK-CF-F-024 totalDebtMonthly
4. MK-CF-F-022 paymentShape
5. MK-CF-F-132 map
6. MK-CF-F-201 INCOME
7. MK-CF-F-023 requiredPayment
8. MK-CF-F-021 defaultPaymentType
9. MK-CF-F-207 SOURCE
10. MK-CF-O-004 incomeSummary
11. MK-CF-O-016 incomeSources
12. MK-CF-F-203 MONTH
13. MK-CF-O-001 basePay
14. MK-CF-F-069 benefitActiveMonths
15. MK-CF-F-072 currentRetirementIncomeMonthly
16. MK-CF-F-173 earnerWages
17. MK-CF-F-179 entryFromWage
18. MK-CF-F-071 extraIncome
19. MK-CF-F-085 filingStatusOf
20. MK-CF-F-092 incomeMonthlyGrid
21. MK-CF-F-192 inflowLabel
22. MK-CF-F-103 marginalBracketFor
23. MK-CF-F-089 over65CountOf
24. MK-CF-F-181 rateInForce
25. MK-CF-F-068 rentalNetAnnual
26. MK-CF-F-082 salaryAnnual
27. MK-CF-F-060 salaryGrossByMonth
28. MK-CF-F-084 taxableAnnual
29. MK-ST-F-052 toNum
30. MK-CF-F-075 retirementIncomeMonthly
31. MK-CF-F-066 rsuAnnual
32. MK-CF-O-010 theMonth
33. MK-ST-F-035 covers
34. MK-CF-F-171 earnerPay
35. MK-CF-F-204 line
36. MK-ST-F-053 money
37. MK-HM-F-006 money0
38. MK-XS-F-122 n
39. MK-CF-F-198 payrollTaxWithheld
40. MK-CF-F-172 hasWage
41. MK-CF-F-165 salaryMonths
42. MK-CF-F-070 benefitAnnual
43. MK-ST-F-039 on
44. MK-CF-F-065 equityVestWeights
45. MK-ST-F-056 has
46. MK-CF-F-206 householdK401ByMonth
47. MK-CF-F-087 monthlyTaxRates
48. MK-CF-F-073 otherIncomeMonth
49. MK-CF-F-077 scholarshipByCalendarMonth
50. MK-CF-F-088 taxableByCalendarMonth
51. MK-CF-F-177 wageGrossByMonth
52. MK-PL-F-012 waterfall
53. MK-CF-F-193 inflowSourceWord
54. MK-CF-F-100 taxableIncomeFor
55. MK-CF-F-180 enteredLandsAnnual
56. MK-CF-F-086 stateRateOf
57. MK-CF-F-101 taxOwedFor
58. MK-CF-O-002 expenses
59. MK-CF-F-067 rentalList
60. MK-CF-F-176 sumMonthsOverEarners
61. MK-CF-F-074 tipsAnnual
62. MK-CF-F-062 equityRowValue
63. MK-CF-F-063 rowVestYear
64. MK-CF-F-155 cash
65. MK-CF-O-003 thisMonth
66. MK-ST-F-034 firstDate
67. MK-CF-F-143 annualisedGross
68. MK-CF-F-145 deductionsFromPay
69. MK-CF-F-128 grossByMonth
70. MK-CF-F-146 payFiguresAgree
71. MK-CF-F-144 takeHomeAsEntered
72. MK-XS-F-180 declareFigures
73. MK-ST-F-049 formatMoney
74. MK-HM-F-005 pctTxt
75. MK-NW-F-067 plural
76. MK-CF-F-090 effectiveRate
77. MK-CF-F-130 enteredMonthlyRaw
78. MK-CF-F-166 hasMonthlySalaryTable
79. MK-ST-F-036 reconcile
80. MK-CF-F-167 salaryCalendarYear
81. MK-CF-F-099 deductionFor
82. MK-CF-F-151 actualSpending
83. MK-CF-F-150 debtPaymentsCountedAsExpenses
84. MK-CF-F-153 radar
85. MK-CF-F-149 recurringDebtPayments
86. MK-ST-F-085 rentFigure
87. MK-CF-F-081 salaryActiveMonths
88. MK-CF-F-005 actualMonthFlow
89. MK-CF-F-156 plannedMonthFlow
90. MK-CF-F-142 monthsOf
91. MK-CF-F-141 perMonth
92. MK-ST-F-048 currencySymbol
93. MK-CF-F-187 seniorDeductionFor
94. MK-CF-F-148 inMonth
95. MK-CF-F-191 ym
96. MK-CF-F-152 isRadarItem
97. MK-NW-F-078 ONE
98. MK-CF-F-157 debtPaymentsByDebt
99. MK-XS-F-027 takeHomeMonthly
100. MK-CF-F-140 periodsAYear
101. MK-ST-F-047 activeCurrency
102. MK-NW-F-077 ALL
103. MK-NW-F-059 currentYield
104. MK-NW-O-001 theBonds
105. MK-CF-F-011 savingsByMonth
106. MK-NW-F-112 yearlyInterest
107. MK-ST-F-027 accountId
108. MK-NW-F-057 annualCoupon
109. MK-NW-F-056 bondInfo
110. MK-NW-F-064 bondRateSensitivity
111. MK-NW-F-061 bondSummary
112. MK-NW-F-055 isBond
113. MK-NW-F-072 rowOf
114. MK-CF-F-008 spendByMonth
115. MK-NW-F-060 approxYTM
116. MK-NW-F-069 priceAtYield
117. MK-NW-F-131 pricedLikeBond
118. MK-NW-F-125 isPastMaturity
119. MK-ST-F-065 isoLocalDate
120. MK-NW-F-126 yearlyInterestNow
121. MK-NW-F-011 assetClassOf
122. MK-NW-F-070 accruedInterestCaveat
123. MK-NW-F-058 yearsToMaturity
124. MK-CF-F-120 pctBaseMonthly
125. MK-CF-F-004 spendBuckets
126. MK-NW-F-119 estimatedAccrued
127. MK-NW-F-124 maturityParts
128. MK-NW-F-120 classEvidenceOf
129. MK-CF-F-003 categoryMonthly
130. MK-NW-F-008 incomeBearingClassOf
131. MK-NW-F-009 maturityClass
132. MK-ST-F-010 nameEvidence
133. MK-NW-F-068 prettyDay
134. MK-XS-F-147 call
135. MK-XS-F-064 currentIdToken
136. MK-XS-F-112 relayUrl</t>
        </is>
      </c>
      <c r="R220" s="3" t="inlineStr">
        <is>
          <t>1. MK-CF-F-021 defaultPaymentType → MK-CF-F-022 paymentShape → MK-CF-F-025 minimumDebtService → MK-CF-O-018 theDebts
2. MK-CF-F-132 map → MK-CF-F-034 payoffPlan → MK-CF-O-018 theDebts
3. MK-CF-F-021 defaultPaymentType → MK-CF-F-022 paymentShape → MK-CF-F-034 payoffPlan → MK-CF-O-018 theDebts
4. SOURCE (already above — a loop) → MK-CF-O-016 incomeSources → MK-CF-F-207 SOURCE → MK-CF-F-201 INCOME → MK-CF-F-024 totalDebtMonthly → MK-CF-O-018 theDebts
5. MK-CF-F-072 currentRetirementIncomeMonthly → MK-CF-O-016 incomeSources → MK-CF-F-207 SOURCE → MK-CF-F-201 INCOME → MK-CF-F-024 totalDebtMonthly → MK-CF-O-018 theDebts
6. MK-CF-F-173 earnerWages → MK-CF-O-016 incomeSources → MK-CF-F-207 SOURCE → MK-CF-F-201 INCOME → MK-CF-F-024 totalDebtMonthly → MK-CF-O-018 theDebts
7. MK-CF-F-068 rentalNetAnnual → MK-CF-O-016 incomeSources → MK-CF-F-207 SOURCE → MK-CF-F-201 INCOME → MK-CF-F-024 totalDebtMonthly → MK-CF-O-018 theDebts
8. MK-CF-F-075 retirementIncomeMonthly → MK-CF-O-016 incomeSources → MK-CF-F-207 SOURCE → MK-CF-F-201 INCOME → MK-CF-F-024 totalDebtMonthly → MK-CF-O-018 theDebts
9. … and 4 more paths</t>
        </is>
      </c>
      <c r="S220" s="3" t="inlineStr">
        <is>
          <t>MK-CF-M-057 · MK-CF-M-058 · MK-CF-M-059 · MK-CF-M-071 · MK-CF-M-072 · MK-CF-M-073 · MK-CF-M-074 · MK-CF-M-075</t>
        </is>
      </c>
      <c r="T220" s="3" t="inlineStr">
        <is>
          <t>—</t>
        </is>
      </c>
      <c r="U220" s="3" t="inlineStr">
        <is>
          <t>ACTIVE</t>
        </is>
      </c>
      <c r="V220" s="3" t="inlineStr">
        <is>
          <t>2026-10-03</t>
        </is>
      </c>
      <c r="W220" s="3" t="n"/>
      <c r="X220" s="3" t="n"/>
      <c r="Y220" s="3" t="inlineStr">
        <is>
          <t>NOTHING OPEN</t>
        </is>
      </c>
    </row>
    <row r="221" ht="60" customHeight="1">
      <c r="A221" s="3" t="inlineStr">
        <is>
          <t>MK-CF-O-019</t>
        </is>
      </c>
      <c r="B221" s="3" t="inlineStr">
        <is>
          <t>theIncomeManager</t>
        </is>
      </c>
      <c r="C221" s="3" t="inlineStr">
        <is>
          <t>MoneyKeel/functions/cashflow/income-summary.ts</t>
        </is>
      </c>
      <c r="D221" s="3" t="n">
        <v>775</v>
      </c>
      <c r="E221" s="3" t="inlineStr">
        <is>
          <t>2 · DISPLAYED</t>
        </is>
      </c>
      <c r="F221" s="3" t="inlineStr">
        <is>
          <t>Which of the ten sources of income has this household entered, what does each one's line say, and which are still one tap away?</t>
        </is>
      </c>
      <c r="G221" s="11" t="inlineStr">
        <is>
          <t>a = op (or none when missing)
wages = earner wages(op as any) where to num(base salary) &gt; 0 (or salary by month and object.keys(salary by month).length &gt; 0 when missing or zero)
who = for each of pay.earners: name.join(' and ')
rentals = rental list(op as any)
count = ['No', 'One', 'Two', 'Three', 'Four', 'Five']
inv = inv annual read as a number (0 when it is not one)
self per = 'year'   if se freq = 'annual'
'month'   otherwise
benefit months = count of benefit active months(op as any)
other per = 'year'   if other freq = 'annual'
'one − time'   if other freq = 'onetime'
'month'   otherwise   otherwise
mo = ['January', 'February', 'March', 'April', 'May', 'June', 'July', 'August', 'September', 'October', 'November', 'December']
lumps = to num(bonus annual) + rsu annual(op as any)
… the first steps only — the rest of the body needs reading by hand.</t>
        </is>
      </c>
      <c r="H221" s="3" t="inlineStr">
        <is>
          <t>A is op (or none — when missing). Wages is earner wages(op as any) where to num(base salary) &gt; 0 (or salary by month and object.keys(salary by month).length &gt; 0 — when missing or zero). Who is for each of pay.earners: name.join(' and '). Rentals is rental list(op as any). Count is ['No', 'One', 'Two', 'Three', 'Four', 'Five']. Inv is inv annual read as a number (0 — when it is one is missing). Self per is 'year' — when se freq = 'annual'; 'month' — otherwise. Benefit months: how many benefit active months(op as any) there are. Other per is 'year' — when other freq = 'annual'; 'one minus time' — when other freq = 'onetime'; 'month' — otherwise — otherwise. Mo is ['January', 'February', 'March', 'April', 'May', 'June', 'July', 'August', 'September', 'October', 'November', 'December']. Lumps is to num(bonus annual) plus rsu annual(op as any). Only the first steps are shown; the rest of the body needs reading by hand.</t>
        </is>
      </c>
      <c r="I221" s="3" t="inlineStr">
        <is>
          <t>PARTLY READ — some of the code is still showing through; needs a hand pass</t>
        </is>
      </c>
      <c r="J221" s="3" t="inlineStr">
        <is>
          <t>op: Record&lt;string, any&gt; | null</t>
        </is>
      </c>
      <c r="K221" s="3" t="inlineStr">
        <is>
          <t>IncomeManager</t>
        </is>
      </c>
      <c r="L221" s="3" t="inlineStr">
        <is>
          <t>1. "Anything else?" — on the Income manager screen
2. "Bonus and stock" — on the Income manager screen
3. "Stock that vests, a year" — on the Income manager screen
4. "You entered about" — on the Income manager screen</t>
        </is>
      </c>
      <c r="M221" s="3" t="inlineStr">
        <is>
          <t>None found in this function — anything it assumes comes from the functions it depends on.</t>
        </is>
      </c>
      <c r="N221" s="3" t="inlineStr">
        <is>
          <t>Yes</t>
        </is>
      </c>
      <c r="O221" s="3" t="inlineStr">
        <is>
          <t>1. MK-CF-O-001 basePay
2. MK-CF-F-069 benefitActiveMonths
3. MK-CF-F-173 earnerWages
4. MK-CF-F-179 entryFromWage
5. MK-CF-F-085 filingStatusOf
6. MK-CF-F-132 map
7. MK-CF-F-089 over65CountOf
8. MK-NW-F-067 plural
9. MK-CF-F-067 rentalList
10. MK-CF-F-068 rentalNetAnnual
11. MK-CF-F-075 retirementIncomeMonthly
12. MK-CF-F-066 rsuAnnual
13. MK-ST-F-052 toNum</t>
        </is>
      </c>
      <c r="P221" s="3" t="n">
        <v>129</v>
      </c>
      <c r="Q221" s="3" t="inlineStr">
        <is>
          <t>1. MK-CF-O-001 basePay
2. MK-CF-F-069 benefitActiveMonths
3. MK-CF-F-173 earnerWages
4. MK-CF-F-179 entryFromWage
5. MK-CF-F-085 filingStatusOf
6. MK-CF-F-132 map
7. MK-CF-F-089 over65CountOf
8. MK-NW-F-067 plural
9. MK-CF-F-067 rentalList
10. MK-CF-F-068 rentalNetAnnual
11. MK-CF-F-075 retirementIncomeMonthly
12. MK-CF-F-066 rsuAnnual
13. MK-ST-F-052 toNum
14. MK-ST-F-035 covers
15. MK-CF-F-171 earnerPay
16. MK-CF-F-204 line
17. MK-CF-F-103 marginalBracketFor
18. MK-ST-F-053 money
19. MK-HM-F-006 money0
20. MK-XS-F-122 n
21. MK-CF-F-198 payrollTaxWithheld
22. MK-CF-F-181 rateInForce
23. MK-CF-F-172 hasWage
24. MK-CF-F-165 salaryMonths
25. MK-CF-O-002 expenses
26. MK-ST-F-085 rentFigure
27. MK-CF-F-062 equityRowValue
28. MK-CF-F-063 rowVestYear
29. MK-ST-F-034 firstDate
30. MK-CF-F-143 annualisedGross
31. MK-CF-F-145 deductionsFromPay
32. MK-CF-F-128 grossByMonth
33. MK-CF-F-146 payFiguresAgree
34. MK-CF-F-144 takeHomeAsEntered
35. MK-CF-F-203 MONTH
36. MK-XS-F-180 declareFigures
37. MK-CF-F-100 taxableIncomeFor
38. MK-ST-F-049 formatMoney
39. MK-CF-F-155 cash
40. MK-HM-F-005 pctTxt
41. MK-CF-F-180 enteredLandsAnnual
42. MK-CF-F-206 householdK401ByMonth
43. MK-CF-F-082 salaryAnnual
44. MK-CF-F-086 stateRateOf
45. MK-CF-F-101 taxOwedFor
46. MK-CF-F-084 taxableAnnual
47. MK-ST-F-056 has
48. MK-CF-F-151 actualSpending
49. MK-CF-F-150 debtPaymentsCountedAsExpenses
50. MK-CF-F-153 radar
51. MK-CF-F-149 recurringDebtPayments
52. MK-CF-F-142 monthsOf
53. MK-CF-F-141 perMonth
54. MK-ST-F-039 on
55. MK-CF-O-010 theMonth
56. MK-CF-F-099 deductionFor
57. MK-ST-F-048 currencySymbol
58. MK-CF-F-176 sumMonthsOverEarners
59. MK-CF-F-177 wageGrossByMonth
60. MK-CF-F-060 salaryGrossByMonth
61. MK-CF-F-072 currentRetirementIncomeMonthly
62. MK-CF-F-071 extraIncome
63. MK-CF-F-074 tipsAnnual
64. MK-CF-F-148 inMonth
65. MK-CF-F-191 ym
66. MK-CF-F-022 paymentShape
67. MK-CF-F-152 isRadarItem
68. MK-CF-F-023 requiredPayment
69. MK-CF-F-140 periodsAYear
70. MK-CF-O-003 thisMonth
71. MK-CF-F-187 seniorDeductionFor
72. MK-ST-F-047 activeCurrency
73. MK-CF-F-130 enteredMonthlyRaw
74. MK-CF-F-166 hasMonthlySalaryTable
75. MK-ST-F-036 reconcile
76. MK-CF-F-167 salaryCalendarYear
77. MK-CF-F-070 benefitAnnual
78. MK-CF-F-081 salaryActiveMonths
79. MK-CF-F-021 defaultPaymentType
80. MK-CF-F-005 actualMonthFlow
81. MK-CF-F-156 plannedMonthFlow
82. MK-NW-F-078 ONE
83. MK-CF-F-157 debtPaymentsByDebt
84. MK-CF-F-192 inflowLabel
85. MK-XS-F-027 takeHomeMonthly
86. MK-NW-F-077 ALL
87. MK-NW-F-059 currentYield
88. MK-NW-O-001 theBonds
89. MK-CF-F-193 inflowSourceWord
90. MK-CF-F-092 incomeMonthlyGrid
91. MK-CF-F-011 savingsByMonth
92. MK-NW-F-112 yearlyInterest
93. MK-ST-F-027 accountId
94. MK-NW-F-057 annualCoupon
95. MK-NW-F-056 bondInfo
96. MK-NW-F-064 bondRateSensitivity
97. MK-NW-F-061 bondSummary
98. MK-NW-F-055 isBond
99. MK-NW-F-072 rowOf
100. MK-CF-F-065 equityVestWeights
101. MK-CF-F-087 monthlyTaxRates
102. MK-CF-F-073 otherIncomeMonth
103. MK-CF-F-077 scholarshipByCalendarMonth
104. MK-CF-F-088 taxableByCalendarMonth
105. MK-PL-F-012 waterfall
106. MK-CF-F-008 spendByMonth
107. MK-NW-F-060 approxYTM
108. MK-NW-F-069 priceAtYield
109. MK-NW-F-131 pricedLikeBond
110. MK-NW-F-125 isPastMaturity
111. MK-ST-F-065 isoLocalDate
112. MK-NW-F-126 yearlyInterestNow
113. MK-NW-F-011 assetClassOf
114. MK-NW-F-070 accruedInterestCaveat
115. MK-NW-F-058 yearsToMaturity
116. MK-CF-F-090 effectiveRate
117. MK-CF-F-120 pctBaseMonthly
118. MK-CF-F-004 spendBuckets
119. MK-NW-F-119 estimatedAccrued
120. MK-NW-F-124 maturityParts
121. MK-NW-F-120 classEvidenceOf
122. MK-CF-F-003 categoryMonthly
123. MK-NW-F-008 incomeBearingClassOf
124. MK-NW-F-009 maturityClass
125. MK-ST-F-010 nameEvidence
126. MK-NW-F-068 prettyDay
127. MK-XS-F-147 call
128. MK-XS-F-064 currentIdToken
129. MK-XS-F-112 relayUrl</t>
        </is>
      </c>
      <c r="R221" s="3" t="inlineStr">
        <is>
          <t>1. MK-ST-F-034 firstDate → MK-ST-F-035 covers → MK-CF-O-001 basePay → MK-CF-O-019 theIncomeManager
2. MK-CF-F-142 monthsOf → MK-CF-F-128 grossByMonth → MK-CF-F-143 annualisedGross → MK-CF-F-171 earnerPay → MK-CF-O-001 basePay → MK-CF-O-019 theIncomeManager
3. MK-CF-F-141 perMonth → MK-CF-F-128 grossByMonth → MK-CF-F-143 annualisedGross → MK-CF-F-171 earnerPay → MK-CF-O-001 basePay → MK-CF-O-019 theIncomeManager
4. MK-CF-F-128 grossByMonth → MK-CF-F-143 annualisedGross → MK-CF-F-145 deductionsFromPay → MK-CF-F-171 earnerPay → MK-CF-O-001 basePay → MK-CF-O-019 theIncomeManager
5. MK-CF-F-143 annualisedGross → MK-CF-F-144 takeHomeAsEntered → MK-CF-F-145 deductionsFromPay → MK-CF-F-171 earnerPay → MK-CF-O-001 basePay → MK-CF-O-019 theIncomeManager
6. MK-CF-F-142 monthsOf → MK-CF-F-144 takeHomeAsEntered → MK-CF-F-145 deductionsFromPay → MK-CF-F-171 earnerPay → MK-CF-O-001 basePay → MK-CF-O-019 theIncomeManager
7. MK-ST-F-039 on → MK-CF-F-144 takeHomeAsEntered → MK-CF-F-145 deductionsFromPay → MK-CF-F-171 earnerPay → MK-CF-O-001 basePay → MK-CF-O-019 theIncomeManager
8. MK-CF-F-101 taxOwedFor → MK-CF-F-144 takeHomeAsEntered → MK-CF-F-145 deductionsFromPay → MK-CF-F-171 earnerPay → MK-CF-O-001 basePay → MK-CF-O-019 theIncomeManager
9. … and 5 more paths</t>
        </is>
      </c>
      <c r="S221" s="3" t="inlineStr">
        <is>
          <t>—</t>
        </is>
      </c>
      <c r="T221" s="3" t="inlineStr">
        <is>
          <t>—</t>
        </is>
      </c>
      <c r="U221" s="3" t="inlineStr">
        <is>
          <t>ACTIVE</t>
        </is>
      </c>
      <c r="V221" s="3" t="inlineStr">
        <is>
          <t>2026-10-04</t>
        </is>
      </c>
      <c r="W221" s="3" t="n"/>
      <c r="X221" s="3" t="n"/>
      <c r="Y221" s="3" t="inlineStr">
        <is>
          <t>NOTHING OPEN</t>
        </is>
      </c>
    </row>
    <row r="222" ht="60" customHeight="1">
      <c r="A222" s="3" t="inlineStr">
        <is>
          <t>MK-CF-O-020</t>
        </is>
      </c>
      <c r="B222" s="3" t="inlineStr">
        <is>
          <t>theBudgetCounted</t>
        </is>
      </c>
      <c r="C222" s="3" t="inlineStr">
        <is>
          <t>MoneyKeel/functions/cashflow/budget-counted.ts</t>
        </is>
      </c>
      <c r="D222" s="3" t="n">
        <v>68</v>
      </c>
      <c r="E222" s="3" t="inlineStr">
        <is>
          <t>2 · DISPLAYED</t>
        </is>
      </c>
      <c r="F222" s="3" t="inlineStr">
        <is>
          <t>Which of my planned expenses are counted, now that my debts are taken from Debts?</t>
        </is>
      </c>
      <c r="G222" s="11" t="inlineStr">
        <is>
          <t>profile = input.profile (or none when missing)
cats = profile.spend cats   if array.is array(profile.spend cats)
[]   otherwise
budgeted = cats.reduce((t: number, c: any) =&gt; (id = 'rent' ? t + (number(amount) or 0) : t), 0)
uses = property uses(input.accounts ?? [], array.is array(profile.rentals) ? profile.rentals : [])
home = the first of [...uses].find(([, use]) =&gt; use = 'home')?.
on home = mortgages by property(input.accounts ?? [], input.debts ?? []).by property.find((p) =&gt; property id = home)   if home
undefined   otherwise
home mortgage = string(on home.mortgage ?? 'your mortgage')   if on home.mortgage id
nothing   otherwise
typed total = string(profile.monthly expenses ?? '').replace( ÷ [^0 − 9.-] ÷ g, '') read as a number (or 0 when missing or zero)
profile = profile
rent line in debts = nothing
sentence = ''
home mortgage = home mortgage   when home mortgage is missing (or not (budgeted &gt; 0) when missing or zero)</t>
        </is>
      </c>
      <c r="H222" s="3" t="inlineStr">
        <is>
          <t>Profile is input.profile (or none — when missing). Cats is profile.spend cats — when array.is array(profile.spend cats); [] — otherwise. Budgeted is cats.reduce((t: number, c: any) =&gt; (id = 'rent' ? t plus (number(amount) or 0) : t), 0). Uses is property uses(input.accounts ?? [], array.is array(profile.rentals) ? profile.rentals : []). Home: the first of [...uses].find(([, use]) =&gt; use = 'home')?.. On home is mortgages by property(input.accounts ?? [], input.debts ?? []).by property.find((p) =&gt; property id = home) — when home; undefined — otherwise. Home mortgage is string(on home.mortgage ?? 'your mortgage') — when on home.mortgage id; no answer — otherwise. Typed total is string(profile.monthly expenses ?? '').replace( divided by [^0 minus 9.-] divided by g, '') read as a number (or 0 — when missing or zero). When home mortgage is missing (or not (budgeted &gt; 0) — when missing or zero), it answers profile = profile; rent line in debts is missing; sentence = ''; home mortgage = home mortgage.</t>
        </is>
      </c>
      <c r="I222" s="3" t="inlineStr">
        <is>
          <t>PARTLY READ — some of the code is still showing through; needs a hand pass</t>
        </is>
      </c>
      <c r="J222" s="3" t="inlineStr">
        <is>
          <t>input: { profile: any; accounts: AssetAccount[]; debts: Debt[] }</t>
        </is>
      </c>
      <c r="K222" s="3" t="inlineStr">
        <is>
          <t>BudgetCounted</t>
        </is>
      </c>
      <c r="L222" s="3" t="inlineStr">
        <is>
          <t>1. "Set your budget" — on the Cash flow screen, under "PLANNED EXPENSES"
2. "Set your budget" — on the Cash flow screen, under "PLANNED
3. $"
4. "Surplus after your budget" — on the Cash flow screen, under "PLANNED
5. $"
6. "Your budget" — on the Cash flow screen</t>
        </is>
      </c>
      <c r="M222" s="3" t="inlineStr">
        <is>
          <t>None found in this function — anything it assumes comes from the functions it depends on.</t>
        </is>
      </c>
      <c r="N222" s="3" t="inlineStr">
        <is>
          <t>Yes</t>
        </is>
      </c>
      <c r="O222" s="3" t="inlineStr">
        <is>
          <t>1. MK-CF-F-132 map
2. MK-NW-F-106 mortgagesByProperty
3. MK-NW-F-107 propertyUses</t>
        </is>
      </c>
      <c r="P222" s="3" t="n">
        <v>33</v>
      </c>
      <c r="Q222" s="3" t="inlineStr">
        <is>
          <t>1. MK-CF-F-132 map
2. MK-NW-F-106 mortgagesByProperty
3. MK-NW-F-107 propertyUses
4. MK-NW-F-011 assetClassOf
5. MK-ST-F-056 has
6. MK-CF-F-023 requiredPayment
7. MK-NW-F-117 propertyUseMap
8. MK-NW-F-120 classEvidenceOf
9. MK-CF-F-022 paymentShape
10. MK-NW-F-116 rentedIdsOf
11. MK-CF-F-155 cash
12. MK-NW-F-008 incomeBearingClassOf
13. MK-NW-F-009 maturityClass
14. MK-CF-F-021 defaultPaymentType
15. MK-NW-F-115 liveRent
16. MK-XS-F-122 n
17. MK-ST-F-010 nameEvidence
18. MK-NW-F-068 prettyDay
19. MK-CF-O-002 expenses
20. MK-NW-F-114 rentAmount
21. MK-XS-F-147 call
22. MK-CF-F-151 actualSpending
23. MK-CF-F-150 debtPaymentsCountedAsExpenses
24. MK-CF-F-153 radar
25. MK-CF-F-149 recurringDebtPayments
26. MK-ST-F-085 rentFigure
27. MK-ST-F-027 accountId
28. MK-XS-F-064 currentIdToken
29. MK-XS-F-112 relayUrl
30. MK-CF-F-148 inMonth
31. MK-ST-F-052 toNum
32. MK-CF-F-191 ym
33. MK-CF-F-152 isRadarItem</t>
        </is>
      </c>
      <c r="R222" s="3" t="inlineStr">
        <is>
          <t>1. MK-CF-F-132 map → MK-CF-O-020 theBudgetCounted
2. MK-XS-F-122 n → MK-CF-F-155 cash → MK-NW-F-120 classEvidenceOf → MK-NW-F-011 assetClassOf → MK-NW-F-106 mortgagesByProperty → MK-CF-O-020 theBudgetCounted
3. MK-CF-F-155 cash → MK-NW-F-008 incomeBearingClassOf → MK-NW-F-120 classEvidenceOf → MK-NW-F-011 assetClassOf → MK-NW-F-106 mortgagesByProperty → MK-CF-O-020 theBudgetCounted
4. MK-ST-F-010 nameEvidence → MK-NW-F-008 incomeBearingClassOf → MK-NW-F-120 classEvidenceOf → MK-NW-F-011 assetClassOf → MK-NW-F-106 mortgagesByProperty → MK-CF-O-020 theBudgetCounted
5. assetClassOf (already above — a loop) → MK-NW-F-009 maturityClass → MK-NW-F-120 classEvidenceOf → MK-NW-F-011 assetClassOf → MK-NW-F-106 mortgagesByProperty → MK-CF-O-020 theBudgetCounted
6. MK-NW-F-068 prettyDay → MK-NW-F-009 maturityClass → MK-NW-F-120 classEvidenceOf → MK-NW-F-011 assetClassOf → MK-NW-F-106 mortgagesByProperty → MK-CF-O-020 theBudgetCounted
7. MK-ST-F-056 has → MK-NW-F-106 mortgagesByProperty → MK-CF-O-020 theBudgetCounted
8. MK-CF-F-132 map → MK-NW-F-106 mortgagesByProperty → MK-CF-O-020 theBudgetCounted
9. … and 4 more paths</t>
        </is>
      </c>
      <c r="S222" s="3" t="inlineStr">
        <is>
          <t>—</t>
        </is>
      </c>
      <c r="T222" s="3" t="inlineStr">
        <is>
          <t>—</t>
        </is>
      </c>
      <c r="U222" s="3" t="inlineStr">
        <is>
          <t>ACTIVE</t>
        </is>
      </c>
      <c r="V222" s="3" t="inlineStr">
        <is>
          <t>2026-10-09</t>
        </is>
      </c>
      <c r="W222" s="3" t="n"/>
      <c r="X222" s="3" t="n"/>
      <c r="Y222" s="3" t="inlineStr">
        <is>
          <t>NOTHING OPEN</t>
        </is>
      </c>
    </row>
    <row r="223" ht="45" customHeight="1">
      <c r="A223" s="3" t="inlineStr">
        <is>
          <t>MK-HM-F-001</t>
        </is>
      </c>
      <c r="B223" s="3" t="inlineStr">
        <is>
          <t>buildInsights</t>
        </is>
      </c>
      <c r="C223" s="3" t="inlineStr">
        <is>
          <t>src/domain/insights/index.ts</t>
        </is>
      </c>
      <c r="D223" s="3" t="n">
        <v>177</v>
      </c>
      <c r="E223" s="3" t="inlineStr">
        <is>
          <t>2 · DISPLAYED</t>
        </is>
      </c>
      <c r="F223" s="3" t="inlineStr">
        <is>
          <t>Ranked insights (highest priority first).</t>
        </is>
      </c>
      <c r="G223" s="11" t="inlineStr">
        <is>
          <t>the first limit of out   if limit ≠ nothing
out   otherwise</t>
        </is>
      </c>
      <c r="H223" s="3" t="inlineStr">
        <is>
          <t>the first limit of out — when limit is not no answer; out — otherwise.</t>
        </is>
      </c>
      <c r="I223" s="3" t="inlineStr">
        <is>
          <t>READ FROM THE CODE — rendered from the expressions the function runs</t>
        </is>
      </c>
      <c r="J223" s="3" t="inlineStr">
        <is>
          <t>1. input: InsightInput
2. limit?: number</t>
        </is>
      </c>
      <c r="K223" s="3" t="inlineStr">
        <is>
          <t>Insight[]</t>
        </is>
      </c>
      <c r="L223" s="3" t="inlineStr">
        <is>
          <t>NOT FOUND — a screen calls it, but the words printed beside its answer could not be traced automatically. Needs reading.</t>
        </is>
      </c>
      <c r="M223" s="3" t="inlineStr">
        <is>
          <t>None found in this function — anything it assumes comes from the functions it depends on.</t>
        </is>
      </c>
      <c r="N223" s="3" t="inlineStr">
        <is>
          <t>Yes</t>
        </is>
      </c>
      <c r="O223" s="3" t="inlineStr">
        <is>
          <t>MK-CF-F-132 map</t>
        </is>
      </c>
      <c r="P223" s="3" t="n">
        <v>1</v>
      </c>
      <c r="Q223" s="3" t="inlineStr">
        <is>
          <t>MK-CF-F-132 map</t>
        </is>
      </c>
      <c r="R223" s="3" t="inlineStr">
        <is>
          <t>MK-CF-F-132 map → MK-HM-F-001 buildInsights</t>
        </is>
      </c>
      <c r="S223" s="3" t="inlineStr">
        <is>
          <t>—</t>
        </is>
      </c>
      <c r="T223" s="3" t="inlineStr">
        <is>
          <t>—</t>
        </is>
      </c>
      <c r="U223" s="3" t="inlineStr">
        <is>
          <t>ACTIVE</t>
        </is>
      </c>
      <c r="V223" s="3" t="inlineStr">
        <is>
          <t>2026-08-27</t>
        </is>
      </c>
      <c r="W223" s="3" t="n"/>
      <c r="X223" s="3" t="n"/>
      <c r="Y223" s="3" t="inlineStr">
        <is>
          <t>NOTHING OPEN</t>
        </is>
      </c>
    </row>
    <row r="224" ht="45" customHeight="1">
      <c r="A224" s="3" t="inlineStr">
        <is>
          <t>MK-HM-F-002</t>
        </is>
      </c>
      <c r="B224" s="3" t="inlineStr">
        <is>
          <t>milestoneLabel</t>
        </is>
      </c>
      <c r="C224" s="3" t="inlineStr">
        <is>
          <t>src/domain/milestones.ts</t>
        </is>
      </c>
      <c r="D224" s="3" t="n">
        <v>34</v>
      </c>
      <c r="E224" s="3" t="inlineStr">
        <is>
          <t>2 · DISPLAYED</t>
        </is>
      </c>
      <c r="F224" s="3" t="inlineStr">
        <is>
          <t>'$500k' / '$1M' — the label the celebration line uses.</t>
        </is>
      </c>
      <c r="G224" s="11" t="inlineStr">
        <is>
          <t>m = threshold ÷ 1000000
the answer = `$${number.is integer(m) ? m : to fixed(1)}M`</t>
        </is>
      </c>
      <c r="H224" s="3" t="inlineStr">
        <is>
          <t>M is threshold divided by 1000000. The answer is `$${number.is integer(m) ? m : to fixed(1)}M`.</t>
        </is>
      </c>
      <c r="I224" s="3" t="inlineStr">
        <is>
          <t>PARTLY READ — some of the code is still showing through; needs a hand pass</t>
        </is>
      </c>
      <c r="J224" s="3" t="inlineStr">
        <is>
          <t>threshold: number</t>
        </is>
      </c>
      <c r="K224" s="3" t="inlineStr">
        <is>
          <t>string</t>
        </is>
      </c>
      <c r="L224" s="3" t="inlineStr">
        <is>
          <t>NOT FOUND — a screen calls it, but the words printed beside its answer could not be traced automatically. Needs reading.</t>
        </is>
      </c>
      <c r="M224" s="3" t="inlineStr">
        <is>
          <t>1. Rounds the answer to a whole number.
2. Shows 1 decimal place.</t>
        </is>
      </c>
      <c r="N224" s="3" t="inlineStr">
        <is>
          <t>Yes</t>
        </is>
      </c>
      <c r="O224" s="3" t="inlineStr">
        <is>
          <t>—</t>
        </is>
      </c>
      <c r="P224" s="3" t="n">
        <v>0</v>
      </c>
      <c r="Q224" s="3" t="inlineStr">
        <is>
          <t>None — no dependent function stands behind it</t>
        </is>
      </c>
      <c r="R224" s="3" t="inlineStr">
        <is>
          <t>No dependent function — it reads its inputs and answers</t>
        </is>
      </c>
      <c r="S224" s="3" t="inlineStr">
        <is>
          <t>—</t>
        </is>
      </c>
      <c r="T224" s="3" t="inlineStr">
        <is>
          <t>—</t>
        </is>
      </c>
      <c r="U224" s="3" t="inlineStr">
        <is>
          <t>ACTIVE</t>
        </is>
      </c>
      <c r="V224" s="3" t="inlineStr">
        <is>
          <t>2026-08-27</t>
        </is>
      </c>
      <c r="W224" s="3" t="n"/>
      <c r="X224" s="3" t="n"/>
      <c r="Y224" s="3" t="inlineStr">
        <is>
          <t>NOTHING OPEN</t>
        </is>
      </c>
    </row>
    <row r="225" ht="45" customHeight="1">
      <c r="A225" s="3" t="inlineStr">
        <is>
          <t>MK-HM-F-003</t>
        </is>
      </c>
      <c r="B225" s="3" t="inlineStr">
        <is>
          <t>milestoneFloor</t>
        </is>
      </c>
      <c r="C225" s="3" t="inlineStr">
        <is>
          <t>src/domain/milestones.ts</t>
        </is>
      </c>
      <c r="D225" s="3" t="n">
        <v>65</v>
      </c>
      <c r="E225" s="3" t="inlineStr">
        <is>
          <t>2 · DISPLAYED</t>
        </is>
      </c>
      <c r="F225" s="3" t="inlineStr">
        <is>
          <t>The highest ladder rung at or below `netWorth` (0 when below the first rung).</t>
        </is>
      </c>
      <c r="G225" s="11" t="inlineStr">
        <is>
          <t>floor = 0
the answer = floor</t>
        </is>
      </c>
      <c r="H225" s="3" t="inlineStr">
        <is>
          <t>Floor is 0. The answer is floor.</t>
        </is>
      </c>
      <c r="I225" s="3" t="inlineStr">
        <is>
          <t>READ FROM THE CODE — rendered from the expressions the function runs</t>
        </is>
      </c>
      <c r="J225" s="3" t="inlineStr">
        <is>
          <t>netWorth: number</t>
        </is>
      </c>
      <c r="K225" s="3" t="inlineStr">
        <is>
          <t>number</t>
        </is>
      </c>
      <c r="L225" s="3" t="inlineStr">
        <is>
          <t>NOT FOUND — a screen calls it, but the words printed beside its answer could not be traced automatically. Needs reading.</t>
        </is>
      </c>
      <c r="M225" s="3" t="inlineStr">
        <is>
          <t>· Uses a built-in floor of 0.</t>
        </is>
      </c>
      <c r="N225" s="3" t="inlineStr">
        <is>
          <t>Yes</t>
        </is>
      </c>
      <c r="O225" s="3" t="inlineStr">
        <is>
          <t>—</t>
        </is>
      </c>
      <c r="P225" s="3" t="n">
        <v>0</v>
      </c>
      <c r="Q225" s="3" t="inlineStr">
        <is>
          <t>None — no dependent function stands behind it</t>
        </is>
      </c>
      <c r="R225" s="3" t="inlineStr">
        <is>
          <t>No dependent function — it reads its inputs and answers</t>
        </is>
      </c>
      <c r="S225" s="3" t="inlineStr">
        <is>
          <t>—</t>
        </is>
      </c>
      <c r="T225" s="3" t="inlineStr">
        <is>
          <t>—</t>
        </is>
      </c>
      <c r="U225" s="3" t="inlineStr">
        <is>
          <t>ACTIVE</t>
        </is>
      </c>
      <c r="V225" s="3" t="inlineStr">
        <is>
          <t>2026-08-27</t>
        </is>
      </c>
      <c r="W225" s="3" t="n"/>
      <c r="X225" s="3" t="n"/>
      <c r="Y225" s="3" t="inlineStr">
        <is>
          <t>NOTHING OPEN</t>
        </is>
      </c>
    </row>
    <row r="226" ht="60" customHeight="1">
      <c r="A226" s="3" t="inlineStr">
        <is>
          <t>MK-HM-F-004</t>
        </is>
      </c>
      <c r="B226" s="3" t="inlineStr">
        <is>
          <t>milestoneCrossed</t>
        </is>
      </c>
      <c r="C226" s="3" t="inlineStr">
        <is>
          <t>src/domain/milestones.ts</t>
        </is>
      </c>
      <c r="D226" s="3" t="n">
        <v>95</v>
      </c>
      <c r="E226" s="3" t="inlineStr">
        <is>
          <t>2 · DISPLAYED</t>
        </is>
      </c>
      <c r="F226" s="3" t="inlineStr">
        <is>
          <t>The one decision rule.</t>
        </is>
      </c>
      <c r="G226" s="11" t="inlineStr">
        <is>
          <t>nothing   when high seen = nothing
floor = milestone floor(net worth)
the answer:
floor   if floor &gt; high seen
nothing   otherwise</t>
        </is>
      </c>
      <c r="H226" s="3" t="inlineStr">
        <is>
          <t>When high seen is missing, it answers no answer. Floor is milestone floor(net worth). The answer is floor — when floor &gt; high seen; no answer — otherwise.</t>
        </is>
      </c>
      <c r="I226" s="3" t="inlineStr">
        <is>
          <t>READ FROM THE CODE — rendered from the expressions the function runs</t>
        </is>
      </c>
      <c r="J226" s="3" t="inlineStr">
        <is>
          <t>1. netWorth: number
2. highSeen: number | null</t>
        </is>
      </c>
      <c r="K226" s="3" t="inlineStr">
        <is>
          <t>number | null</t>
        </is>
      </c>
      <c r="L226" s="3" t="inlineStr">
        <is>
          <t>NOT FOUND — a screen calls it, but the words printed beside its answer could not be traced automatically. Needs reading.</t>
        </is>
      </c>
      <c r="M226" s="3" t="inlineStr">
        <is>
          <t>None found in this function — anything it assumes comes from the functions it depends on.</t>
        </is>
      </c>
      <c r="N226" s="3" t="inlineStr">
        <is>
          <t>Yes</t>
        </is>
      </c>
      <c r="O226" s="3" t="inlineStr">
        <is>
          <t>MK-HM-F-003 milestoneFloor</t>
        </is>
      </c>
      <c r="P226" s="3" t="n">
        <v>1</v>
      </c>
      <c r="Q226" s="3" t="inlineStr">
        <is>
          <t>MK-HM-F-003 milestoneFloor</t>
        </is>
      </c>
      <c r="R226" s="3" t="inlineStr">
        <is>
          <t>MK-HM-F-003 milestoneFloor → MK-HM-F-004 milestoneCrossed</t>
        </is>
      </c>
      <c r="S226" s="3" t="inlineStr">
        <is>
          <t>MK-HM-M-002</t>
        </is>
      </c>
      <c r="T226" s="3" t="inlineStr">
        <is>
          <t>—</t>
        </is>
      </c>
      <c r="U226" s="3" t="inlineStr">
        <is>
          <t>ACTIVE</t>
        </is>
      </c>
      <c r="V226" s="3" t="inlineStr">
        <is>
          <t>2026-08-27</t>
        </is>
      </c>
      <c r="W226" s="3" t="n"/>
      <c r="X226" s="3" t="n"/>
      <c r="Y226" s="3" t="inlineStr">
        <is>
          <t>NOTHING OPEN</t>
        </is>
      </c>
    </row>
    <row r="227" ht="60" customHeight="1">
      <c r="A227" s="3" t="inlineStr">
        <is>
          <t>MK-HM-F-005</t>
        </is>
      </c>
      <c r="B227" s="3" t="inlineStr">
        <is>
          <t>pctTxt</t>
        </is>
      </c>
      <c r="C227" s="3" t="inlineStr">
        <is>
          <t>src/domain/insights/index.ts</t>
        </is>
      </c>
      <c r="D227" s="3" t="n">
        <v>73</v>
      </c>
      <c r="E227" s="3" t="inlineStr">
        <is>
          <t>1 · ACTION</t>
        </is>
      </c>
      <c r="F227" s="3" t="inlineStr">
        <is>
          <t>NOT DETERMINED — the code carries no note saying what this is for, and it has no row in the old inventory. Needs reading.</t>
        </is>
      </c>
      <c r="G227" s="11" t="inlineStr">
        <is>
          <t>the answer = round(d × 100) followed by '%'</t>
        </is>
      </c>
      <c r="H227" s="3" t="inlineStr">
        <is>
          <t>A share written as a whole percent — 0.234 becomes 23%. Display only.</t>
        </is>
      </c>
      <c r="I227" s="3" t="inlineStr">
        <is>
          <t>READ BY HAND 2026-08-26 — checked line by line against the code</t>
        </is>
      </c>
      <c r="J227" s="3" t="inlineStr">
        <is>
          <t>d: number</t>
        </is>
      </c>
      <c r="K227" s="3" t="inlineStr">
        <is>
          <t>NOT DECLARED — the code does not say what it gives back</t>
        </is>
      </c>
      <c r="L227" s="3" t="inlineStr">
        <is>
          <t>—</t>
        </is>
      </c>
      <c r="M227" s="3" t="inlineStr">
        <is>
          <t>· Rounds the answer to a whole number.</t>
        </is>
      </c>
      <c r="N227" s="3" t="inlineStr">
        <is>
          <t>Yes</t>
        </is>
      </c>
      <c r="O227" s="3" t="inlineStr">
        <is>
          <t>—</t>
        </is>
      </c>
      <c r="P227" s="3" t="n">
        <v>0</v>
      </c>
      <c r="Q227" s="3" t="inlineStr">
        <is>
          <t>None — no dependent function stands behind it</t>
        </is>
      </c>
      <c r="R227" s="3" t="inlineStr">
        <is>
          <t>No dependent function — it reads its inputs and answers</t>
        </is>
      </c>
      <c r="S227" s="3" t="inlineStr">
        <is>
          <t>—</t>
        </is>
      </c>
      <c r="T227" s="3" t="inlineStr">
        <is>
          <t>—</t>
        </is>
      </c>
      <c r="U227" s="3" t="inlineStr">
        <is>
          <t>ACTIVE</t>
        </is>
      </c>
      <c r="V227" s="3" t="inlineStr">
        <is>
          <t>2026-09-12</t>
        </is>
      </c>
      <c r="W227" s="3" t="n"/>
      <c r="X227" s="3" t="n"/>
      <c r="Y227" s="3" t="inlineStr">
        <is>
          <t>NOTHING OPEN</t>
        </is>
      </c>
    </row>
    <row r="228" ht="60" customHeight="1">
      <c r="A228" s="3" t="inlineStr">
        <is>
          <t>MK-HM-F-006</t>
        </is>
      </c>
      <c r="B228" s="3" t="inlineStr">
        <is>
          <t>money0</t>
        </is>
      </c>
      <c r="C228" s="3" t="inlineStr">
        <is>
          <t>src/domain/insights/index.ts</t>
        </is>
      </c>
      <c r="D228" s="3" t="n">
        <v>107</v>
      </c>
      <c r="E228" s="3" t="inlineStr">
        <is>
          <t>3 · DEPENDENT</t>
        </is>
      </c>
      <c r="F228" s="3" t="inlineStr">
        <is>
          <t>NOT DETERMINED — the code carries no note saying what this is for, and it has no row in the old inventory. Needs reading.</t>
        </is>
      </c>
      <c r="G228" s="11" t="inlineStr">
        <is>
          <t>the answer = '$' + round(n) with thousands separators</t>
        </is>
      </c>
      <c r="H228" s="3" t="inlineStr">
        <is>
          <t>A dollar amount to the whole dollar with thousands separators, for the insight sentences. Display only.</t>
        </is>
      </c>
      <c r="I228" s="3" t="inlineStr">
        <is>
          <t>READ BY HAND 2026-08-26 — checked line by line against the code</t>
        </is>
      </c>
      <c r="J228" s="3" t="inlineStr">
        <is>
          <t>n: number</t>
        </is>
      </c>
      <c r="K228" s="3" t="inlineStr">
        <is>
          <t>NOT DECLARED — the code does not say what it gives back</t>
        </is>
      </c>
      <c r="L228" s="3" t="inlineStr">
        <is>
          <t>—</t>
        </is>
      </c>
      <c r="M228" s="3" t="inlineStr">
        <is>
          <t>1. Rounds the answer to a whole number.
2. Shows 1 decimal place.</t>
        </is>
      </c>
      <c r="N228" s="3" t="inlineStr">
        <is>
          <t>Yes</t>
        </is>
      </c>
      <c r="O228" s="3" t="inlineStr">
        <is>
          <t>1. MK-CF-F-155 cash
2. MK-XS-F-122 n
3. MK-HM-F-005 pctTxt
4. MK-NW-F-067 plural</t>
        </is>
      </c>
      <c r="P228" s="3" t="n">
        <v>4</v>
      </c>
      <c r="Q228" s="3" t="inlineStr">
        <is>
          <t>1. MK-CF-F-155 cash
2. MK-XS-F-122 n
3. MK-HM-F-005 pctTxt
4. MK-NW-F-067 plural</t>
        </is>
      </c>
      <c r="R228" s="3" t="inlineStr">
        <is>
          <t>1. MK-XS-F-122 n → MK-CF-F-155 cash → MK-HM-F-006 money0
2. MK-XS-F-122 n → MK-HM-F-006 money0
3. MK-HM-F-005 pctTxt → MK-HM-F-006 money0
4. MK-XS-F-122 n → MK-NW-F-067 plural → MK-HM-F-006 money0</t>
        </is>
      </c>
      <c r="S228" s="3" t="inlineStr">
        <is>
          <t>—</t>
        </is>
      </c>
      <c r="T228" s="3" t="inlineStr">
        <is>
          <t>—</t>
        </is>
      </c>
      <c r="U228" s="3" t="inlineStr">
        <is>
          <t>ACTIVE</t>
        </is>
      </c>
      <c r="V228" s="3" t="inlineStr">
        <is>
          <t>2026-09-12</t>
        </is>
      </c>
      <c r="W228" s="3" t="n"/>
      <c r="X228" s="3" t="n"/>
      <c r="Y228" s="3" t="inlineStr">
        <is>
          <t>NOTHING OPEN</t>
        </is>
      </c>
    </row>
    <row r="229" ht="60" customHeight="1">
      <c r="A229" s="3" t="inlineStr">
        <is>
          <t>MK-NW-F-001</t>
        </is>
      </c>
      <c r="B229" s="3" t="inlineStr">
        <is>
          <t>isAlternative</t>
        </is>
      </c>
      <c r="C229" s="3" t="inlineStr">
        <is>
          <t>src/domain/alternatives/index.ts</t>
        </is>
      </c>
      <c r="D229" s="3" t="n">
        <v>34</v>
      </c>
      <c r="E229" s="3" t="inlineStr">
        <is>
          <t>2 · DISPLAYED</t>
        </is>
      </c>
      <c r="F229" s="3" t="inlineStr">
        <is>
          <t>Is this account an "other investment" — an alternative held at a manual value (not a bond, not cash/property)?</t>
        </is>
      </c>
      <c r="G229" s="11" t="inlineStr">
        <is>
          <t>asset class of(a) = 'alternatives'</t>
        </is>
      </c>
      <c r="H229" s="3" t="inlineStr">
        <is>
          <t>asset class of(a) = 'alternatives'.</t>
        </is>
      </c>
      <c r="I229" s="3" t="inlineStr">
        <is>
          <t>READ FROM THE CODE — rendered from the expressions the function runs</t>
        </is>
      </c>
      <c r="J229" s="3" t="inlineStr">
        <is>
          <t>a: AssetAccount</t>
        </is>
      </c>
      <c r="K229" s="3" t="inlineStr">
        <is>
          <t>boolean</t>
        </is>
      </c>
      <c r="L229" s="3" t="inlineStr">
        <is>
          <t>NOT FOUND — a screen calls it, but the words printed beside its answer could not be traced automatically. Needs reading.</t>
        </is>
      </c>
      <c r="M229" s="3" t="inlineStr">
        <is>
          <t>None found in this function — anything it assumes comes from the functions it depends on.</t>
        </is>
      </c>
      <c r="N229" s="3" t="inlineStr">
        <is>
          <t>Yes</t>
        </is>
      </c>
      <c r="O229" s="3" t="inlineStr">
        <is>
          <t>MK-NW-F-011 assetClassOf</t>
        </is>
      </c>
      <c r="P229" s="3" t="n">
        <v>14</v>
      </c>
      <c r="Q229" s="3" t="inlineStr">
        <is>
          <t>1. MK-NW-F-011 assetClassOf
2. MK-NW-F-120 classEvidenceOf
3. MK-CF-F-155 cash
4. MK-NW-F-008 incomeBearingClassOf
5. MK-NW-F-009 maturityClass
6. MK-XS-F-122 n
7. MK-ST-F-010 nameEvidence
8. MK-NW-F-068 prettyDay
9. MK-XS-F-147 call
10. MK-ST-F-056 has
11. MK-CF-F-132 map
12. MK-ST-F-027 accountId
13. MK-XS-F-064 currentIdToken
14. MK-XS-F-112 relayUrl</t>
        </is>
      </c>
      <c r="R229" s="3" t="inlineStr">
        <is>
          <t>1. MK-XS-F-122 n → MK-CF-F-155 cash → MK-NW-F-120 classEvidenceOf → MK-NW-F-011 assetClassOf → MK-NW-F-001 isAlternative
2. MK-XS-F-122 n → MK-CF-F-155 cash → MK-NW-F-008 incomeBearingClassOf → MK-NW-F-120 classEvidenceOf → MK-NW-F-011 assetClassOf → MK-NW-F-001 isAlternative
3. MK-XS-F-147 call → MK-ST-F-010 nameEvidence → MK-NW-F-008 incomeBearingClassOf → MK-NW-F-120 classEvidenceOf → MK-NW-F-011 assetClassOf → MK-NW-F-001 isAlternative
4. MK-ST-F-056 has → MK-ST-F-010 nameEvidence → MK-NW-F-008 incomeBearingClassOf → MK-NW-F-120 classEvidenceOf → MK-NW-F-011 assetClassOf → MK-NW-F-001 isAlternative
5. MK-CF-F-132 map → MK-ST-F-010 nameEvidence → MK-NW-F-008 incomeBearingClassOf → MK-NW-F-120 classEvidenceOf → MK-NW-F-011 assetClassOf → MK-NW-F-001 isAlternative
6. assetClassOf (already above — a loop) → MK-NW-F-009 maturityClass → MK-NW-F-120 classEvidenceOf → MK-NW-F-011 assetClassOf → MK-NW-F-001 isAlternative
7. MK-CF-F-132 map → MK-NW-F-068 prettyDay → MK-NW-F-009 maturityClass → MK-NW-F-120 classEvidenceOf → MK-NW-F-011 assetClassOf → MK-NW-F-001 isAlternative</t>
        </is>
      </c>
      <c r="S229" s="3" t="inlineStr">
        <is>
          <t>—</t>
        </is>
      </c>
      <c r="T229" s="3" t="inlineStr">
        <is>
          <t>IS_ALTERNATIVE</t>
        </is>
      </c>
      <c r="U229" s="3" t="inlineStr">
        <is>
          <t>ACTIVE</t>
        </is>
      </c>
      <c r="V229" s="3" t="inlineStr">
        <is>
          <t>2026-10-04</t>
        </is>
      </c>
      <c r="W229" s="3" t="n"/>
      <c r="X229" s="3" t="n"/>
      <c r="Y229" s="3" t="inlineStr">
        <is>
          <t>NOTHING OPEN</t>
        </is>
      </c>
    </row>
    <row r="230" ht="60" customHeight="1">
      <c r="A230" s="3" t="inlineStr">
        <is>
          <t>MK-NW-F-002</t>
        </is>
      </c>
      <c r="B230" s="3" t="inlineStr">
        <is>
          <t>alternativesSummary</t>
        </is>
      </c>
      <c r="C230" s="3" t="inlineStr">
        <is>
          <t>src/domain/alternatives/index.ts</t>
        </is>
      </c>
      <c r="D230" s="3" t="n">
        <v>82</v>
      </c>
      <c r="E230" s="3" t="inlineStr">
        <is>
          <t>3 · DEPENDENT</t>
        </is>
      </c>
      <c r="F230" s="3" t="inlineStr">
        <is>
          <t>Adds up the alternative investments: how many there are, what they are worth together, their blended yearly growth rate and the growth in dollars that rate gives over a year.</t>
        </is>
      </c>
      <c r="G230" s="11" t="inlineStr">
        <is>
          <t>parts = for each of accounts (or none when missing): each = each
parts = alt parts of(each) where parts.length &gt; 0
flat = parts.flat map((x) =&gt; parts)
total = Σ over flat of (value)
classified = flat where not classified is missing
classified total = Σ over classified of (value)
weighted = Σ over classified total &gt; 0 ? classified of (value × benchmark return(kind, overrides))÷ classified total : nothing</t>
        </is>
      </c>
      <c r="H230" s="3" t="inlineStr">
        <is>
          <t>Parts is for each of accounts (or none — when missing): each = each; parts = alt parts of(each) where parts.length &gt; 0. Flat is parts.flat map((x) =&gt; parts). Total: the value added up across flat. Classified is flat where classified is missing is missing. Classified total: the value added up across classified. Weighted: the value times benchmark return(kind, overrides added up across classified total &gt; 0 ? classified)÷ classified total : no answer.</t>
        </is>
      </c>
      <c r="I230" s="3" t="inlineStr">
        <is>
          <t>PARTLY READ — some of the code is still showing through; needs a hand pass</t>
        </is>
      </c>
      <c r="J230" s="3" t="inlineStr">
        <is>
          <t>1. accounts: AssetAccount[]
2. overrides?: Record&lt;string, number&gt;</t>
        </is>
      </c>
      <c r="K230" s="3" t="inlineStr">
        <is>
          <t>AltSummary</t>
        </is>
      </c>
      <c r="L230" s="3" t="inlineStr">
        <is>
          <t>—</t>
        </is>
      </c>
      <c r="M230" s="3" t="inlineStr">
        <is>
          <t>None found in this function — anything it assumes comes from the functions it depends on.</t>
        </is>
      </c>
      <c r="N230" s="3" t="inlineStr">
        <is>
          <t>Yes</t>
        </is>
      </c>
      <c r="O230" s="3" t="inlineStr">
        <is>
          <t>1. MK-CF-F-200 LINE
2. MK-NW-F-113 altPartsOf
3. MK-NW-F-034 benchmarkReturn
4. MK-CF-F-204 line
5. MK-CF-F-132 map</t>
        </is>
      </c>
      <c r="P230" s="3" t="n">
        <v>126</v>
      </c>
      <c r="Q230" s="3" t="inlineStr">
        <is>
          <t>1. MK-CF-F-200 LINE
2. MK-NW-F-113 altPartsOf
3. MK-NW-F-034 benchmarkReturn
4. MK-CF-F-204 line
5. MK-CF-F-132 map
6. MK-XS-F-180 declareFigures
7. MK-CF-O-006 theCreditLine
8. MK-NW-F-027 accountClassBreakdown
9. MK-NW-F-109 holdingClassOf
10. MK-NW-F-001 isAlternative
11. MK-NW-F-007 assetKind
12. MK-CF-F-203 MONTH
13. MK-CF-F-031 creditUtilization
14. MK-NW-F-011 assetClassOf
15. MK-CF-F-155 cash
16. MK-ST-F-056 has
17. MK-NW-F-067 plural
18. MK-NW-F-123 holdingNameEvidence
19. MK-NW-F-121 holdingTagClass
20. MK-NW-F-054 reclassifyAccounts
21. MK-CF-O-010 theMonth
22. MK-NW-F-120 classEvidenceOf
23. MK-XS-F-122 n
24. MK-NW-F-008 incomeBearingClassOf
25. MK-NW-F-053 correctClassOf
26. MK-NW-F-122 holdingTagFor
27. MK-CF-O-002 expenses
28. MK-CF-O-003 thisMonth
29. MK-NW-F-009 maturityClass
30. MK-ST-F-010 nameEvidence
31. MK-CF-F-151 actualSpending
32. MK-CF-F-150 debtPaymentsCountedAsExpenses
33. MK-CF-F-153 radar
34. MK-CF-F-149 recurringDebtPayments
35. MK-CF-F-005 actualMonthFlow
36. MK-CF-F-156 plannedMonthFlow
37. MK-NW-F-068 prettyDay
38. MK-XS-F-147 call
39. MK-CF-F-148 inMonth
40. MK-ST-F-052 toNum
41. MK-CF-F-191 ym
42. MK-CF-F-022 paymentShape
43. MK-CF-F-152 isRadarItem
44. MK-CF-F-023 requiredPayment
45. MK-NW-F-078 ONE
46. MK-CF-F-157 debtPaymentsByDebt
47. MK-CF-F-192 inflowLabel
48. MK-XS-F-027 takeHomeMonthly
49. MK-ST-F-027 accountId
50. MK-XS-F-064 currentIdToken
51. MK-XS-F-112 relayUrl
52. MK-CF-F-021 defaultPaymentType
53. MK-NW-F-077 ALL
54. MK-NW-F-059 currentYield
55. MK-ST-F-049 formatMoney
56. MK-ST-F-053 money
57. MK-NW-O-001 theBonds
58. MK-CF-F-193 inflowSourceWord
59. MK-CF-F-092 incomeMonthlyGrid
60. MK-CF-F-011 savingsByMonth
61. MK-NW-F-112 yearlyInterest
62. MK-ST-F-048 currencySymbol
63. MK-ST-F-039 on
64. MK-NW-F-057 annualCoupon
65. MK-NW-F-056 bondInfo
66. MK-NW-F-064 bondRateSensitivity
67. MK-NW-F-061 bondSummary
68. MK-NW-F-055 isBond
69. MK-NW-F-072 rowOf
70. MK-CF-F-069 benefitActiveMonths
71. MK-CF-F-072 currentRetirementIncomeMonthly
72. MK-CF-F-173 earnerWages
73. MK-CF-F-065 equityVestWeights
74. MK-CF-F-071 extraIncome
75. MK-CF-F-206 householdK401ByMonth
76. MK-CF-F-087 monthlyTaxRates
77. MK-CF-F-073 otherIncomeMonth
78. MK-CF-F-181 rateInForce
79. MK-CF-F-068 rentalNetAnnual
80. MK-CF-F-066 rsuAnnual
81. MK-CF-F-060 salaryGrossByMonth
82. MK-CF-F-077 scholarshipByCalendarMonth
83. MK-CF-F-088 taxableByCalendarMonth
84. MK-CF-F-177 wageGrossByMonth
85. MK-PL-F-012 waterfall
86. MK-CF-F-008 spendByMonth
87. MK-ST-F-047 activeCurrency
88. MK-NW-F-060 approxYTM
89. MK-NW-F-069 priceAtYield
90. MK-NW-F-131 pricedLikeBond
91. MK-NW-F-125 isPastMaturity
92. MK-ST-F-065 isoLocalDate
93. MK-NW-F-126 yearlyInterestNow
94. MK-NW-F-070 accruedInterestCaveat
95. MK-NW-F-058 yearsToMaturity
96. MK-CF-F-075 retirementIncomeMonthly
97. MK-CF-F-172 hasWage
98. MK-CF-F-062 equityRowValue
99. MK-CF-F-070 benefitAnnual
100. MK-CF-F-176 sumMonthsOverEarners
101. MK-CF-F-090 effectiveRate
102. MK-CF-F-180 enteredLandsAnnual
103. MK-CF-F-085 filingStatusOf
104. MK-CF-F-089 over65CountOf
105. MK-CF-F-082 salaryAnnual
106. MK-CF-F-086 stateRateOf
107. MK-CF-F-101 taxOwedFor
108. MK-CF-F-084 taxableAnnual
109. MK-CF-F-067 rentalList
110. MK-CF-F-063 rowVestYear
111. MK-CF-F-130 enteredMonthlyRaw
112. MK-CF-F-166 hasMonthlySalaryTable
113. MK-ST-F-036 reconcile
114. MK-CF-F-167 salaryCalendarYear
115. MK-CF-F-120 pctBaseMonthly
116. MK-CF-F-004 spendBuckets
117. MK-NW-F-119 estimatedAccrued
118. MK-NW-F-124 maturityParts
119. MK-CF-F-100 taxableIncomeFor
120. MK-CF-F-074 tipsAnnual
121. MK-ST-F-085 rentFigure
122. MK-CF-F-165 salaryMonths
123. MK-CF-F-003 categoryMonthly
124. MK-CF-F-099 deductionFor
125. MK-CF-F-081 salaryActiveMonths
126. MK-CF-F-187 seniorDeductionFor</t>
        </is>
      </c>
      <c r="R230" s="3" t="inlineStr">
        <is>
          <t>1. MK-XS-F-180 declareFigures → MK-CF-F-200 LINE → MK-NW-F-002 alternativesSummary
2. MK-CF-F-031 creditUtilization → MK-CF-O-006 theCreditLine → MK-CF-F-200 LINE → MK-NW-F-002 alternativesSummary
3. MK-CF-O-010 theMonth → MK-CF-F-203 MONTH → MK-CF-F-204 line → MK-CF-O-006 theCreditLine → MK-CF-F-200 LINE → MK-NW-F-002 alternativesSummary
4. MK-XS-F-180 declareFigures → MK-CF-F-204 line → MK-CF-O-006 theCreditLine → MK-CF-F-200 LINE → MK-NW-F-002 alternativesSummary
5. MK-CF-F-155 cash → MK-NW-F-120 classEvidenceOf → MK-NW-F-011 assetClassOf → MK-NW-F-027 accountClassBreakdown → MK-NW-F-113 altPartsOf → MK-NW-F-002 alternativesSummary
6. MK-NW-F-008 incomeBearingClassOf → MK-NW-F-120 classEvidenceOf → MK-NW-F-011 assetClassOf → MK-NW-F-027 accountClassBreakdown → MK-NW-F-113 altPartsOf → MK-NW-F-002 alternativesSummary
7. MK-NW-F-009 maturityClass → MK-NW-F-120 classEvidenceOf → MK-NW-F-011 assetClassOf → MK-NW-F-027 accountClassBreakdown → MK-NW-F-113 altPartsOf → MK-NW-F-002 alternativesSummary
8. MK-XS-F-122 n → MK-CF-F-155 cash → MK-NW-F-027 accountClassBreakdown → MK-NW-F-113 altPartsOf → MK-NW-F-002 alternativesSummary
9. … and 5 more paths</t>
        </is>
      </c>
      <c r="S230" s="3" t="inlineStr">
        <is>
          <t>—</t>
        </is>
      </c>
      <c r="T230" s="3" t="inlineStr">
        <is>
          <t>—</t>
        </is>
      </c>
      <c r="U230" s="3" t="inlineStr">
        <is>
          <t>ACTIVE</t>
        </is>
      </c>
      <c r="V230" s="3" t="inlineStr">
        <is>
          <t>2026-10-10</t>
        </is>
      </c>
      <c r="W230" s="3" t="n"/>
      <c r="X230" s="3" t="n"/>
      <c r="Y230" s="3" t="inlineStr">
        <is>
          <t>NOTHING OPEN</t>
        </is>
      </c>
    </row>
    <row r="231" ht="60" customHeight="1">
      <c r="A231" s="3" t="inlineStr">
        <is>
          <t>MK-NW-F-003</t>
        </is>
      </c>
      <c r="B231" s="3" t="inlineStr">
        <is>
          <t>valueFreshness</t>
        </is>
      </c>
      <c r="C231" s="3" t="inlineStr">
        <is>
          <t>src/domain/assets/index.ts</t>
        </is>
      </c>
      <c r="D231" s="3" t="n">
        <v>159</v>
      </c>
      <c r="E231" s="3" t="inlineStr">
        <is>
          <t>2 · DISPLAYED</t>
        </is>
      </c>
      <c r="F231" s="3" t="inlineStr">
        <is>
          <t>How many whole months old is a value typed by hand, and is that old enough to ask about it?</t>
        </is>
      </c>
      <c r="G231" s="11" t="inlineStr">
        <is>
          <t>nothing   when derive balance
nothing   when value as of is missing
m = value as of.match( ÷ ^(\d{4}) − (\d{2})(?:-(\d{2}))? ÷ )
nothing   when m is missing
crossed = (now.get full year() - +m[1]) × 12 + (now.get month() + 1 - +m[2])
set on = +m[3]   if m[3]
1   otherwise
last day this month = the date now.get full year(), now.get month() + 1, 0).get date(
reached = now.get date() ≥ set on (or now.get date() = last day this month when missing or zero)
months old = max(0, crossed − (reached ? 0 : 1))
the answer:
as of = value as of   if m[3]
`${m[1]}-${m[2]}-01`   otherwise
months old = months old
stale = months old ≥ 6</t>
        </is>
      </c>
      <c r="H231" s="3" t="inlineStr">
        <is>
          <t>When derive balance, it answers no answer. When value as of is missing, it answers no answer. M is value as of.match( divided by ^(\d{4}) minus (\d{2})(?:-(\d{2}))? divided by ). When m is missing, it answers no answer. Crossed is (now.get full year() - +m[1]) times 12 plus (now.get month() plus 1 - +m[2]). Set on is +m[3] — when m[3]; 1 — otherwise. Last day this month: the date now.get full year(), now.get month() plus 1, 0).get date(. Reached is now.get date() is at least set on (or now.get date() = last day this month — when missing or zero). Months old is crossed minus (reached ? 0 : 1, never below zero). The answer is as of = value as of — when m[3]; `${m[1]}-${m[2]}-01` — otherwise; months old = months old; stale = months old is at least 6.</t>
        </is>
      </c>
      <c r="I231" s="3" t="inlineStr">
        <is>
          <t>PARTLY READ — some of the code is still showing through; needs a hand pass</t>
        </is>
      </c>
      <c r="J231" s="3" t="inlineStr">
        <is>
          <t>1. a: AssetAccount
2. now: Date = new Date()</t>
        </is>
      </c>
      <c r="K231" s="3" t="inlineStr">
        <is>
          <t>NOT DECLARED — the code does not say what it gives back</t>
        </is>
      </c>
      <c r="L231" s="3" t="inlineStr">
        <is>
          <t>NOT FOUND — a screen calls it, but the words printed beside its answer could not be traced automatically. Needs reading.</t>
        </is>
      </c>
      <c r="M231" s="3" t="inlineStr">
        <is>
          <t>1. Turns a monthly figure into a year by multiplying by twelve.
2. Uses today's date from the device clock, so the answer changes by itself overnight.</t>
        </is>
      </c>
      <c r="N231" s="3" t="inlineStr">
        <is>
          <t>Yes</t>
        </is>
      </c>
      <c r="O231" s="3" t="inlineStr">
        <is>
          <t>MK-NW-F-037 blendedReturn</t>
        </is>
      </c>
      <c r="P231" s="3" t="n">
        <v>46</v>
      </c>
      <c r="Q231" s="3" t="inlineStr">
        <is>
          <t>1. MK-NW-F-037 blendedReturn
2. MK-NW-F-034 benchmarkReturn
3. MK-NW-F-032 earmarkedAmount
4. MK-NW-F-031 primaryCarIdOf
5. MK-NW-F-110 primaryHomeIdOf
6. MK-NW-F-007 assetKind
7. MK-NW-F-030 earmarkDefault
8. MK-NW-F-134 carValueNotEnteredNotes
9. MK-NW-F-133 valueEntered
10. MK-NW-F-117 propertyUseMap
11. MK-NW-F-011 assetClassOf
12. MK-CF-F-155 cash
13. MK-CF-F-132 map
14. MK-ST-F-053 money
15. MK-NW-F-033 retirementEarmarkedValue
16. MK-ST-F-056 has
17. MK-NW-F-116 rentedIdsOf
18. MK-NW-F-120 classEvidenceOf
19. MK-XS-F-122 n
20. MK-ST-F-049 formatMoney
21. MK-NW-F-115 liveRent
22. MK-NW-F-008 incomeBearingClassOf
23. MK-NW-F-009 maturityClass
24. MK-ST-F-048 currencySymbol
25. MK-ST-F-039 on
26. MK-CF-O-002 expenses
27. MK-NW-F-114 rentAmount
28. MK-ST-F-010 nameEvidence
29. MK-NW-F-068 prettyDay
30. MK-ST-F-047 activeCurrency
31. MK-CF-F-151 actualSpending
32. MK-CF-F-150 debtPaymentsCountedAsExpenses
33. MK-CF-F-153 radar
34. MK-CF-F-149 recurringDebtPayments
35. MK-ST-F-085 rentFigure
36. MK-XS-F-147 call
37. MK-CF-F-148 inMonth
38. MK-ST-F-052 toNum
39. MK-CF-F-191 ym
40. MK-CF-F-022 paymentShape
41. MK-CF-F-152 isRadarItem
42. MK-CF-F-023 requiredPayment
43. MK-ST-F-027 accountId
44. MK-XS-F-064 currentIdToken
45. MK-XS-F-112 relayUrl
46. MK-CF-F-021 defaultPaymentType</t>
        </is>
      </c>
      <c r="R231" s="3" t="inlineStr">
        <is>
          <t>1. MK-NW-F-120 classEvidenceOf → MK-NW-F-011 assetClassOf → MK-NW-F-007 assetKind → MK-NW-F-034 benchmarkReturn → MK-NW-F-037 blendedReturn → MK-NW-F-003 valueFreshness
2. MK-XS-F-122 n → MK-CF-F-155 cash → MK-NW-F-007 assetKind → MK-NW-F-034 benchmarkReturn → MK-NW-F-037 blendedReturn → MK-NW-F-003 valueFreshness
3. MK-NW-F-120 classEvidenceOf → MK-NW-F-011 assetClassOf → MK-NW-F-030 earmarkDefault → MK-NW-F-032 earmarkedAmount → MK-NW-F-037 blendedReturn → MK-NW-F-003 valueFreshness
4. MK-CF-F-132 map → MK-NW-F-134 carValueNotEnteredNotes → MK-NW-F-031 primaryCarIdOf → MK-NW-F-037 blendedReturn → MK-NW-F-003 valueFreshness
5. MK-ST-F-049 formatMoney → MK-ST-F-053 money → MK-NW-F-134 carValueNotEnteredNotes → MK-NW-F-031 primaryCarIdOf → MK-NW-F-037 blendedReturn → MK-NW-F-003 valueFreshness
6. MK-XS-F-122 n → MK-ST-F-053 money → MK-NW-F-134 carValueNotEnteredNotes → MK-NW-F-031 primaryCarIdOf → MK-NW-F-037 blendedReturn → MK-NW-F-003 valueFreshness
7. primaryCarIdOf (already above — a loop) → MK-NW-F-134 carValueNotEnteredNotes → MK-NW-F-031 primaryCarIdOf → MK-NW-F-037 blendedReturn → MK-NW-F-003 valueFreshness
8. MK-NW-F-032 earmarkedAmount → MK-NW-F-033 retirementEarmarkedValue → MK-NW-F-134 carValueNotEnteredNotes → MK-NW-F-031 primaryCarIdOf → MK-NW-F-037 blendedReturn → MK-NW-F-003 valueFreshness
9. … and 4 more paths</t>
        </is>
      </c>
      <c r="S231" s="3" t="inlineStr">
        <is>
          <t>—</t>
        </is>
      </c>
      <c r="T231" s="3" t="inlineStr">
        <is>
          <t>HAND_VALUE_AGE</t>
        </is>
      </c>
      <c r="U231" s="3" t="inlineStr">
        <is>
          <t>ACTIVE</t>
        </is>
      </c>
      <c r="V231" s="3" t="inlineStr">
        <is>
          <t>2026-10-07</t>
        </is>
      </c>
      <c r="W231" s="3" t="n"/>
      <c r="X231" s="3" t="n"/>
      <c r="Y231" s="3" t="inlineStr">
        <is>
          <t>NOTHING OPEN</t>
        </is>
      </c>
    </row>
    <row r="232" ht="60" customHeight="1">
      <c r="A232" s="3" t="inlineStr">
        <is>
          <t>MK-NW-F-004</t>
        </is>
      </c>
      <c r="B232" s="3" t="inlineStr">
        <is>
          <t>portfolioActualReturn</t>
        </is>
      </c>
      <c r="C232" s="3" t="inlineStr">
        <is>
          <t>src/domain/assets/index.ts</t>
        </is>
      </c>
      <c r="D232" s="3" t="n">
        <v>206</v>
      </c>
      <c r="E232" s="3" t="inlineStr">
        <is>
          <t>2 · DISPLAYED</t>
        </is>
      </c>
      <c r="F232" s="3" t="inlineStr">
        <is>
          <t>What the money set aside for retirement returned over the last twelve months, from the returns the person reported.</t>
        </is>
      </c>
      <c r="G232" s="11" t="inlineStr">
        <is>
          <t>items = accounts (or none when missing) where tax bucket ! = 'PROPERTY' and actual ttm ≠ nothing and earmarked amount(each) &gt; 0 and (actual ttm as number) &gt; -1
now = Σ over items of (earmarked amount(each))
start = Σ over items of (earmarked amount(each) ÷ (1 + (actual ttm as number)))
nothing   when now ≤ 0 (or start ≤ 0 when missing or zero)
the answer = now ÷ start − 1</t>
        </is>
      </c>
      <c r="H232" s="3" t="inlineStr">
        <is>
          <t>Items is accounts (or none — when missing) where tax bucket ! = 'PROPERTY' and actual ttm is not no answer and earmarked amount(each) &gt; 0 and (actual ttm as number) &gt; -1. Now: the earmarked amount(each) added up across items. Start: the earmarked amount(each) divided by (1 plus (actual ttm as number)) added up across items. When now is at most 0 (or start is at most 0 — when missing or zero), it answers no answer. The answer is now divided by start minus 1.</t>
        </is>
      </c>
      <c r="I232" s="3" t="inlineStr">
        <is>
          <t>READ FROM THE CODE — rendered from the expressions the function runs</t>
        </is>
      </c>
      <c r="J232" s="3" t="inlineStr">
        <is>
          <t>accounts: AssetAccount[]</t>
        </is>
      </c>
      <c r="K232" s="3" t="inlineStr">
        <is>
          <t>number | null</t>
        </is>
      </c>
      <c r="L232" s="3" t="inlineStr">
        <is>
          <t>"Expected return" — on the Retirement cockpit screen, under "scRetired ?"</t>
        </is>
      </c>
      <c r="M232" s="3" t="inlineStr">
        <is>
          <t>None found in this function — anything it assumes comes from the functions it depends on.</t>
        </is>
      </c>
      <c r="N232" s="3" t="inlineStr">
        <is>
          <t>Yes</t>
        </is>
      </c>
      <c r="O232" s="3" t="inlineStr">
        <is>
          <t>1. MK-CF-F-155 cash
2. MK-NW-F-032 earmarkedAmount</t>
        </is>
      </c>
      <c r="P232" s="3" t="n">
        <v>16</v>
      </c>
      <c r="Q232" s="3" t="inlineStr">
        <is>
          <t>1. MK-CF-F-155 cash
2. MK-NW-F-032 earmarkedAmount
3. MK-XS-F-122 n
4. MK-NW-F-030 earmarkDefault
5. MK-NW-F-011 assetClassOf
6. MK-NW-F-120 classEvidenceOf
7. MK-NW-F-008 incomeBearingClassOf
8. MK-NW-F-009 maturityClass
9. MK-ST-F-010 nameEvidence
10. MK-NW-F-068 prettyDay
11. MK-XS-F-147 call
12. MK-ST-F-056 has
13. MK-CF-F-132 map
14. MK-ST-F-027 accountId
15. MK-XS-F-064 currentIdToken
16. MK-XS-F-112 relayUrl</t>
        </is>
      </c>
      <c r="R232" s="3" t="inlineStr">
        <is>
          <t>1. MK-XS-F-122 n → MK-CF-F-155 cash → MK-NW-F-004 portfolioActualReturn
2. MK-CF-F-155 cash → MK-NW-F-120 classEvidenceOf → MK-NW-F-011 assetClassOf → MK-NW-F-030 earmarkDefault → MK-NW-F-032 earmarkedAmount → MK-NW-F-004 portfolioActualReturn
3. MK-NW-F-008 incomeBearingClassOf → MK-NW-F-120 classEvidenceOf → MK-NW-F-011 assetClassOf → MK-NW-F-030 earmarkDefault → MK-NW-F-032 earmarkedAmount → MK-NW-F-004 portfolioActualReturn
4. MK-NW-F-009 maturityClass → MK-NW-F-120 classEvidenceOf → MK-NW-F-011 assetClassOf → MK-NW-F-030 earmarkDefault → MK-NW-F-032 earmarkedAmount → MK-NW-F-004 portfolioActualReturn</t>
        </is>
      </c>
      <c r="S232" s="3" t="inlineStr">
        <is>
          <t>—</t>
        </is>
      </c>
      <c r="T232" s="3" t="inlineStr">
        <is>
          <t>REPORTED_RETURN</t>
        </is>
      </c>
      <c r="U232" s="3" t="inlineStr">
        <is>
          <t>ACTIVE</t>
        </is>
      </c>
      <c r="V232" s="3" t="inlineStr">
        <is>
          <t>2026-10-07</t>
        </is>
      </c>
      <c r="W232" s="3" t="n"/>
      <c r="X232" s="3" t="n"/>
      <c r="Y232" s="3" t="inlineStr">
        <is>
          <t>NOTHING OPEN</t>
        </is>
      </c>
    </row>
    <row r="233" ht="60" customHeight="1">
      <c r="A233" s="3" t="inlineStr">
        <is>
          <t>MK-NW-F-005</t>
        </is>
      </c>
      <c r="B233" s="3" t="inlineStr">
        <is>
          <t>accountAllowsTicker</t>
        </is>
      </c>
      <c r="C233" s="3" t="inlineStr">
        <is>
          <t>src/domain/assets/index.ts</t>
        </is>
      </c>
      <c r="D233" s="3" t="n">
        <v>250</v>
      </c>
      <c r="E233" s="3" t="inlineStr">
        <is>
          <t>2 · DISPLAYED</t>
        </is>
      </c>
      <c r="F233" s="3" t="inlineStr">
        <is>
          <t>Can a share or fund bought by its ticker be recorded in this account?</t>
        </is>
      </c>
      <c r="G233" s="11" t="inlineStr">
        <is>
          <t>false   when tax bucket = 'PROPERTY' (or tax bucket = 'CASH' when missing or zero)
false   when kind = 'college_529'
false   when kind = 'checking' (or kind = 'savings' when missing or zero)
true   when (positions.length ?? 0) &gt; 0
cls = asset class of(a)
false   when cls = 'bonds' (or cls = 'alternatives' when missing or zero)
the answer = true</t>
        </is>
      </c>
      <c r="H233" s="3" t="inlineStr">
        <is>
          <t>When tax bucket = 'PROPERTY' (or tax bucket = 'CASH' — when missing or zero), it answers false. When kind = 'college_529', it answers false. When kind = 'checking' (or kind = 'savings' — when missing or zero), it answers false. When (positions.length ?? 0) &gt; 0, it answers true. Cls is asset class of(a). When cls = 'bonds' (or cls = 'alternatives' — when missing or zero), it answers false. The answer is true.</t>
        </is>
      </c>
      <c r="I233" s="3" t="inlineStr">
        <is>
          <t>PARTLY READ — some of the code is still showing through; needs a hand pass</t>
        </is>
      </c>
      <c r="J233" s="3" t="inlineStr">
        <is>
          <t>a: AssetAccount</t>
        </is>
      </c>
      <c r="K233" s="3" t="inlineStr">
        <is>
          <t>boolean</t>
        </is>
      </c>
      <c r="L233" s="3" t="inlineStr">
        <is>
          <t>NOT FOUND — a screen calls it, but the words printed beside its answer could not be traced automatically. Needs reading.</t>
        </is>
      </c>
      <c r="M233" s="3" t="inlineStr">
        <is>
          <t>· If length is missing it uses 0.</t>
        </is>
      </c>
      <c r="N233" s="3" t="inlineStr">
        <is>
          <t>Yes</t>
        </is>
      </c>
      <c r="O233" s="3" t="inlineStr">
        <is>
          <t>1. MK-NW-F-011 assetClassOf
2. MK-CF-F-155 cash</t>
        </is>
      </c>
      <c r="P233" s="3" t="n">
        <v>14</v>
      </c>
      <c r="Q233" s="3" t="inlineStr">
        <is>
          <t>1. MK-NW-F-011 assetClassOf
2. MK-CF-F-155 cash
3. MK-NW-F-120 classEvidenceOf
4. MK-XS-F-122 n
5. MK-NW-F-008 incomeBearingClassOf
6. MK-NW-F-009 maturityClass
7. MK-ST-F-010 nameEvidence
8. MK-NW-F-068 prettyDay
9. MK-XS-F-147 call
10. MK-ST-F-056 has
11. MK-CF-F-132 map
12. MK-ST-F-027 accountId
13. MK-XS-F-064 currentIdToken
14. MK-XS-F-112 relayUrl</t>
        </is>
      </c>
      <c r="R233" s="3" t="inlineStr">
        <is>
          <t>1. MK-XS-F-122 n → MK-CF-F-155 cash → MK-NW-F-120 classEvidenceOf → MK-NW-F-011 assetClassOf → MK-NW-F-005 accountAllowsTicker
2. MK-XS-F-122 n → MK-CF-F-155 cash → MK-NW-F-008 incomeBearingClassOf → MK-NW-F-120 classEvidenceOf → MK-NW-F-011 assetClassOf → MK-NW-F-005 accountAllowsTicker
3. MK-XS-F-147 call → MK-ST-F-010 nameEvidence → MK-NW-F-008 incomeBearingClassOf → MK-NW-F-120 classEvidenceOf → MK-NW-F-011 assetClassOf → MK-NW-F-005 accountAllowsTicker
4. MK-ST-F-056 has → MK-ST-F-010 nameEvidence → MK-NW-F-008 incomeBearingClassOf → MK-NW-F-120 classEvidenceOf → MK-NW-F-011 assetClassOf → MK-NW-F-005 accountAllowsTicker
5. MK-CF-F-132 map → MK-ST-F-010 nameEvidence → MK-NW-F-008 incomeBearingClassOf → MK-NW-F-120 classEvidenceOf → MK-NW-F-011 assetClassOf → MK-NW-F-005 accountAllowsTicker
6. assetClassOf (already above — a loop) → MK-NW-F-009 maturityClass → MK-NW-F-120 classEvidenceOf → MK-NW-F-011 assetClassOf → MK-NW-F-005 accountAllowsTicker
7. MK-CF-F-132 map → MK-NW-F-068 prettyDay → MK-NW-F-009 maturityClass → MK-NW-F-120 classEvidenceOf → MK-NW-F-011 assetClassOf → MK-NW-F-005 accountAllowsTicker
8. MK-XS-F-122 n → MK-CF-F-155 cash → MK-NW-F-005 accountAllowsTicker</t>
        </is>
      </c>
      <c r="S233" s="3" t="inlineStr">
        <is>
          <t>—</t>
        </is>
      </c>
      <c r="T233" s="3" t="inlineStr">
        <is>
          <t>CAN_HOLD_TICKERS</t>
        </is>
      </c>
      <c r="U233" s="3" t="inlineStr">
        <is>
          <t>ACTIVE</t>
        </is>
      </c>
      <c r="V233" s="3" t="inlineStr">
        <is>
          <t>2026-10-05</t>
        </is>
      </c>
      <c r="W233" s="3" t="n"/>
      <c r="X233" s="3" t="n"/>
      <c r="Y233" s="3" t="inlineStr">
        <is>
          <t>NOTHING OPEN</t>
        </is>
      </c>
    </row>
    <row r="234" ht="60" customHeight="1">
      <c r="A234" s="3" t="inlineStr">
        <is>
          <t>MK-NW-F-006</t>
        </is>
      </c>
      <c r="B234" s="3" t="inlineStr">
        <is>
          <t>isCashKind</t>
        </is>
      </c>
      <c r="C234" s="3" t="inlineStr">
        <is>
          <t>src/domain/assets/index.ts</t>
        </is>
      </c>
      <c r="D234" s="3" t="n">
        <v>322</v>
      </c>
      <c r="E234" s="3" t="inlineStr">
        <is>
          <t>1 · ACTION</t>
        </is>
      </c>
      <c r="F234" s="3" t="inlineStr">
        <is>
          <t>Does this account type sit under the Cash heading on screen?</t>
        </is>
      </c>
      <c r="G234" s="11" t="inlineStr">
        <is>
          <t>asset kind(kind).bucket = 'CASH'</t>
        </is>
      </c>
      <c r="H234" s="3" t="inlineStr">
        <is>
          <t>asset kind(kind).bucket = 'CASH'</t>
        </is>
      </c>
      <c r="I234" s="3" t="inlineStr">
        <is>
          <t>PARTLY READ — some of the code is still showing through; needs a hand pass</t>
        </is>
      </c>
      <c r="J234" s="3" t="inlineStr">
        <is>
          <t>kind?: string</t>
        </is>
      </c>
      <c r="K234" s="3" t="inlineStr">
        <is>
          <t>NOT DECLARED — the code does not say what it gives back</t>
        </is>
      </c>
      <c r="L234" s="3" t="inlineStr">
        <is>
          <t>—</t>
        </is>
      </c>
      <c r="M234" s="3" t="inlineStr">
        <is>
          <t>None found in this function — anything it assumes comes from the functions it depends on.</t>
        </is>
      </c>
      <c r="N234" s="3" t="inlineStr">
        <is>
          <t>No</t>
        </is>
      </c>
      <c r="O234" s="3" t="inlineStr">
        <is>
          <t>MK-NW-F-007 assetKind</t>
        </is>
      </c>
      <c r="P234" s="3" t="n">
        <v>15</v>
      </c>
      <c r="Q234" s="3" t="inlineStr">
        <is>
          <t>1. MK-NW-F-007 assetKind
2. MK-NW-F-011 assetClassOf
3. MK-CF-F-155 cash
4. MK-NW-F-120 classEvidenceOf
5. MK-XS-F-122 n
6. MK-NW-F-008 incomeBearingClassOf
7. MK-NW-F-009 maturityClass
8. MK-ST-F-010 nameEvidence
9. MK-NW-F-068 prettyDay
10. MK-XS-F-147 call
11. MK-ST-F-056 has
12. MK-CF-F-132 map
13. MK-ST-F-027 accountId
14. MK-XS-F-064 currentIdToken
15. MK-XS-F-112 relayUrl</t>
        </is>
      </c>
      <c r="R234" s="3" t="inlineStr">
        <is>
          <t>1. MK-XS-F-122 n → MK-CF-F-155 cash → MK-NW-F-120 classEvidenceOf → MK-NW-F-011 assetClassOf → MK-NW-F-007 assetKind → MK-NW-F-006 isCashKind
2. MK-CF-F-155 cash → MK-NW-F-008 incomeBearingClassOf → MK-NW-F-120 classEvidenceOf → MK-NW-F-011 assetClassOf → MK-NW-F-007 assetKind → MK-NW-F-006 isCashKind
3. MK-ST-F-010 nameEvidence → MK-NW-F-008 incomeBearingClassOf → MK-NW-F-120 classEvidenceOf → MK-NW-F-011 assetClassOf → MK-NW-F-007 assetKind → MK-NW-F-006 isCashKind
4. assetClassOf (already above — a loop) → MK-NW-F-009 maturityClass → MK-NW-F-120 classEvidenceOf → MK-NW-F-011 assetClassOf → MK-NW-F-007 assetKind → MK-NW-F-006 isCashKind
5. MK-NW-F-068 prettyDay → MK-NW-F-009 maturityClass → MK-NW-F-120 classEvidenceOf → MK-NW-F-011 assetClassOf → MK-NW-F-007 assetKind → MK-NW-F-006 isCashKind
6. MK-XS-F-122 n → MK-CF-F-155 cash → MK-NW-F-007 assetKind → MK-NW-F-006 isCashKind</t>
        </is>
      </c>
      <c r="S234" s="3" t="inlineStr">
        <is>
          <t>—</t>
        </is>
      </c>
      <c r="T234" s="3" t="inlineStr">
        <is>
          <t>KIND_IS_CASH</t>
        </is>
      </c>
      <c r="U234" s="3" t="inlineStr">
        <is>
          <t>ACTIVE</t>
        </is>
      </c>
      <c r="V234" s="3" t="inlineStr">
        <is>
          <t>2026-08-27</t>
        </is>
      </c>
      <c r="W234" s="3" t="n"/>
      <c r="X234" s="3" t="n"/>
      <c r="Y234" s="3" t="inlineStr">
        <is>
          <t>NOTHING OPEN</t>
        </is>
      </c>
    </row>
    <row r="235" ht="60" customHeight="1">
      <c r="A235" s="3" t="inlineStr">
        <is>
          <t>MK-NW-F-007</t>
        </is>
      </c>
      <c r="B235" s="3" t="inlineStr">
        <is>
          <t>assetKind</t>
        </is>
      </c>
      <c r="C235" s="3" t="inlineStr">
        <is>
          <t>src/domain/assets/index.ts</t>
        </is>
      </c>
      <c r="D235" s="3" t="n">
        <v>351</v>
      </c>
      <c r="E235" s="3" t="inlineStr">
        <is>
          <t>2 · DISPLAYED</t>
        </is>
      </c>
      <c r="F235" s="3" t="inlineStr">
        <is>
          <t>What do we know about this kind of account?</t>
        </is>
      </c>
      <c r="G235" s="11" t="inlineStr">
        <is>
          <t>id = id); }</t>
        </is>
      </c>
      <c r="H235" s="3" t="inlineStr">
        <is>
          <t>id = id); }</t>
        </is>
      </c>
      <c r="I235" s="3" t="inlineStr">
        <is>
          <t>READ FROM THE CODE — rendered from the expressions the function runs</t>
        </is>
      </c>
      <c r="J235" s="3" t="inlineStr">
        <is>
          <t>id?: string</t>
        </is>
      </c>
      <c r="K235" s="3" t="inlineStr">
        <is>
          <t>NOT DECLARED — the code does not say what it gives back</t>
        </is>
      </c>
      <c r="L235" s="3" t="inlineStr">
        <is>
          <t>1. "ACCOUNTS / INVESTING" — on a card used on more than one screen (MoneySheets)
2. "Type" — on the Other investments screen
3. "Type" — on the account portfolio screen, under "IF INTEREST RATES MOVE"</t>
        </is>
      </c>
      <c r="M235" s="3" t="inlineStr">
        <is>
          <t>None found in this function — anything it assumes comes from the functions it depends on.</t>
        </is>
      </c>
      <c r="N235" s="3" t="inlineStr">
        <is>
          <t>Yes</t>
        </is>
      </c>
      <c r="O235" s="3" t="inlineStr">
        <is>
          <t>1. MK-NW-F-011 assetClassOf
2. MK-CF-F-155 cash</t>
        </is>
      </c>
      <c r="P235" s="3" t="n">
        <v>14</v>
      </c>
      <c r="Q235" s="3" t="inlineStr">
        <is>
          <t>1. MK-NW-F-011 assetClassOf
2. MK-CF-F-155 cash
3. MK-NW-F-120 classEvidenceOf
4. MK-XS-F-122 n
5. MK-NW-F-008 incomeBearingClassOf
6. MK-NW-F-009 maturityClass
7. MK-ST-F-010 nameEvidence
8. MK-NW-F-068 prettyDay
9. MK-XS-F-147 call
10. MK-ST-F-056 has
11. MK-CF-F-132 map
12. MK-ST-F-027 accountId
13. MK-XS-F-064 currentIdToken
14. MK-XS-F-112 relayUrl</t>
        </is>
      </c>
      <c r="R235" s="3" t="inlineStr">
        <is>
          <t>1. MK-XS-F-122 n → MK-CF-F-155 cash → MK-NW-F-120 classEvidenceOf → MK-NW-F-011 assetClassOf → MK-NW-F-007 assetKind
2. MK-XS-F-122 n → MK-CF-F-155 cash → MK-NW-F-008 incomeBearingClassOf → MK-NW-F-120 classEvidenceOf → MK-NW-F-011 assetClassOf → MK-NW-F-007 assetKind
3. MK-XS-F-147 call → MK-ST-F-010 nameEvidence → MK-NW-F-008 incomeBearingClassOf → MK-NW-F-120 classEvidenceOf → MK-NW-F-011 assetClassOf → MK-NW-F-007 assetKind
4. MK-ST-F-056 has → MK-ST-F-010 nameEvidence → MK-NW-F-008 incomeBearingClassOf → MK-NW-F-120 classEvidenceOf → MK-NW-F-011 assetClassOf → MK-NW-F-007 assetKind
5. MK-CF-F-132 map → MK-ST-F-010 nameEvidence → MK-NW-F-008 incomeBearingClassOf → MK-NW-F-120 classEvidenceOf → MK-NW-F-011 assetClassOf → MK-NW-F-007 assetKind
6. assetClassOf (already above — a loop) → MK-NW-F-009 maturityClass → MK-NW-F-120 classEvidenceOf → MK-NW-F-011 assetClassOf → MK-NW-F-007 assetKind
7. MK-CF-F-132 map → MK-NW-F-068 prettyDay → MK-NW-F-009 maturityClass → MK-NW-F-120 classEvidenceOf → MK-NW-F-011 assetClassOf → MK-NW-F-007 assetKind
8. MK-XS-F-122 n → MK-CF-F-155 cash → MK-NW-F-007 assetKind</t>
        </is>
      </c>
      <c r="S235" s="3" t="inlineStr">
        <is>
          <t>—</t>
        </is>
      </c>
      <c r="T235" s="3" t="inlineStr">
        <is>
          <t>ACCOUNT_TYPE_FACTS</t>
        </is>
      </c>
      <c r="U235" s="3" t="inlineStr">
        <is>
          <t>ACTIVE</t>
        </is>
      </c>
      <c r="V235" s="3" t="inlineStr">
        <is>
          <t>2026-08-27</t>
        </is>
      </c>
      <c r="W235" s="3" t="n"/>
      <c r="X235" s="3" t="n"/>
      <c r="Y235" s="3" t="inlineStr">
        <is>
          <t>NOTHING OPEN</t>
        </is>
      </c>
    </row>
    <row r="236" ht="60" customHeight="1">
      <c r="A236" s="3" t="inlineStr">
        <is>
          <t>MK-NW-F-008</t>
        </is>
      </c>
      <c r="B236" s="3" t="inlineStr">
        <is>
          <t>incomeBearingClassOf</t>
        </is>
      </c>
      <c r="C236" s="3" t="inlineStr">
        <is>
          <t>src/domain/assets/index.ts</t>
        </is>
      </c>
      <c r="D236" s="3" t="n">
        <v>405</v>
      </c>
      <c r="E236" s="3" t="inlineStr">
        <is>
          <t>3 · DEPENDENT</t>
        </is>
      </c>
      <c r="F236" s="3" t="inlineStr">
        <is>
          <t>FOUNDER RULE 2026-08-04 (supersedes the money-market=cash rule and the 12-month CD split): CASH means cash only — a sweep/settlement balance.</t>
        </is>
      </c>
      <c r="G236" s="11" t="inlineStr">
        <is>
          <t>name evidence(label)</t>
        </is>
      </c>
      <c r="H236" s="3" t="inlineStr">
        <is>
          <t>name evidence(label).</t>
        </is>
      </c>
      <c r="I236" s="3" t="inlineStr">
        <is>
          <t>READ FROM THE CODE — rendered from the expressions the function runs</t>
        </is>
      </c>
      <c r="J236" s="3" t="inlineStr">
        <is>
          <t>label?: string</t>
        </is>
      </c>
      <c r="K236" s="3" t="inlineStr">
        <is>
          <t>AssetClass | null</t>
        </is>
      </c>
      <c r="L236" s="3" t="inlineStr">
        <is>
          <t>—</t>
        </is>
      </c>
      <c r="M236" s="3" t="inlineStr">
        <is>
          <t>None found in this function — anything it assumes comes from the functions it depends on.</t>
        </is>
      </c>
      <c r="N236" s="3" t="inlineStr">
        <is>
          <t>Yes</t>
        </is>
      </c>
      <c r="O236" s="3" t="inlineStr">
        <is>
          <t>1. MK-CF-F-155 cash
2. MK-ST-F-010 nameEvidence</t>
        </is>
      </c>
      <c r="P236" s="3" t="n">
        <v>9</v>
      </c>
      <c r="Q236" s="3" t="inlineStr">
        <is>
          <t>1. MK-CF-F-155 cash
2. MK-ST-F-010 nameEvidence
3. MK-XS-F-122 n
4. MK-XS-F-147 call
5. MK-ST-F-056 has
6. MK-CF-F-132 map
7. MK-ST-F-027 accountId
8. MK-XS-F-064 currentIdToken
9. MK-XS-F-112 relayUrl</t>
        </is>
      </c>
      <c r="R236" s="3" t="inlineStr">
        <is>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is>
      </c>
      <c r="S236" s="3" t="inlineStr">
        <is>
          <t>—</t>
        </is>
      </c>
      <c r="T236" s="3" t="inlineStr">
        <is>
          <t>CLASS_FROM_NAME_TEXT</t>
        </is>
      </c>
      <c r="U236" s="3" t="inlineStr">
        <is>
          <t>ACTIVE</t>
        </is>
      </c>
      <c r="V236" s="3" t="inlineStr">
        <is>
          <t>2026-08-27</t>
        </is>
      </c>
      <c r="W236" s="3" t="n"/>
      <c r="X236" s="3" t="n"/>
      <c r="Y236" s="3" t="inlineStr">
        <is>
          <t>NOTHING OPEN</t>
        </is>
      </c>
    </row>
    <row r="237" ht="60" customHeight="1">
      <c r="A237" s="3" t="inlineStr">
        <is>
          <t>MK-NW-F-009</t>
        </is>
      </c>
      <c r="B237" s="3" t="inlineStr">
        <is>
          <t>maturityClass</t>
        </is>
      </c>
      <c r="C237" s="3" t="inlineStr">
        <is>
          <t>src/domain/assets/index.ts</t>
        </is>
      </c>
      <c r="D237" s="3" t="n">
        <v>442</v>
      </c>
      <c r="E237" s="3" t="inlineStr">
        <is>
          <t>2 · DISPLAYED</t>
        </is>
      </c>
      <c r="F237" s="3" t="inlineStr">
        <is>
          <t>FOUNDER RULE 2026-08-04 (supersedes build-34 #8's 12-month split): ANY maturity-dated instrument is a BOND — it pays interest, so it must sit in the measured bucket regardless of how soon it matures.</t>
        </is>
      </c>
      <c r="G237" s="11" t="inlineStr">
        <is>
          <t>t = string(maturity date ?? '').trim()
the answer:
'bonds'   if t and pretty day( ÷ ^\d{4}-\d{2}$ ÷ .test(t) ? `${t}-01` : t)
'cash'   otherwise</t>
        </is>
      </c>
      <c r="H237" s="3" t="inlineStr">
        <is>
          <t>T is string(maturity date ?? '').trim(). The answer is 'bonds' — when t and pretty day( divided by ^\d{4}-\d{2}$ divided by .test(t) ? `${t}-01` : t); 'cash' — otherwise.</t>
        </is>
      </c>
      <c r="I237" s="3" t="inlineStr">
        <is>
          <t>PARTLY READ — some of the code is still showing through; needs a hand pass</t>
        </is>
      </c>
      <c r="J237" s="3" t="inlineStr">
        <is>
          <t>maturityDate?: string | null</t>
        </is>
      </c>
      <c r="K237" s="3" t="inlineStr">
        <is>
          <t>'cash' | 'bonds'</t>
        </is>
      </c>
      <c r="L237" s="3" t="inlineStr">
        <is>
          <t>NOT FOUND — a screen calls it, but the words printed beside its answer could not be traced automatically. Needs reading.</t>
        </is>
      </c>
      <c r="M237" s="3" t="inlineStr">
        <is>
          <t>None found in this function — anything it assumes comes from the functions it depends on.</t>
        </is>
      </c>
      <c r="N237" s="3" t="inlineStr">
        <is>
          <t>Yes</t>
        </is>
      </c>
      <c r="O237" s="3" t="inlineStr">
        <is>
          <t>1. MK-NW-F-011 assetClassOf
2. MK-NW-F-068 prettyDay</t>
        </is>
      </c>
      <c r="P237" s="3" t="n">
        <v>13</v>
      </c>
      <c r="Q237" s="3" t="inlineStr">
        <is>
          <t>1. MK-NW-F-011 assetClassOf
2. MK-NW-F-068 prettyDay
3. MK-NW-F-120 classEvidenceOf
4. MK-CF-F-132 map
5. MK-CF-F-155 cash
6. MK-NW-F-008 incomeBearingClassOf
7. MK-XS-F-122 n
8. MK-ST-F-010 nameEvidence
9. MK-XS-F-147 call
10. MK-ST-F-056 has
11. MK-ST-F-027 accountId
12. MK-XS-F-064 currentIdToken
13. MK-XS-F-112 relayUrl</t>
        </is>
      </c>
      <c r="R237" s="3" t="inlineStr">
        <is>
          <t>1. MK-XS-F-122 n → MK-CF-F-155 cash → MK-NW-F-120 classEvidenceOf → MK-NW-F-011 assetClassOf → MK-NW-F-009 maturityClass
2. MK-XS-F-122 n → MK-CF-F-155 cash → MK-NW-F-008 incomeBearingClassOf → MK-NW-F-120 classEvidenceOf → MK-NW-F-011 assetClassOf → MK-NW-F-009 maturityClass
3. MK-XS-F-147 call → MK-ST-F-010 nameEvidence → MK-NW-F-008 incomeBearingClassOf → MK-NW-F-120 classEvidenceOf → MK-NW-F-011 assetClassOf → MK-NW-F-009 maturityClass
4. MK-ST-F-056 has → MK-ST-F-010 nameEvidence → MK-NW-F-008 incomeBearingClassOf → MK-NW-F-120 classEvidenceOf → MK-NW-F-011 assetClassOf → MK-NW-F-009 maturityClass
5. MK-CF-F-132 map → MK-ST-F-010 nameEvidence → MK-NW-F-008 incomeBearingClassOf → MK-NW-F-120 classEvidenceOf → MK-NW-F-011 assetClassOf → MK-NW-F-009 maturityClass
6. maturityClass (already above — a loop) → MK-NW-F-120 classEvidenceOf → MK-NW-F-011 assetClassOf → MK-NW-F-009 maturityClass
7. MK-CF-F-132 map → MK-NW-F-068 prettyDay → MK-NW-F-009 maturityClass</t>
        </is>
      </c>
      <c r="S237" s="3" t="inlineStr">
        <is>
          <t>—</t>
        </is>
      </c>
      <c r="T237" s="3" t="inlineStr">
        <is>
          <t>MATURITY_MEANS_BOND</t>
        </is>
      </c>
      <c r="U237" s="3" t="inlineStr">
        <is>
          <t>ACTIVE</t>
        </is>
      </c>
      <c r="V237" s="3" t="inlineStr">
        <is>
          <t>2026-10-10</t>
        </is>
      </c>
      <c r="W237" s="3" t="n"/>
      <c r="X237" s="3" t="n"/>
      <c r="Y237" s="3" t="inlineStr">
        <is>
          <t>NOTHING OPEN</t>
        </is>
      </c>
    </row>
    <row r="238" ht="60" customHeight="1">
      <c r="A238" s="3" t="inlineStr">
        <is>
          <t>MK-NW-F-010</t>
        </is>
      </c>
      <c r="B238" s="3" t="inlineStr">
        <is>
          <t>wrapperAccount</t>
        </is>
      </c>
      <c r="C238" s="3" t="inlineStr">
        <is>
          <t>src/domain/assets/index.ts</t>
        </is>
      </c>
      <c r="D238" s="3" t="n">
        <v>479</v>
      </c>
      <c r="E238" s="3" t="inlineStr">
        <is>
          <t>2 · DISPLAYED</t>
        </is>
      </c>
      <c r="F238" s="3" t="inlineStr">
        <is>
          <t>The person picked how this account is taxed — what does that make it?</t>
        </is>
      </c>
      <c r="G238" s="11" t="inlineStr">
        <is>
          <t>401k → kind '401k', bucket PRE_TAX
trad_ira → 'trad_ira', PRE_TAX
roth → 'roth_ira', ROTH
roth_401k → '401k', ROTH
hsa → 'hsa', PRE_TAX
anything else → 'brokerage', TAXABLE</t>
        </is>
      </c>
      <c r="H238" s="3" t="inlineStr">
        <is>
          <t>The account kind and tax bucket for the wrapper a person picked when adding an account — a 401(k), traditional IRA and HSA are pre-tax, a Roth IRA and a Roth 401(k) are tax-free, anything else (or nothing) is a taxable brokerage. No arithmetic.</t>
        </is>
      </c>
      <c r="I238" s="3" t="inlineStr">
        <is>
          <t>READ BY HAND 2026-08-26 — checked line by line against the code</t>
        </is>
      </c>
      <c r="J238" s="3" t="inlineStr">
        <is>
          <t>w?: AddWrapper | null</t>
        </is>
      </c>
      <c r="K238" s="3" t="inlineStr">
        <is>
          <t>NOT DECLARED — the code does not say what it gives back</t>
        </is>
      </c>
      <c r="L238" s="3" t="inlineStr">
        <is>
          <t>NOT FOUND — a screen calls it, but the words printed beside its answer could not be traced automatically. Needs reading.</t>
        </is>
      </c>
      <c r="M238" s="3" t="inlineStr">
        <is>
          <t>None found in this function — anything it assumes comes from the functions it depends on.</t>
        </is>
      </c>
      <c r="N238" s="3" t="inlineStr">
        <is>
          <t>Yes</t>
        </is>
      </c>
      <c r="O238" s="3" t="inlineStr">
        <is>
          <t>MK-NW-F-053 correctClassOf</t>
        </is>
      </c>
      <c r="P238" s="3" t="n">
        <v>15</v>
      </c>
      <c r="Q238" s="3" t="inlineStr">
        <is>
          <t>1. MK-NW-F-053 correctClassOf
2. MK-NW-F-120 classEvidenceOf
3. MK-CF-F-155 cash
4. MK-NW-F-008 incomeBearingClassOf
5. MK-NW-F-009 maturityClass
6. MK-XS-F-122 n
7. MK-ST-F-010 nameEvidence
8. MK-NW-F-011 assetClassOf
9. MK-NW-F-068 prettyDay
10. MK-XS-F-147 call
11. MK-ST-F-056 has
12. MK-CF-F-132 map
13. MK-ST-F-027 accountId
14. MK-XS-F-064 currentIdToken
15. MK-XS-F-112 relayUrl</t>
        </is>
      </c>
      <c r="R238" s="3" t="inlineStr">
        <is>
          <t>1. MK-XS-F-122 n → MK-CF-F-155 cash → MK-NW-F-120 classEvidenceOf → MK-NW-F-053 correctClassOf → MK-NW-F-010 wrapperAccount
2. MK-XS-F-122 n → MK-CF-F-155 cash → MK-NW-F-008 incomeBearingClassOf → MK-NW-F-120 classEvidenceOf → MK-NW-F-053 correctClassOf → MK-NW-F-010 wrapperAccount
3. MK-XS-F-147 call → MK-ST-F-010 nameEvidence → MK-NW-F-008 incomeBearingClassOf → MK-NW-F-120 classEvidenceOf → MK-NW-F-053 correctClassOf → MK-NW-F-010 wrapperAccount
4. MK-ST-F-056 has → MK-ST-F-010 nameEvidence → MK-NW-F-008 incomeBearingClassOf → MK-NW-F-120 classEvidenceOf → MK-NW-F-053 correctClassOf → MK-NW-F-010 wrapperAccount
5. MK-CF-F-132 map → MK-ST-F-010 nameEvidence → MK-NW-F-008 incomeBearingClassOf → MK-NW-F-120 classEvidenceOf → MK-NW-F-053 correctClassOf → MK-NW-F-010 wrapperAccount
6. classEvidenceOf (already above — a loop) → MK-NW-F-011 assetClassOf → MK-NW-F-009 maturityClass → MK-NW-F-120 classEvidenceOf → MK-NW-F-053 correctClassOf → MK-NW-F-010 wrapperAccount
7. MK-CF-F-132 map → MK-NW-F-068 prettyDay → MK-NW-F-009 maturityClass → MK-NW-F-120 classEvidenceOf → MK-NW-F-053 correctClassOf → MK-NW-F-010 wrapperAccount</t>
        </is>
      </c>
      <c r="S238" s="3" t="inlineStr">
        <is>
          <t>—</t>
        </is>
      </c>
      <c r="T238" s="3" t="inlineStr">
        <is>
          <t>TAX_TYPE_TO_ACCOUNT</t>
        </is>
      </c>
      <c r="U238" s="3" t="inlineStr">
        <is>
          <t>ACTIVE</t>
        </is>
      </c>
      <c r="V238" s="3" t="inlineStr">
        <is>
          <t>2026-10-05</t>
        </is>
      </c>
      <c r="W238" s="3" t="n"/>
      <c r="X238" s="3" t="n"/>
      <c r="Y238" s="3" t="inlineStr">
        <is>
          <t>NOTHING OPEN</t>
        </is>
      </c>
    </row>
    <row r="239" ht="60" customHeight="1">
      <c r="A239" s="3" t="inlineStr">
        <is>
          <t>MK-NW-F-011</t>
        </is>
      </c>
      <c r="B239" s="3" t="inlineStr">
        <is>
          <t>assetClassOf</t>
        </is>
      </c>
      <c r="C239" s="3" t="inlineStr">
        <is>
          <t>src/domain/assets/index.ts</t>
        </is>
      </c>
      <c r="D239" s="3" t="n">
        <v>597</v>
      </c>
      <c r="E239" s="3" t="inlineStr">
        <is>
          <t>2 · DISPLAYED</t>
        </is>
      </c>
      <c r="F239" s="3" t="inlineStr">
        <is>
          <t>What an account is: cash, bonds and CDs, stocks and funds, an alternative, real estate, personal property, or not yet known.</t>
        </is>
      </c>
      <c r="G239" s="11" t="inlineStr">
        <is>
          <t>asset class   when asset class
evidence = class evidence of(a)
evidence   when evidence
by kind = KIND_TO_CLASS[kind]   if kind
undefined   otherwise
by kind   when by kind
'stocks_etf'   when count of positions and positions
'cash'   when tax bucket = 'CASH'
'real_estate'   if kind is missing (or re use when missing or zero)
'personal_property'   otherwise   when tax bucket = 'PROPERTY'
the answer = 'mixed'</t>
        </is>
      </c>
      <c r="H239" s="3" t="inlineStr">
        <is>
          <t>When asset class, it answers asset class. Evidence is class evidence of(a). When evidence, it answers evidence. By kind is KIND_TO_CLASS[kind] — when kind; undefined — otherwise. When by kind, it answers by kind. When how many positions and positions there are, it answers 'stocks_etf'. When tax bucket = 'CASH', it answers 'cash'. When tax bucket = 'PROPERTY', it answers 'real_estate' — when kind is missing (or re use when missing or zero); 'personal_property' — otherwise. The answer is 'mixed'.</t>
        </is>
      </c>
      <c r="I239" s="3" t="inlineStr">
        <is>
          <t>PARTLY READ — some of the code is still showing through; needs a hand pass</t>
        </is>
      </c>
      <c r="J239" s="3" t="inlineStr">
        <is>
          <t>a: AssetAccount</t>
        </is>
      </c>
      <c r="K239" s="3" t="inlineStr">
        <is>
          <t>AssetClass</t>
        </is>
      </c>
      <c r="L239" s="3" t="inlineStr">
        <is>
          <t>1. "Bonds &amp; alternatives — recorded on their own pages" — on the Performance screen
2. "Nothing entered yet." — on the Net worth screen, under "DEBTS"</t>
        </is>
      </c>
      <c r="M239" s="3" t="inlineStr">
        <is>
          <t>None found in this function — anything it assumes comes from the functions it depends on.</t>
        </is>
      </c>
      <c r="N239" s="3" t="inlineStr">
        <is>
          <t>Yes</t>
        </is>
      </c>
      <c r="O239" s="3" t="inlineStr">
        <is>
          <t>MK-NW-F-120 classEvidenceOf</t>
        </is>
      </c>
      <c r="P239" s="3" t="n">
        <v>13</v>
      </c>
      <c r="Q239" s="3" t="inlineStr">
        <is>
          <t>1. MK-NW-F-120 classEvidenceOf
2. MK-CF-F-155 cash
3. MK-NW-F-008 incomeBearingClassOf
4. MK-NW-F-009 maturityClass
5. MK-XS-F-122 n
6. MK-ST-F-010 nameEvidence
7. MK-NW-F-068 prettyDay
8. MK-XS-F-147 call
9. MK-ST-F-056 has
10. MK-CF-F-132 map
11. MK-ST-F-027 accountId
12. MK-XS-F-064 currentIdToken
13. MK-XS-F-112 relayUrl</t>
        </is>
      </c>
      <c r="R239" s="3" t="inlineStr">
        <is>
          <t>1. MK-XS-F-122 n → MK-CF-F-155 cash → MK-NW-F-120 classEvidenceOf → MK-NW-F-011 assetClassOf
2. MK-XS-F-122 n → MK-CF-F-155 cash → MK-NW-F-008 incomeBearingClassOf → MK-NW-F-120 classEvidenceOf → MK-NW-F-011 assetClassOf
3. MK-ST-F-027 accountId → MK-XS-F-147 call → MK-ST-F-010 nameEvidence → MK-NW-F-008 incomeBearingClassOf → MK-NW-F-120 classEvidenceOf → MK-NW-F-011 assetClassOf
4. MK-XS-F-064 currentIdToken → MK-XS-F-147 call → MK-ST-F-010 nameEvidence → MK-NW-F-008 incomeBearingClassOf → MK-NW-F-120 classEvidenceOf → MK-NW-F-011 assetClassOf
5. MK-XS-F-112 relayUrl → MK-XS-F-147 call → MK-ST-F-010 nameEvidence → MK-NW-F-008 incomeBearingClassOf → MK-NW-F-120 classEvidenceOf → MK-NW-F-011 assetClassOf
6. MK-ST-F-056 has → MK-ST-F-010 nameEvidence → MK-NW-F-008 incomeBearingClassOf → MK-NW-F-120 classEvidenceOf → MK-NW-F-011 assetClassOf
7. MK-CF-F-132 map → MK-ST-F-010 nameEvidence → MK-NW-F-008 incomeBearingClassOf → MK-NW-F-120 classEvidenceOf → MK-NW-F-011 assetClassOf
8. assetClassOf (already above — a loop) → MK-NW-F-009 maturityClass → MK-NW-F-120 classEvidenceOf → MK-NW-F-011 assetClassOf
9. … and 1 more paths</t>
        </is>
      </c>
      <c r="S239" s="3" t="inlineStr">
        <is>
          <t>—</t>
        </is>
      </c>
      <c r="T239" s="3" t="inlineStr">
        <is>
          <t>ASSET_CLASS_OF_ACCOUNT</t>
        </is>
      </c>
      <c r="U239" s="3" t="inlineStr">
        <is>
          <t>ACTIVE</t>
        </is>
      </c>
      <c r="V239" s="3" t="inlineStr">
        <is>
          <t>2026-10-09</t>
        </is>
      </c>
      <c r="W239" s="3" t="n"/>
      <c r="X239" s="3" t="n"/>
      <c r="Y239" s="3" t="inlineStr">
        <is>
          <t>NOTHING OPEN</t>
        </is>
      </c>
    </row>
    <row r="240" ht="60" customHeight="1">
      <c r="A240" s="3" t="inlineStr">
        <is>
          <t>MK-NW-F-012</t>
        </is>
      </c>
      <c r="B240" s="3" t="inlineStr">
        <is>
          <t>taxTreatmentOf</t>
        </is>
      </c>
      <c r="C240" s="3" t="inlineStr">
        <is>
          <t>src/domain/assets/index.ts</t>
        </is>
      </c>
      <c r="D240" s="3" t="n">
        <v>657</v>
      </c>
      <c r="E240" s="3" t="inlineStr">
        <is>
          <t>3 · DEPENDENT</t>
        </is>
      </c>
      <c r="F240" s="3" t="inlineStr">
        <is>
          <t>How an account's money is taxed: as it is earned, when it comes out, or not at all.</t>
        </is>
      </c>
      <c r="G240" s="11" t="inlineStr">
        <is>
          <t>'tax_free'   when kind = 'college_529'
'tax_deferred'   when kind = 'hsa'
tax treatment   when tax treatment
kind bucket = asset kind(kind).bucket
bucket = tax bucket   if TAX_BUCKETS.includes(tax bucket)
kind bucket   if kind bucket ! = 'TAXABLE'
undefined   otherwise   otherwise
'not_stated'   when bucket is missing
'tax_deferred'   when bucket = 'PRE_TAX'
'tax_free'   when bucket = 'ROTH'
the answer = 'taxable'</t>
        </is>
      </c>
      <c r="H240" s="3" t="inlineStr">
        <is>
          <t>When kind = 'college_529', it answers 'tax_free'. When kind = 'hsa', it answers 'tax_deferred'. When tax treatment, it answers tax treatment. Kind bucket is asset kind(kind).bucket. Bucket is tax bucket — when TAX_BUCKETS.includes(tax bucket); kind bucket — when kind bucket ! = 'TAXABLE'; undefined — otherwise — otherwise. When bucket is missing, it answers 'not_stated'. When bucket = 'PRE_TAX', it answers 'tax_deferred'. When bucket = 'ROTH', it answers 'tax_free'. The answer is 'taxable'.</t>
        </is>
      </c>
      <c r="I240" s="3" t="inlineStr">
        <is>
          <t>PARTLY READ — some of the code is still showing through; needs a hand pass</t>
        </is>
      </c>
      <c r="J240" s="3" t="inlineStr">
        <is>
          <t>a: AssetAccount</t>
        </is>
      </c>
      <c r="K240" s="3" t="inlineStr">
        <is>
          <t>TaxTreatmentAnswer</t>
        </is>
      </c>
      <c r="L240" s="3" t="inlineStr">
        <is>
          <t>—</t>
        </is>
      </c>
      <c r="M240" s="3" t="inlineStr">
        <is>
          <t>None found in this function — anything it assumes comes from the functions it depends on.</t>
        </is>
      </c>
      <c r="N240" s="3" t="inlineStr">
        <is>
          <t>Yes</t>
        </is>
      </c>
      <c r="O240" s="3" t="inlineStr">
        <is>
          <t>MK-NW-F-007 assetKind</t>
        </is>
      </c>
      <c r="P240" s="3" t="n">
        <v>15</v>
      </c>
      <c r="Q240" s="3" t="inlineStr">
        <is>
          <t>1. MK-NW-F-007 assetKind
2. MK-NW-F-011 assetClassOf
3. MK-CF-F-155 cash
4. MK-NW-F-120 classEvidenceOf
5. MK-XS-F-122 n
6. MK-NW-F-008 incomeBearingClassOf
7. MK-NW-F-009 maturityClass
8. MK-ST-F-010 nameEvidence
9. MK-NW-F-068 prettyDay
10. MK-XS-F-147 call
11. MK-ST-F-056 has
12. MK-CF-F-132 map
13. MK-ST-F-027 accountId
14. MK-XS-F-064 currentIdToken
15. MK-XS-F-112 relayUrl</t>
        </is>
      </c>
      <c r="R240" s="3" t="inlineStr">
        <is>
          <t>1. MK-XS-F-122 n → MK-CF-F-155 cash → MK-NW-F-120 classEvidenceOf → MK-NW-F-011 assetClassOf → MK-NW-F-007 assetKind → MK-NW-F-012 taxTreatmentOf
2. MK-CF-F-155 cash → MK-NW-F-008 incomeBearingClassOf → MK-NW-F-120 classEvidenceOf → MK-NW-F-011 assetClassOf → MK-NW-F-007 assetKind → MK-NW-F-012 taxTreatmentOf
3. MK-ST-F-010 nameEvidence → MK-NW-F-008 incomeBearingClassOf → MK-NW-F-120 classEvidenceOf → MK-NW-F-011 assetClassOf → MK-NW-F-007 assetKind → MK-NW-F-012 taxTreatmentOf
4. assetClassOf (already above — a loop) → MK-NW-F-009 maturityClass → MK-NW-F-120 classEvidenceOf → MK-NW-F-011 assetClassOf → MK-NW-F-007 assetKind → MK-NW-F-012 taxTreatmentOf
5. MK-NW-F-068 prettyDay → MK-NW-F-009 maturityClass → MK-NW-F-120 classEvidenceOf → MK-NW-F-011 assetClassOf → MK-NW-F-007 assetKind → MK-NW-F-012 taxTreatmentOf
6. MK-XS-F-122 n → MK-CF-F-155 cash → MK-NW-F-007 assetKind → MK-NW-F-012 taxTreatmentOf</t>
        </is>
      </c>
      <c r="S240" s="3" t="inlineStr">
        <is>
          <t>—</t>
        </is>
      </c>
      <c r="T240" s="3" t="inlineStr">
        <is>
          <t>TAX_TREATMENT</t>
        </is>
      </c>
      <c r="U240" s="3" t="inlineStr">
        <is>
          <t>ACTIVE</t>
        </is>
      </c>
      <c r="V240" s="3" t="inlineStr">
        <is>
          <t>2026-10-10</t>
        </is>
      </c>
      <c r="W240" s="3" t="n"/>
      <c r="X240" s="3" t="n"/>
      <c r="Y240" s="3" t="inlineStr">
        <is>
          <t>NOTHING OPEN</t>
        </is>
      </c>
    </row>
    <row r="241" ht="60" customHeight="1">
      <c r="A241" s="3" t="inlineStr">
        <is>
          <t>MK-NW-F-013</t>
        </is>
      </c>
      <c r="B241" s="3" t="inlineStr">
        <is>
          <t>realEstateUseOf</t>
        </is>
      </c>
      <c r="C241" s="3" t="inlineStr">
        <is>
          <t>src/domain/assets/index.ts</t>
        </is>
      </c>
      <c r="D241" s="3" t="n">
        <v>744</v>
      </c>
      <c r="E241" s="3" t="inlineStr">
        <is>
          <t>3 · DEPENDENT (feeds an action only)</t>
        </is>
      </c>
      <c r="F241" s="3" t="inlineStr">
        <is>
          <t>Real-estate use (primary/rental/secondary/land); only meaningful when assetClassOf === 'real_estate'.</t>
        </is>
      </c>
      <c r="G241" s="11" t="inlineStr">
        <is>
          <t>nothing   when asset class of(a) ! = 'real_estate'
'land'   when re use = 'land'
re use (or 'primary' when missing)   when !accounts and !array.is array(rentals)
use = property use map(accounts ?? [a], rentals).get(string(asset id))
the answer:
'primary'   if use = 'home'
'rental'   if use = 'rental'
'secondary'   otherwise   otherwise</t>
        </is>
      </c>
      <c r="H241" s="3" t="inlineStr">
        <is>
          <t>When asset class of(a) ! = 'real_estate', it answers no answer. When re use = 'land', it answers 'land'. When !accounts and !array.is array(rentals), it answers re use (or 'primary' — when missing). Use is property use map(accounts ?? [a], rentals).get(string(asset id)). The answer is 'primary' — when use = 'home'; 'rental' — when use = 'rental'; 'secondary' — otherwise — otherwise.</t>
        </is>
      </c>
      <c r="I241" s="3" t="inlineStr">
        <is>
          <t>PARTLY READ — some of the code is still showing through; needs a hand pass</t>
        </is>
      </c>
      <c r="J241" s="3" t="inlineStr">
        <is>
          <t>1. a: AssetAccount
2. accounts?: AssetAccount[]
3. rentals?: RentEntry[] | null</t>
        </is>
      </c>
      <c r="K241" s="3" t="inlineStr">
        <is>
          <t>RealEstateUse | null</t>
        </is>
      </c>
      <c r="L241" s="3" t="inlineStr">
        <is>
          <t>—</t>
        </is>
      </c>
      <c r="M241" s="3" t="inlineStr">
        <is>
          <t>None found in this function — anything it assumes comes from the functions it depends on.</t>
        </is>
      </c>
      <c r="N241" s="3" t="inlineStr">
        <is>
          <t>No</t>
        </is>
      </c>
      <c r="O241" s="3" t="inlineStr">
        <is>
          <t>1. MK-NW-F-011 assetClassOf
2. MK-NW-F-117 propertyUseMap</t>
        </is>
      </c>
      <c r="P241" s="3" t="n">
        <v>31</v>
      </c>
      <c r="Q241" s="3" t="inlineStr">
        <is>
          <t>1. MK-NW-F-011 assetClassOf
2. MK-NW-F-117 propertyUseMap
3. MK-NW-F-120 classEvidenceOf
4. MK-ST-F-056 has
5. MK-NW-F-116 rentedIdsOf
6. MK-CF-F-155 cash
7. MK-NW-F-008 incomeBearingClassOf
8. MK-NW-F-009 maturityClass
9. MK-NW-F-115 liveRent
10. MK-CF-F-132 map
11. MK-XS-F-122 n
12. MK-ST-F-010 nameEvidence
13. MK-NW-F-068 prettyDay
14. MK-CF-O-002 expenses
15. MK-NW-F-114 rentAmount
16. MK-XS-F-147 call
17. MK-CF-F-151 actualSpending
18. MK-CF-F-150 debtPaymentsCountedAsExpenses
19. MK-CF-F-153 radar
20. MK-CF-F-149 recurringDebtPayments
21. MK-ST-F-085 rentFigure
22. MK-ST-F-027 accountId
23. MK-XS-F-064 currentIdToken
24. MK-XS-F-112 relayUrl
25. MK-CF-F-148 inMonth
26. MK-ST-F-052 toNum
27. MK-CF-F-191 ym
28. MK-CF-F-022 paymentShape
29. MK-CF-F-152 isRadarItem
30. MK-CF-F-023 requiredPayment
31. MK-CF-F-021 defaultPaymentType</t>
        </is>
      </c>
      <c r="R241" s="3" t="inlineStr">
        <is>
          <t>1. MK-XS-F-122 n → MK-CF-F-155 cash → MK-NW-F-120 classEvidenceOf → MK-NW-F-011 assetClassOf → MK-NW-F-013 realEstateUseOf
2. MK-XS-F-122 n → MK-CF-F-155 cash → MK-NW-F-008 incomeBearingClassOf → MK-NW-F-120 classEvidenceOf → MK-NW-F-011 assetClassOf → MK-NW-F-013 realEstateUseOf
3. MK-XS-F-147 call → MK-ST-F-010 nameEvidence → MK-NW-F-008 incomeBearingClassOf → MK-NW-F-120 classEvidenceOf → MK-NW-F-011 assetClassOf → MK-NW-F-013 realEstateUseOf
4. MK-ST-F-056 has → MK-ST-F-010 nameEvidence → MK-NW-F-008 incomeBearingClassOf → MK-NW-F-120 classEvidenceOf → MK-NW-F-011 assetClassOf → MK-NW-F-013 realEstateUseOf
5. MK-CF-F-132 map → MK-ST-F-010 nameEvidence → MK-NW-F-008 incomeBearingClassOf → MK-NW-F-120 classEvidenceOf → MK-NW-F-011 assetClassOf → MK-NW-F-013 realEstateUseOf
6. assetClassOf (already above — a loop) → MK-NW-F-009 maturityClass → MK-NW-F-120 classEvidenceOf → MK-NW-F-011 assetClassOf → MK-NW-F-013 realEstateUseOf
7. MK-CF-F-132 map → MK-NW-F-068 prettyDay → MK-NW-F-009 maturityClass → MK-NW-F-120 classEvidenceOf → MK-NW-F-011 assetClassOf → MK-NW-F-013 realEstateUseOf
8. MK-XS-F-122 n → MK-CF-F-155 cash → MK-NW-F-120 classEvidenceOf → MK-NW-F-011 assetClassOf → MK-NW-F-117 propertyUseMap → MK-NW-F-013 realEstateUseOf
9. … and 4 more paths</t>
        </is>
      </c>
      <c r="S241" s="3" t="inlineStr">
        <is>
          <t>—</t>
        </is>
      </c>
      <c r="T241" s="3" t="inlineStr">
        <is>
          <t>HOW_A_HOME_IS_USED</t>
        </is>
      </c>
      <c r="U241" s="3" t="inlineStr">
        <is>
          <t>ACTIVE</t>
        </is>
      </c>
      <c r="V241" s="3" t="inlineStr">
        <is>
          <t>2026-10-09</t>
        </is>
      </c>
      <c r="W241" s="3" t="n"/>
      <c r="X241" s="3" t="n"/>
      <c r="Y241" s="3" t="inlineStr">
        <is>
          <t>NOTHING OPEN</t>
        </is>
      </c>
    </row>
    <row r="242" ht="60" customHeight="1">
      <c r="A242" s="3" t="inlineStr">
        <is>
          <t>MK-NW-F-014</t>
        </is>
      </c>
      <c r="B242" s="3" t="inlineStr">
        <is>
          <t>isRealAsset</t>
        </is>
      </c>
      <c r="C242" s="3" t="inlineStr">
        <is>
          <t>src/domain/assets/index.ts</t>
        </is>
      </c>
      <c r="D242" s="3" t="n">
        <v>994</v>
      </c>
      <c r="E242" s="3" t="inlineStr">
        <is>
          <t>3 · DEPENDENT</t>
        </is>
      </c>
      <c r="F242" s="3" t="inlineStr">
        <is>
          <t>Whether an account is a physical asset, meaning real estate or personal property.</t>
        </is>
      </c>
      <c r="G242" s="11" t="inlineStr">
        <is>
          <t>c = asset class of(a)
the answer = c = 'real_estate' (or c = 'personal_property' when missing or zero)</t>
        </is>
      </c>
      <c r="H242" s="3" t="inlineStr">
        <is>
          <t>C is asset class of(a). The answer is c = 'real_estate' (or c = 'personal_property' — when missing or zero).</t>
        </is>
      </c>
      <c r="I242" s="3" t="inlineStr">
        <is>
          <t>READ FROM THE CODE — rendered from the expressions the function runs</t>
        </is>
      </c>
      <c r="J242" s="3" t="inlineStr">
        <is>
          <t>a: AssetAccount</t>
        </is>
      </c>
      <c r="K242" s="3" t="inlineStr">
        <is>
          <t>boolean</t>
        </is>
      </c>
      <c r="L242" s="3" t="inlineStr">
        <is>
          <t>—</t>
        </is>
      </c>
      <c r="M242" s="3" t="inlineStr">
        <is>
          <t>None found in this function — anything it assumes comes from the functions it depends on.</t>
        </is>
      </c>
      <c r="N242" s="3" t="inlineStr">
        <is>
          <t>Yes</t>
        </is>
      </c>
      <c r="O242" s="3" t="inlineStr">
        <is>
          <t>MK-NW-F-011 assetClassOf</t>
        </is>
      </c>
      <c r="P242" s="3" t="n">
        <v>14</v>
      </c>
      <c r="Q242" s="3" t="inlineStr">
        <is>
          <t>1. MK-NW-F-011 assetClassOf
2. MK-NW-F-120 classEvidenceOf
3. MK-CF-F-155 cash
4. MK-NW-F-008 incomeBearingClassOf
5. MK-NW-F-009 maturityClass
6. MK-XS-F-122 n
7. MK-ST-F-010 nameEvidence
8. MK-NW-F-068 prettyDay
9. MK-XS-F-147 call
10. MK-ST-F-056 has
11. MK-CF-F-132 map
12. MK-ST-F-027 accountId
13. MK-XS-F-064 currentIdToken
14. MK-XS-F-112 relayUrl</t>
        </is>
      </c>
      <c r="R242" s="3" t="inlineStr">
        <is>
          <t>1. MK-XS-F-122 n → MK-CF-F-155 cash → MK-NW-F-120 classEvidenceOf → MK-NW-F-011 assetClassOf → MK-NW-F-014 isRealAsset
2. MK-XS-F-122 n → MK-CF-F-155 cash → MK-NW-F-008 incomeBearingClassOf → MK-NW-F-120 classEvidenceOf → MK-NW-F-011 assetClassOf → MK-NW-F-014 isRealAsset
3. MK-XS-F-147 call → MK-ST-F-010 nameEvidence → MK-NW-F-008 incomeBearingClassOf → MK-NW-F-120 classEvidenceOf → MK-NW-F-011 assetClassOf → MK-NW-F-014 isRealAsset
4. MK-ST-F-056 has → MK-ST-F-010 nameEvidence → MK-NW-F-008 incomeBearingClassOf → MK-NW-F-120 classEvidenceOf → MK-NW-F-011 assetClassOf → MK-NW-F-014 isRealAsset
5. MK-CF-F-132 map → MK-ST-F-010 nameEvidence → MK-NW-F-008 incomeBearingClassOf → MK-NW-F-120 classEvidenceOf → MK-NW-F-011 assetClassOf → MK-NW-F-014 isRealAsset
6. assetClassOf (already above — a loop) → MK-NW-F-009 maturityClass → MK-NW-F-120 classEvidenceOf → MK-NW-F-011 assetClassOf → MK-NW-F-014 isRealAsset
7. MK-CF-F-132 map → MK-NW-F-068 prettyDay → MK-NW-F-009 maturityClass → MK-NW-F-120 classEvidenceOf → MK-NW-F-011 assetClassOf → MK-NW-F-014 isRealAsset</t>
        </is>
      </c>
      <c r="S242" s="3" t="inlineStr">
        <is>
          <t>—</t>
        </is>
      </c>
      <c r="T242" s="3" t="inlineStr">
        <is>
          <t>IS_PHYSICAL_ASSET</t>
        </is>
      </c>
      <c r="U242" s="3" t="inlineStr">
        <is>
          <t>ACTIVE</t>
        </is>
      </c>
      <c r="V242" s="3" t="inlineStr">
        <is>
          <t>2026-08-27</t>
        </is>
      </c>
      <c r="W242" s="3" t="n"/>
      <c r="X242" s="3" t="n"/>
      <c r="Y242" s="3" t="inlineStr">
        <is>
          <t>NOTHING OPEN</t>
        </is>
      </c>
    </row>
    <row r="243" ht="60" customHeight="1">
      <c r="A243" s="3" t="inlineStr">
        <is>
          <t>MK-NW-F-015</t>
        </is>
      </c>
      <c r="B243" s="3" t="inlineStr">
        <is>
          <t>totalAssets</t>
        </is>
      </c>
      <c r="C243" s="3" t="inlineStr">
        <is>
          <t>src/domain/assets/index.ts</t>
        </is>
      </c>
      <c r="D243" s="3" t="n">
        <v>1066</v>
      </c>
      <c r="E243" s="3" t="inlineStr">
        <is>
          <t>3 · DEPENDENT</t>
        </is>
      </c>
      <c r="F243" s="3" t="inlineStr">
        <is>
          <t>Everything owned, added up: the balance of every account.</t>
        </is>
      </c>
      <c r="G243" s="11" t="inlineStr">
        <is>
          <t>Σ over accounts (or none when missing) of (balance (or 0 when missing or zero))</t>
        </is>
      </c>
      <c r="H243" s="3" t="inlineStr">
        <is>
          <t>the balance (or 0 — when missing or zero) added up across accounts (or none — when missing).</t>
        </is>
      </c>
      <c r="I243" s="3" t="inlineStr">
        <is>
          <t>READ FROM THE CODE — rendered from the expressions the function runs</t>
        </is>
      </c>
      <c r="J243" s="3" t="inlineStr">
        <is>
          <t>accounts: AssetAccount[]</t>
        </is>
      </c>
      <c r="K243" s="3" t="inlineStr">
        <is>
          <t>number</t>
        </is>
      </c>
      <c r="L243" s="3" t="inlineStr">
        <is>
          <t>—</t>
        </is>
      </c>
      <c r="M243" s="3" t="inlineStr">
        <is>
          <t>· If balance is missing it counts as zero, so nothing recorded and a real zero look the same.</t>
        </is>
      </c>
      <c r="N243" s="3" t="inlineStr">
        <is>
          <t>Yes</t>
        </is>
      </c>
      <c r="O243" s="3" t="inlineStr">
        <is>
          <t>MK-NW-F-027 accountClassBreakdown</t>
        </is>
      </c>
      <c r="P243" s="3" t="n">
        <v>22</v>
      </c>
      <c r="Q243" s="3" t="inlineStr">
        <is>
          <t>1. MK-NW-F-027 accountClassBreakdown
2. MK-NW-F-011 assetClassOf
3. MK-CF-F-155 cash
4. MK-ST-F-056 has
5. MK-NW-F-109 holdingClassOf
6. MK-CF-F-132 map
7. MK-NW-F-067 plural
8. MK-NW-F-120 classEvidenceOf
9. MK-XS-F-122 n
10. MK-NW-F-123 holdingNameEvidence
11. MK-NW-F-121 holdingTagClass
12. MK-NW-F-054 reclassifyAccounts
13. MK-NW-F-008 incomeBearingClassOf
14. MK-NW-F-009 maturityClass
15. MK-NW-F-053 correctClassOf
16. MK-NW-F-122 holdingTagFor
17. MK-ST-F-010 nameEvidence
18. MK-NW-F-068 prettyDay
19. MK-XS-F-147 call
20. MK-ST-F-027 accountId
21. MK-XS-F-064 currentIdToken
22. MK-XS-F-112 relayUrl</t>
        </is>
      </c>
      <c r="R243" s="3" t="inlineStr">
        <is>
          <t>1. MK-XS-F-122 n → MK-CF-F-155 cash → MK-NW-F-120 classEvidenceOf → MK-NW-F-011 assetClassOf → MK-NW-F-027 accountClassBreakdown → MK-NW-F-015 totalAssets
2. MK-CF-F-155 cash → MK-NW-F-008 incomeBearingClassOf → MK-NW-F-120 classEvidenceOf → MK-NW-F-011 assetClassOf → MK-NW-F-027 accountClassBreakdown → MK-NW-F-015 totalAssets
3. MK-ST-F-010 nameEvidence → MK-NW-F-008 incomeBearingClassOf → MK-NW-F-120 classEvidenceOf → MK-NW-F-011 assetClassOf → MK-NW-F-027 accountClassBreakdown → MK-NW-F-015 totalAssets
4. assetClassOf (already above — a loop) → MK-NW-F-009 maturityClass → MK-NW-F-120 classEvidenceOf → MK-NW-F-011 assetClassOf → MK-NW-F-027 accountClassBreakdown → MK-NW-F-015 totalAssets
5. MK-NW-F-068 prettyDay → MK-NW-F-009 maturityClass → MK-NW-F-120 classEvidenceOf → MK-NW-F-011 assetClassOf → MK-NW-F-027 accountClassBreakdown → MK-NW-F-015 totalAssets
6. MK-XS-F-122 n → MK-CF-F-155 cash → MK-NW-F-027 accountClassBreakdown → MK-NW-F-015 totalAssets
7. MK-ST-F-056 has → MK-NW-F-027 accountClassBreakdown → MK-NW-F-015 totalAssets
8. MK-XS-F-122 n → MK-CF-F-155 cash → MK-NW-F-123 holdingNameEvidence → MK-NW-F-109 holdingClassOf → MK-NW-F-027 accountClassBreakdown → MK-NW-F-015 totalAssets
9. … and 4 more paths</t>
        </is>
      </c>
      <c r="S243" s="3" t="inlineStr">
        <is>
          <t>—</t>
        </is>
      </c>
      <c r="T243" s="3" t="inlineStr">
        <is>
          <t>—</t>
        </is>
      </c>
      <c r="U243" s="3" t="inlineStr">
        <is>
          <t>ACTIVE</t>
        </is>
      </c>
      <c r="V243" s="3" t="inlineStr">
        <is>
          <t>2026-09-09</t>
        </is>
      </c>
      <c r="W243" s="3" t="n"/>
      <c r="X243" s="3" t="n"/>
      <c r="Y243" s="3" t="inlineStr">
        <is>
          <t>NOTHING OPEN</t>
        </is>
      </c>
    </row>
    <row r="244" ht="60" customHeight="1">
      <c r="A244" s="3" t="inlineStr">
        <is>
          <t>MK-NW-F-016</t>
        </is>
      </c>
      <c r="B244" s="3" t="inlineStr">
        <is>
          <t>cashTotal</t>
        </is>
      </c>
      <c r="C244" s="3" t="inlineStr">
        <is>
          <t>src/domain/assets/index.ts</t>
        </is>
      </c>
      <c r="D244" s="3" t="n">
        <v>1103</v>
      </c>
      <c r="E244" s="3" t="inlineStr">
        <is>
          <t>2 · DISPLAYED</t>
        </is>
      </c>
      <c r="F244" s="3" t="inlineStr">
        <is>
          <t>All the cash a person has: every bank account, plus the uninvested cash sitting inside investment accounts.</t>
        </is>
      </c>
      <c r="G244" s="11" t="inlineStr">
        <is>
          <t>b = account class breakdown(a)
the answer = t + (b ? cash : asset class of(a) = 'cash' ? (balance or 0) : 0)</t>
        </is>
      </c>
      <c r="H244" s="3" t="inlineStr">
        <is>
          <t>B is account class breakdown(a). The answer is t plus (b ? cash : asset class of(a) = 'cash' ? (balance or 0) : 0).</t>
        </is>
      </c>
      <c r="I244" s="3" t="inlineStr">
        <is>
          <t>READ FROM THE CODE — rendered from the expressions the function runs</t>
        </is>
      </c>
      <c r="J244" s="3" t="inlineStr">
        <is>
          <t>accounts: AssetAccount[]</t>
        </is>
      </c>
      <c r="K244" s="3" t="inlineStr">
        <is>
          <t>number</t>
        </is>
      </c>
      <c r="L244" s="3" t="inlineStr">
        <is>
          <t>"Cash on hand now" — on the Bill calendar screen</t>
        </is>
      </c>
      <c r="M244" s="3" t="inlineStr">
        <is>
          <t>· If balance is missing it counts as zero, so nothing recorded and a real zero look the same.</t>
        </is>
      </c>
      <c r="N244" s="3" t="inlineStr">
        <is>
          <t>Yes</t>
        </is>
      </c>
      <c r="O244" s="3" t="inlineStr">
        <is>
          <t>1. MK-NW-F-027 accountClassBreakdown
2. MK-NW-F-029 assetAllocation
3. MK-NW-F-011 assetClassOf</t>
        </is>
      </c>
      <c r="P244" s="3" t="n">
        <v>23</v>
      </c>
      <c r="Q244" s="3" t="inlineStr">
        <is>
          <t>1. MK-NW-F-027 accountClassBreakdown
2. MK-NW-F-029 assetAllocation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MK-NW-F-068 prettyDay
20. MK-XS-F-147 call
21. MK-ST-F-027 accountId
22. MK-XS-F-064 currentIdToken
23. MK-XS-F-112 relayUrl</t>
        </is>
      </c>
      <c r="R244" s="3" t="inlineStr">
        <is>
          <t>1. MK-XS-F-122 n → MK-CF-F-155 cash → MK-NW-F-120 classEvidenceOf → MK-NW-F-011 assetClassOf → MK-NW-F-027 accountClassBreakdown → MK-NW-F-016 cashTotal
2. MK-CF-F-155 cash → MK-NW-F-008 incomeBearingClassOf → MK-NW-F-120 classEvidenceOf → MK-NW-F-011 assetClassOf → MK-NW-F-027 accountClassBreakdown → MK-NW-F-016 cashTotal
3. MK-ST-F-010 nameEvidence → MK-NW-F-008 incomeBearingClassOf → MK-NW-F-120 classEvidenceOf → MK-NW-F-011 assetClassOf → MK-NW-F-027 accountClassBreakdown → MK-NW-F-016 cashTotal
4. assetClassOf (already above — a loop) → MK-NW-F-009 maturityClass → MK-NW-F-120 classEvidenceOf → MK-NW-F-011 assetClassOf → MK-NW-F-027 accountClassBreakdown → MK-NW-F-016 cashTotal
5. MK-NW-F-068 prettyDay → MK-NW-F-009 maturityClass → MK-NW-F-120 classEvidenceOf → MK-NW-F-011 assetClassOf → MK-NW-F-027 accountClassBreakdown → MK-NW-F-016 cashTotal
6. MK-XS-F-122 n → MK-CF-F-155 cash → MK-NW-F-027 accountClassBreakdown → MK-NW-F-016 cashTotal
7. MK-ST-F-056 has → MK-NW-F-027 accountClassBreakdown → MK-NW-F-016 cashTotal
8. MK-XS-F-122 n → MK-CF-F-155 cash → MK-NW-F-123 holdingNameEvidence → MK-NW-F-109 holdingClassOf → MK-NW-F-027 accountClassBreakdown → MK-NW-F-016 cashTotal
9. … and 5 more paths</t>
        </is>
      </c>
      <c r="S244" s="3" t="inlineStr">
        <is>
          <t>MK-NW-M-014</t>
        </is>
      </c>
      <c r="T244" s="3" t="inlineStr">
        <is>
          <t>TOTAL_CASH</t>
        </is>
      </c>
      <c r="U244" s="3" t="inlineStr">
        <is>
          <t>ACTIVE</t>
        </is>
      </c>
      <c r="V244" s="3" t="inlineStr">
        <is>
          <t>2026-08-27</t>
        </is>
      </c>
      <c r="W244" s="3" t="n"/>
      <c r="X244" s="3" t="n"/>
      <c r="Y244" s="3" t="inlineStr">
        <is>
          <t>NOTHING OPEN</t>
        </is>
      </c>
    </row>
    <row r="245" ht="60" customHeight="1">
      <c r="A245" s="3" t="inlineStr">
        <is>
          <t>MK-NW-F-017</t>
        </is>
      </c>
      <c r="B245" s="3" t="inlineStr">
        <is>
          <t>equitiesTotal</t>
        </is>
      </c>
      <c r="C245" s="3" t="inlineStr">
        <is>
          <t>src/domain/assets/index.ts</t>
        </is>
      </c>
      <c r="D245" s="3" t="n">
        <v>1126</v>
      </c>
      <c r="E245" s="3" t="inlineStr">
        <is>
          <t>3 · DEPENDENT (feeds an action only)</t>
        </is>
      </c>
      <c r="F245" s="3" t="inlineStr">
        <is>
          <t>Everything classed as Stocks / Funds, wherever it sits — an account that holds several classes gives only its Stocks / Funds part (MK-NW-F-029 assetAllocation).</t>
        </is>
      </c>
      <c r="G245" s="11" t="inlineStr">
        <is>
          <t>asset allocation(accounts).stocks etf</t>
        </is>
      </c>
      <c r="H245" s="3" t="inlineStr">
        <is>
          <t>asset allocation(accounts).stocks etf.</t>
        </is>
      </c>
      <c r="I245" s="3" t="inlineStr">
        <is>
          <t>PARTLY READ — some of the code is still showing through; needs a hand pass</t>
        </is>
      </c>
      <c r="J245" s="3" t="inlineStr">
        <is>
          <t>accounts: AssetAccount[]</t>
        </is>
      </c>
      <c r="K245" s="3" t="inlineStr">
        <is>
          <t>number</t>
        </is>
      </c>
      <c r="L245" s="3" t="inlineStr">
        <is>
          <t>—</t>
        </is>
      </c>
      <c r="M245" s="3" t="inlineStr">
        <is>
          <t>None found in this function — anything it assumes comes from the functions it depends on.</t>
        </is>
      </c>
      <c r="N245" s="3" t="inlineStr">
        <is>
          <t>No</t>
        </is>
      </c>
      <c r="O245" s="3" t="inlineStr">
        <is>
          <t>MK-NW-F-029 assetAllocation</t>
        </is>
      </c>
      <c r="P245" s="3" t="n">
        <v>23</v>
      </c>
      <c r="Q245" s="3" t="inlineStr">
        <is>
          <t>1. MK-NW-F-029 assetAllocation
2. MK-NW-F-027 accountClassBreakdown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MK-NW-F-068 prettyDay
20. MK-XS-F-147 call
21. MK-ST-F-027 accountId
22. MK-XS-F-064 currentIdToken
23. MK-XS-F-112 relayUrl</t>
        </is>
      </c>
      <c r="R245" s="3" t="inlineStr">
        <is>
          <t>1. MK-CF-F-155 cash → MK-NW-F-120 classEvidenceOf → MK-NW-F-011 assetClassOf → MK-NW-F-027 accountClassBreakdown → MK-NW-F-029 assetAllocation → MK-NW-F-017 equitiesTotal
2. MK-NW-F-008 incomeBearingClassOf → MK-NW-F-120 classEvidenceOf → MK-NW-F-011 assetClassOf → MK-NW-F-027 accountClassBreakdown → MK-NW-F-029 assetAllocation → MK-NW-F-017 equitiesTotal
3. MK-NW-F-009 maturityClass → MK-NW-F-120 classEvidenceOf → MK-NW-F-011 assetClassOf → MK-NW-F-027 accountClassBreakdown → MK-NW-F-029 assetAllocation → MK-NW-F-017 equitiesTotal
4. MK-XS-F-122 n → MK-CF-F-155 cash → MK-NW-F-027 accountClassBreakdown → MK-NW-F-029 assetAllocation → MK-NW-F-017 equitiesTotal
5. MK-ST-F-056 has → MK-NW-F-027 accountClassBreakdown → MK-NW-F-029 assetAllocation → MK-NW-F-017 equitiesTotal
6. MK-CF-F-155 cash → MK-NW-F-123 holdingNameEvidence → MK-NW-F-109 holdingClassOf → MK-NW-F-027 accountClassBreakdown → MK-NW-F-029 assetAllocation → MK-NW-F-017 equitiesTotal
7. MK-NW-F-008 incomeBearingClassOf → MK-NW-F-123 holdingNameEvidence → MK-NW-F-109 holdingClassOf → MK-NW-F-027 accountClassBreakdown → MK-NW-F-029 assetAllocation → MK-NW-F-017 equitiesTotal
8. MK-NW-F-121 holdingTagClass → MK-NW-F-109 holdingClassOf → MK-NW-F-027 accountClassBreakdown → MK-NW-F-029 assetAllocation → MK-NW-F-017 equitiesTotal
9. … and 4 more paths</t>
        </is>
      </c>
      <c r="S245" s="3" t="inlineStr">
        <is>
          <t>—</t>
        </is>
      </c>
      <c r="T245" s="3" t="inlineStr">
        <is>
          <t>—</t>
        </is>
      </c>
      <c r="U245" s="3" t="inlineStr">
        <is>
          <t>ACTIVE</t>
        </is>
      </c>
      <c r="V245" s="3" t="inlineStr">
        <is>
          <t>2026-10-05</t>
        </is>
      </c>
      <c r="W245" s="3" t="n"/>
      <c r="X245" s="3" t="n"/>
      <c r="Y245" s="3" t="inlineStr">
        <is>
          <t>NOTHING OPEN</t>
        </is>
      </c>
    </row>
    <row r="246" ht="60" customHeight="1">
      <c r="A246" s="3" t="inlineStr">
        <is>
          <t>MK-NW-F-018</t>
        </is>
      </c>
      <c r="B246" s="3" t="inlineStr">
        <is>
          <t>fixedIncomeTotal</t>
        </is>
      </c>
      <c r="C246" s="3" t="inlineStr">
        <is>
          <t>src/domain/assets/index.ts</t>
        </is>
      </c>
      <c r="D246" s="3" t="n">
        <v>1146</v>
      </c>
      <c r="E246" s="3" t="inlineStr">
        <is>
          <t>3 · DEPENDENT (feeds an action only)</t>
        </is>
      </c>
      <c r="F246" s="3" t="inlineStr">
        <is>
          <t>Everything classed as Bonds &amp; CDs, wherever it sits — an account that holds several classes gives only its Bonds &amp; CDs part (MK-NW-F-029 assetAllocation).</t>
        </is>
      </c>
      <c r="G246" s="11" t="inlineStr">
        <is>
          <t>asset allocation(accounts).bonds</t>
        </is>
      </c>
      <c r="H246" s="3" t="inlineStr">
        <is>
          <t>asset allocation(accounts).bonds.</t>
        </is>
      </c>
      <c r="I246" s="3" t="inlineStr">
        <is>
          <t>PARTLY READ — some of the code is still showing through; needs a hand pass</t>
        </is>
      </c>
      <c r="J246" s="3" t="inlineStr">
        <is>
          <t>accounts: AssetAccount[]</t>
        </is>
      </c>
      <c r="K246" s="3" t="inlineStr">
        <is>
          <t>number</t>
        </is>
      </c>
      <c r="L246" s="3" t="inlineStr">
        <is>
          <t>—</t>
        </is>
      </c>
      <c r="M246" s="3" t="inlineStr">
        <is>
          <t>None found in this function — anything it assumes comes from the functions it depends on.</t>
        </is>
      </c>
      <c r="N246" s="3" t="inlineStr">
        <is>
          <t>No</t>
        </is>
      </c>
      <c r="O246" s="3" t="inlineStr">
        <is>
          <t>MK-NW-F-029 assetAllocation</t>
        </is>
      </c>
      <c r="P246" s="3" t="n">
        <v>23</v>
      </c>
      <c r="Q246" s="3" t="inlineStr">
        <is>
          <t>1. MK-NW-F-029 assetAllocation
2. MK-NW-F-027 accountClassBreakdown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MK-NW-F-068 prettyDay
20. MK-XS-F-147 call
21. MK-ST-F-027 accountId
22. MK-XS-F-064 currentIdToken
23. MK-XS-F-112 relayUrl</t>
        </is>
      </c>
      <c r="R246" s="3" t="inlineStr">
        <is>
          <t>1. MK-CF-F-155 cash → MK-NW-F-120 classEvidenceOf → MK-NW-F-011 assetClassOf → MK-NW-F-027 accountClassBreakdown → MK-NW-F-029 assetAllocation → MK-NW-F-018 fixedIncomeTotal
2. MK-NW-F-008 incomeBearingClassOf → MK-NW-F-120 classEvidenceOf → MK-NW-F-011 assetClassOf → MK-NW-F-027 accountClassBreakdown → MK-NW-F-029 assetAllocation → MK-NW-F-018 fixedIncomeTotal
3. MK-NW-F-009 maturityClass → MK-NW-F-120 classEvidenceOf → MK-NW-F-011 assetClassOf → MK-NW-F-027 accountClassBreakdown → MK-NW-F-029 assetAllocation → MK-NW-F-018 fixedIncomeTotal
4. MK-XS-F-122 n → MK-CF-F-155 cash → MK-NW-F-027 accountClassBreakdown → MK-NW-F-029 assetAllocation → MK-NW-F-018 fixedIncomeTotal
5. MK-ST-F-056 has → MK-NW-F-027 accountClassBreakdown → MK-NW-F-029 assetAllocation → MK-NW-F-018 fixedIncomeTotal
6. MK-CF-F-155 cash → MK-NW-F-123 holdingNameEvidence → MK-NW-F-109 holdingClassOf → MK-NW-F-027 accountClassBreakdown → MK-NW-F-029 assetAllocation → MK-NW-F-018 fixedIncomeTotal
7. MK-NW-F-008 incomeBearingClassOf → MK-NW-F-123 holdingNameEvidence → MK-NW-F-109 holdingClassOf → MK-NW-F-027 accountClassBreakdown → MK-NW-F-029 assetAllocation → MK-NW-F-018 fixedIncomeTotal
8. MK-NW-F-121 holdingTagClass → MK-NW-F-109 holdingClassOf → MK-NW-F-027 accountClassBreakdown → MK-NW-F-029 assetAllocation → MK-NW-F-018 fixedIncomeTotal
9. … and 4 more paths</t>
        </is>
      </c>
      <c r="S246" s="3" t="inlineStr">
        <is>
          <t>—</t>
        </is>
      </c>
      <c r="T246" s="3" t="inlineStr">
        <is>
          <t>—</t>
        </is>
      </c>
      <c r="U246" s="3" t="inlineStr">
        <is>
          <t>ACTIVE</t>
        </is>
      </c>
      <c r="V246" s="3" t="inlineStr">
        <is>
          <t>2026-10-05</t>
        </is>
      </c>
      <c r="W246" s="3" t="n"/>
      <c r="X246" s="3" t="n"/>
      <c r="Y246" s="3" t="inlineStr">
        <is>
          <t>NOTHING OPEN</t>
        </is>
      </c>
    </row>
    <row r="247" ht="60" customHeight="1">
      <c r="A247" s="3" t="inlineStr">
        <is>
          <t>MK-NW-F-019</t>
        </is>
      </c>
      <c r="B247" s="3" t="inlineStr">
        <is>
          <t>alternativesTotal</t>
        </is>
      </c>
      <c r="C247" s="3" t="inlineStr">
        <is>
          <t>src/domain/assets/index.ts</t>
        </is>
      </c>
      <c r="D247" s="3" t="n">
        <v>1166</v>
      </c>
      <c r="E247" s="3" t="inlineStr">
        <is>
          <t>3 · DEPENDENT (feeds an action only)</t>
        </is>
      </c>
      <c r="F247" s="3" t="inlineStr">
        <is>
          <t>Everything classed as Alternatives, wherever it sits — an account that holds several classes gives only its Alternatives part (MK-NW-F-029 assetAllocation).</t>
        </is>
      </c>
      <c r="G247" s="11" t="inlineStr">
        <is>
          <t>asset allocation(accounts).alternatives</t>
        </is>
      </c>
      <c r="H247" s="3" t="inlineStr">
        <is>
          <t>asset allocation(accounts).alternatives.</t>
        </is>
      </c>
      <c r="I247" s="3" t="inlineStr">
        <is>
          <t>PARTLY READ — some of the code is still showing through; needs a hand pass</t>
        </is>
      </c>
      <c r="J247" s="3" t="inlineStr">
        <is>
          <t>accounts: AssetAccount[]</t>
        </is>
      </c>
      <c r="K247" s="3" t="inlineStr">
        <is>
          <t>number</t>
        </is>
      </c>
      <c r="L247" s="3" t="inlineStr">
        <is>
          <t>—</t>
        </is>
      </c>
      <c r="M247" s="3" t="inlineStr">
        <is>
          <t>None found in this function — anything it assumes comes from the functions it depends on.</t>
        </is>
      </c>
      <c r="N247" s="3" t="inlineStr">
        <is>
          <t>No</t>
        </is>
      </c>
      <c r="O247" s="3" t="inlineStr">
        <is>
          <t>MK-NW-F-029 assetAllocation</t>
        </is>
      </c>
      <c r="P247" s="3" t="n">
        <v>23</v>
      </c>
      <c r="Q247" s="3" t="inlineStr">
        <is>
          <t>1. MK-NW-F-029 assetAllocation
2. MK-NW-F-027 accountClassBreakdown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MK-NW-F-068 prettyDay
20. MK-XS-F-147 call
21. MK-ST-F-027 accountId
22. MK-XS-F-064 currentIdToken
23. MK-XS-F-112 relayUrl</t>
        </is>
      </c>
      <c r="R247" s="3" t="inlineStr">
        <is>
          <t>1. MK-CF-F-155 cash → MK-NW-F-120 classEvidenceOf → MK-NW-F-011 assetClassOf → MK-NW-F-027 accountClassBreakdown → MK-NW-F-029 assetAllocation → MK-NW-F-019 alternativesTotal
2. MK-NW-F-008 incomeBearingClassOf → MK-NW-F-120 classEvidenceOf → MK-NW-F-011 assetClassOf → MK-NW-F-027 accountClassBreakdown → MK-NW-F-029 assetAllocation → MK-NW-F-019 alternativesTotal
3. MK-NW-F-009 maturityClass → MK-NW-F-120 classEvidenceOf → MK-NW-F-011 assetClassOf → MK-NW-F-027 accountClassBreakdown → MK-NW-F-029 assetAllocation → MK-NW-F-019 alternativesTotal
4. MK-XS-F-122 n → MK-CF-F-155 cash → MK-NW-F-027 accountClassBreakdown → MK-NW-F-029 assetAllocation → MK-NW-F-019 alternativesTotal
5. MK-ST-F-056 has → MK-NW-F-027 accountClassBreakdown → MK-NW-F-029 assetAllocation → MK-NW-F-019 alternativesTotal
6. MK-CF-F-155 cash → MK-NW-F-123 holdingNameEvidence → MK-NW-F-109 holdingClassOf → MK-NW-F-027 accountClassBreakdown → MK-NW-F-029 assetAllocation → MK-NW-F-019 alternativesTotal
7. MK-NW-F-008 incomeBearingClassOf → MK-NW-F-123 holdingNameEvidence → MK-NW-F-109 holdingClassOf → MK-NW-F-027 accountClassBreakdown → MK-NW-F-029 assetAllocation → MK-NW-F-019 alternativesTotal
8. MK-NW-F-121 holdingTagClass → MK-NW-F-109 holdingClassOf → MK-NW-F-027 accountClassBreakdown → MK-NW-F-029 assetAllocation → MK-NW-F-019 alternativesTotal
9. … and 4 more paths</t>
        </is>
      </c>
      <c r="S247" s="3" t="inlineStr">
        <is>
          <t>—</t>
        </is>
      </c>
      <c r="T247" s="3" t="inlineStr">
        <is>
          <t>—</t>
        </is>
      </c>
      <c r="U247" s="3" t="inlineStr">
        <is>
          <t>ACTIVE</t>
        </is>
      </c>
      <c r="V247" s="3" t="inlineStr">
        <is>
          <t>2026-10-05</t>
        </is>
      </c>
      <c r="W247" s="3" t="n"/>
      <c r="X247" s="3" t="n"/>
      <c r="Y247" s="3" t="inlineStr">
        <is>
          <t>NOTHING OPEN</t>
        </is>
      </c>
    </row>
    <row r="248" ht="60" customHeight="1">
      <c r="A248" s="3" t="inlineStr">
        <is>
          <t>MK-NW-F-020</t>
        </is>
      </c>
      <c r="B248" s="3" t="inlineStr">
        <is>
          <t>realEstateTotal</t>
        </is>
      </c>
      <c r="C248" s="3" t="inlineStr">
        <is>
          <t>src/domain/assets/index.ts</t>
        </is>
      </c>
      <c r="D248" s="3" t="n">
        <v>1186</v>
      </c>
      <c r="E248" s="3" t="inlineStr">
        <is>
          <t>3 · DEPENDENT (feeds an action only)</t>
        </is>
      </c>
      <c r="F248" s="3" t="inlineStr">
        <is>
          <t>Everything classed as Real estate, wherever it sits — an account that holds several classes gives only its Real estate part (MK-NW-F-029 assetAllocation).</t>
        </is>
      </c>
      <c r="G248" s="11" t="inlineStr">
        <is>
          <t>asset allocation(accounts).real estate</t>
        </is>
      </c>
      <c r="H248" s="3" t="inlineStr">
        <is>
          <t>asset allocation(accounts).real estate.</t>
        </is>
      </c>
      <c r="I248" s="3" t="inlineStr">
        <is>
          <t>PARTLY READ — some of the code is still showing through; needs a hand pass</t>
        </is>
      </c>
      <c r="J248" s="3" t="inlineStr">
        <is>
          <t>accounts: AssetAccount[]</t>
        </is>
      </c>
      <c r="K248" s="3" t="inlineStr">
        <is>
          <t>number</t>
        </is>
      </c>
      <c r="L248" s="3" t="inlineStr">
        <is>
          <t>—</t>
        </is>
      </c>
      <c r="M248" s="3" t="inlineStr">
        <is>
          <t>None found in this function — anything it assumes comes from the functions it depends on.</t>
        </is>
      </c>
      <c r="N248" s="3" t="inlineStr">
        <is>
          <t>No</t>
        </is>
      </c>
      <c r="O248" s="3" t="inlineStr">
        <is>
          <t>MK-NW-F-029 assetAllocation</t>
        </is>
      </c>
      <c r="P248" s="3" t="n">
        <v>23</v>
      </c>
      <c r="Q248" s="3" t="inlineStr">
        <is>
          <t>1. MK-NW-F-029 assetAllocation
2. MK-NW-F-027 accountClassBreakdown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MK-NW-F-068 prettyDay
20. MK-XS-F-147 call
21. MK-ST-F-027 accountId
22. MK-XS-F-064 currentIdToken
23. MK-XS-F-112 relayUrl</t>
        </is>
      </c>
      <c r="R248" s="3" t="inlineStr">
        <is>
          <t>1. MK-CF-F-155 cash → MK-NW-F-120 classEvidenceOf → MK-NW-F-011 assetClassOf → MK-NW-F-027 accountClassBreakdown → MK-NW-F-029 assetAllocation → MK-NW-F-020 realEstateTotal
2. MK-NW-F-008 incomeBearingClassOf → MK-NW-F-120 classEvidenceOf → MK-NW-F-011 assetClassOf → MK-NW-F-027 accountClassBreakdown → MK-NW-F-029 assetAllocation → MK-NW-F-020 realEstateTotal
3. MK-NW-F-009 maturityClass → MK-NW-F-120 classEvidenceOf → MK-NW-F-011 assetClassOf → MK-NW-F-027 accountClassBreakdown → MK-NW-F-029 assetAllocation → MK-NW-F-020 realEstateTotal
4. MK-XS-F-122 n → MK-CF-F-155 cash → MK-NW-F-027 accountClassBreakdown → MK-NW-F-029 assetAllocation → MK-NW-F-020 realEstateTotal
5. MK-ST-F-056 has → MK-NW-F-027 accountClassBreakdown → MK-NW-F-029 assetAllocation → MK-NW-F-020 realEstateTotal
6. MK-CF-F-155 cash → MK-NW-F-123 holdingNameEvidence → MK-NW-F-109 holdingClassOf → MK-NW-F-027 accountClassBreakdown → MK-NW-F-029 assetAllocation → MK-NW-F-020 realEstateTotal
7. MK-NW-F-008 incomeBearingClassOf → MK-NW-F-123 holdingNameEvidence → MK-NW-F-109 holdingClassOf → MK-NW-F-027 accountClassBreakdown → MK-NW-F-029 assetAllocation → MK-NW-F-020 realEstateTotal
8. MK-NW-F-121 holdingTagClass → MK-NW-F-109 holdingClassOf → MK-NW-F-027 accountClassBreakdown → MK-NW-F-029 assetAllocation → MK-NW-F-020 realEstateTotal
9. … and 4 more paths</t>
        </is>
      </c>
      <c r="S248" s="3" t="inlineStr">
        <is>
          <t>—</t>
        </is>
      </c>
      <c r="T248" s="3" t="inlineStr">
        <is>
          <t>—</t>
        </is>
      </c>
      <c r="U248" s="3" t="inlineStr">
        <is>
          <t>ACTIVE</t>
        </is>
      </c>
      <c r="V248" s="3" t="inlineStr">
        <is>
          <t>2026-10-05</t>
        </is>
      </c>
      <c r="W248" s="3" t="n"/>
      <c r="X248" s="3" t="n"/>
      <c r="Y248" s="3" t="inlineStr">
        <is>
          <t>NOTHING OPEN</t>
        </is>
      </c>
    </row>
    <row r="249" ht="60" customHeight="1">
      <c r="A249" s="3" t="inlineStr">
        <is>
          <t>MK-NW-F-021</t>
        </is>
      </c>
      <c r="B249" s="3" t="inlineStr">
        <is>
          <t>investmentsTotal</t>
        </is>
      </c>
      <c r="C249" s="3" t="inlineStr">
        <is>
          <t>src/domain/assets/index.ts</t>
        </is>
      </c>
      <c r="D249" s="3" t="n">
        <v>1215</v>
      </c>
      <c r="E249" s="3" t="inlineStr">
        <is>
          <t>3 · DEPENDENT</t>
        </is>
      </c>
      <c r="F249" s="3" t="inlineStr">
        <is>
          <t>The total value of everything invested: stocks and funds, bonds and CDs, alternatives and what is not yet classed, in whatever kind of account they sit, with cash and property left out.</t>
        </is>
      </c>
      <c r="G249" s="11" t="inlineStr">
        <is>
          <t>by = asset allocation(accounts)
the answer = by.stocks etf + by.bonds + by.alternatives + by.mixed</t>
        </is>
      </c>
      <c r="H249" s="3" t="inlineStr">
        <is>
          <t>By is asset allocation(accounts). The answer is by.stocks etf plus by.bonds plus by.alternatives plus by.mixed.</t>
        </is>
      </c>
      <c r="I249" s="3" t="inlineStr">
        <is>
          <t>READ FROM THE CODE — rendered from the expressions the function runs</t>
        </is>
      </c>
      <c r="J249" s="3" t="inlineStr">
        <is>
          <t>accounts: AssetAccount[]</t>
        </is>
      </c>
      <c r="K249" s="3" t="inlineStr">
        <is>
          <t>number</t>
        </is>
      </c>
      <c r="L249" s="3" t="inlineStr">
        <is>
          <t>—</t>
        </is>
      </c>
      <c r="M249" s="3" t="inlineStr">
        <is>
          <t>None found in this function — anything it assumes comes from the functions it depends on.</t>
        </is>
      </c>
      <c r="N249" s="3" t="inlineStr">
        <is>
          <t>Yes</t>
        </is>
      </c>
      <c r="O249" s="3" t="inlineStr">
        <is>
          <t>1. MK-NW-F-029 assetAllocation
2. MK-CF-F-155 cash</t>
        </is>
      </c>
      <c r="P249" s="3" t="n">
        <v>23</v>
      </c>
      <c r="Q249" s="3" t="inlineStr">
        <is>
          <t>1. MK-NW-F-029 assetAllocation
2. MK-CF-F-155 cash
3. MK-NW-F-027 accountClassBreakdown
4. MK-NW-F-011 assetClassOf
5. MK-XS-F-122 n
6. MK-ST-F-056 has
7. MK-NW-F-109 holdingClassOf
8. MK-CF-F-132 map
9. MK-NW-F-067 plural
10. MK-NW-F-120 classEvidenceOf
11. MK-NW-F-123 holdingNameEvidence
12. MK-NW-F-121 holdingTagClass
13. MK-NW-F-054 reclassifyAccounts
14. MK-NW-F-008 incomeBearingClassOf
15. MK-NW-F-009 maturityClass
16. MK-NW-F-053 correctClassOf
17. MK-NW-F-122 holdingTagFor
18. MK-ST-F-010 nameEvidence
19. MK-NW-F-068 prettyDay
20. MK-XS-F-147 call
21. MK-ST-F-027 accountId
22. MK-XS-F-064 currentIdToken
23. MK-XS-F-112 relayUrl</t>
        </is>
      </c>
      <c r="R249" s="3" t="inlineStr">
        <is>
          <t>1. MK-CF-F-155 cash → MK-NW-F-120 classEvidenceOf → MK-NW-F-011 assetClassOf → MK-NW-F-027 accountClassBreakdown → MK-NW-F-029 assetAllocation → MK-NW-F-021 investmentsTotal
2. MK-NW-F-008 incomeBearingClassOf → MK-NW-F-120 classEvidenceOf → MK-NW-F-011 assetClassOf → MK-NW-F-027 accountClassBreakdown → MK-NW-F-029 assetAllocation → MK-NW-F-021 investmentsTotal
3. MK-NW-F-009 maturityClass → MK-NW-F-120 classEvidenceOf → MK-NW-F-011 assetClassOf → MK-NW-F-027 accountClassBreakdown → MK-NW-F-029 assetAllocation → MK-NW-F-021 investmentsTotal
4. MK-XS-F-122 n → MK-CF-F-155 cash → MK-NW-F-027 accountClassBreakdown → MK-NW-F-029 assetAllocation → MK-NW-F-021 investmentsTotal
5. MK-ST-F-056 has → MK-NW-F-027 accountClassBreakdown → MK-NW-F-029 assetAllocation → MK-NW-F-021 investmentsTotal
6. MK-CF-F-155 cash → MK-NW-F-123 holdingNameEvidence → MK-NW-F-109 holdingClassOf → MK-NW-F-027 accountClassBreakdown → MK-NW-F-029 assetAllocation → MK-NW-F-021 investmentsTotal
7. MK-NW-F-008 incomeBearingClassOf → MK-NW-F-123 holdingNameEvidence → MK-NW-F-109 holdingClassOf → MK-NW-F-027 accountClassBreakdown → MK-NW-F-029 assetAllocation → MK-NW-F-021 investmentsTotal
8. MK-NW-F-121 holdingTagClass → MK-NW-F-109 holdingClassOf → MK-NW-F-027 accountClassBreakdown → MK-NW-F-029 assetAllocation → MK-NW-F-021 investmentsTotal
9. … and 5 more paths</t>
        </is>
      </c>
      <c r="S249" s="3" t="inlineStr">
        <is>
          <t>—</t>
        </is>
      </c>
      <c r="T249" s="3" t="inlineStr">
        <is>
          <t>TOTAL_INVESTMENTS</t>
        </is>
      </c>
      <c r="U249" s="3" t="inlineStr">
        <is>
          <t>ACTIVE</t>
        </is>
      </c>
      <c r="V249" s="3" t="inlineStr">
        <is>
          <t>2026-10-05</t>
        </is>
      </c>
      <c r="W249" s="3" t="n"/>
      <c r="X249" s="3" t="n"/>
      <c r="Y249" s="6" t="inlineStr">
        <is>
          <t>TESTED, NOT VERIFIED (C3)</t>
        </is>
      </c>
    </row>
    <row r="250" ht="60" customHeight="1">
      <c r="A250" s="3" t="inlineStr">
        <is>
          <t>MK-NW-F-022</t>
        </is>
      </c>
      <c r="B250" s="3" t="inlineStr">
        <is>
          <t>investableAssets</t>
        </is>
      </c>
      <c r="C250" s="3" t="inlineStr">
        <is>
          <t>src/domain/assets/index.ts</t>
        </is>
      </c>
      <c r="D250" s="3" t="n">
        <v>1242</v>
      </c>
      <c r="E250" s="3" t="inlineStr">
        <is>
          <t>2 · DISPLAYED</t>
        </is>
      </c>
      <c r="F250" s="3" t="inlineStr">
        <is>
          <t>Everything owned except real estate and personal property: cash, investments and retirement balances.</t>
        </is>
      </c>
      <c r="G250" s="11" t="inlineStr">
        <is>
          <t>sum where(accounts, (a) =&gt; !is real asset(a)).total</t>
        </is>
      </c>
      <c r="H250" s="3" t="inlineStr">
        <is>
          <t>sum where(accounts, (a) =&gt; !is real asset(a)).total.</t>
        </is>
      </c>
      <c r="I250" s="3" t="inlineStr">
        <is>
          <t>PARTLY READ — some of the code is still showing through; needs a hand pass</t>
        </is>
      </c>
      <c r="J250" s="3" t="inlineStr">
        <is>
          <t>accounts: AssetAccount[]</t>
        </is>
      </c>
      <c r="K250" s="3" t="inlineStr">
        <is>
          <t>number</t>
        </is>
      </c>
      <c r="L250" s="3" t="inlineStr">
        <is>
          <t>NOT FOUND — a screen calls it, but the words printed beside its answer could not be traced automatically. Needs reading.</t>
        </is>
      </c>
      <c r="M250" s="3" t="inlineStr">
        <is>
          <t>None found in this function — anything it assumes comes from the functions it depends on.</t>
        </is>
      </c>
      <c r="N250" s="3" t="inlineStr">
        <is>
          <t>Yes</t>
        </is>
      </c>
      <c r="O250" s="3" t="inlineStr">
        <is>
          <t>1. MK-NW-F-014 isRealAsset
2. MK-NW-F-066 sumWhere
3. MK-NW-F-015 totalAssets
4. MK-NW-F-023 wrapperWord</t>
        </is>
      </c>
      <c r="P250" s="3" t="n">
        <v>26</v>
      </c>
      <c r="Q250" s="3" t="inlineStr">
        <is>
          <t>1. MK-NW-F-014 isRealAsset
2. MK-NW-F-066 sumWhere
3. MK-NW-F-015 totalAssets
4. MK-NW-F-023 wrapperWord
5. MK-NW-F-011 assetClassOf
6. MK-NW-F-027 accountClassBreakdown
7. MK-NW-F-120 classEvidenceOf
8. MK-CF-F-155 cash
9. MK-ST-F-056 has
10. MK-NW-F-109 holdingClassOf
11. MK-CF-F-132 map
12. MK-NW-F-067 plural
13. MK-NW-F-008 incomeBearingClassOf
14. MK-NW-F-009 maturityClass
15. MK-XS-F-122 n
16. MK-NW-F-123 holdingNameEvidence
17. MK-NW-F-121 holdingTagClass
18. MK-NW-F-054 reclassifyAccounts
19. MK-ST-F-010 nameEvidence
20. MK-NW-F-068 prettyDay
21. MK-NW-F-053 correctClassOf
22. MK-NW-F-122 holdingTagFor
23. MK-XS-F-147 call
24. MK-ST-F-027 accountId
25. MK-XS-F-064 currentIdToken
26. MK-XS-F-112 relayUrl</t>
        </is>
      </c>
      <c r="R250" s="3" t="inlineStr">
        <is>
          <t>1. MK-XS-F-122 n → MK-CF-F-155 cash → MK-NW-F-120 classEvidenceOf → MK-NW-F-011 assetClassOf → MK-NW-F-014 isRealAsset → MK-NW-F-022 investableAssets
2. MK-CF-F-155 cash → MK-NW-F-008 incomeBearingClassOf → MK-NW-F-120 classEvidenceOf → MK-NW-F-011 assetClassOf → MK-NW-F-014 isRealAsset → MK-NW-F-022 investableAssets
3. MK-ST-F-010 nameEvidence → MK-NW-F-008 incomeBearingClassOf → MK-NW-F-120 classEvidenceOf → MK-NW-F-011 assetClassOf → MK-NW-F-014 isRealAsset → MK-NW-F-022 investableAssets
4. assetClassOf (already above — a loop) → MK-NW-F-009 maturityClass → MK-NW-F-120 classEvidenceOf → MK-NW-F-011 assetClassOf → MK-NW-F-014 isRealAsset → MK-NW-F-022 investableAssets
5. MK-NW-F-068 prettyDay → MK-NW-F-009 maturityClass → MK-NW-F-120 classEvidenceOf → MK-NW-F-011 assetClassOf → MK-NW-F-014 isRealAsset → MK-NW-F-022 investableAssets
6. MK-NW-F-066 sumWhere → MK-NW-F-022 investableAssets
7. MK-CF-F-155 cash → MK-NW-F-120 classEvidenceOf → MK-NW-F-011 assetClassOf → MK-NW-F-027 accountClassBreakdown → MK-NW-F-015 totalAssets → MK-NW-F-022 investableAssets
8. MK-NW-F-008 incomeBearingClassOf → MK-NW-F-120 classEvidenceOf → MK-NW-F-011 assetClassOf → MK-NW-F-027 accountClassBreakdown → MK-NW-F-015 totalAssets → MK-NW-F-022 investableAssets
9. … and 5 more paths</t>
        </is>
      </c>
      <c r="S250" s="3" t="inlineStr">
        <is>
          <t>—</t>
        </is>
      </c>
      <c r="T250" s="3" t="inlineStr">
        <is>
          <t>TOTAL_INVESTABLE</t>
        </is>
      </c>
      <c r="U250" s="3" t="inlineStr">
        <is>
          <t>ACTIVE</t>
        </is>
      </c>
      <c r="V250" s="3" t="inlineStr">
        <is>
          <t>2026-10-08</t>
        </is>
      </c>
      <c r="W250" s="3" t="n"/>
      <c r="X250" s="3" t="n"/>
      <c r="Y250" s="3" t="inlineStr">
        <is>
          <t>NOTHING OPEN</t>
        </is>
      </c>
    </row>
    <row r="251" ht="60" customHeight="1">
      <c r="A251" s="3" t="inlineStr">
        <is>
          <t>MK-NW-F-023</t>
        </is>
      </c>
      <c r="B251" s="3" t="inlineStr">
        <is>
          <t>wrapperWord</t>
        </is>
      </c>
      <c r="C251" s="3" t="inlineStr">
        <is>
          <t>src/domain/assets/index.ts</t>
        </is>
      </c>
      <c r="D251" s="3" t="n">
        <v>1293</v>
      </c>
      <c r="E251" s="3" t="inlineStr">
        <is>
          <t>1 · ACTION</t>
        </is>
      </c>
      <c r="F251" s="3" t="inlineStr">
        <is>
          <t>The plain word for the kind of account something sits in, such as 401(k) or IRA, or nothing when that kind has no such word.</t>
        </is>
      </c>
      <c r="G251" s="11" t="inlineStr">
        <is>
          <t>NOT READ YET — the body is not a shape this can render faithfully, so nothing is claimed rather than something being guessed. It needs reading by hand.</t>
        </is>
      </c>
      <c r="H251" s="3" t="inlineStr">
        <is>
          <t>NOT READ YET — the body is not a shape this can render faithfully, so nothing is claimed rather than something being guessed. It needs reading by hand.</t>
        </is>
      </c>
      <c r="I251" s="3" t="inlineStr">
        <is>
          <t>NOT READ — nothing is claimed rather than something guessed</t>
        </is>
      </c>
      <c r="J251" s="3" t="inlineStr">
        <is>
          <t>1. kind?: string
2. a?: { wrapper_confirmed?: boolean }</t>
        </is>
      </c>
      <c r="K251" s="3" t="inlineStr">
        <is>
          <t>string</t>
        </is>
      </c>
      <c r="L251" s="3" t="inlineStr">
        <is>
          <t>—</t>
        </is>
      </c>
      <c r="M251" s="3" t="inlineStr">
        <is>
          <t>None found in this function — anything it assumes comes from the functions it depends on.</t>
        </is>
      </c>
      <c r="N251" s="3" t="inlineStr">
        <is>
          <t>Yes</t>
        </is>
      </c>
      <c r="O251" s="3" t="inlineStr">
        <is>
          <t>—</t>
        </is>
      </c>
      <c r="P251" s="3" t="n">
        <v>0</v>
      </c>
      <c r="Q251" s="3" t="inlineStr">
        <is>
          <t>None — no dependent function stands behind it</t>
        </is>
      </c>
      <c r="R251" s="3" t="inlineStr">
        <is>
          <t>No dependent function — it reads its inputs and answers</t>
        </is>
      </c>
      <c r="S251" s="3" t="inlineStr">
        <is>
          <t>—</t>
        </is>
      </c>
      <c r="T251" s="3" t="inlineStr">
        <is>
          <t>—</t>
        </is>
      </c>
      <c r="U251" s="3" t="inlineStr">
        <is>
          <t>ACTIVE</t>
        </is>
      </c>
      <c r="V251" s="3" t="inlineStr">
        <is>
          <t>2026-10-08</t>
        </is>
      </c>
      <c r="W251" s="3" t="n"/>
      <c r="X251" s="3" t="n"/>
      <c r="Y251" s="3" t="inlineStr">
        <is>
          <t>NOTHING OPEN</t>
        </is>
      </c>
    </row>
    <row r="252" ht="60" customHeight="1">
      <c r="A252" s="3" t="inlineStr">
        <is>
          <t>MK-NW-F-024</t>
        </is>
      </c>
      <c r="B252" s="3" t="inlineStr">
        <is>
          <t>accountLastFour</t>
        </is>
      </c>
      <c r="C252" s="3" t="inlineStr">
        <is>
          <t>src/domain/assets/index.ts</t>
        </is>
      </c>
      <c r="D252" s="3" t="n">
        <v>1328</v>
      </c>
      <c r="E252" s="3" t="inlineStr">
        <is>
          <t>3 · DEPENDENT</t>
        </is>
      </c>
      <c r="F252" s="3" t="inlineStr">
        <is>
          <t>The last four digits of an account, or null when we genuinely don't have them.</t>
        </is>
      </c>
      <c r="G252" s="11" t="inlineStr">
        <is>
          <t>digits = string(raw ?? '').replace( ÷ \D ÷ g, '')
digits.slice(-4)   when digits.length ≥ 4
[LOOP — the answer is found inside a loop the extractor cannot render; the steps above are the ones before it. Read by hand.]</t>
        </is>
      </c>
      <c r="H252" s="3" t="inlineStr">
        <is>
          <t>Digits is string(raw ?? '').replace( divided by \D divided by g, ''). When digits.length is at least 4, it answers digits.slice(-4). The answer is no answer. The answer is found inside a loop that cannot be rendered here; read the code by hand.</t>
        </is>
      </c>
      <c r="I252" s="3" t="inlineStr">
        <is>
          <t>PARTLY READ — the body has a loop the extractor cannot render; the steps shown are the ones before it. Needs a hand pass (G23).</t>
        </is>
      </c>
      <c r="J252" s="3" t="inlineStr">
        <is>
          <t>a: { mask?: string; account_number?: string }</t>
        </is>
      </c>
      <c r="K252" s="3" t="inlineStr">
        <is>
          <t>string | null</t>
        </is>
      </c>
      <c r="L252" s="3" t="inlineStr">
        <is>
          <t>—</t>
        </is>
      </c>
      <c r="M252" s="3" t="inlineStr">
        <is>
          <t>None found in this function — anything it assumes comes from the functions it depends on.</t>
        </is>
      </c>
      <c r="N252" s="3" t="inlineStr">
        <is>
          <t>Yes</t>
        </is>
      </c>
      <c r="O252" s="3" t="inlineStr">
        <is>
          <t>—</t>
        </is>
      </c>
      <c r="P252" s="3" t="n">
        <v>0</v>
      </c>
      <c r="Q252" s="3" t="inlineStr">
        <is>
          <t>None — no dependent function stands behind it</t>
        </is>
      </c>
      <c r="R252" s="3" t="inlineStr">
        <is>
          <t>No dependent function — it reads its inputs and answers</t>
        </is>
      </c>
      <c r="S252" s="3" t="inlineStr">
        <is>
          <t>—</t>
        </is>
      </c>
      <c r="T252" s="3" t="inlineStr">
        <is>
          <t>—</t>
        </is>
      </c>
      <c r="U252" s="3" t="inlineStr">
        <is>
          <t>ACTIVE</t>
        </is>
      </c>
      <c r="V252" s="3" t="inlineStr">
        <is>
          <t>2026-09-08</t>
        </is>
      </c>
      <c r="W252" s="3" t="n"/>
      <c r="X252" s="3" t="n"/>
      <c r="Y252" s="3" t="inlineStr">
        <is>
          <t>NOTHING OPEN</t>
        </is>
      </c>
    </row>
    <row r="253" ht="60" customHeight="1">
      <c r="A253" s="3" t="inlineStr">
        <is>
          <t>MK-NW-F-025</t>
        </is>
      </c>
      <c r="B253" s="3" t="inlineStr">
        <is>
          <t>accountDisplayName</t>
        </is>
      </c>
      <c r="C253" s="3" t="inlineStr">
        <is>
          <t>src/domain/assets/index.ts</t>
        </is>
      </c>
      <c r="D253" s="3" t="n">
        <v>1384</v>
      </c>
      <c r="E253" s="3" t="inlineStr">
        <is>
          <t>3 · DEPENDENT</t>
        </is>
      </c>
      <c r="F253" s="3" t="inlineStr">
        <is>
          <t>The one name an account is shown by, built from its institution, the kind of account and its last four digits where they are known.</t>
        </is>
      </c>
      <c r="G253" s="11" t="inlineStr">
        <is>
          <t>inst raw = (institution ?? '').trim()
last4 = account last four(a)
kind word = wrapper word((a as any).kind, a as any)
treatment = tax treatment of(a as asset account)
tax advantaged = treatment = 'tax_deferred' (or treatment = 'tax_free' when missing or zero)
tax word = 'Roth'   if treatment = 'tax_free'
'401(k) ÷ IRA'   otherwise
`${inst raw} ${wrapper} -${last4}`   if last4
`${inst raw} ${wrapper}`   otherwise   when tax advantaged and wrapper
`${inst raw} -${last4}`   when last4
`${inst raw} ${wrapper}`   when wrapper
label = (label ?? '').trim()
pos = ((a as any).positions ?? []) as any[]
… the first steps only — the rest of the body needs reading by hand.</t>
        </is>
      </c>
      <c r="H253" s="3" t="inlineStr">
        <is>
          <t>Inst raw is (institution ?? '').trim(). Last4 is account last four(a). Kind word is wrapper word((a as any).kind, a as any). Treatment is tax treatment of(a as asset account). Tax advantaged is treatment = 'tax_deferred' (or treatment = 'tax_free' — when missing or zero). Tax word is 'Roth' — when treatment = 'tax_free'; '401(k) divided by IRA' — otherwise. When tax advantaged and wrapper, it answers `${inst raw} ${wrapper} -${last4}` — when last4; `${inst raw} ${wrapper}` — otherwise. When last4, it answers `${inst raw} -${last4}`. When wrapper, it answers `${inst raw} ${wrapper}`. Label is (label ?? '').trim(). Pos is ((a as any).positions ?? []) as any[]. Only the first steps are shown; the rest of the body needs reading by hand.</t>
        </is>
      </c>
      <c r="I253" s="3" t="inlineStr">
        <is>
          <t>PARTLY READ — some of the code is still showing through; needs a hand pass</t>
        </is>
      </c>
      <c r="J253" s="3" t="inlineStr">
        <is>
          <t>a: Pick&lt;AssetAccount, 'label' | 'institution' | 'mask'&gt; &amp; { positions?: unknown[]; kind?: string; tax_bucket?: TaxBucket; tax_treatment?: TaxTreatment }</t>
        </is>
      </c>
      <c r="K253" s="3" t="inlineStr">
        <is>
          <t>string</t>
        </is>
      </c>
      <c r="L253" s="3" t="inlineStr">
        <is>
          <t>—</t>
        </is>
      </c>
      <c r="M253" s="3" t="inlineStr">
        <is>
          <t>None found in this function — anything it assumes comes from the functions it depends on.</t>
        </is>
      </c>
      <c r="N253" s="3" t="inlineStr">
        <is>
          <t>Yes</t>
        </is>
      </c>
      <c r="O253" s="3" t="inlineStr">
        <is>
          <t>1. MK-NW-F-026 accountDisplayNames
2. MK-NW-F-024 accountLastFour
3. MK-ST-F-039 on
4. MK-NW-F-012 taxTreatmentOf
5. MK-NW-F-023 wrapperWord</t>
        </is>
      </c>
      <c r="P253" s="3" t="n">
        <v>20</v>
      </c>
      <c r="Q253" s="3" t="inlineStr">
        <is>
          <t>1. MK-NW-F-026 accountDisplayNames
2. MK-NW-F-024 accountLastFour
3. MK-ST-F-039 on
4. MK-NW-F-012 taxTreatmentOf
5. MK-NW-F-023 wrapperWord
6. MK-ST-F-056 has
7. MK-CF-F-132 map
8. MK-XS-F-122 n
9. MK-NW-F-007 assetKind
10. MK-NW-F-011 assetClassOf
11. MK-CF-F-155 cash
12. MK-NW-F-120 classEvidenceOf
13. MK-NW-F-008 incomeBearingClassOf
14. MK-NW-F-009 maturityClass
15. MK-ST-F-010 nameEvidence
16. MK-NW-F-068 prettyDay
17. MK-XS-F-147 call
18. MK-ST-F-027 accountId
19. MK-XS-F-064 currentIdToken
20. MK-XS-F-112 relayUrl</t>
        </is>
      </c>
      <c r="R253" s="3" t="inlineStr">
        <is>
          <t>1. accountDisplayName (already above — a loop) → MK-NW-F-026 accountDisplayNames → MK-NW-F-025 accountDisplayName
2. MK-ST-F-056 has → MK-NW-F-026 accountDisplayNames → MK-NW-F-025 accountDisplayName
3. MK-CF-F-132 map → MK-NW-F-026 accountDisplayNames → MK-NW-F-025 accountDisplayName
4. MK-XS-F-122 n → MK-NW-F-026 accountDisplayNames → MK-NW-F-025 accountDisplayName
5. MK-NW-F-024 accountLastFour → MK-NW-F-025 accountDisplayName
6. MK-ST-F-039 on → MK-NW-F-025 accountDisplayName
7. MK-CF-F-155 cash → MK-NW-F-120 classEvidenceOf → MK-NW-F-011 assetClassOf → MK-NW-F-007 assetKind → MK-NW-F-012 taxTreatmentOf → MK-NW-F-025 accountDisplayName
8. MK-NW-F-008 incomeBearingClassOf → MK-NW-F-120 classEvidenceOf → MK-NW-F-011 assetClassOf → MK-NW-F-007 assetKind → MK-NW-F-012 taxTreatmentOf → MK-NW-F-025 accountDisplayName
9. … and 3 more paths</t>
        </is>
      </c>
      <c r="S253" s="3" t="inlineStr">
        <is>
          <t>—</t>
        </is>
      </c>
      <c r="T253" s="3" t="inlineStr">
        <is>
          <t>—</t>
        </is>
      </c>
      <c r="U253" s="3" t="inlineStr">
        <is>
          <t>ACTIVE</t>
        </is>
      </c>
      <c r="V253" s="3" t="inlineStr">
        <is>
          <t>2026-10-10</t>
        </is>
      </c>
      <c r="W253" s="3" t="n"/>
      <c r="X253" s="3" t="n"/>
      <c r="Y253" s="3" t="inlineStr">
        <is>
          <t>NOTHING OPEN</t>
        </is>
      </c>
    </row>
    <row r="254" ht="60" customHeight="1">
      <c r="A254" s="3" t="inlineStr">
        <is>
          <t>MK-NW-F-026</t>
        </is>
      </c>
      <c r="B254" s="3" t="inlineStr">
        <is>
          <t>accountDisplayNames</t>
        </is>
      </c>
      <c r="C254" s="3" t="inlineStr">
        <is>
          <t>src/domain/assets/index.ts</t>
        </is>
      </c>
      <c r="D254" s="3" t="n">
        <v>1485</v>
      </c>
      <c r="E254" s="3" t="inlineStr">
        <is>
          <t>2 · DISPLAYED</t>
        </is>
      </c>
      <c r="F254" s="3" t="inlineStr">
        <is>
          <t>The name each account in a list is shown by, with no two alike.</t>
        </is>
      </c>
      <c r="G254" s="11" t="inlineStr">
        <is>
          <t>base = a lookup of for each of accounts: [asset id, account display name(each)]
counts = new map&lt;string, number&gt;()
seen = new map&lt;string, number&gt;()
out = new map&lt;string, string&gt;()
taken = a list with no repeats of [...base.values()] where counts.get(each) = 1
by id = (x: { asset id: unknown }, y: { asset id: unknown }) =&gt; (string(asset id) &lt; string(asset id) ? -1 : string(asset id) &gt; string(asset id) ? 1 : 0)
n = base.get(asset id)!
i = (seen.get(n) ?? 0) + 1
the answer = out</t>
        </is>
      </c>
      <c r="H254" s="3" t="inlineStr">
        <is>
          <t>Base is a lookup of for each of accounts: [asset id, account display name(each)]. Counts is new map&lt;string, number&gt;(). Seen is new map&lt;string, number&gt;(). Out is new map&lt;string, string&gt;(). Taken is a list with no repeats of [...base.values()] where counts.get(each) = 1. By id is (x: { asset id: unknown }, y: { asset id: unknown }) =&gt; (string(asset id) &lt; string(asset id) ? -1 : string(asset id) &gt; string(asset id) ? 1 : 0). N is base.get(asset id)!. I is (seen.get(n) ?? 0) plus 1. The answer is out.</t>
        </is>
      </c>
      <c r="I254" s="3" t="inlineStr">
        <is>
          <t>PARTLY READ — some of the code is still showing through; needs a hand pass</t>
        </is>
      </c>
      <c r="J254" s="3" t="inlineStr">
        <is>
          <t>accounts: (Pick&lt;AssetAccount, 'asset_id' | 'label' | 'institution' | 'mask'&gt; &amp; { positions?: unknown[] })[]</t>
        </is>
      </c>
      <c r="K254" s="3" t="inlineStr">
        <is>
          <t>Map&lt;string, string&gt;</t>
        </is>
      </c>
      <c r="L254" s="3" t="inlineStr">
        <is>
          <t>1. "Bonds &amp; alternatives — recorded on their own pages" — on the Performance screen
2. "Nest egg today" — on the Retirement cockpit screen, under "scRetired ?"
3. "WHAT COUNTS TOWARD RETIREMENT" — on a card used on more than one screen (PlanInputs), under "WHAT COUNTS TOWARD RETIREMENT"</t>
        </is>
      </c>
      <c r="M254" s="3" t="inlineStr">
        <is>
          <t>None found in this function — anything it assumes comes from the functions it depends on.</t>
        </is>
      </c>
      <c r="N254" s="3" t="inlineStr">
        <is>
          <t>Yes</t>
        </is>
      </c>
      <c r="O254" s="3" t="inlineStr">
        <is>
          <t>1. MK-NW-F-025 accountDisplayName
2. MK-ST-F-056 has
3. MK-CF-F-132 map
4. MK-XS-F-122 n</t>
        </is>
      </c>
      <c r="P254" s="3" t="n">
        <v>20</v>
      </c>
      <c r="Q254" s="3" t="inlineStr">
        <is>
          <t>1. MK-NW-F-025 accountDisplayName
2. MK-ST-F-056 has
3. MK-CF-F-132 map
4. MK-XS-F-122 n
5. MK-NW-F-024 accountLastFour
6. MK-ST-F-039 on
7. MK-NW-F-012 taxTreatmentOf
8. MK-NW-F-023 wrapperWord
9. MK-NW-F-007 assetKind
10. MK-NW-F-011 assetClassOf
11. MK-CF-F-155 cash
12. MK-NW-F-120 classEvidenceOf
13. MK-NW-F-008 incomeBearingClassOf
14. MK-NW-F-009 maturityClass
15. MK-ST-F-010 nameEvidence
16. MK-NW-F-068 prettyDay
17. MK-XS-F-147 call
18. MK-ST-F-027 accountId
19. MK-XS-F-064 currentIdToken
20. MK-XS-F-112 relayUrl</t>
        </is>
      </c>
      <c r="R254" s="3" t="inlineStr">
        <is>
          <t>1. accountDisplayNames (already above — a loop) → MK-NW-F-025 accountDisplayName → MK-NW-F-026 accountDisplayNames
2. MK-NW-F-024 accountLastFour → MK-NW-F-025 accountDisplayName → MK-NW-F-026 accountDisplayNames
3. MK-ST-F-039 on → MK-NW-F-025 accountDisplayName → MK-NW-F-026 accountDisplayNames
4. MK-NW-F-120 classEvidenceOf → MK-NW-F-011 assetClassOf → MK-NW-F-007 assetKind → MK-NW-F-012 taxTreatmentOf → MK-NW-F-025 accountDisplayName → MK-NW-F-026 accountDisplayNames
5. MK-XS-F-122 n → MK-CF-F-155 cash → MK-NW-F-007 assetKind → MK-NW-F-012 taxTreatmentOf → MK-NW-F-025 accountDisplayName → MK-NW-F-026 accountDisplayNames
6. MK-NW-F-023 wrapperWord → MK-NW-F-025 accountDisplayName → MK-NW-F-026 accountDisplayNames
7. MK-ST-F-056 has → MK-NW-F-026 accountDisplayNames
8. MK-CF-F-132 map → MK-NW-F-026 accountDisplayNames
9. … and 1 more paths</t>
        </is>
      </c>
      <c r="S254" s="3" t="inlineStr">
        <is>
          <t>—</t>
        </is>
      </c>
      <c r="T254" s="3" t="inlineStr">
        <is>
          <t>ACCOUNT_NAMES</t>
        </is>
      </c>
      <c r="U254" s="3" t="inlineStr">
        <is>
          <t>ACTIVE</t>
        </is>
      </c>
      <c r="V254" s="3" t="inlineStr">
        <is>
          <t>2026-10-05</t>
        </is>
      </c>
      <c r="W254" s="3" t="n"/>
      <c r="X254" s="3" t="n"/>
      <c r="Y254" s="3" t="inlineStr">
        <is>
          <t>NOTHING OPEN</t>
        </is>
      </c>
    </row>
    <row r="255" ht="60" customHeight="1">
      <c r="A255" s="3" t="inlineStr">
        <is>
          <t>MK-NW-F-027</t>
        </is>
      </c>
      <c r="B255" s="3" t="inlineStr">
        <is>
          <t>accountClassBreakdown</t>
        </is>
      </c>
      <c r="C255" s="3" t="inlineStr">
        <is>
          <t>src/domain/assets/index.ts</t>
        </is>
      </c>
      <c r="D255" s="3" t="n">
        <v>1750</v>
      </c>
      <c r="E255" s="3" t="inlineStr">
        <is>
          <t>2 · DISPLAYED</t>
        </is>
      </c>
      <c r="F255" s="3" t="inlineStr">
        <is>
          <t>How much of one account sits in each class, with the parts adding up exactly to the account's balance.</t>
        </is>
      </c>
      <c r="G255" s="11" t="inlineStr">
        <is>
          <t>out = cash = 0
bonds = 0
stocks etf = 0
alternatives = 0
real estate = 0
personal property = 0
mixed = 0
keeps its own cash = tax bucket ! = 'CASH' and tax bucket ! = 'PROPERTY' and (derive balance = true or cash balance ≠ nothing)
uninvested = cash balance (or 0 when missing)
held = (derive balance = true ? (positions ?? []) : []) as any[]
sh = (lots ?? []).reduce((t: number, l: any) =&gt; t + (shares or 0), 0)
paid = (lots ?? []).reduce((t: number, l: any) =&gt; t + (shares or 0) × (cost per share or 0), 0)
the answer:
cls = holding class of(p)
w = sh × last price   if last price ≠ nothing
value now   if value now ≠ nothing
paid   otherwise   otherwise
classes = a list with no repeats of for each of weights: cls
splits by holding = classes.size &gt; 1 (or classes.size = 1 and !classes.has(asset class of(a)) when missing or zero)
nothing   when !(keeps its own cash and uninvested &gt; 0) and !splits by holding
invested = (balance or 0) − out.cash
… the first steps only — the rest of the body needs reading by hand.</t>
        </is>
      </c>
      <c r="H255" s="3" t="inlineStr">
        <is>
          <t>Out is cash = 0; bonds = 0; stocks etf = 0; alternatives = 0; real estate = 0; personal property = 0; mixed = 0. Keeps its own cash is tax bucket ! = 'CASH' and tax bucket ! = 'PROPERTY' and (derive balance = true or cash balance is not no answer). Uninvested is cash balance (or 0 — when missing). Held is (derive balance = true ? (positions ?? []) : []) as any[]. Sh is (lots ?? []).reduce((t: number, l: any) =&gt; t plus (shares or 0), 0). Paid is (lots ?? []).reduce((t: number, l: any) =&gt; t plus (shares or 0) times (cost per share or 0), 0). The answer is cls = holding class of(p); w = sh times last price — when last price is not no answer; value now — when value now is not no answer; paid — otherwise — otherwise. Classes is a list with no repeats of for each of weights: cls. Splits by holding is classes.size &gt; 1 (or classes.size = 1 and !classes.has(asset class of(a)) — when missing or zero). When !(keeps its own cash and uninvested &gt; 0) and !splits by holding, it answers no answer. Invested is (balance or 0) minus out.cash. Only the first steps are shown; the rest of the body needs reading by hand.</t>
        </is>
      </c>
      <c r="I255" s="3" t="inlineStr">
        <is>
          <t>PARTLY READ — some of the code is still showing through; needs a hand pass</t>
        </is>
      </c>
      <c r="J255" s="3" t="inlineStr">
        <is>
          <t>a: AssetAccount</t>
        </is>
      </c>
      <c r="K255" s="3" t="inlineStr">
        <is>
          <t>Record&lt;AssetClass, number&gt; | null</t>
        </is>
      </c>
      <c r="L255" s="3" t="inlineStr">
        <is>
          <t>NOT FOUND — a screen calls it, but the words printed beside its answer could not be traced automatically. Needs reading.</t>
        </is>
      </c>
      <c r="M255" s="3" t="inlineStr">
        <is>
          <t>1. If cash balance is missing it uses 0.
2. If shares is missing it counts as zero, so nothing recorded and a real zero look the same.
3. If cost per share is missing it counts as zero, so nothing recorded and a real zero look the same.
4. If balance is missing it counts as zero, so nothing recorded and a real zero look the same.
5. If value is missing it counts as zero, so nothing recorded and a real zero look the same.</t>
        </is>
      </c>
      <c r="N255" s="3" t="inlineStr">
        <is>
          <t>Yes</t>
        </is>
      </c>
      <c r="O255" s="3" t="inlineStr">
        <is>
          <t>1. MK-NW-F-011 assetClassOf
2. MK-CF-F-155 cash
3. MK-ST-F-056 has
4. MK-NW-F-109 holdingClassOf
5. MK-CF-F-132 map
6. MK-NW-F-067 plural</t>
        </is>
      </c>
      <c r="P255" s="3" t="n">
        <v>21</v>
      </c>
      <c r="Q255" s="3" t="inlineStr">
        <is>
          <t>1. MK-NW-F-011 assetClassOf
2. MK-CF-F-155 cash
3. MK-ST-F-056 has
4. MK-NW-F-109 holdingClassOf
5. MK-CF-F-132 map
6. MK-NW-F-067 plural
7. MK-NW-F-120 classEvidenceOf
8. MK-XS-F-122 n
9. MK-NW-F-123 holdingNameEvidence
10. MK-NW-F-121 holdingTagClass
11. MK-NW-F-054 reclassifyAccounts
12. MK-NW-F-008 incomeBearingClassOf
13. MK-NW-F-009 maturityClass
14. MK-NW-F-053 correctClassOf
15. MK-NW-F-122 holdingTagFor
16. MK-ST-F-010 nameEvidence
17. MK-NW-F-068 prettyDay
18. MK-XS-F-147 call
19. MK-ST-F-027 accountId
20. MK-XS-F-064 currentIdToken
21. MK-XS-F-112 relayUrl</t>
        </is>
      </c>
      <c r="R255" s="3" t="inlineStr">
        <is>
          <t>1. MK-XS-F-122 n → MK-CF-F-155 cash → MK-NW-F-120 classEvidenceOf → MK-NW-F-011 assetClassOf → MK-NW-F-027 accountClassBreakdown
2. MK-XS-F-122 n → MK-CF-F-155 cash → MK-NW-F-008 incomeBearingClassOf → MK-NW-F-120 classEvidenceOf → MK-NW-F-011 assetClassOf → MK-NW-F-027 accountClassBreakdown
3. MK-XS-F-147 call → MK-ST-F-010 nameEvidence → MK-NW-F-008 incomeBearingClassOf → MK-NW-F-120 classEvidenceOf → MK-NW-F-011 assetClassOf → MK-NW-F-027 accountClassBreakdown
4. MK-ST-F-056 has → MK-ST-F-010 nameEvidence → MK-NW-F-008 incomeBearingClassOf → MK-NW-F-120 classEvidenceOf → MK-NW-F-011 assetClassOf → MK-NW-F-027 accountClassBreakdown
5. MK-CF-F-132 map → MK-ST-F-010 nameEvidence → MK-NW-F-008 incomeBearingClassOf → MK-NW-F-120 classEvidenceOf → MK-NW-F-011 assetClassOf → MK-NW-F-027 accountClassBreakdown
6. assetClassOf (already above — a loop) → MK-NW-F-009 maturityClass → MK-NW-F-120 classEvidenceOf → MK-NW-F-011 assetClassOf → MK-NW-F-027 accountClassBreakdown
7. MK-CF-F-132 map → MK-NW-F-068 prettyDay → MK-NW-F-009 maturityClass → MK-NW-F-120 classEvidenceOf → MK-NW-F-011 assetClassOf → MK-NW-F-027 accountClassBreakdown
8. MK-XS-F-122 n → MK-CF-F-155 cash → MK-NW-F-027 accountClassBreakdown
9. … and 5 more paths</t>
        </is>
      </c>
      <c r="S255" s="3" t="inlineStr">
        <is>
          <t>—</t>
        </is>
      </c>
      <c r="T255" s="3" t="inlineStr">
        <is>
          <t>ACCOUNT_SPLIT</t>
        </is>
      </c>
      <c r="U255" s="3" t="inlineStr">
        <is>
          <t>ACTIVE</t>
        </is>
      </c>
      <c r="V255" s="3" t="inlineStr">
        <is>
          <t>2026-10-07</t>
        </is>
      </c>
      <c r="W255" s="3" t="n"/>
      <c r="X255" s="3" t="n"/>
      <c r="Y255" s="3" t="inlineStr">
        <is>
          <t>NOTHING OPEN</t>
        </is>
      </c>
    </row>
    <row r="256" ht="60" customHeight="1">
      <c r="A256" s="3" t="inlineStr">
        <is>
          <t>MK-NW-F-028</t>
        </is>
      </c>
      <c r="B256" s="3" t="inlineStr">
        <is>
          <t>classPortionLabel</t>
        </is>
      </c>
      <c r="C256" s="3" t="inlineStr">
        <is>
          <t>src/domain/assets/index.ts</t>
        </is>
      </c>
      <c r="D256" s="3" t="n">
        <v>1890</v>
      </c>
      <c r="E256" s="3" t="inlineStr">
        <is>
          <t>2 · DISPLAYED</t>
        </is>
      </c>
      <c r="F256" s="3" t="inlineStr">
        <is>
          <t>The words under an account's name saying what it holds of one class — "3 CDs &amp; 1 Treasury in this account".</t>
        </is>
      </c>
      <c r="G256" s="11" t="inlineStr">
        <is>
          <t>pos = (positions ?? []) as any[]
in class = pos where holding class of(each) = cls
name of = (p: any) =&gt; `${ticker ?? ''} ${name ?? label ?? ''}`
joined = the first -1).join(', ')} &amp; ${parts[parts.length − 1]}` of (parts: string[]) =&gt; (parts.length ≤ 2 ? parts.join(' &amp; ') : `${parts
opts = count of ((a as any).option holdings ?? []) as any[]
cds = in class where CD_RE.test(name of(each))count of 
treas = in class where !CD_RE.test(name of(each)) and TREASURY_RE.test(name of(each))count of 
rest = in class.length − cds − treas
the answer:
`${joined(parts)} in this account`   if count of parts
'bonds &amp; cds in this account'   otherwise
parts = [opts ? plural(opts, 'option') : '', in class.length ? plural(in class.length, 'holding') : ''] where boolean</t>
        </is>
      </c>
      <c r="H256" s="3" t="inlineStr">
        <is>
          <t>Pos is (positions ?? []) as any[]. In class is pos where holding class of(each) = cls. Name of is (p: any) =&gt; `${ticker ?? ''} ${name ?? label ?? ''}`. Joined: the first -1).join(', ')} &amp; ${parts[parts.length minus 1]}` of (parts: string[]) =&gt; (parts.length is at most 2 ? parts.join(' &amp; ') : `${parts. Opts: how many ((a as any).option holdings ?? []) as any[] there are. Cds is in class where CD_RE.test(name of(each))count of. Treas is in class where !CD_RE.test(name of(each)) and TREASURY_RE.test(name of(each))count of. Rest is in class.length minus cds minus treas. The answer is `${joined(parts)} in this account` — when how many parts there are; 'bonds &amp; cds in this account' — otherwise. Parts is [opts ? plural(opts, 'option') : '', in class.length ? plural(in class.length, 'holding') : ''] where boolean.</t>
        </is>
      </c>
      <c r="I256" s="3" t="inlineStr">
        <is>
          <t>PARTLY READ — some of the code is still showing through; needs a hand pass</t>
        </is>
      </c>
      <c r="J256" s="3" t="inlineStr">
        <is>
          <t>1. a: AssetAccount
2. cls: AssetClass</t>
        </is>
      </c>
      <c r="K256" s="3" t="inlineStr">
        <is>
          <t>string</t>
        </is>
      </c>
      <c r="L256" s="3" t="inlineStr">
        <is>
          <t>"Matures (optional)" — on the Net worth screen</t>
        </is>
      </c>
      <c r="M256" s="3" t="inlineStr">
        <is>
          <t>None found in this function — anything it assumes comes from the functions it depends on.</t>
        </is>
      </c>
      <c r="N256" s="3" t="inlineStr">
        <is>
          <t>Yes</t>
        </is>
      </c>
      <c r="O256" s="3" t="inlineStr">
        <is>
          <t>1. MK-NW-F-109 holdingClassOf
2. MK-CF-F-204 line
3. MK-XS-F-120 nameOf
4. MK-NW-F-067 plural</t>
        </is>
      </c>
      <c r="P256" s="3" t="n">
        <v>119</v>
      </c>
      <c r="Q256" s="3" t="inlineStr">
        <is>
          <t>1. MK-NW-F-109 holdingClassOf
2. MK-CF-F-204 line
3. MK-XS-F-120 nameOf
4. MK-NW-F-067 plural
5. MK-NW-F-123 holdingNameEvidence
6. MK-NW-F-121 holdingTagClass
7. MK-NW-F-054 reclassifyAccounts
8. MK-CF-F-203 MONTH
9. MK-XS-F-180 declareFigures
10. MK-XS-F-122 n
11. MK-CF-F-155 cash
12. MK-NW-F-008 incomeBearingClassOf
13. MK-NW-F-053 correctClassOf
14. MK-NW-F-122 holdingTagFor
15. MK-CF-F-132 map
16. MK-CF-O-010 theMonth
17. MK-ST-F-010 nameEvidence
18. MK-NW-F-120 classEvidenceOf
19. MK-CF-O-002 expenses
20. MK-CF-O-003 thisMonth
21. MK-XS-F-147 call
22. MK-ST-F-056 has
23. MK-NW-F-009 maturityClass
24. MK-CF-F-151 actualSpending
25. MK-CF-F-150 debtPaymentsCountedAsExpenses
26. MK-CF-F-153 radar
27. MK-CF-F-149 recurringDebtPayments
28. MK-CF-F-005 actualMonthFlow
29. MK-CF-F-156 plannedMonthFlow
30. MK-ST-F-027 accountId
31. MK-XS-F-064 currentIdToken
32. MK-XS-F-112 relayUrl
33. MK-NW-F-011 assetClassOf
34. MK-NW-F-068 prettyDay
35. MK-CF-F-148 inMonth
36. MK-ST-F-052 toNum
37. MK-CF-F-191 ym
38. MK-CF-F-022 paymentShape
39. MK-CF-F-152 isRadarItem
40. MK-CF-F-023 requiredPayment
41. MK-NW-F-078 ONE
42. MK-CF-F-157 debtPaymentsByDebt
43. MK-CF-F-192 inflowLabel
44. MK-XS-F-027 takeHomeMonthly
45. MK-CF-F-021 defaultPaymentType
46. MK-NW-F-077 ALL
47. MK-NW-F-059 currentYield
48. MK-ST-F-049 formatMoney
49. MK-ST-F-053 money
50. MK-NW-O-001 theBonds
51. MK-CF-F-193 inflowSourceWord
52. MK-CF-F-092 incomeMonthlyGrid
53. MK-CF-F-011 savingsByMonth
54. MK-NW-F-112 yearlyInterest
55. MK-ST-F-048 currencySymbol
56. MK-ST-F-039 on
57. MK-NW-F-057 annualCoupon
58. MK-NW-F-056 bondInfo
59. MK-NW-F-064 bondRateSensitivity
60. MK-NW-F-061 bondSummary
61. MK-NW-F-055 isBond
62. MK-NW-F-072 rowOf
63. MK-CF-F-069 benefitActiveMonths
64. MK-CF-F-072 currentRetirementIncomeMonthly
65. MK-CF-F-173 earnerWages
66. MK-CF-F-065 equityVestWeights
67. MK-CF-F-071 extraIncome
68. MK-CF-F-206 householdK401ByMonth
69. MK-CF-F-087 monthlyTaxRates
70. MK-CF-F-073 otherIncomeMonth
71. MK-CF-F-181 rateInForce
72. MK-CF-F-068 rentalNetAnnual
73. MK-CF-F-066 rsuAnnual
74. MK-CF-F-060 salaryGrossByMonth
75. MK-CF-F-077 scholarshipByCalendarMonth
76. MK-CF-F-088 taxableByCalendarMonth
77. MK-CF-F-177 wageGrossByMonth
78. MK-PL-F-012 waterfall
79. MK-CF-F-008 spendByMonth
80. MK-ST-F-047 activeCurrency
81. MK-NW-F-060 approxYTM
82. MK-NW-F-069 priceAtYield
83. MK-NW-F-131 pricedLikeBond
84. MK-NW-F-125 isPastMaturity
85. MK-ST-F-065 isoLocalDate
86. MK-NW-F-126 yearlyInterestNow
87. MK-NW-F-070 accruedInterestCaveat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MK-NW-F-119 estimatedAccrued
111. MK-NW-F-124 maturityParts
112. MK-CF-F-100 taxableIncomeFor
113. MK-CF-F-074 tipsAnnual
114. MK-ST-F-085 rentFigure
115. MK-CF-F-165 salaryMonths
116. MK-CF-F-003 categoryMonthly
117. MK-CF-F-099 deductionFor
118. MK-CF-F-081 salaryActiveMonths
119. MK-CF-F-187 seniorDeductionFor</t>
        </is>
      </c>
      <c r="R256" s="3" t="inlineStr">
        <is>
          <t>1. MK-XS-F-122 n → MK-CF-F-155 cash → MK-NW-F-123 holdingNameEvidence → MK-NW-F-109 holdingClassOf → MK-NW-F-028 classPortionLabel
2. MK-XS-F-122 n → MK-CF-F-155 cash → MK-NW-F-008 incomeBearingClassOf → MK-NW-F-123 holdingNameEvidence → MK-NW-F-109 holdingClassOf → MK-NW-F-028 classPortionLabel
3. MK-XS-F-147 call → MK-ST-F-010 nameEvidence → MK-NW-F-008 incomeBearingClassOf → MK-NW-F-123 holdingNameEvidence → MK-NW-F-109 holdingClassOf → MK-NW-F-028 classPortionLabel
4. MK-ST-F-056 has → MK-ST-F-010 nameEvidence → MK-NW-F-008 incomeBearingClassOf → MK-NW-F-123 holdingNameEvidence → MK-NW-F-109 holdingClassOf → MK-NW-F-028 classPortionLabel
5. MK-CF-F-132 map → MK-ST-F-010 nameEvidence → MK-NW-F-008 incomeBearingClassOf → MK-NW-F-123 holdingNameEvidence → MK-NW-F-109 holdingClassOf → MK-NW-F-028 classPortionLabel
6. MK-NW-F-121 holdingTagClass → MK-NW-F-109 holdingClassOf → MK-NW-F-028 classPortionLabel
7. MK-CF-F-155 cash → MK-NW-F-120 classEvidenceOf → MK-NW-F-053 correctClassOf → MK-NW-F-054 reclassifyAccounts → MK-NW-F-109 holdingClassOf → MK-NW-F-028 classPortionLabel
8. MK-NW-F-008 incomeBearingClassOf → MK-NW-F-120 classEvidenceOf → MK-NW-F-053 correctClassOf → MK-NW-F-054 reclassifyAccounts → MK-NW-F-109 holdingClassOf → MK-NW-F-028 classPortionLabel
9. … and 5 more paths</t>
        </is>
      </c>
      <c r="S256" s="3" t="inlineStr">
        <is>
          <t>—</t>
        </is>
      </c>
      <c r="T256" s="3" t="inlineStr">
        <is>
          <t>SLICE_WORDING</t>
        </is>
      </c>
      <c r="U256" s="3" t="inlineStr">
        <is>
          <t>ACTIVE</t>
        </is>
      </c>
      <c r="V256" s="3" t="inlineStr">
        <is>
          <t>2026-10-05</t>
        </is>
      </c>
      <c r="W256" s="3" t="n"/>
      <c r="X256" s="3" t="n"/>
      <c r="Y256" s="3" t="inlineStr">
        <is>
          <t>NOTHING OPEN</t>
        </is>
      </c>
    </row>
    <row r="257" ht="60" customHeight="1">
      <c r="A257" s="3" t="inlineStr">
        <is>
          <t>MK-NW-F-029</t>
        </is>
      </c>
      <c r="B257" s="3" t="inlineStr">
        <is>
          <t>assetAllocation</t>
        </is>
      </c>
      <c r="C257" s="3" t="inlineStr">
        <is>
          <t>src/domain/assets/index.ts</t>
        </is>
      </c>
      <c r="D257" s="3" t="n">
        <v>1964</v>
      </c>
      <c r="E257" s="3" t="inlineStr">
        <is>
          <t>2 · DISPLAYED</t>
        </is>
      </c>
      <c r="F257" s="3" t="inlineStr">
        <is>
          <t>How much money sits in each of the seven classes?</t>
        </is>
      </c>
      <c r="G257" s="11" t="inlineStr">
        <is>
          <t>out = cash = 0
bonds = 0
stocks etf = 0
alternatives = 0
real estate = 0
personal property = 0
mixed = 0
b = account class breakdown(a)
the answer = out</t>
        </is>
      </c>
      <c r="H257" s="3" t="inlineStr">
        <is>
          <t>Out is cash = 0; bonds = 0; stocks etf = 0; alternatives = 0; real estate = 0; personal property = 0; mixed = 0. B is account class breakdown(a). The answer is out.</t>
        </is>
      </c>
      <c r="I257" s="3" t="inlineStr">
        <is>
          <t>READ FROM THE CODE — rendered from the expressions the function runs</t>
        </is>
      </c>
      <c r="J257" s="3" t="inlineStr">
        <is>
          <t>accounts: AssetAccount[]</t>
        </is>
      </c>
      <c r="K257" s="3" t="inlineStr">
        <is>
          <t>Record&lt;AssetClass, number&gt;</t>
        </is>
      </c>
      <c r="L257" s="3" t="inlineStr">
        <is>
          <t>NOT FOUND — a screen calls it, but the words printed beside its answer could not be traced automatically. Needs reading.</t>
        </is>
      </c>
      <c r="M257" s="3" t="inlineStr">
        <is>
          <t>· If balance is missing it counts as zero, so nothing recorded and a real zero look the same.</t>
        </is>
      </c>
      <c r="N257" s="3" t="inlineStr">
        <is>
          <t>Yes</t>
        </is>
      </c>
      <c r="O257" s="3" t="inlineStr">
        <is>
          <t>1. MK-NW-F-027 accountClassBreakdown
2. MK-NW-F-011 assetClassOf</t>
        </is>
      </c>
      <c r="P257" s="3" t="n">
        <v>22</v>
      </c>
      <c r="Q257" s="3" t="inlineStr">
        <is>
          <t>1. MK-NW-F-027 accountClassBreakdown
2. MK-NW-F-011 assetClassOf
3. MK-CF-F-155 cash
4. MK-ST-F-056 has
5. MK-NW-F-109 holdingClassOf
6. MK-CF-F-132 map
7. MK-NW-F-067 plural
8. MK-NW-F-120 classEvidenceOf
9. MK-XS-F-122 n
10. MK-NW-F-123 holdingNameEvidence
11. MK-NW-F-121 holdingTagClass
12. MK-NW-F-054 reclassifyAccounts
13. MK-NW-F-008 incomeBearingClassOf
14. MK-NW-F-009 maturityClass
15. MK-NW-F-053 correctClassOf
16. MK-NW-F-122 holdingTagFor
17. MK-ST-F-010 nameEvidence
18. MK-NW-F-068 prettyDay
19. MK-XS-F-147 call
20. MK-ST-F-027 accountId
21. MK-XS-F-064 currentIdToken
22. MK-XS-F-112 relayUrl</t>
        </is>
      </c>
      <c r="R257" s="3" t="inlineStr">
        <is>
          <t>1. MK-XS-F-122 n → MK-CF-F-155 cash → MK-NW-F-120 classEvidenceOf → MK-NW-F-011 assetClassOf → MK-NW-F-027 accountClassBreakdown → MK-NW-F-029 assetAllocation
2. MK-CF-F-155 cash → MK-NW-F-008 incomeBearingClassOf → MK-NW-F-120 classEvidenceOf → MK-NW-F-011 assetClassOf → MK-NW-F-027 accountClassBreakdown → MK-NW-F-029 assetAllocation
3. MK-ST-F-010 nameEvidence → MK-NW-F-008 incomeBearingClassOf → MK-NW-F-120 classEvidenceOf → MK-NW-F-011 assetClassOf → MK-NW-F-027 accountClassBreakdown → MK-NW-F-029 assetAllocation
4. assetClassOf (already above — a loop) → MK-NW-F-009 maturityClass → MK-NW-F-120 classEvidenceOf → MK-NW-F-011 assetClassOf → MK-NW-F-027 accountClassBreakdown → MK-NW-F-029 assetAllocation
5. MK-NW-F-068 prettyDay → MK-NW-F-009 maturityClass → MK-NW-F-120 classEvidenceOf → MK-NW-F-011 assetClassOf → MK-NW-F-027 accountClassBreakdown → MK-NW-F-029 assetAllocation
6. MK-XS-F-122 n → MK-CF-F-155 cash → MK-NW-F-027 accountClassBreakdown → MK-NW-F-029 assetAllocation
7. MK-ST-F-056 has → MK-NW-F-027 accountClassBreakdown → MK-NW-F-029 assetAllocation
8. MK-XS-F-122 n → MK-CF-F-155 cash → MK-NW-F-123 holdingNameEvidence → MK-NW-F-109 holdingClassOf → MK-NW-F-027 accountClassBreakdown → MK-NW-F-029 assetAllocation
9. … and 5 more paths</t>
        </is>
      </c>
      <c r="S257" s="3" t="inlineStr">
        <is>
          <t>—</t>
        </is>
      </c>
      <c r="T257" s="3" t="inlineStr">
        <is>
          <t>ALLOCATION_BY_CLASS</t>
        </is>
      </c>
      <c r="U257" s="3" t="inlineStr">
        <is>
          <t>ACTIVE</t>
        </is>
      </c>
      <c r="V257" s="3" t="inlineStr">
        <is>
          <t>2026-08-27</t>
        </is>
      </c>
      <c r="W257" s="3" t="n"/>
      <c r="X257" s="3" t="n"/>
      <c r="Y257" s="3" t="inlineStr">
        <is>
          <t>NOTHING OPEN</t>
        </is>
      </c>
    </row>
    <row r="258" ht="60" customHeight="1">
      <c r="A258" s="3" t="inlineStr">
        <is>
          <t>MK-NW-F-030</t>
        </is>
      </c>
      <c r="B258" s="3" t="inlineStr">
        <is>
          <t>earmarkDefault</t>
        </is>
      </c>
      <c r="C258" s="3" t="inlineStr">
        <is>
          <t>src/domain/assets/index.ts</t>
        </is>
      </c>
      <c r="D258" s="3" t="n">
        <v>2025</v>
      </c>
      <c r="E258" s="3" t="inlineStr">
        <is>
          <t>2 · DISPLAYED</t>
        </is>
      </c>
      <c r="F258" s="3" t="inlineStr">
        <is>
          <t>Default % of an account that's earmarked for retirement (rest funds other goals).</t>
        </is>
      </c>
      <c r="G258" s="11" t="inlineStr">
        <is>
          <t>0   when kind = 'college_529'
0   if string(asset id) = primary home id
100   otherwise   when primary home id ! = undefined
0   if re use = 'primary'
100   otherwise   when re use
0
0   when asset id = primary car id</t>
        </is>
      </c>
      <c r="H258" s="3" t="inlineStr">
        <is>
          <t>When kind = 'college_529', it answers 0. When primary home id ! = undefined, it answers 0 — when string(asset id) = primary home id; 100 — otherwise. When re use, it answers 0 — when re use = 'primary'; 100 — otherwise. 0. When asset id = primary car id, it answers 0.</t>
        </is>
      </c>
      <c r="I258" s="3" t="inlineStr">
        <is>
          <t>PARTLY READ — some of the code is still showing through; needs a hand pass</t>
        </is>
      </c>
      <c r="J258" s="3" t="inlineStr">
        <is>
          <t>1. a: AssetAccount
2. primaryCarId?: string
3. primaryHomeId?: string | null</t>
        </is>
      </c>
      <c r="K258" s="3" t="inlineStr">
        <is>
          <t>number</t>
        </is>
      </c>
      <c r="L258"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8" s="3" t="inlineStr">
        <is>
          <t>None found in this function — anything it assumes comes from the functions it depends on.</t>
        </is>
      </c>
      <c r="N258" s="3" t="inlineStr">
        <is>
          <t>Yes</t>
        </is>
      </c>
      <c r="O258" s="3" t="inlineStr">
        <is>
          <t>MK-NW-F-011 assetClassOf</t>
        </is>
      </c>
      <c r="P258" s="3" t="n">
        <v>14</v>
      </c>
      <c r="Q258" s="3" t="inlineStr">
        <is>
          <t>1. MK-NW-F-011 assetClassOf
2. MK-NW-F-120 classEvidenceOf
3. MK-CF-F-155 cash
4. MK-NW-F-008 incomeBearingClassOf
5. MK-NW-F-009 maturityClass
6. MK-XS-F-122 n
7. MK-ST-F-010 nameEvidence
8. MK-NW-F-068 prettyDay
9. MK-XS-F-147 call
10. MK-ST-F-056 has
11. MK-CF-F-132 map
12. MK-ST-F-027 accountId
13. MK-XS-F-064 currentIdToken
14. MK-XS-F-112 relayUrl</t>
        </is>
      </c>
      <c r="R258" s="3" t="inlineStr">
        <is>
          <t>1. MK-XS-F-122 n → MK-CF-F-155 cash → MK-NW-F-120 classEvidenceOf → MK-NW-F-011 assetClassOf → MK-NW-F-030 earmarkDefault
2. MK-XS-F-122 n → MK-CF-F-155 cash → MK-NW-F-008 incomeBearingClassOf → MK-NW-F-120 classEvidenceOf → MK-NW-F-011 assetClassOf → MK-NW-F-030 earmarkDefault
3. MK-XS-F-147 call → MK-ST-F-010 nameEvidence → MK-NW-F-008 incomeBearingClassOf → MK-NW-F-120 classEvidenceOf → MK-NW-F-011 assetClassOf → MK-NW-F-030 earmarkDefault
4. MK-ST-F-056 has → MK-ST-F-010 nameEvidence → MK-NW-F-008 incomeBearingClassOf → MK-NW-F-120 classEvidenceOf → MK-NW-F-011 assetClassOf → MK-NW-F-030 earmarkDefault
5. MK-CF-F-132 map → MK-ST-F-010 nameEvidence → MK-NW-F-008 incomeBearingClassOf → MK-NW-F-120 classEvidenceOf → MK-NW-F-011 assetClassOf → MK-NW-F-030 earmarkDefault
6. assetClassOf (already above — a loop) → MK-NW-F-009 maturityClass → MK-NW-F-120 classEvidenceOf → MK-NW-F-011 assetClassOf → MK-NW-F-030 earmarkDefault
7. MK-CF-F-132 map → MK-NW-F-068 prettyDay → MK-NW-F-009 maturityClass → MK-NW-F-120 classEvidenceOf → MK-NW-F-011 assetClassOf → MK-NW-F-030 earmarkDefault</t>
        </is>
      </c>
      <c r="S258" s="3" t="inlineStr">
        <is>
          <t>—</t>
        </is>
      </c>
      <c r="T258" s="3" t="inlineStr">
        <is>
          <t>RETIREMENT_SHARE_DEFAULT</t>
        </is>
      </c>
      <c r="U258" s="3" t="inlineStr">
        <is>
          <t>ACTIVE</t>
        </is>
      </c>
      <c r="V258" s="3" t="inlineStr">
        <is>
          <t>2026-10-07</t>
        </is>
      </c>
      <c r="W258" s="3" t="n"/>
      <c r="X258" s="3" t="n"/>
      <c r="Y258" s="3" t="inlineStr">
        <is>
          <t>NOTHING OPEN</t>
        </is>
      </c>
    </row>
    <row r="259" ht="60" customHeight="1">
      <c r="A259" s="3" t="inlineStr">
        <is>
          <t>MK-NW-F-031</t>
        </is>
      </c>
      <c r="B259" s="3" t="inlineStr">
        <is>
          <t>primaryCarIdOf</t>
        </is>
      </c>
      <c r="C259" s="3" t="inlineStr">
        <is>
          <t>src/domain/assets/index.ts</t>
        </is>
      </c>
      <c r="D259" s="3" t="n">
        <v>2080</v>
      </c>
      <c r="E259" s="3" t="inlineStr">
        <is>
          <t>2 · DISPLAYED</t>
        </is>
      </c>
      <c r="F259" s="3" t="inlineStr">
        <is>
          <t>The vehicle treated as "the car you drive" — the most valuable one, so a second car stays a real asset.</t>
        </is>
      </c>
      <c r="G259" s="11" t="inlineStr">
        <is>
          <t>cars = accounts (or none when missing) where kind = 'vehicle'
undefined   when count of cars is missing
valued = cars where value entered(each)
pick = valued   if count of valued
cars   otherwise
the answer = [...pick].sort((x, y) =&gt; (balance or 0) − (balance or 0) or (string(asset id) &lt; string(asset id) ? -1 : string(asset id) &gt; string(asset id) ? 1 : 0))[0].asset id</t>
        </is>
      </c>
      <c r="H259" s="3" t="inlineStr">
        <is>
          <t>Cars is accounts (or none — when missing) where kind = 'vehicle'. When how many cars is missing there are, it answers undefined. Valued is cars where value entered(each). Pick is valued — when how many valued there are; cars — otherwise. The answer is [...pick].sort((x, y) =&gt; (balance or 0) minus (balance or 0) or (string(asset id) &lt; string(asset id) ? -1 : string(asset id) &gt; string(asset id) ? 1 : 0))[0].asset id.</t>
        </is>
      </c>
      <c r="I259" s="3" t="inlineStr">
        <is>
          <t>PARTLY READ — some of the code is still showing through; needs a hand pass</t>
        </is>
      </c>
      <c r="J259" s="3" t="inlineStr">
        <is>
          <t>accounts: AssetAccount[]</t>
        </is>
      </c>
      <c r="K259" s="3" t="inlineStr">
        <is>
          <t>string | undefined</t>
        </is>
      </c>
      <c r="L259" s="3" t="inlineStr">
        <is>
          <t>"What counts toward retirement?" — on the Retirement cockpit screen</t>
        </is>
      </c>
      <c r="M259" s="3" t="inlineStr">
        <is>
          <t>· If balance is missing it counts as zero, so nothing recorded and a real zero look the same.</t>
        </is>
      </c>
      <c r="N259" s="3" t="inlineStr">
        <is>
          <t>Yes</t>
        </is>
      </c>
      <c r="O259" s="3" t="inlineStr">
        <is>
          <t>1. MK-NW-F-134 carValueNotEnteredNotes
2. MK-NW-F-133 valueEntered</t>
        </is>
      </c>
      <c r="P259" s="3" t="n">
        <v>42</v>
      </c>
      <c r="Q259" s="3" t="inlineStr">
        <is>
          <t>1. MK-NW-F-134 carValueNotEnteredNotes
2. MK-NW-F-133 valueEntered
3. MK-CF-F-132 map
4. MK-ST-F-053 money
5. MK-NW-F-033 retirementEarmarkedValue
6. MK-ST-F-049 formatMoney
7. MK-XS-F-122 n
8. MK-NW-F-032 earmarkedAmount
9. MK-NW-F-110 primaryHomeIdOf
10. MK-ST-F-048 currencySymbol
11. MK-ST-F-039 on
12. MK-NW-F-030 earmarkDefault
13. MK-NW-F-117 propertyUseMap
14. MK-ST-F-047 activeCurrency
15. MK-NW-F-011 assetClassOf
16. MK-ST-F-056 has
17. MK-NW-F-116 rentedIdsOf
18. MK-NW-F-120 classEvidenceOf
19. MK-NW-F-115 liveRent
20. MK-CF-F-155 cash
21. MK-NW-F-008 incomeBearingClassOf
22. MK-NW-F-009 maturityClass
23. MK-CF-O-002 expenses
24. MK-NW-F-114 rentAmount
25. MK-ST-F-010 nameEvidence
26. MK-NW-F-068 prettyDay
27. MK-CF-F-151 actualSpending
28. MK-CF-F-150 debtPaymentsCountedAsExpenses
29. MK-CF-F-153 radar
30. MK-CF-F-149 recurringDebtPayments
31. MK-ST-F-085 rentFigure
32. MK-XS-F-147 call
33. MK-CF-F-148 inMonth
34. MK-ST-F-052 toNum
35. MK-CF-F-191 ym
36. MK-CF-F-022 paymentShape
37. MK-CF-F-152 isRadarItem
38. MK-CF-F-023 requiredPayment
39. MK-ST-F-027 accountId
40. MK-XS-F-064 currentIdToken
41. MK-XS-F-112 relayUrl
42. MK-CF-F-021 defaultPaymentType</t>
        </is>
      </c>
      <c r="R259" s="3" t="inlineStr">
        <is>
          <t>1. MK-CF-F-132 map → MK-NW-F-134 carValueNotEnteredNotes → MK-NW-F-031 primaryCarIdOf
2. MK-ST-F-047 activeCurrency → MK-ST-F-048 currencySymbol → MK-ST-F-049 formatMoney → MK-ST-F-053 money → MK-NW-F-134 carValueNotEnteredNotes → MK-NW-F-031 primaryCarIdOf
3. MK-XS-F-122 n → MK-ST-F-049 formatMoney → MK-ST-F-053 money → MK-NW-F-134 carValueNotEnteredNotes → MK-NW-F-031 primaryCarIdOf
4. MK-ST-F-039 on → MK-ST-F-049 formatMoney → MK-ST-F-053 money → MK-NW-F-134 carValueNotEnteredNotes → MK-NW-F-031 primaryCarIdOf
5. MK-XS-F-122 n → MK-ST-F-053 money → MK-NW-F-134 carValueNotEnteredNotes → MK-NW-F-031 primaryCarIdOf
6. primaryCarIdOf (already above — a loop) → MK-NW-F-134 carValueNotEnteredNotes → MK-NW-F-031 primaryCarIdOf
7. MK-NW-F-011 assetClassOf → MK-NW-F-030 earmarkDefault → MK-NW-F-032 earmarkedAmount → MK-NW-F-033 retirementEarmarkedValue → MK-NW-F-134 carValueNotEnteredNotes → MK-NW-F-031 primaryCarIdOf
8. primaryCarIdOf (already above — a loop) → MK-NW-F-033 retirementEarmarkedValue → MK-NW-F-134 carValueNotEnteredNotes → MK-NW-F-031 primaryCarIdOf
9. … and 5 more paths</t>
        </is>
      </c>
      <c r="S259" s="3" t="inlineStr">
        <is>
          <t>—</t>
        </is>
      </c>
      <c r="T259" s="3" t="inlineStr">
        <is>
          <t>PRIMARY_CAR</t>
        </is>
      </c>
      <c r="U259" s="3" t="inlineStr">
        <is>
          <t>ACTIVE</t>
        </is>
      </c>
      <c r="V259" s="3" t="inlineStr">
        <is>
          <t>2026-10-10</t>
        </is>
      </c>
      <c r="W259" s="3" t="n"/>
      <c r="X259" s="3" t="n"/>
      <c r="Y259" s="3" t="inlineStr">
        <is>
          <t>NOTHING OPEN</t>
        </is>
      </c>
    </row>
    <row r="260" ht="60" customHeight="1">
      <c r="A260" s="3" t="inlineStr">
        <is>
          <t>MK-NW-F-032</t>
        </is>
      </c>
      <c r="B260" s="3" t="inlineStr">
        <is>
          <t>earmarkedAmount</t>
        </is>
      </c>
      <c r="C260" s="3" t="inlineStr">
        <is>
          <t>src/domain/assets/index.ts</t>
        </is>
      </c>
      <c r="D260" s="3" t="n">
        <v>2253</v>
      </c>
      <c r="E260" s="3" t="inlineStr">
        <is>
          <t>2 · DISPLAYED</t>
        </is>
      </c>
      <c r="F260" s="3" t="inlineStr">
        <is>
          <t>The retirement-earmarked $ for one account (uses the saved % or the smart default).</t>
        </is>
      </c>
      <c r="G260" s="11" t="inlineStr">
        <is>
          <t>pct = earmark default(a, primary car id, primary home id)   if retirement pct = nothing
retirement pct   otherwise
the answer = (balance or 0) × max(0, min(100, pct)) ÷ 100</t>
        </is>
      </c>
      <c r="H260" s="3" t="inlineStr">
        <is>
          <t>Pct is earmark default(a, primary car id, primary home id) — when retirement pct is missing; retirement pct — otherwise. The answer is (balance or 0) times the smaller of 100 and pct, never below zero divided by 100.</t>
        </is>
      </c>
      <c r="I260" s="3" t="inlineStr">
        <is>
          <t>READ FROM THE CODE — rendered from the expressions the function runs</t>
        </is>
      </c>
      <c r="J260" s="3" t="inlineStr">
        <is>
          <t>1. a: AssetAccount
2. primaryCarId?: string
3. primaryHomeId?: string | null</t>
        </is>
      </c>
      <c r="K260" s="3" t="inlineStr">
        <is>
          <t>number</t>
        </is>
      </c>
      <c r="L260" s="3" t="inlineStr">
        <is>
          <t>"WHAT COUNTS TOWARD RETIREMENT" — on a card used on more than one screen (PlanInputs), under "WHAT COUNTS TOWARD RETIREMENT"</t>
        </is>
      </c>
      <c r="M260" s="3" t="inlineStr">
        <is>
          <t>1. If balance is missing it counts as zero, so nothing recorded and a real zero look the same.
2. Caps percent at 100.</t>
        </is>
      </c>
      <c r="N260" s="3" t="inlineStr">
        <is>
          <t>Yes</t>
        </is>
      </c>
      <c r="O260" s="3" t="inlineStr">
        <is>
          <t>MK-NW-F-030 earmarkDefault</t>
        </is>
      </c>
      <c r="P260" s="3" t="n">
        <v>15</v>
      </c>
      <c r="Q260" s="3" t="inlineStr">
        <is>
          <t>1. MK-NW-F-030 earmarkDefault
2. MK-NW-F-011 assetClassOf
3. MK-NW-F-120 classEvidenceOf
4. MK-CF-F-155 cash
5. MK-NW-F-008 incomeBearingClassOf
6. MK-NW-F-009 maturityClass
7. MK-XS-F-122 n
8. MK-ST-F-010 nameEvidence
9. MK-NW-F-068 prettyDay
10. MK-XS-F-147 call
11. MK-ST-F-056 has
12. MK-CF-F-132 map
13. MK-ST-F-027 accountId
14. MK-XS-F-064 currentIdToken
15. MK-XS-F-112 relayUrl</t>
        </is>
      </c>
      <c r="R260" s="3" t="inlineStr">
        <is>
          <t>1. MK-XS-F-122 n → MK-CF-F-155 cash → MK-NW-F-120 classEvidenceOf → MK-NW-F-011 assetClassOf → MK-NW-F-030 earmarkDefault → MK-NW-F-032 earmarkedAmount
2. MK-CF-F-155 cash → MK-NW-F-008 incomeBearingClassOf → MK-NW-F-120 classEvidenceOf → MK-NW-F-011 assetClassOf → MK-NW-F-030 earmarkDefault → MK-NW-F-032 earmarkedAmount
3. MK-ST-F-010 nameEvidence → MK-NW-F-008 incomeBearingClassOf → MK-NW-F-120 classEvidenceOf → MK-NW-F-011 assetClassOf → MK-NW-F-030 earmarkDefault → MK-NW-F-032 earmarkedAmount
4. assetClassOf (already above — a loop) → MK-NW-F-009 maturityClass → MK-NW-F-120 classEvidenceOf → MK-NW-F-011 assetClassOf → MK-NW-F-030 earmarkDefault → MK-NW-F-032 earmarkedAmount
5. MK-NW-F-068 prettyDay → MK-NW-F-009 maturityClass → MK-NW-F-120 classEvidenceOf → MK-NW-F-011 assetClassOf → MK-NW-F-030 earmarkDefault → MK-NW-F-032 earmarkedAmount</t>
        </is>
      </c>
      <c r="S260" s="3" t="inlineStr">
        <is>
          <t>—</t>
        </is>
      </c>
      <c r="T260" s="3" t="inlineStr">
        <is>
          <t>RETIREMENT_SHARE_AMOUNT</t>
        </is>
      </c>
      <c r="U260" s="3" t="inlineStr">
        <is>
          <t>ACTIVE</t>
        </is>
      </c>
      <c r="V260" s="3" t="inlineStr">
        <is>
          <t>2026-10-07</t>
        </is>
      </c>
      <c r="W260" s="3" t="n"/>
      <c r="X260" s="3" t="n"/>
      <c r="Y260" s="3" t="inlineStr">
        <is>
          <t>NOTHING OPEN</t>
        </is>
      </c>
    </row>
    <row r="261" ht="60" customHeight="1">
      <c r="A261" s="3" t="inlineStr">
        <is>
          <t>MK-NW-F-033</t>
        </is>
      </c>
      <c r="B261" s="3" t="inlineStr">
        <is>
          <t>retirementEarmarkedValue</t>
        </is>
      </c>
      <c r="C261" s="3" t="inlineStr">
        <is>
          <t>src/domain/assets/index.ts</t>
        </is>
      </c>
      <c r="D261" s="3" t="n">
        <v>2288</v>
      </c>
      <c r="E261" s="3" t="inlineStr">
        <is>
          <t>2 · DISPLAYED</t>
        </is>
      </c>
      <c r="F261" s="3" t="inlineStr">
        <is>
          <t>Total nest egg = sum of each account's retirement-earmarked portion.</t>
        </is>
      </c>
      <c r="G261" s="11" t="inlineStr">
        <is>
          <t>car = primary car id of(accounts), home = primary home id of(accounts)
the answer = Σ over accounts (or none when missing) of (earmarked amount(each, car, home))</t>
        </is>
      </c>
      <c r="H261" s="3" t="inlineStr">
        <is>
          <t>Car is primary car id of(accounts), home = primary home id of(accounts). The answer: the earmarked amount(each, car, home) added up across accounts (or none — when missing).</t>
        </is>
      </c>
      <c r="I261" s="3" t="inlineStr">
        <is>
          <t>READ FROM THE CODE — rendered from the expressions the function runs</t>
        </is>
      </c>
      <c r="J261" s="3" t="inlineStr">
        <is>
          <t>accounts: AssetAccount[]</t>
        </is>
      </c>
      <c r="K261" s="3" t="inlineStr">
        <is>
          <t>number</t>
        </is>
      </c>
      <c r="L261"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61" s="3" t="inlineStr">
        <is>
          <t>None found in this function — anything it assumes comes from the functions it depends on.</t>
        </is>
      </c>
      <c r="N261" s="3" t="inlineStr">
        <is>
          <t>Yes</t>
        </is>
      </c>
      <c r="O261" s="3" t="inlineStr">
        <is>
          <t>1. MK-NW-F-032 earmarkedAmount
2. MK-NW-F-031 primaryCarIdOf
3. MK-NW-F-110 primaryHomeIdOf</t>
        </is>
      </c>
      <c r="P261" s="3" t="n">
        <v>42</v>
      </c>
      <c r="Q261" s="3" t="inlineStr">
        <is>
          <t>1. MK-NW-F-032 earmarkedAmount
2. MK-NW-F-031 primaryCarIdOf
3. MK-NW-F-110 primaryHomeIdOf
4. MK-NW-F-030 earmarkDefault
5. MK-NW-F-134 carValueNotEnteredNotes
6. MK-NW-F-133 valueEntered
7. MK-NW-F-117 propertyUseMap
8. MK-NW-F-011 assetClassOf
9. MK-CF-F-132 map
10. MK-ST-F-053 money
11. MK-ST-F-056 has
12. MK-NW-F-116 rentedIdsOf
13. MK-NW-F-120 classEvidenceOf
14. MK-ST-F-049 formatMoney
15. MK-XS-F-122 n
16. MK-NW-F-115 liveRent
17. MK-CF-F-155 cash
18. MK-NW-F-008 incomeBearingClassOf
19. MK-NW-F-009 maturityClass
20. MK-ST-F-048 currencySymbol
21. MK-ST-F-039 on
22. MK-CF-O-002 expenses
23. MK-NW-F-114 rentAmount
24. MK-ST-F-010 nameEvidence
25. MK-NW-F-068 prettyDay
26. MK-ST-F-047 activeCurrency
27. MK-CF-F-151 actualSpending
28. MK-CF-F-150 debtPaymentsCountedAsExpenses
29. MK-CF-F-153 radar
30. MK-CF-F-149 recurringDebtPayments
31. MK-ST-F-085 rentFigure
32. MK-XS-F-147 call
33. MK-CF-F-148 inMonth
34. MK-ST-F-052 toNum
35. MK-CF-F-191 ym
36. MK-CF-F-022 paymentShape
37. MK-CF-F-152 isRadarItem
38. MK-CF-F-023 requiredPayment
39. MK-ST-F-027 accountId
40. MK-XS-F-064 currentIdToken
41. MK-XS-F-112 relayUrl
42. MK-CF-F-021 defaultPaymentType</t>
        </is>
      </c>
      <c r="R261" s="3" t="inlineStr">
        <is>
          <t>1. MK-CF-F-155 cash → MK-NW-F-120 classEvidenceOf → MK-NW-F-011 assetClassOf → MK-NW-F-030 earmarkDefault → MK-NW-F-032 earmarkedAmount → MK-NW-F-033 retirementEarmarkedValue
2. MK-NW-F-008 incomeBearingClassOf → MK-NW-F-120 classEvidenceOf → MK-NW-F-011 assetClassOf → MK-NW-F-030 earmarkDefault → MK-NW-F-032 earmarkedAmount → MK-NW-F-033 retirementEarmarkedValue
3. MK-NW-F-009 maturityClass → MK-NW-F-120 classEvidenceOf → MK-NW-F-011 assetClassOf → MK-NW-F-030 earmarkDefault → MK-NW-F-032 earmarkedAmount → MK-NW-F-033 retirementEarmarkedValue
4. MK-CF-F-132 map → MK-NW-F-134 carValueNotEnteredNotes → MK-NW-F-031 primaryCarIdOf → MK-NW-F-033 retirementEarmarkedValue
5. MK-ST-F-048 currencySymbol → MK-ST-F-049 formatMoney → MK-ST-F-053 money → MK-NW-F-134 carValueNotEnteredNotes → MK-NW-F-031 primaryCarIdOf → MK-NW-F-033 retirementEarmarkedValue
6. MK-XS-F-122 n → MK-ST-F-049 formatMoney → MK-ST-F-053 money → MK-NW-F-134 carValueNotEnteredNotes → MK-NW-F-031 primaryCarIdOf → MK-NW-F-033 retirementEarmarkedValue
7. MK-ST-F-039 on → MK-ST-F-049 formatMoney → MK-ST-F-053 money → MK-NW-F-134 carValueNotEnteredNotes → MK-NW-F-031 primaryCarIdOf → MK-NW-F-033 retirementEarmarkedValue
8. MK-XS-F-122 n → MK-ST-F-053 money → MK-NW-F-134 carValueNotEnteredNotes → MK-NW-F-031 primaryCarIdOf → MK-NW-F-033 retirementEarmarkedValue
9. … and 5 more paths</t>
        </is>
      </c>
      <c r="S261" s="3" t="inlineStr">
        <is>
          <t>—</t>
        </is>
      </c>
      <c r="T261" s="3" t="inlineStr">
        <is>
          <t>NEST_EGG</t>
        </is>
      </c>
      <c r="U261" s="3" t="inlineStr">
        <is>
          <t>ACTIVE</t>
        </is>
      </c>
      <c r="V261" s="3" t="inlineStr">
        <is>
          <t>2026-10-07</t>
        </is>
      </c>
      <c r="W261" s="3" t="n"/>
      <c r="X261" s="3" t="n"/>
      <c r="Y261" s="3" t="inlineStr">
        <is>
          <t>NOTHING OPEN</t>
        </is>
      </c>
    </row>
    <row r="262" ht="60" customHeight="1">
      <c r="A262" s="3" t="inlineStr">
        <is>
          <t>MK-NW-F-034</t>
        </is>
      </c>
      <c r="B262" s="3" t="inlineStr">
        <is>
          <t>benchmarkReturn</t>
        </is>
      </c>
      <c r="C262" s="3" t="inlineStr">
        <is>
          <t>src/domain/assets/index.ts</t>
        </is>
      </c>
      <c r="D262" s="3" t="n">
        <v>2324</v>
      </c>
      <c r="E262" s="3" t="inlineStr">
        <is>
          <t>2 · DISPLAYED</t>
        </is>
      </c>
      <c r="F262" s="3" t="inlineStr">
        <is>
          <t>Benchmark expected annual return for an asset kind — user override if set, else the ASSET_KINDS default.</t>
        </is>
      </c>
      <c r="G262" s="11" t="inlineStr">
        <is>
          <t>overrides[kind]   when kind and overrides and overrides[kind] ≠ nothing
asset kind(kind).ret (or 0.06 when missing)</t>
        </is>
      </c>
      <c r="H262" s="3" t="inlineStr">
        <is>
          <t>When kind and overrides and overrides[kind] is not no answer, it answers overrides[kind]. asset kind(kind).ret (or 0.06 — when missing).</t>
        </is>
      </c>
      <c r="I262" s="3" t="inlineStr">
        <is>
          <t>PARTLY READ — some of the code is still showing through; needs a hand pass</t>
        </is>
      </c>
      <c r="J262" s="3" t="inlineStr">
        <is>
          <t>1. kind: string | undefined
2. overrides?: Record&lt;string, number&gt;</t>
        </is>
      </c>
      <c r="K262" s="3" t="inlineStr">
        <is>
          <t>number</t>
        </is>
      </c>
      <c r="L262" s="3" t="inlineStr">
        <is>
          <t>1. "Type" — on the Other investments screen
2. "Typical yearly return for this type" — on the account portfolio screen, under "IF INTEREST RATES MOVE"</t>
        </is>
      </c>
      <c r="M262" s="3" t="inlineStr">
        <is>
          <t>· If return is missing it uses 6%.</t>
        </is>
      </c>
      <c r="N262" s="3" t="inlineStr">
        <is>
          <t>Yes</t>
        </is>
      </c>
      <c r="O262" s="3" t="inlineStr">
        <is>
          <t>MK-NW-F-007 assetKind</t>
        </is>
      </c>
      <c r="P262" s="3" t="n">
        <v>15</v>
      </c>
      <c r="Q262" s="3" t="inlineStr">
        <is>
          <t>1. MK-NW-F-007 assetKind
2. MK-NW-F-011 assetClassOf
3. MK-CF-F-155 cash
4. MK-NW-F-120 classEvidenceOf
5. MK-XS-F-122 n
6. MK-NW-F-008 incomeBearingClassOf
7. MK-NW-F-009 maturityClass
8. MK-ST-F-010 nameEvidence
9. MK-NW-F-068 prettyDay
10. MK-XS-F-147 call
11. MK-ST-F-056 has
12. MK-CF-F-132 map
13. MK-ST-F-027 accountId
14. MK-XS-F-064 currentIdToken
15. MK-XS-F-112 relayUrl</t>
        </is>
      </c>
      <c r="R262" s="3" t="inlineStr">
        <is>
          <t>1. MK-XS-F-122 n → MK-CF-F-155 cash → MK-NW-F-120 classEvidenceOf → MK-NW-F-011 assetClassOf → MK-NW-F-007 assetKind → MK-NW-F-034 benchmarkReturn
2. MK-CF-F-155 cash → MK-NW-F-008 incomeBearingClassOf → MK-NW-F-120 classEvidenceOf → MK-NW-F-011 assetClassOf → MK-NW-F-007 assetKind → MK-NW-F-034 benchmarkReturn
3. MK-ST-F-010 nameEvidence → MK-NW-F-008 incomeBearingClassOf → MK-NW-F-120 classEvidenceOf → MK-NW-F-011 assetClassOf → MK-NW-F-007 assetKind → MK-NW-F-034 benchmarkReturn
4. assetClassOf (already above — a loop) → MK-NW-F-009 maturityClass → MK-NW-F-120 classEvidenceOf → MK-NW-F-011 assetClassOf → MK-NW-F-007 assetKind → MK-NW-F-034 benchmarkReturn
5. MK-NW-F-068 prettyDay → MK-NW-F-009 maturityClass → MK-NW-F-120 classEvidenceOf → MK-NW-F-011 assetClassOf → MK-NW-F-007 assetKind → MK-NW-F-034 benchmarkReturn
6. MK-XS-F-122 n → MK-CF-F-155 cash → MK-NW-F-007 assetKind → MK-NW-F-034 benchmarkReturn</t>
        </is>
      </c>
      <c r="S262" s="3" t="inlineStr">
        <is>
          <t>—</t>
        </is>
      </c>
      <c r="T262" s="3" t="inlineStr">
        <is>
          <t>EXPECTED_RETURN_BY_KIND</t>
        </is>
      </c>
      <c r="U262" s="3" t="inlineStr">
        <is>
          <t>ACTIVE</t>
        </is>
      </c>
      <c r="V262" s="3" t="inlineStr">
        <is>
          <t>2026-08-27</t>
        </is>
      </c>
      <c r="W262" s="3" t="n"/>
      <c r="X262" s="3" t="n"/>
      <c r="Y262" s="3" t="inlineStr">
        <is>
          <t>NOTHING OPEN</t>
        </is>
      </c>
    </row>
    <row r="263" ht="60" customHeight="1">
      <c r="A263" s="3" t="inlineStr">
        <is>
          <t>MK-NW-F-035</t>
        </is>
      </c>
      <c r="B263" s="3" t="inlineStr">
        <is>
          <t>blendedVolatility</t>
        </is>
      </c>
      <c r="C263" s="3" t="inlineStr">
        <is>
          <t>src/domain/assets/index.ts</t>
        </is>
      </c>
      <c r="D263" s="3" t="n">
        <v>2399</v>
      </c>
      <c r="E263" s="3" t="inlineStr">
        <is>
          <t>3 · DEPENDENT</t>
        </is>
      </c>
      <c r="F263" s="3" t="inlineStr">
        <is>
          <t>The volatility of THIS portfolio — each account's own class volatility, weighted the way the money actually is (the same weighting `blendedReturn` uses, so the pair always describes one portfolio).</t>
        </is>
      </c>
      <c r="G263" s="11" t="inlineStr">
        <is>
          <t>car = primary car id of(accounts), home = primary home id of(accounts)
items = accounts (or none when missing)
total = Σ over items of (earmarked amount(each, car, home))
nothing   when total ≤ 0
v = overrides[kind]   if kind and overrides.[kind] ≠ nothing
KIND_VOLATILITY[kind]   if kind
undefined   otherwise   otherwise
the answer = t + (v ?? 0.12) × earmarked amount(a, car, home)</t>
        </is>
      </c>
      <c r="H263" s="3" t="inlineStr">
        <is>
          <t>Car is primary car id of(accounts), home = primary home id of(accounts). Items is accounts (or none — when missing). Total: the earmarked amount(each, car, home) added up across items. When total is at most 0, it answers no answer. V is overrides[kind] — when kind and overrides.[kind] is not no answer; KIND_VOLATILITY[kind] — when kind; undefined — otherwise — otherwise. The answer is t plus (v ?? 0.12) times earmarked amount(a, car, home).</t>
        </is>
      </c>
      <c r="I263" s="3" t="inlineStr">
        <is>
          <t>PARTLY READ — some of the code is still showing through; needs a hand pass</t>
        </is>
      </c>
      <c r="J263" s="3" t="inlineStr">
        <is>
          <t>1. accounts: AssetAccount[]
2. overrides?: Record&lt;string, number&gt;</t>
        </is>
      </c>
      <c r="K263" s="3" t="inlineStr">
        <is>
          <t>number | null</t>
        </is>
      </c>
      <c r="L263" s="3" t="inlineStr">
        <is>
          <t>—</t>
        </is>
      </c>
      <c r="M263" s="3" t="inlineStr">
        <is>
          <t>· If v is missing it uses 12%.</t>
        </is>
      </c>
      <c r="N263" s="3" t="inlineStr">
        <is>
          <t>Yes</t>
        </is>
      </c>
      <c r="O263" s="3" t="inlineStr">
        <is>
          <t>1. MK-CF-F-155 cash
2. MK-NW-F-032 earmarkedAmount
3. MK-NW-F-031 primaryCarIdOf
4. MK-NW-F-110 primaryHomeIdOf</t>
        </is>
      </c>
      <c r="P263" s="3" t="n">
        <v>43</v>
      </c>
      <c r="Q263" s="3" t="inlineStr">
        <is>
          <t>1. MK-CF-F-155 cash
2. MK-NW-F-032 earmarkedAmount
3. MK-NW-F-031 primaryCarIdOf
4. MK-NW-F-110 primaryHomeIdOf
5. MK-XS-F-122 n
6. MK-NW-F-030 earmarkDefault
7. MK-NW-F-134 carValueNotEnteredNotes
8. MK-NW-F-133 valueEntered
9. MK-NW-F-117 propertyUseMap
10. MK-NW-F-011 assetClassOf
11. MK-CF-F-132 map
12. MK-ST-F-053 money
13. MK-NW-F-033 retirementEarmarkedValue
14. MK-ST-F-056 has
15. MK-NW-F-116 rentedIdsOf
16. MK-NW-F-120 classEvidenceOf
17. MK-ST-F-049 formatMoney
18. MK-NW-F-115 liveRent
19. MK-NW-F-008 incomeBearingClassOf
20. MK-NW-F-009 maturityClass
21. MK-ST-F-048 currencySymbol
22. MK-ST-F-039 on
23. MK-CF-O-002 expenses
24. MK-NW-F-114 rentAmount
25. MK-ST-F-010 nameEvidence
26. MK-NW-F-068 prettyDay
27. MK-ST-F-047 activeCurrency
28. MK-CF-F-151 actualSpending
29. MK-CF-F-150 debtPaymentsCountedAsExpenses
30. MK-CF-F-153 radar
31. MK-CF-F-149 recurringDebtPayments
32. MK-ST-F-085 rentFigure
33. MK-XS-F-147 call
34. MK-CF-F-148 inMonth
35. MK-ST-F-052 toNum
36. MK-CF-F-191 ym
37. MK-CF-F-022 paymentShape
38. MK-CF-F-152 isRadarItem
39. MK-CF-F-023 requiredPayment
40. MK-ST-F-027 accountId
41. MK-XS-F-064 currentIdToken
42. MK-XS-F-112 relayUrl
43. MK-CF-F-021 defaultPaymentType</t>
        </is>
      </c>
      <c r="R263" s="3" t="inlineStr">
        <is>
          <t>1. MK-XS-F-122 n → MK-CF-F-155 cash → MK-NW-F-035 blendedVolatility
2. MK-CF-F-155 cash → MK-NW-F-120 classEvidenceOf → MK-NW-F-011 assetClassOf → MK-NW-F-030 earmarkDefault → MK-NW-F-032 earmarkedAmount → MK-NW-F-035 blendedVolatility
3. MK-NW-F-008 incomeBearingClassOf → MK-NW-F-120 classEvidenceOf → MK-NW-F-011 assetClassOf → MK-NW-F-030 earmarkDefault → MK-NW-F-032 earmarkedAmount → MK-NW-F-035 blendedVolatility
4. MK-NW-F-009 maturityClass → MK-NW-F-120 classEvidenceOf → MK-NW-F-011 assetClassOf → MK-NW-F-030 earmarkDefault → MK-NW-F-032 earmarkedAmount → MK-NW-F-035 blendedVolatility
5. MK-CF-F-132 map → MK-NW-F-134 carValueNotEnteredNotes → MK-NW-F-031 primaryCarIdOf → MK-NW-F-035 blendedVolatility
6. MK-ST-F-048 currencySymbol → MK-ST-F-049 formatMoney → MK-ST-F-053 money → MK-NW-F-134 carValueNotEnteredNotes → MK-NW-F-031 primaryCarIdOf → MK-NW-F-035 blendedVolatility
7. MK-XS-F-122 n → MK-ST-F-049 formatMoney → MK-ST-F-053 money → MK-NW-F-134 carValueNotEnteredNotes → MK-NW-F-031 primaryCarIdOf → MK-NW-F-035 blendedVolatility
8. MK-ST-F-039 on → MK-ST-F-049 formatMoney → MK-ST-F-053 money → MK-NW-F-134 carValueNotEnteredNotes → MK-NW-F-031 primaryCarIdOf → MK-NW-F-035 blendedVolatility
9. … and 5 more paths</t>
        </is>
      </c>
      <c r="S263" s="3" t="inlineStr">
        <is>
          <t>—</t>
        </is>
      </c>
      <c r="T263" s="3" t="inlineStr">
        <is>
          <t>EXPECTED_SWING_BLENDED</t>
        </is>
      </c>
      <c r="U263" s="3" t="inlineStr">
        <is>
          <t>ACTIVE</t>
        </is>
      </c>
      <c r="V263" s="3" t="inlineStr">
        <is>
          <t>2026-10-07</t>
        </is>
      </c>
      <c r="W263" s="3" t="n"/>
      <c r="X263" s="3" t="n"/>
      <c r="Y263" s="6" t="inlineStr">
        <is>
          <t>TESTED, NOT VERIFIED (G24)</t>
        </is>
      </c>
    </row>
    <row r="264" ht="60" customHeight="1">
      <c r="A264" s="3" t="inlineStr">
        <is>
          <t>MK-NW-F-036</t>
        </is>
      </c>
      <c r="B264" s="3" t="inlineStr">
        <is>
          <t>benchmarkInfo</t>
        </is>
      </c>
      <c r="C264" s="3" t="inlineStr">
        <is>
          <t>src/domain/assets/index.ts</t>
        </is>
      </c>
      <c r="D264" s="3" t="n">
        <v>2463</v>
      </c>
      <c r="E264" s="3" t="inlineStr">
        <is>
          <t>2 · DISPLAYED</t>
        </is>
      </c>
      <c r="F264" s="3" t="inlineStr">
        <is>
          <t>Benchmark return + its source/period for an asset kind.</t>
        </is>
      </c>
      <c r="G264" s="11"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edited (or !!meta.estimate when missing or zero)</t>
        </is>
      </c>
      <c r="H264"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edited (or !!meta.estimate — when missing or zero).</t>
        </is>
      </c>
      <c r="I264" s="3" t="inlineStr">
        <is>
          <t>PARTLY READ — some of the code is still showing through; needs a hand pass</t>
        </is>
      </c>
      <c r="J264" s="3" t="inlineStr">
        <is>
          <t>1. kind: string | undefined
2. overrides?: Record&lt;string, number&gt;</t>
        </is>
      </c>
      <c r="K264" s="3" t="inlineStr">
        <is>
          <t>NOT DECLARED — the code does not say what it gives back</t>
        </is>
      </c>
      <c r="L264" s="3" t="inlineStr">
        <is>
          <t>NOT FOUND — a screen calls it, but the words printed beside its answer could not be traced automatically. Needs reading.</t>
        </is>
      </c>
      <c r="M264" s="3" t="inlineStr">
        <is>
          <t>None found in this function — anything it assumes comes from the functions it depends on.</t>
        </is>
      </c>
      <c r="N264" s="3" t="inlineStr">
        <is>
          <t>Yes</t>
        </is>
      </c>
      <c r="O264" s="3" t="inlineStr">
        <is>
          <t>MK-NW-F-034 benchmarkReturn</t>
        </is>
      </c>
      <c r="P264" s="3" t="n">
        <v>16</v>
      </c>
      <c r="Q264" s="3" t="inlineStr">
        <is>
          <t>1. MK-NW-F-034 benchmarkReturn
2. MK-NW-F-007 assetKind
3. MK-NW-F-011 assetClassOf
4. MK-CF-F-155 cash
5. MK-NW-F-120 classEvidenceOf
6. MK-XS-F-122 n
7. MK-NW-F-008 incomeBearingClassOf
8. MK-NW-F-009 maturityClass
9. MK-ST-F-010 nameEvidence
10. MK-NW-F-068 prettyDay
11. MK-XS-F-147 call
12. MK-ST-F-056 has
13. MK-CF-F-132 map
14. MK-ST-F-027 accountId
15. MK-XS-F-064 currentIdToken
16. MK-XS-F-112 relayUrl</t>
        </is>
      </c>
      <c r="R264" s="3" t="inlineStr">
        <is>
          <t>1. MK-CF-F-155 cash → MK-NW-F-120 classEvidenceOf → MK-NW-F-011 assetClassOf → MK-NW-F-007 assetKind → MK-NW-F-034 benchmarkReturn → MK-NW-F-036 benchmarkInfo
2. MK-NW-F-008 incomeBearingClassOf → MK-NW-F-120 classEvidenceOf → MK-NW-F-011 assetClassOf → MK-NW-F-007 assetKind → MK-NW-F-034 benchmarkReturn → MK-NW-F-036 benchmarkInfo
3. MK-NW-F-009 maturityClass → MK-NW-F-120 classEvidenceOf → MK-NW-F-011 assetClassOf → MK-NW-F-007 assetKind → MK-NW-F-034 benchmarkReturn → MK-NW-F-036 benchmarkInfo
4. MK-XS-F-122 n → MK-CF-F-155 cash → MK-NW-F-007 assetKind → MK-NW-F-034 benchmarkReturn → MK-NW-F-036 benchmarkInfo</t>
        </is>
      </c>
      <c r="S264" s="3" t="inlineStr">
        <is>
          <t>—</t>
        </is>
      </c>
      <c r="T264" s="3" t="inlineStr">
        <is>
          <t>—</t>
        </is>
      </c>
      <c r="U264" s="3" t="inlineStr">
        <is>
          <t>ACTIVE</t>
        </is>
      </c>
      <c r="V264" s="3" t="inlineStr">
        <is>
          <t>2026-10-07</t>
        </is>
      </c>
      <c r="W264" s="3" t="n"/>
      <c r="X264" s="3" t="n"/>
      <c r="Y264" s="3" t="inlineStr">
        <is>
          <t>NOTHING OPEN</t>
        </is>
      </c>
    </row>
    <row r="265" ht="60" customHeight="1">
      <c r="A265" s="3" t="inlineStr">
        <is>
          <t>MK-NW-F-037</t>
        </is>
      </c>
      <c r="B265" s="3" t="inlineStr">
        <is>
          <t>blendedReturn</t>
        </is>
      </c>
      <c r="C265" s="3" t="inlineStr">
        <is>
          <t>src/domain/assets/index.ts</t>
        </is>
      </c>
      <c r="D265" s="3" t="n">
        <v>2500</v>
      </c>
      <c r="E265" s="3" t="inlineStr">
        <is>
          <t>2 · DISPLAYED</t>
        </is>
      </c>
      <c r="F265" s="3" t="inlineStr">
        <is>
          <t>Blended expected return across the EARMARKED nest egg, weighted by each holding's share.</t>
        </is>
      </c>
      <c r="G265" s="11" t="inlineStr">
        <is>
          <t>car = primary car id of(accounts), home = primary home id of(accounts)
items = accounts (or none when missing)
total = Σ over items of (earmarked amount(each, car, home))
nothing   when total ≤ 0
weighted = Σ over items of (benchmark return(kind, overrides) × earmarked amount(each, car, home))
the answer = weighted ÷ total</t>
        </is>
      </c>
      <c r="H265" s="3" t="inlineStr">
        <is>
          <t>Car is primary car id of(accounts), home = primary home id of(accounts). Items is accounts (or none — when missing). Total: the earmarked amount(each, car, home) added up across items. When total is at most 0, it answers no answer. Weighted: the benchmark return(kind, overrides) times earmarked amount(each, car, home) added up across items. The answer is weighted divided by total.</t>
        </is>
      </c>
      <c r="I265" s="3" t="inlineStr">
        <is>
          <t>READ FROM THE CODE — rendered from the expressions the function runs</t>
        </is>
      </c>
      <c r="J265" s="3" t="inlineStr">
        <is>
          <t>1. accounts: AssetAccount[]
2. overrides?: Record&lt;string, number&gt;</t>
        </is>
      </c>
      <c r="K265" s="3" t="inlineStr">
        <is>
          <t>number | null</t>
        </is>
      </c>
      <c r="L265" s="3" t="inlineStr">
        <is>
          <t>1. "Expected return" — on the Retirement cockpit screen, under "scRetired ?"
2. "Weighted average" — on the Retirement cockpit screen</t>
        </is>
      </c>
      <c r="M265" s="3" t="inlineStr">
        <is>
          <t>None found in this function — anything it assumes comes from the functions it depends on.</t>
        </is>
      </c>
      <c r="N265" s="3" t="inlineStr">
        <is>
          <t>Yes</t>
        </is>
      </c>
      <c r="O265" s="3" t="inlineStr">
        <is>
          <t>1. MK-NW-F-034 benchmarkReturn
2. MK-NW-F-032 earmarkedAmount
3. MK-NW-F-031 primaryCarIdOf
4. MK-NW-F-110 primaryHomeIdOf</t>
        </is>
      </c>
      <c r="P265" s="3" t="n">
        <v>45</v>
      </c>
      <c r="Q265" s="3" t="inlineStr">
        <is>
          <t>1. MK-NW-F-034 benchmarkReturn
2. MK-NW-F-032 earmarkedAmount
3. MK-NW-F-031 primaryCarIdOf
4. MK-NW-F-110 primaryHomeIdOf
5. MK-NW-F-007 assetKind
6. MK-NW-F-030 earmarkDefault
7. MK-NW-F-134 carValueNotEnteredNotes
8. MK-NW-F-133 valueEntered
9. MK-NW-F-117 propertyUseMap
10. MK-NW-F-011 assetClassOf
11. MK-CF-F-155 cash
12. MK-CF-F-132 map
13. MK-ST-F-053 money
14. MK-NW-F-033 retirementEarmarkedValue
15. MK-ST-F-056 has
16. MK-NW-F-116 rentedIdsOf
17. MK-NW-F-120 classEvidenceOf
18. MK-XS-F-122 n
19. MK-ST-F-049 formatMoney
20. MK-NW-F-115 liveRent
21. MK-NW-F-008 incomeBearingClassOf
22. MK-NW-F-009 maturityClass
23. MK-ST-F-048 currencySymbol
24. MK-ST-F-039 on
25. MK-CF-O-002 expenses
26. MK-NW-F-114 rentAmount
27. MK-ST-F-010 nameEvidence
28. MK-NW-F-068 prettyDay
29. MK-ST-F-047 activeCurrency
30. MK-CF-F-151 actualSpending
31. MK-CF-F-150 debtPaymentsCountedAsExpenses
32. MK-CF-F-153 radar
33. MK-CF-F-149 recurringDebtPayments
34. MK-ST-F-085 rentFigure
35. MK-XS-F-147 call
36. MK-CF-F-148 inMonth
37. MK-ST-F-052 toNum
38. MK-CF-F-191 ym
39. MK-CF-F-022 paymentShape
40. MK-CF-F-152 isRadarItem
41. MK-CF-F-023 requiredPayment
42. MK-ST-F-027 accountId
43. MK-XS-F-064 currentIdToken
44. MK-XS-F-112 relayUrl
45. MK-CF-F-021 defaultPaymentType</t>
        </is>
      </c>
      <c r="R265" s="3" t="inlineStr">
        <is>
          <t>1. MK-CF-F-155 cash → MK-NW-F-120 classEvidenceOf → MK-NW-F-011 assetClassOf → MK-NW-F-007 assetKind → MK-NW-F-034 benchmarkReturn → MK-NW-F-037 blendedReturn
2. MK-NW-F-008 incomeBearingClassOf → MK-NW-F-120 classEvidenceOf → MK-NW-F-011 assetClassOf → MK-NW-F-007 assetKind → MK-NW-F-034 benchmarkReturn → MK-NW-F-037 blendedReturn
3. MK-NW-F-009 maturityClass → MK-NW-F-120 classEvidenceOf → MK-NW-F-011 assetClassOf → MK-NW-F-007 assetKind → MK-NW-F-034 benchmarkReturn → MK-NW-F-037 blendedReturn
4. MK-XS-F-122 n → MK-CF-F-155 cash → MK-NW-F-007 assetKind → MK-NW-F-034 benchmarkReturn → MK-NW-F-037 blendedReturn
5. MK-CF-F-155 cash → MK-NW-F-120 classEvidenceOf → MK-NW-F-011 assetClassOf → MK-NW-F-030 earmarkDefault → MK-NW-F-032 earmarkedAmount → MK-NW-F-037 blendedReturn
6. MK-NW-F-008 incomeBearingClassOf → MK-NW-F-120 classEvidenceOf → MK-NW-F-011 assetClassOf → MK-NW-F-030 earmarkDefault → MK-NW-F-032 earmarkedAmount → MK-NW-F-037 blendedReturn
7. MK-NW-F-009 maturityClass → MK-NW-F-120 classEvidenceOf → MK-NW-F-011 assetClassOf → MK-NW-F-030 earmarkDefault → MK-NW-F-032 earmarkedAmount → MK-NW-F-037 blendedReturn
8. MK-CF-F-132 map → MK-NW-F-134 carValueNotEnteredNotes → MK-NW-F-031 primaryCarIdOf → MK-NW-F-037 blendedReturn
9. … and 5 more paths</t>
        </is>
      </c>
      <c r="S265" s="3" t="inlineStr">
        <is>
          <t>—</t>
        </is>
      </c>
      <c r="T265" s="3" t="inlineStr">
        <is>
          <t>EXPECTED_RETURN_BLENDED</t>
        </is>
      </c>
      <c r="U265" s="3" t="inlineStr">
        <is>
          <t>ACTIVE</t>
        </is>
      </c>
      <c r="V265" s="3" t="inlineStr">
        <is>
          <t>2026-10-07</t>
        </is>
      </c>
      <c r="W265" s="3" t="n"/>
      <c r="X265" s="3" t="n"/>
      <c r="Y265" s="6" t="inlineStr">
        <is>
          <t>TESTED, NOT VERIFIED (G24)</t>
        </is>
      </c>
    </row>
    <row r="266" ht="60" customHeight="1">
      <c r="A266" s="3" t="inlineStr">
        <is>
          <t>MK-NW-F-038</t>
        </is>
      </c>
      <c r="B266" s="3" t="inlineStr">
        <is>
          <t>earmarkedKinds</t>
        </is>
      </c>
      <c r="C266" s="3" t="inlineStr">
        <is>
          <t>src/domain/assets/index.ts</t>
        </is>
      </c>
      <c r="D266" s="3" t="n">
        <v>2536</v>
      </c>
      <c r="E266" s="3" t="inlineStr">
        <is>
          <t>3 · DEPENDENT (feeds an action only)</t>
        </is>
      </c>
      <c r="F266" s="3" t="inlineStr">
        <is>
          <t>Distinct investment kinds present in the earmarked nest egg (for the benchmark editor).</t>
        </is>
      </c>
      <c r="G266" s="11" t="inlineStr">
        <is>
          <t>seen = new set&lt;string&gt;()
the answer = array.from(seen)</t>
        </is>
      </c>
      <c r="H266" s="3" t="inlineStr">
        <is>
          <t>Seen is new set&lt;string&gt;(). The answer is array.from(seen).</t>
        </is>
      </c>
      <c r="I266" s="3" t="inlineStr">
        <is>
          <t>PARTLY READ — some of the code is still showing through; needs a hand pass</t>
        </is>
      </c>
      <c r="J266" s="3" t="inlineStr">
        <is>
          <t>accounts: AssetAccount[]</t>
        </is>
      </c>
      <c r="K266" s="3" t="inlineStr">
        <is>
          <t>string[]</t>
        </is>
      </c>
      <c r="L266" s="3" t="inlineStr">
        <is>
          <t>—</t>
        </is>
      </c>
      <c r="M266" s="3" t="inlineStr">
        <is>
          <t>· Uses a built-in d e f a u l t r e t u r n of 7%.</t>
        </is>
      </c>
      <c r="N266" s="3" t="inlineStr">
        <is>
          <t>No</t>
        </is>
      </c>
      <c r="O266" s="3" t="inlineStr">
        <is>
          <t>MK-NW-F-032 earmarkedAmount</t>
        </is>
      </c>
      <c r="P266" s="3" t="n">
        <v>16</v>
      </c>
      <c r="Q266" s="3" t="inlineStr">
        <is>
          <t>1. MK-NW-F-032 earmarkedAmount
2. MK-NW-F-030 earmarkDefault
3. MK-NW-F-011 assetClassOf
4. MK-NW-F-120 classEvidenceOf
5. MK-CF-F-155 cash
6. MK-NW-F-008 incomeBearingClassOf
7. MK-NW-F-009 maturityClass
8. MK-XS-F-122 n
9. MK-ST-F-010 nameEvidence
10. MK-NW-F-068 prettyDay
11. MK-XS-F-147 call
12. MK-ST-F-056 has
13. MK-CF-F-132 map
14. MK-ST-F-027 accountId
15. MK-XS-F-064 currentIdToken
16. MK-XS-F-112 relayUrl</t>
        </is>
      </c>
      <c r="R266" s="3" t="inlineStr">
        <is>
          <t>1. MK-CF-F-155 cash → MK-NW-F-120 classEvidenceOf → MK-NW-F-011 assetClassOf → MK-NW-F-030 earmarkDefault → MK-NW-F-032 earmarkedAmount → MK-NW-F-038 earmarkedKinds
2. MK-NW-F-008 incomeBearingClassOf → MK-NW-F-120 classEvidenceOf → MK-NW-F-011 assetClassOf → MK-NW-F-030 earmarkDefault → MK-NW-F-032 earmarkedAmount → MK-NW-F-038 earmarkedKinds
3. MK-NW-F-009 maturityClass → MK-NW-F-120 classEvidenceOf → MK-NW-F-011 assetClassOf → MK-NW-F-030 earmarkDefault → MK-NW-F-032 earmarkedAmount → MK-NW-F-038 earmarkedKinds</t>
        </is>
      </c>
      <c r="S266" s="3" t="inlineStr">
        <is>
          <t>—</t>
        </is>
      </c>
      <c r="T266" s="3" t="inlineStr">
        <is>
          <t>—</t>
        </is>
      </c>
      <c r="U266" s="3" t="inlineStr">
        <is>
          <t>ACTIVE</t>
        </is>
      </c>
      <c r="V266" s="3" t="inlineStr">
        <is>
          <t>2026-08-27</t>
        </is>
      </c>
      <c r="W266" s="3" t="n"/>
      <c r="X266" s="3" t="n"/>
      <c r="Y266" s="3" t="inlineStr">
        <is>
          <t>NOTHING OPEN</t>
        </is>
      </c>
    </row>
    <row r="267" ht="60" customHeight="1">
      <c r="A267" s="3" t="inlineStr">
        <is>
          <t>MK-NW-F-039</t>
        </is>
      </c>
      <c r="B267" s="3" t="inlineStr">
        <is>
          <t>buildAssetsState</t>
        </is>
      </c>
      <c r="C267" s="3" t="inlineStr">
        <is>
          <t>src/domain/assets/index.ts</t>
        </is>
      </c>
      <c r="D267" s="3" t="n">
        <v>2578</v>
      </c>
      <c r="E267" s="3" t="inlineStr">
        <is>
          <t>2 · DISPLAYED</t>
        </is>
      </c>
      <c r="F267" s="3" t="inlineStr">
        <is>
          <t>How much of everything sits in each account, and what return do they blend to?</t>
        </is>
      </c>
      <c r="G267" s="11" t="inlineStr">
        <is>
          <t>total asset value      = round(Σ over every account of (balance), 2 dp)
share of portfolio (a) = round(balance of a ÷ total × 100, 2 dp)
average target return  = round(Σ(target return × balance) ÷ total, 4 dp)</t>
        </is>
      </c>
      <c r="H267"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67" s="3" t="inlineStr">
        <is>
          <t>READ BY HAND 2026-08-26 — checked line by line against the code</t>
        </is>
      </c>
      <c r="J267" s="3" t="inlineStr">
        <is>
          <t>1. uid: UserId
2. accounts: AssetAccount[]</t>
        </is>
      </c>
      <c r="K267" s="3" t="inlineStr">
        <is>
          <t>AssetsState</t>
        </is>
      </c>
      <c r="L267" s="3" t="inlineStr">
        <is>
          <t>NOT FOUND — a screen calls it, but the words printed beside its answer could not be traced automatically. Needs reading.</t>
        </is>
      </c>
      <c r="M267" s="3" t="inlineStr">
        <is>
          <t>None found in this function — anything it assumes comes from the functions it depends on.</t>
        </is>
      </c>
      <c r="N267" s="3" t="inlineStr">
        <is>
          <t>Yes</t>
        </is>
      </c>
      <c r="O267" s="3" t="inlineStr">
        <is>
          <t>1. MK-CF-F-132 map
2. MK-XS-F-175 uid</t>
        </is>
      </c>
      <c r="P267" s="3" t="n">
        <v>88</v>
      </c>
      <c r="Q267" s="3" t="inlineStr">
        <is>
          <t>1. MK-CF-F-132 map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MK-NW-F-009 maturityClass
79. MK-ST-F-010 nameEvidence
80. MK-CF-F-075 retirementIncomeMonthly
81. MK-ST-F-047 activeCurrency
82. MK-CF-F-099 deductionFor
83. MK-NW-F-011 assetClassOf
84. MK-NW-F-068 prettyDay
85. MK-XS-F-147 call
86. MK-CF-F-187 seniorDeductionFor
87. MK-XS-F-064 currentIdToken
88. MK-XS-F-112 relayUrl</t>
        </is>
      </c>
      <c r="R267" s="3"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S267" s="3" t="inlineStr">
        <is>
          <t>—</t>
        </is>
      </c>
      <c r="T267" s="3" t="inlineStr">
        <is>
          <t>ACCOUNT_SHARE_OF_TOTAL</t>
        </is>
      </c>
      <c r="U267" s="3" t="inlineStr">
        <is>
          <t>ACTIVE</t>
        </is>
      </c>
      <c r="V267" s="3" t="inlineStr">
        <is>
          <t>2026-08-27</t>
        </is>
      </c>
      <c r="W267" s="3" t="n"/>
      <c r="X267" s="3" t="n"/>
      <c r="Y267" s="3" t="inlineStr">
        <is>
          <t>NOTHING OPEN</t>
        </is>
      </c>
    </row>
    <row r="268" ht="60" customHeight="1">
      <c r="A268" s="3" t="inlineStr">
        <is>
          <t>MK-NW-F-040</t>
        </is>
      </c>
      <c r="B268" s="3" t="inlineStr">
        <is>
          <t>assetsFromOnboarding</t>
        </is>
      </c>
      <c r="C268" s="3" t="inlineStr">
        <is>
          <t>src/domain/assets/index.ts</t>
        </is>
      </c>
      <c r="D268" s="3" t="n">
        <v>2635</v>
      </c>
      <c r="E268" s="3" t="inlineStr">
        <is>
          <t>3 · DEPENDENT</t>
        </is>
      </c>
      <c r="F268" s="3" t="inlineStr">
        <is>
          <t>Build asset accounts from onboarding answers (accumulation: retirement savings + holdings).</t>
        </is>
      </c>
      <c r="G268" s="11" t="inlineStr">
        <is>
          <t>a = op (or none when missing)
accounts = []
bal = raw read as a number (0 when it is not one)
sp = current savings portfolio
the answer:
user id = uid
accounts = accounts</t>
        </is>
      </c>
      <c r="H268" s="3" t="inlineStr">
        <is>
          <t>A is op (or none — when missing). Accounts is []. Bal is raw read as a number (0 — when it is one is missing). Sp is current savings portfolio. The answer is user id = uid; accounts = accounts.</t>
        </is>
      </c>
      <c r="I268" s="3" t="inlineStr">
        <is>
          <t>READ FROM THE CODE — rendered from the expressions the function runs</t>
        </is>
      </c>
      <c r="J268" s="3" t="inlineStr">
        <is>
          <t>1. uid: UserId
2. op: Record&lt;string, any&gt; | null</t>
        </is>
      </c>
      <c r="K268" s="3" t="inlineStr">
        <is>
          <t>AssetsDoc</t>
        </is>
      </c>
      <c r="L268" s="3" t="inlineStr">
        <is>
          <t>—</t>
        </is>
      </c>
      <c r="M268" s="3" t="inlineStr">
        <is>
          <t>None found in this function — anything it assumes comes from the functions it depends on.</t>
        </is>
      </c>
      <c r="N268" s="3" t="inlineStr">
        <is>
          <t>Yes</t>
        </is>
      </c>
      <c r="O268" s="3" t="inlineStr">
        <is>
          <t>1. MK-ST-F-043 newEntityId
2. MK-ST-F-052 toNum
3. MK-XS-F-175 uid</t>
        </is>
      </c>
      <c r="P268" s="3" t="n">
        <v>87</v>
      </c>
      <c r="Q268" s="3" t="inlineStr">
        <is>
          <t>1. MK-ST-F-043 newEntityId
2. MK-ST-F-052 toNum
3. MK-XS-F-175 uid
4. MK-XS-F-122 n
5. MK-ST-F-027 accountId
6. MK-CF-F-111 applyTransaction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MK-NW-F-123 holdingNameEvidence
51. MK-NW-F-121 holdingTagClass
52. MK-NW-F-122 holdingTagFor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MK-NW-F-120 classEvidenceOf
71. MK-NW-F-008 incomeBearingClassOf
72. MK-PF-F-031 contractMultiplier
73. MK-CF-F-072 currentRetirementIncomeMonthly
74. MK-ST-F-048 currencySymbol
75. MK-CF-F-100 taxableIncomeFor
76. MK-ST-F-034 firstDate
77. MK-NW-F-009 maturityClass
78. MK-ST-F-010 nameEvidence
79. MK-CF-F-075 retirementIncomeMonthly
80. MK-ST-F-047 activeCurrency
81. MK-CF-F-099 deductionFor
82. MK-NW-F-011 assetClassOf
83. MK-NW-F-068 prettyDay
84. MK-XS-F-147 call
85. MK-CF-F-187 seniorDeductionFor
86. MK-XS-F-064 currentIdToken
87. MK-XS-F-112 relayUrl</t>
        </is>
      </c>
      <c r="R268" s="3" t="inlineStr">
        <is>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is>
      </c>
      <c r="S268" s="3" t="inlineStr">
        <is>
          <t>—</t>
        </is>
      </c>
      <c r="T268" s="3" t="inlineStr">
        <is>
          <t>ACCOUNTS_FROM_SETUP</t>
        </is>
      </c>
      <c r="U268" s="3" t="inlineStr">
        <is>
          <t>ACTIVE</t>
        </is>
      </c>
      <c r="V268" s="3" t="inlineStr">
        <is>
          <t>2026-10-10</t>
        </is>
      </c>
      <c r="W268" s="3" t="n"/>
      <c r="X268" s="3" t="n"/>
      <c r="Y268" s="3" t="inlineStr">
        <is>
          <t>NOTHING OPEN</t>
        </is>
      </c>
    </row>
    <row r="269" ht="60" customHeight="1">
      <c r="A269" s="3" t="inlineStr">
        <is>
          <t>MK-NW-F-041</t>
        </is>
      </c>
      <c r="B269" s="3" t="inlineStr">
        <is>
          <t>monthlyContributionsFromOnboarding</t>
        </is>
      </c>
      <c r="C269" s="3" t="inlineStr">
        <is>
          <t>src/domain/assets/index.ts</t>
        </is>
      </c>
      <c r="D269" s="3" t="n">
        <v>2712</v>
      </c>
      <c r="E269" s="3" t="inlineStr">
        <is>
          <t>2 · DISPLAYED</t>
        </is>
      </c>
      <c r="F269" s="3" t="inlineStr">
        <is>
          <t>Total monthly contributions across types + employer match (feeds the retirement projection).</t>
        </is>
      </c>
      <c r="G269" s="11" t="inlineStr">
        <is>
          <t>a = op (or none when missing)
nothing   when !['c_401k', 'c_roth', 'c_invest', 'employerMatchValue'].some((k) =&gt; string(a[k] ?? '').trim() ! = '')
age = age attained in year(to num(birth year) or nothing)
k401 = min(c 401k read as a number (0 when it is not one), annual401k limit(age) ÷ 12)
match = (k401 × to num(employer match value)) ÷ 100   if employer match mode = 'pct'
employer match monthly(op)   otherwise
the answer = k401 + to num(c roth) + to num(c invest) + match</t>
        </is>
      </c>
      <c r="H269" s="3" t="inlineStr">
        <is>
          <t>A is op (or none — when missing). When !['c_401k', 'c_roth', 'c_invest', 'employerMatchValue'].some((k) =&gt; string(a[k] ?? '').trim() ! = ''), it answers no answer. Age is age attained in year(to num(birth year) or no answer). K401: the smaller of c 401k read as a number (0 — when it is one is missing) and annual401k limit(age divided by 12). Match is (k401 times to num(employer match value)) divided by 100 — when employer match mode = 'pct'; employer match monthly(op) — otherwise. The answer is k401 plus to num(c roth) plus to num(c invest) plus match.</t>
        </is>
      </c>
      <c r="I269" s="3" t="inlineStr">
        <is>
          <t>PARTLY READ — some of the code is still showing through; needs a hand pass</t>
        </is>
      </c>
      <c r="J269" s="3" t="inlineStr">
        <is>
          <t>op: Record&lt;string, any&gt; | null</t>
        </is>
      </c>
      <c r="K269" s="3" t="inlineStr">
        <is>
          <t>number | null</t>
        </is>
      </c>
      <c r="L269" s="3" t="inlineStr">
        <is>
          <t>NOT FOUND — a screen calls it, but the words printed beside its answer could not be traced automatically. Needs reading.</t>
        </is>
      </c>
      <c r="M269" s="3" t="inlineStr">
        <is>
          <t>None found in this function — anything it assumes comes from the functions it depends on.</t>
        </is>
      </c>
      <c r="N269" s="3" t="inlineStr">
        <is>
          <t>Yes</t>
        </is>
      </c>
      <c r="O269" s="3" t="inlineStr">
        <is>
          <t>1. MK-CF-F-197 ageAttainedInYear
2. MK-CF-F-053 annual401kLimit
3. MK-CF-F-078 employerMatchMonthly
4. MK-ST-F-053 money
5. MK-ST-F-052 toNum</t>
        </is>
      </c>
      <c r="P269" s="3" t="n">
        <v>15</v>
      </c>
      <c r="Q269" s="3" t="inlineStr">
        <is>
          <t>1. MK-CF-F-197 ageAttainedInYear
2. MK-CF-F-053 annual401kLimit
3. MK-CF-F-078 employerMatchMonthly
4. MK-ST-F-053 money
5. MK-ST-F-052 toNum
6. MK-CF-F-175 sumOverEarners
7. MK-CF-F-178 wageMatchMonthly
8. MK-ST-F-049 formatMoney
9. MK-XS-F-122 n
10. MK-CF-F-173 earnerWages
11. MK-ST-F-048 currencySymbol
12. MK-ST-F-039 on
13. MK-CF-F-172 hasWage
14. MK-ST-F-047 activeCurrency
15. MK-ST-F-056 has</t>
        </is>
      </c>
      <c r="R269" s="3" t="inlineStr">
        <is>
          <t>1. MK-CF-F-197 ageAttainedInYear → MK-NW-F-041 monthlyContributionsFromOnboarding
2. MK-CF-F-053 annual401kLimit → MK-NW-F-041 monthlyContributionsFromOnboarding
3. MK-ST-F-056 has → MK-CF-F-172 hasWage → MK-CF-F-173 earnerWages → MK-CF-F-175 sumOverEarners → MK-CF-F-078 employerMatchMonthly → MK-NW-F-041 monthlyContributionsFromOnboarding
4. MK-XS-F-122 n → MK-ST-F-052 toNum → MK-CF-F-178 wageMatchMonthly → MK-CF-F-078 employerMatchMonthly → MK-NW-F-041 monthlyContributionsFromOnboarding
5. MK-ST-F-047 activeCurrency → MK-ST-F-048 currencySymbol → MK-ST-F-049 formatMoney → MK-ST-F-053 money → MK-NW-F-041 monthlyContributionsFromOnboarding
6. MK-XS-F-122 n → MK-ST-F-049 formatMoney → MK-ST-F-053 money → MK-NW-F-041 monthlyContributionsFromOnboarding
7. MK-ST-F-039 on → MK-ST-F-049 formatMoney → MK-ST-F-053 money → MK-NW-F-041 monthlyContributionsFromOnboarding
8. MK-XS-F-122 n → MK-ST-F-053 money → MK-NW-F-041 monthlyContributionsFromOnboarding
9. … and 1 more paths</t>
        </is>
      </c>
      <c r="S269" s="3" t="inlineStr">
        <is>
          <t>—</t>
        </is>
      </c>
      <c r="T269" s="3" t="inlineStr">
        <is>
          <t>MONTHLY_SAVING</t>
        </is>
      </c>
      <c r="U269" s="3" t="inlineStr">
        <is>
          <t>ACTIVE</t>
        </is>
      </c>
      <c r="V269" s="3" t="inlineStr">
        <is>
          <t>2026-10-07</t>
        </is>
      </c>
      <c r="W269" s="3" t="n"/>
      <c r="X269" s="3" t="n"/>
      <c r="Y269" s="3" t="inlineStr">
        <is>
          <t>NOTHING OPEN</t>
        </is>
      </c>
    </row>
    <row r="270" ht="60" customHeight="1">
      <c r="A270" s="3" t="inlineStr">
        <is>
          <t>MK-NW-F-042</t>
        </is>
      </c>
      <c r="B270" s="3" t="inlineStr">
        <is>
          <t>loadAssets</t>
        </is>
      </c>
      <c r="C270" s="3" t="inlineStr">
        <is>
          <t>src/domain/assets/index.ts</t>
        </is>
      </c>
      <c r="D270" s="3" t="n">
        <v>2755</v>
      </c>
      <c r="E270" s="3" t="inlineStr">
        <is>
          <t>3 · DEPENDENT (feeds an action only)</t>
        </is>
      </c>
      <c r="F270" s="3" t="inlineStr">
        <is>
          <t>Reads a person's saved accounts from storage and calculates nothing.</t>
        </is>
      </c>
      <c r="G270" s="11" t="inlineStr">
        <is>
          <t>It reaches outside the app for data and hands back what came back — no arithmetic of its own.</t>
        </is>
      </c>
      <c r="H270" s="3" t="inlineStr">
        <is>
          <t>It reaches outside the app for data and hands back what came back — no arithmetic of its own.</t>
        </is>
      </c>
      <c r="I270" s="3" t="inlineStr">
        <is>
          <t>NO ARITHMETIC — there is no formula to state</t>
        </is>
      </c>
      <c r="J270" s="3" t="inlineStr">
        <is>
          <t>uid: UserId</t>
        </is>
      </c>
      <c r="K270" s="3" t="inlineStr">
        <is>
          <t>NOT DECLARED — the code does not say what it gives back</t>
        </is>
      </c>
      <c r="L270" s="3" t="inlineStr">
        <is>
          <t>—</t>
        </is>
      </c>
      <c r="M270" s="3" t="inlineStr">
        <is>
          <t>None found in this function — anything it assumes comes from the functions it depends on.</t>
        </is>
      </c>
      <c r="N270" s="3" t="inlineStr">
        <is>
          <t>No</t>
        </is>
      </c>
      <c r="O270" s="3" t="inlineStr">
        <is>
          <t>MK-XS-F-175 uid</t>
        </is>
      </c>
      <c r="P270" s="3" t="n">
        <v>88</v>
      </c>
      <c r="Q270"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MK-NW-F-009 maturityClass
79. MK-ST-F-010 nameEvidence
80. MK-CF-F-075 retirementIncomeMonthly
81. MK-ST-F-047 activeCurrency
82. MK-CF-F-099 deductionFor
83. MK-NW-F-011 assetClassOf
84. MK-NW-F-068 prettyDay
85. MK-XS-F-147 call
86. MK-CF-F-187 seniorDeductionFor
87. MK-XS-F-064 currentIdToken
88. MK-XS-F-112 relayUrl</t>
        </is>
      </c>
      <c r="R270" s="3" t="inlineStr">
        <is>
          <t>1. MK-ST-F-027 accountId → MK-XS-F-175 uid → MK-NW-F-042 loadAssets
2. MK-CF-F-137 findPos → MK-CF-F-138 addLot → MK-CF-F-111 applyTransaction → MK-XS-F-175 uid → MK-NW-F-042 loadAssets
3. MK-CF-F-132 map → MK-CF-F-138 addLot → MK-CF-F-111 applyTransaction → MK-XS-F-175 uid → MK-NW-F-042 loadAssets
4. MK-ST-F-043 newEntityId → MK-CF-F-138 addLot → MK-CF-F-111 applyTransaction → MK-XS-F-175 uid → MK-NW-F-042 loadAssets
5. MK-CF-F-134 usesSleeve → MK-CF-F-136 bumpCash → MK-CF-F-111 applyTransaction → MK-XS-F-175 uid → MK-NW-F-042 loadAssets
6. MK-CF-F-137 findPos → MK-CF-F-111 applyTransaction → MK-XS-F-175 uid → MK-NW-F-042 loadAssets
7. MK-CF-F-132 map → MK-CF-F-111 applyTransaction → MK-XS-F-175 uid → MK-NW-F-042 loadAssets
8. MK-CF-F-137 findPos → MK-CF-F-139 removeShares → MK-CF-F-111 applyTransaction → MK-XS-F-175 uid → MK-NW-F-042 loadAssets
9. … and 4 more paths</t>
        </is>
      </c>
      <c r="S270" s="3" t="inlineStr">
        <is>
          <t>—</t>
        </is>
      </c>
      <c r="T270" s="3" t="inlineStr">
        <is>
          <t>—</t>
        </is>
      </c>
      <c r="U270" s="3" t="inlineStr">
        <is>
          <t>ACTIVE</t>
        </is>
      </c>
      <c r="V270" s="3" t="inlineStr">
        <is>
          <t>2026-08-27</t>
        </is>
      </c>
      <c r="W270" s="3" t="n"/>
      <c r="X270" s="3" t="n"/>
      <c r="Y270" s="3" t="inlineStr">
        <is>
          <t>NOTHING OPEN</t>
        </is>
      </c>
    </row>
    <row r="271" ht="60" customHeight="1">
      <c r="A271" s="3" t="inlineStr">
        <is>
          <t>MK-NW-F-043</t>
        </is>
      </c>
      <c r="B271" s="3" t="inlineStr">
        <is>
          <t>saveAssets</t>
        </is>
      </c>
      <c r="C271" s="3" t="inlineStr">
        <is>
          <t>src/domain/assets/index.ts</t>
        </is>
      </c>
      <c r="D271" s="3" t="n">
        <v>2773</v>
      </c>
      <c r="E271" s="3" t="inlineStr">
        <is>
          <t>1 · ACTION</t>
        </is>
      </c>
      <c r="F271" s="3" t="inlineStr">
        <is>
          <t>Saves a person's accounts to storage, tells the rest of the app it changed, and calculates nothing.</t>
        </is>
      </c>
      <c r="G271" s="11" t="inlineStr">
        <is>
          <t>It records or announces something and returns no figure — no arithmetic of its own.</t>
        </is>
      </c>
      <c r="H271" s="3" t="inlineStr">
        <is>
          <t>It records or announces something and returns no figure — no arithmetic of its own.</t>
        </is>
      </c>
      <c r="I271" s="3" t="inlineStr">
        <is>
          <t>NO ARITHMETIC — there is no formula to state</t>
        </is>
      </c>
      <c r="J271" s="3" t="inlineStr">
        <is>
          <t>d: AssetsDoc</t>
        </is>
      </c>
      <c r="K271" s="3" t="inlineStr">
        <is>
          <t>d.user_id }); }</t>
        </is>
      </c>
      <c r="L271" s="3" t="inlineStr">
        <is>
          <t>—</t>
        </is>
      </c>
      <c r="M271" s="3" t="inlineStr">
        <is>
          <t>None found in this function — anything it assumes comes from the functions it depends on.</t>
        </is>
      </c>
      <c r="N271" s="3" t="inlineStr">
        <is>
          <t>No</t>
        </is>
      </c>
      <c r="O271" s="3" t="inlineStr">
        <is>
          <t>1. MK-ST-F-040 emit
2. MK-ST-F-042 setUserDoc</t>
        </is>
      </c>
      <c r="P271" s="3" t="n">
        <v>90</v>
      </c>
      <c r="Q271"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MK-NW-F-068 prettyDay
87. MK-XS-F-147 call
88. MK-CF-F-187 seniorDeductionFor
89. MK-XS-F-064 currentIdToken
90. MK-XS-F-112 relayUrl</t>
        </is>
      </c>
      <c r="R271" s="3" t="inlineStr">
        <is>
          <t>1. MK-ST-F-040 emit → MK-NW-F-043 saveAssets
2. MK-ST-F-027 accountId → MK-XS-F-175 uid → MK-ST-F-042 setUserDoc → MK-NW-F-043 saveAssets
3. MK-CF-F-137 findPos → MK-CF-F-138 addLot → MK-CF-F-111 applyTransaction → MK-XS-F-175 uid → MK-ST-F-042 setUserDoc → MK-NW-F-043 saveAssets
4. MK-CF-F-132 map → MK-CF-F-138 addLot → MK-CF-F-111 applyTransaction → MK-XS-F-175 uid → MK-ST-F-042 setUserDoc → MK-NW-F-043 saveAssets
5. MK-ST-F-043 newEntityId → MK-CF-F-138 addLot → MK-CF-F-111 applyTransaction → MK-XS-F-175 uid → MK-ST-F-042 setUserDoc → MK-NW-F-043 saveAssets
6. MK-CF-F-134 usesSleeve → MK-CF-F-136 bumpCash → MK-CF-F-111 applyTransaction → MK-XS-F-175 uid → MK-ST-F-042 setUserDoc → MK-NW-F-043 saveAssets
7. MK-CF-F-137 findPos → MK-CF-F-111 applyTransaction → MK-XS-F-175 uid → MK-ST-F-042 setUserDoc → MK-NW-F-043 saveAssets
8. MK-CF-F-132 map → MK-CF-F-111 applyTransaction → MK-XS-F-175 uid → MK-ST-F-042 setUserDoc → MK-NW-F-043 saveAssets
9. … and 4 more paths</t>
        </is>
      </c>
      <c r="S271" s="3" t="inlineStr">
        <is>
          <t>—</t>
        </is>
      </c>
      <c r="T271" s="3" t="inlineStr">
        <is>
          <t>—</t>
        </is>
      </c>
      <c r="U271" s="3" t="inlineStr">
        <is>
          <t>ACTIVE</t>
        </is>
      </c>
      <c r="V271" s="3" t="inlineStr">
        <is>
          <t>2026-08-27</t>
        </is>
      </c>
      <c r="W271" s="3" t="n"/>
      <c r="X271" s="3" t="n"/>
      <c r="Y271" s="3" t="inlineStr">
        <is>
          <t>NOTHING OPEN</t>
        </is>
      </c>
    </row>
    <row r="272" ht="60" customHeight="1">
      <c r="A272" s="3" t="inlineStr">
        <is>
          <t>MK-NW-F-044</t>
        </is>
      </c>
      <c r="B272" s="3" t="inlineStr">
        <is>
          <t>getAssetsState</t>
        </is>
      </c>
      <c r="C272" s="3" t="inlineStr">
        <is>
          <t>src/domain/assets/index.ts</t>
        </is>
      </c>
      <c r="D272" s="3" t="n">
        <v>2791</v>
      </c>
      <c r="E272" s="3" t="inlineStr">
        <is>
          <t>3 · DEPENDENT (feeds an action only)</t>
        </is>
      </c>
      <c r="F272" s="3" t="inlineStr">
        <is>
          <t>Reads a person's saved accounts and returns their totals, or nothing when none are saved.</t>
        </is>
      </c>
      <c r="G272" s="11" t="inlineStr">
        <is>
          <t>assets state from(uid, await load assets(uid))</t>
        </is>
      </c>
      <c r="H272" s="3" t="inlineStr">
        <is>
          <t>assets state from(uid, await load assets(uid)).</t>
        </is>
      </c>
      <c r="I272" s="3" t="inlineStr">
        <is>
          <t>READ FROM THE CODE — rendered from the expressions the function runs</t>
        </is>
      </c>
      <c r="J272" s="3" t="inlineStr">
        <is>
          <t>uid: UserId</t>
        </is>
      </c>
      <c r="K272" s="3" t="inlineStr">
        <is>
          <t>NOT DECLARED — the code does not say what it gives back</t>
        </is>
      </c>
      <c r="L272" s="3" t="inlineStr">
        <is>
          <t>—</t>
        </is>
      </c>
      <c r="M272" s="3" t="inlineStr">
        <is>
          <t>None found in this function — anything it assumes comes from the functions it depends on.</t>
        </is>
      </c>
      <c r="N272" s="3" t="inlineStr">
        <is>
          <t>No</t>
        </is>
      </c>
      <c r="O272" s="3" t="inlineStr">
        <is>
          <t>1. MK-NW-F-111 assetsStateFrom
2. MK-NW-F-042 loadAssets
3. MK-XS-F-175 uid</t>
        </is>
      </c>
      <c r="P272" s="3" t="n">
        <v>91</v>
      </c>
      <c r="Q272" s="3" t="inlineStr">
        <is>
          <t>1. MK-NW-F-111 assetsStateFrom
2. MK-NW-F-042 loadAssets
3. MK-XS-F-175 uid
4. MK-NW-F-039 buildAssetsState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MK-CF-F-072 currentRetirementIncomeMonthly
78. MK-ST-F-048 currencySymbol
79. MK-CF-F-100 taxableIncomeFor
80. MK-ST-F-034 firstDate
81. MK-NW-F-009 maturityClass
82. MK-ST-F-010 nameEvidence
83. MK-CF-F-075 retirementIncomeMonthly
84. MK-ST-F-047 activeCurrency
85. MK-CF-F-099 deductionFor
86. MK-NW-F-011 assetClassOf
87. MK-NW-F-068 prettyDay
88. MK-XS-F-147 call
89. MK-CF-F-187 seniorDeductionFor
90. MK-XS-F-064 currentIdToken
91. MK-XS-F-112 relayUrl</t>
        </is>
      </c>
      <c r="R272" s="3" t="inlineStr">
        <is>
          <t>1. MK-CF-F-132 map → MK-NW-F-039 buildAssetsState → MK-NW-F-111 assetsStateFrom → MK-NW-F-044 getAssetsState
2. MK-ST-F-027 accountId → MK-XS-F-175 uid → MK-NW-F-039 buildAssetsState → MK-NW-F-111 assetsStateFrom → MK-NW-F-044 getAssetsState
3. MK-CF-F-138 addLot → MK-CF-F-111 applyTransaction → MK-XS-F-175 uid → MK-NW-F-039 buildAssetsState → MK-NW-F-111 assetsStateFrom → MK-NW-F-044 getAssetsState
4. MK-CF-F-136 bumpCash → MK-CF-F-111 applyTransaction → MK-XS-F-175 uid → MK-NW-F-039 buildAssetsState → MK-NW-F-111 assetsStateFrom → MK-NW-F-044 getAssetsState
5. MK-CF-F-137 findPos → MK-CF-F-111 applyTransaction → MK-XS-F-175 uid → MK-NW-F-039 buildAssetsState → MK-NW-F-111 assetsStateFrom → MK-NW-F-044 getAssetsState
6. MK-CF-F-132 map → MK-CF-F-111 applyTransaction → MK-XS-F-175 uid → MK-NW-F-039 buildAssetsState → MK-NW-F-111 assetsStateFrom → MK-NW-F-044 getAssetsState
7. MK-CF-F-139 removeShares → MK-CF-F-111 applyTransaction → MK-XS-F-175 uid → MK-NW-F-039 buildAssetsState → MK-NW-F-111 assetsStateFrom → MK-NW-F-044 getAssetsState
8. MK-PF-F-001 totalShares → MK-CF-F-111 applyTransaction → MK-XS-F-175 uid → MK-NW-F-039 buildAssetsState → MK-NW-F-111 assetsStateFrom → MK-NW-F-044 getAssetsState
9. … and 5 more paths</t>
        </is>
      </c>
      <c r="S272" s="3" t="inlineStr">
        <is>
          <t>—</t>
        </is>
      </c>
      <c r="T272" s="3" t="inlineStr">
        <is>
          <t>—</t>
        </is>
      </c>
      <c r="U272" s="3" t="inlineStr">
        <is>
          <t>ACTIVE</t>
        </is>
      </c>
      <c r="V272" s="3" t="inlineStr">
        <is>
          <t>2026-10-07</t>
        </is>
      </c>
      <c r="W272" s="3" t="n"/>
      <c r="X272" s="3" t="n"/>
      <c r="Y272" s="3" t="inlineStr">
        <is>
          <t>NOTHING OPEN</t>
        </is>
      </c>
    </row>
    <row r="273" ht="60" customHeight="1">
      <c r="A273" s="3" t="inlineStr">
        <is>
          <t>MK-NW-F-045</t>
        </is>
      </c>
      <c r="B273" s="3" t="inlineStr">
        <is>
          <t>sourceWording</t>
        </is>
      </c>
      <c r="C273" s="3" t="inlineStr">
        <is>
          <t>src/domain/assets/index.ts</t>
        </is>
      </c>
      <c r="D273" s="3" t="n">
        <v>2850</v>
      </c>
      <c r="E273" s="3" t="inlineStr">
        <is>
          <t>2 · DISPLAYED</t>
        </is>
      </c>
      <c r="F273" s="3" t="inlineStr">
        <is>
          <t>The words saying where an account's numbers come from, which are Linked, Imported or By hand, with a date added only when the numbers are stale.</t>
        </is>
      </c>
      <c r="G273" s="11" t="inlineStr">
        <is>
          <t>stale = is stale(last synced, now)
ago = age label(last synced, now)
`linked · ${ago ?? 'not updated yet'}`   if stale
'Linked'   otherwise   when source = 'connected'
`imported · ${ago ?? 'not updated yet'}`   if stale
'Imported'   otherwise   when source = 'imported'
the answer = 'by hand · you update it'</t>
        </is>
      </c>
      <c r="H273" s="3" t="inlineStr">
        <is>
          <t>Stale is is stale(last synced, now). Ago is age label(last synced, now). When source = 'connected', it answers `linked · ${ago ?? 'updated is missing yet'}` — when stale; 'Linked' — otherwise. When source = 'imported', it answers `imported · ${ago ?? 'updated is missing yet'}` — when stale; 'Imported' — otherwise. The answer is 'by hand · you update it'.</t>
        </is>
      </c>
      <c r="I273" s="3" t="inlineStr">
        <is>
          <t>PARTLY READ — some of the code is still showing through; needs a hand pass</t>
        </is>
      </c>
      <c r="J273" s="3" t="inlineStr">
        <is>
          <t>1. a: AssetAccount
2. now: number = Date.now()</t>
        </is>
      </c>
      <c r="K273" s="3" t="inlineStr">
        <is>
          <t>string</t>
        </is>
      </c>
      <c r="L273" s="3" t="inlineStr">
        <is>
          <t>NOT FOUND — a screen calls it, but the words printed beside its answer could not be traced automatically. Needs reading.</t>
        </is>
      </c>
      <c r="M273" s="3" t="inlineStr">
        <is>
          <t>· Uses today's date from the device clock, so the answer changes by itself overnight.</t>
        </is>
      </c>
      <c r="N273" s="3" t="inlineStr">
        <is>
          <t>Yes</t>
        </is>
      </c>
      <c r="O273" s="3" t="inlineStr">
        <is>
          <t>1. MK-ST-F-076 ageLabel
2. MK-ST-F-077 isStale</t>
        </is>
      </c>
      <c r="P273" s="3" t="n">
        <v>3</v>
      </c>
      <c r="Q273" s="3" t="inlineStr">
        <is>
          <t>1. MK-ST-F-076 ageLabel
2. MK-ST-F-077 isStale
3. MK-XS-F-170 daysSince</t>
        </is>
      </c>
      <c r="R273" s="3" t="inlineStr">
        <is>
          <t>1. MK-XS-F-170 daysSince → MK-ST-F-076 ageLabel → MK-NW-F-045 sourceWording
2. MK-XS-F-170 daysSince → MK-ST-F-077 isStale → MK-NW-F-045 sourceWording</t>
        </is>
      </c>
      <c r="S273" s="3" t="inlineStr">
        <is>
          <t>—</t>
        </is>
      </c>
      <c r="T273" s="3" t="inlineStr">
        <is>
          <t>WHERE_THE_VALUE_CAME_FROM</t>
        </is>
      </c>
      <c r="U273" s="3" t="inlineStr">
        <is>
          <t>ACTIVE</t>
        </is>
      </c>
      <c r="V273" s="3" t="inlineStr">
        <is>
          <t>2026-10-01</t>
        </is>
      </c>
      <c r="W273" s="3" t="n"/>
      <c r="X273" s="3" t="n"/>
      <c r="Y273" s="3" t="inlineStr">
        <is>
          <t>NOTHING OPEN</t>
        </is>
      </c>
    </row>
    <row r="274" ht="60" customHeight="1">
      <c r="A274" s="3" t="inlineStr">
        <is>
          <t>MK-NW-F-046</t>
        </is>
      </c>
      <c r="B274" s="3" t="inlineStr">
        <is>
          <t>historyCoverage</t>
        </is>
      </c>
      <c r="C274" s="3" t="inlineStr">
        <is>
          <t>src/domain/assets/index.ts</t>
        </is>
      </c>
      <c r="D274" s="3" t="n">
        <v>2926</v>
      </c>
      <c r="E274" s="3" t="inlineStr">
        <is>
          <t>2 · DISPLAYED</t>
        </is>
      </c>
      <c r="F274" s="3" t="inlineStr">
        <is>
          <t>Says how far back one account's activity records reach, set against the period being asked about, in a sentence a person can read.</t>
        </is>
      </c>
      <c r="G274" s="11" t="inlineStr">
        <is>
          <t>who = (institution or label or 'this account').trim()
stated = history start override (or history from when missing)
from = the first 10 of string(stated).trim()   if stated
nothing   otherwise
the answer:
kind = 'unreadable'
from = nothing
months covered = nothing
sentence = HISTORY_START_UNREADABLE
nothing   when the first 10 of from ≤ window start
whole = (now.get full year() − fy) × 12 + (now.get month() + 1 − fm) − (now.get date() &lt; fd ? 1 : 0)
days in month = the date now.get full year(), now.get month() + (now.get date() &lt; fd ? 0 : 1), 0).get date(
part = ((now.get date() − fd + (now.get date() &lt; fd ? days in month : 0)) % days in month) ÷ days in month
months = max(0, round down((whole + part) × 10 + 1e − 9) ÷ 10)
whole months = max(0, whole)
yrs = round down(whole months ÷ 12), rem = whole months % 12
… the first steps only — the rest of the body needs reading by hand.</t>
        </is>
      </c>
      <c r="H274" s="3" t="inlineStr">
        <is>
          <t>Who is (institution or label or 'this account').trim(). Stated is history start override (or history from — when missing). From: the first 10 of string(stated).trim() — when stated; no answer — otherwise. The answer is kind = 'unreadable'; from is missing; months covered is missing; sentence = HISTORY_START_UNREADABLE. When the first 10 of from is at most window start, it answers no answer. Whole is (now.get full year() minus fy) times 12 plus (now.get month() plus 1 minus fm) minus (now.get date() &lt; fd ? 1 : 0). Days in month: the date now.get full year(), now.get month() plus (now.get date() &lt; fd ? 0 : 1), 0).get date(. Part is ((now.get date() minus fd plus (now.get date() &lt; fd ? days in month : 0)) % days in month) divided by days in month. Months is (whole plus part, rounded down times 10 plus 1e minus 9, never below zero divided by 10). Whole months is whole, never below zero. Yrs is whole months divided by 12, rounded down, rem = whole months % 12. Only the first steps are shown; the rest of the body needs reading by hand.</t>
        </is>
      </c>
      <c r="I274" s="3" t="inlineStr">
        <is>
          <t>PARTLY READ — some of the code is still showing through; needs a hand pass</t>
        </is>
      </c>
      <c r="J274" s="3" t="inlineStr">
        <is>
          <t>Nothing is handed to it</t>
        </is>
      </c>
      <c r="K274" s="3" t="inlineStr">
        <is>
          <t>NOT DECLARED — the code does not say what it gives back</t>
        </is>
      </c>
      <c r="L274" s="3" t="inlineStr">
        <is>
          <t>NOT FOUND — a screen calls it, but the words printed beside its answer could not be traced automatically. Needs reading.</t>
        </is>
      </c>
      <c r="M274" s="3" t="inlineStr">
        <is>
          <t>1. Turns a monthly figure into a year by multiplying by twelve.
2. Uses today's date from the device clock, so the answer changes by itself overnight.
3. Never lets whole fall below 0.</t>
        </is>
      </c>
      <c r="N274" s="3" t="inlineStr">
        <is>
          <t>Yes</t>
        </is>
      </c>
      <c r="O274" s="3" t="inlineStr">
        <is>
          <t>1. MK-CF-F-203 MONTH
2. MK-ST-F-065 isoLocalDate
3. MK-CF-F-132 map
4. MK-NW-F-067 plural
5. MK-NW-F-068 prettyDay</t>
        </is>
      </c>
      <c r="P274" s="3" t="n">
        <v>111</v>
      </c>
      <c r="Q274" s="3" t="inlineStr">
        <is>
          <t>1. MK-CF-F-203 MONTH
2. MK-ST-F-065 isoLocalDate
3. MK-CF-F-132 map
4. MK-NW-F-067 plural
5. MK-NW-F-068 prettyDay
6. MK-CF-O-010 theMonth
7. MK-XS-F-122 n
8. MK-CF-F-155 cash
9. MK-CF-O-002 expenses
10. MK-CF-O-003 thisMonth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MK-XS-F-180 declareFigures
32. MK-ST-F-049 formatMoney
33. MK-ST-F-053 money
34. MK-NW-O-001 theBonds
35. MK-CF-F-193 inflowSourceWord
36. MK-CF-F-092 incomeMonthlyGrid
37. MK-CF-F-011 savingsByMonth
38. MK-NW-F-112 yearlyInterest
39. MK-ST-F-048 currencySymbol
40. MK-ST-F-039 on
41. MK-ST-F-027 accountId
42. MK-NW-F-057 annualCoupon
43. MK-NW-F-056 bondInfo
44. MK-NW-F-064 bondRateSensitivity
45. MK-NW-F-061 bondSummary
46. MK-NW-F-055 isBond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MK-NW-F-131 pricedLikeBond
69. MK-NW-F-125 isPastMaturity
70. MK-NW-F-126 yearlyInterestNow
71. MK-NW-F-011 assetClassOf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MK-NW-F-119 estimatedAccrued
96. MK-NW-F-124 maturityParts
97. MK-NW-F-120 classEvidenceOf
98. MK-CF-F-100 taxableIncomeFor
99. MK-CF-F-074 tipsAnnual
100. MK-ST-F-085 rentFigure
101. MK-CF-F-165 salaryMonths
102. MK-CF-F-003 categoryMonthly
103. MK-NW-F-008 incomeBearingClassOf
104. MK-NW-F-009 maturityClass
105. MK-CF-F-099 deductionFor
106. MK-CF-F-081 salaryActiveMonths
107. MK-ST-F-010 nameEvidence
108. MK-CF-F-187 seniorDeductionFor
109. MK-XS-F-147 call
110. MK-XS-F-064 currentIdToken
111. MK-XS-F-112 relayUrl</t>
        </is>
      </c>
      <c r="R274" s="3" t="inlineStr">
        <is>
          <t>1. MONTH (already above — a loop) → MK-CF-O-010 theMonth → MK-CF-F-203 MONTH → MK-NW-F-046 historyCoverage
2. MK-XS-F-122 n → MK-CF-F-155 cash → MK-CF-O-010 theMonth → MK-CF-F-203 MONTH → MK-NW-F-046 historyCoverage
3. MK-CF-F-148 inMonth → MK-CF-F-151 actualSpending → MK-CF-O-002 expenses → MK-CF-O-010 theMonth → MK-CF-F-203 MONTH → MK-NW-F-046 historyCoverage
4. MK-ST-F-052 toNum → MK-CF-F-151 actualSpending → MK-CF-O-002 expenses → MK-CF-O-010 theMonth → MK-CF-F-203 MONTH → MK-NW-F-046 historyCoverage
5. MK-CF-F-191 ym → MK-CF-F-151 actualSpending → MK-CF-O-002 expenses → MK-CF-O-010 theMonth → MK-CF-F-203 MONTH → MK-NW-F-046 historyCoverage
6. MK-ST-F-056 has → MK-CF-F-150 debtPaymentsCountedAsExpenses → MK-CF-O-002 expenses → MK-CF-O-010 theMonth → MK-CF-F-203 MONTH → MK-NW-F-046 historyCoverage
7. MK-CF-F-148 inMonth → MK-CF-F-150 debtPaymentsCountedAsExpenses → MK-CF-O-002 expenses → MK-CF-O-010 theMonth → MK-CF-F-203 MONTH → MK-NW-F-046 historyCoverage
8. MK-CF-F-022 paymentShape → MK-CF-F-150 debtPaymentsCountedAsExpenses → MK-CF-O-002 expenses → MK-CF-O-010 theMonth → MK-CF-F-203 MONTH → MK-NW-F-046 historyCoverage
9. … and 5 more paths</t>
        </is>
      </c>
      <c r="S274" s="3" t="inlineStr">
        <is>
          <t>—</t>
        </is>
      </c>
      <c r="T274" s="3" t="inlineStr">
        <is>
          <t>—</t>
        </is>
      </c>
      <c r="U274" s="3" t="inlineStr">
        <is>
          <t>ACTIVE</t>
        </is>
      </c>
      <c r="V274" s="3" t="inlineStr">
        <is>
          <t>2026-10-10</t>
        </is>
      </c>
      <c r="W274" s="3" t="n"/>
      <c r="X274" s="3" t="n"/>
      <c r="Y274" s="3" t="inlineStr">
        <is>
          <t>NOTHING OPEN</t>
        </is>
      </c>
    </row>
    <row r="275" ht="45" customHeight="1">
      <c r="A275" s="3" t="inlineStr">
        <is>
          <t>MK-NW-F-047</t>
        </is>
      </c>
      <c r="B275" s="3" t="inlineStr">
        <is>
          <t>uberGroupOf</t>
        </is>
      </c>
      <c r="C275" s="3" t="inlineStr">
        <is>
          <t>src/domain/assets/index.ts</t>
        </is>
      </c>
      <c r="D275" s="3" t="n">
        <v>3049</v>
      </c>
      <c r="E275" s="3" t="inlineStr">
        <is>
          <t>1 · ACTION</t>
        </is>
      </c>
      <c r="F275" s="3" t="inlineStr">
        <is>
          <t>Which of the three Net worth groups an asset class belongs to: Cash, Investments or Personal property.</t>
        </is>
      </c>
      <c r="G275" s="11" t="inlineStr">
        <is>
          <t>CLASS_UBER[cls] (or 'investments' when missing)</t>
        </is>
      </c>
      <c r="H275" s="3" t="inlineStr">
        <is>
          <t>CLASS_UBER[cls] (or 'investments' — when missing)</t>
        </is>
      </c>
      <c r="I275" s="3" t="inlineStr">
        <is>
          <t>READ FROM THE CODE — rendered from the expressions the function runs</t>
        </is>
      </c>
      <c r="J275" s="3" t="inlineStr">
        <is>
          <t>cls: AssetClass</t>
        </is>
      </c>
      <c r="K275" s="3" t="inlineStr">
        <is>
          <t>UberGroup</t>
        </is>
      </c>
      <c r="L275" s="3" t="inlineStr">
        <is>
          <t>"Nothing entered yet." — on the Net worth screen, under "DEBTS"</t>
        </is>
      </c>
      <c r="M275" s="3" t="inlineStr">
        <is>
          <t>None found in this function — anything it assumes comes from the functions it depends on.</t>
        </is>
      </c>
      <c r="N275" s="3" t="inlineStr">
        <is>
          <t>Yes</t>
        </is>
      </c>
      <c r="O275" s="3" t="inlineStr">
        <is>
          <t>—</t>
        </is>
      </c>
      <c r="P275" s="3" t="n">
        <v>0</v>
      </c>
      <c r="Q275" s="3" t="inlineStr">
        <is>
          <t>None — no dependent function stands behind it</t>
        </is>
      </c>
      <c r="R275" s="3" t="inlineStr">
        <is>
          <t>No dependent function — it reads its inputs and answers</t>
        </is>
      </c>
      <c r="S275" s="3" t="inlineStr">
        <is>
          <t>—</t>
        </is>
      </c>
      <c r="T275" s="3" t="inlineStr">
        <is>
          <t>—</t>
        </is>
      </c>
      <c r="U275" s="3" t="inlineStr">
        <is>
          <t>ACTIVE</t>
        </is>
      </c>
      <c r="V275" s="3" t="inlineStr">
        <is>
          <t>2026-08-27</t>
        </is>
      </c>
      <c r="W275" s="3" t="n"/>
      <c r="X275" s="3" t="n"/>
      <c r="Y275" s="3" t="inlineStr">
        <is>
          <t>NOTHING OPEN</t>
        </is>
      </c>
    </row>
    <row r="276" ht="45" customHeight="1">
      <c r="A276" s="3" t="inlineStr">
        <is>
          <t>MK-NW-F-048</t>
        </is>
      </c>
      <c r="B276" s="3" t="inlineStr">
        <is>
          <t>uberGroupRows</t>
        </is>
      </c>
      <c r="C276" s="3" t="inlineStr">
        <is>
          <t>src/domain/assets/index.ts</t>
        </is>
      </c>
      <c r="D276" s="3" t="n">
        <v>3067</v>
      </c>
      <c r="E276" s="3" t="inlineStr">
        <is>
          <t>2 · DISPLAYED</t>
        </is>
      </c>
      <c r="F276" s="3" t="inlineStr">
        <is>
          <t>Group per-class totals into the three uber-groups, keeping class order inside each.</t>
        </is>
      </c>
      <c r="G276" s="11" t="inlineStr">
        <is>
          <t>classes = class rows where uber group of(key) = group</t>
        </is>
      </c>
      <c r="H276" s="3" t="inlineStr">
        <is>
          <t>Classes is class rows where uber group of(key) = group.</t>
        </is>
      </c>
      <c r="I276" s="3" t="inlineStr">
        <is>
          <t>READ FROM THE CODE — rendered from the expressions the function runs</t>
        </is>
      </c>
      <c r="J276" s="3" t="inlineStr">
        <is>
          <t>Nothing is handed to it</t>
        </is>
      </c>
      <c r="K276" s="3" t="inlineStr">
        <is>
          <t>NOT DECLARED — the code does not say what it gives back</t>
        </is>
      </c>
      <c r="L276" s="3" t="inlineStr">
        <is>
          <t>NOT FOUND — a screen calls it, but the words printed beside its answer could not be traced automatically. Needs reading.</t>
        </is>
      </c>
      <c r="M276" s="3" t="inlineStr">
        <is>
          <t>None found in this function — anything it assumes comes from the functions it depends on.</t>
        </is>
      </c>
      <c r="N276" s="3" t="inlineStr">
        <is>
          <t>Yes</t>
        </is>
      </c>
      <c r="O276" s="3" t="inlineStr">
        <is>
          <t>1. MK-CF-F-132 map
2. MK-NW-F-047 uberGroupOf</t>
        </is>
      </c>
      <c r="P276" s="3" t="n">
        <v>2</v>
      </c>
      <c r="Q276" s="3" t="inlineStr">
        <is>
          <t>1. MK-CF-F-132 map
2. MK-NW-F-047 uberGroupOf</t>
        </is>
      </c>
      <c r="R276" s="3" t="inlineStr">
        <is>
          <t>1. MK-CF-F-132 map → MK-NW-F-048 uberGroupRows
2. MK-NW-F-047 uberGroupOf → MK-NW-F-048 uberGroupRows</t>
        </is>
      </c>
      <c r="S276" s="3" t="inlineStr">
        <is>
          <t>—</t>
        </is>
      </c>
      <c r="T276" s="3" t="inlineStr">
        <is>
          <t>NET_WORTH_GROUPING</t>
        </is>
      </c>
      <c r="U276" s="3" t="inlineStr">
        <is>
          <t>ACTIVE</t>
        </is>
      </c>
      <c r="V276" s="3" t="inlineStr">
        <is>
          <t>2026-08-27</t>
        </is>
      </c>
      <c r="W276" s="3" t="n"/>
      <c r="X276" s="3" t="n"/>
      <c r="Y276" s="3" t="inlineStr">
        <is>
          <t>NOTHING OPEN</t>
        </is>
      </c>
    </row>
    <row r="277" ht="30" customHeight="1">
      <c r="A277" s="3" t="inlineStr">
        <is>
          <t>MK-NW-F-049</t>
        </is>
      </c>
      <c r="B277" s="3" t="inlineStr">
        <is>
          <t>itemizedTotal</t>
        </is>
      </c>
      <c r="C277" s="3" t="inlineStr">
        <is>
          <t>src/domain/assets/itemize.ts</t>
        </is>
      </c>
      <c r="D277" s="3" t="n">
        <v>52</v>
      </c>
      <c r="E277" s="3" t="inlineStr">
        <is>
          <t>1 · ACTION</t>
        </is>
      </c>
      <c r="F277" s="3" t="inlineStr">
        <is>
          <t>Σ of the itemized holding values.</t>
        </is>
      </c>
      <c r="G277" s="11" t="inlineStr">
        <is>
          <t>the answer = Σ over items of (value, or 0 when missing)</t>
        </is>
      </c>
      <c r="H277" s="3" t="inlineStr">
        <is>
          <t>Adds up the value of every holding entered while itemising an account.</t>
        </is>
      </c>
      <c r="I277" s="3" t="inlineStr">
        <is>
          <t>READ BY HAND 2026-08-26 — checked line by line against the code</t>
        </is>
      </c>
      <c r="J277" s="3" t="inlineStr">
        <is>
          <t>items: ItemHolding[]</t>
        </is>
      </c>
      <c r="K277" s="3" t="inlineStr">
        <is>
          <t>number</t>
        </is>
      </c>
      <c r="L277" s="3" t="inlineStr">
        <is>
          <t>—</t>
        </is>
      </c>
      <c r="M277" s="3" t="inlineStr">
        <is>
          <t>None found in this function — anything it assumes comes from the functions it depends on.</t>
        </is>
      </c>
      <c r="N277" s="3" t="inlineStr">
        <is>
          <t>Yes</t>
        </is>
      </c>
      <c r="O277" s="3" t="inlineStr">
        <is>
          <t>—</t>
        </is>
      </c>
      <c r="P277" s="3" t="n">
        <v>0</v>
      </c>
      <c r="Q277" s="3" t="inlineStr">
        <is>
          <t>None — no dependent function stands behind it</t>
        </is>
      </c>
      <c r="R277" s="3" t="inlineStr">
        <is>
          <t>No dependent function — it reads its inputs and answers</t>
        </is>
      </c>
      <c r="S277" s="3" t="inlineStr">
        <is>
          <t>—</t>
        </is>
      </c>
      <c r="T277" s="3" t="inlineStr">
        <is>
          <t>ITEMISED_TOTAL</t>
        </is>
      </c>
      <c r="U277" s="3" t="inlineStr">
        <is>
          <t>ACTIVE</t>
        </is>
      </c>
      <c r="V277" s="3" t="inlineStr">
        <is>
          <t>2026-09-12</t>
        </is>
      </c>
      <c r="W277" s="3" t="n"/>
      <c r="X277" s="3" t="n"/>
      <c r="Y277" s="3" t="inlineStr">
        <is>
          <t>NOTHING OPEN</t>
        </is>
      </c>
    </row>
    <row r="278" ht="60" customHeight="1">
      <c r="A278" s="3" t="inlineStr">
        <is>
          <t>MK-NW-F-050</t>
        </is>
      </c>
      <c r="B278" s="3" t="inlineStr">
        <is>
          <t>itemizeRemainder</t>
        </is>
      </c>
      <c r="C278" s="3" t="inlineStr">
        <is>
          <t>src/domain/assets/itemize.ts</t>
        </is>
      </c>
      <c r="D278" s="3" t="n">
        <v>106</v>
      </c>
      <c r="E278" s="3" t="inlineStr">
        <is>
          <t>1 · ACTION</t>
        </is>
      </c>
      <c r="F278" s="3" t="inlineStr">
        <is>
          <t>The entered total of an account less the value of the holdings listed under it: positive when some is still unexplained, negative when the holdings add up to more.</t>
        </is>
      </c>
      <c r="G278" s="11" t="inlineStr">
        <is>
          <t>the answer = (lump balance, or 0) − itemized total(items)</t>
        </is>
      </c>
      <c r="H278" s="3" t="inlineStr">
        <is>
          <t>The lump balance less the holdings entered so far: positive means money still unallocated, negative means the holdings exceed the entered total.</t>
        </is>
      </c>
      <c r="I278" s="3" t="inlineStr">
        <is>
          <t>READ BY HAND 2026-08-26 — checked line by line against the code</t>
        </is>
      </c>
      <c r="J278" s="3" t="inlineStr">
        <is>
          <t>1. lumpBalance: number
2. items: ItemHolding[]</t>
        </is>
      </c>
      <c r="K278" s="3" t="inlineStr">
        <is>
          <t>number</t>
        </is>
      </c>
      <c r="L278" s="3" t="inlineStr">
        <is>
          <t>—</t>
        </is>
      </c>
      <c r="M278" s="3" t="inlineStr">
        <is>
          <t>· If lump balance is missing it counts as zero, so nothing recorded and a real zero look the same.</t>
        </is>
      </c>
      <c r="N278" s="3" t="inlineStr">
        <is>
          <t>Yes</t>
        </is>
      </c>
      <c r="O278" s="3" t="inlineStr">
        <is>
          <t>MK-NW-F-049 itemizedTotal</t>
        </is>
      </c>
      <c r="P278" s="3" t="n">
        <v>1</v>
      </c>
      <c r="Q278" s="3" t="inlineStr">
        <is>
          <t>MK-NW-F-049 itemizedTotal</t>
        </is>
      </c>
      <c r="R278" s="3" t="inlineStr">
        <is>
          <t>MK-NW-F-049 itemizedTotal → MK-NW-F-050 itemizeRemainder</t>
        </is>
      </c>
      <c r="S278" s="3" t="inlineStr">
        <is>
          <t>—</t>
        </is>
      </c>
      <c r="T278" s="3" t="inlineStr">
        <is>
          <t>ITEMISED_REMAINDER</t>
        </is>
      </c>
      <c r="U278" s="3" t="inlineStr">
        <is>
          <t>ACTIVE</t>
        </is>
      </c>
      <c r="V278" s="3" t="inlineStr">
        <is>
          <t>2026-09-12</t>
        </is>
      </c>
      <c r="W278" s="3" t="n"/>
      <c r="X278" s="3" t="n"/>
      <c r="Y278" s="3" t="inlineStr">
        <is>
          <t>NOTHING OPEN</t>
        </is>
      </c>
    </row>
    <row r="279" ht="60" customHeight="1">
      <c r="A279" s="3" t="inlineStr">
        <is>
          <t>MK-NW-F-051</t>
        </is>
      </c>
      <c r="B279" s="3" t="inlineStr">
        <is>
          <t>itemizedResultTotal</t>
        </is>
      </c>
      <c r="C279" s="3" t="inlineStr">
        <is>
          <t>src/domain/assets/itemize.ts</t>
        </is>
      </c>
      <c r="D279" s="3" t="n">
        <v>131</v>
      </c>
      <c r="E279" s="3" t="inlineStr">
        <is>
          <t>2 · DISPLAYED</t>
        </is>
      </c>
      <c r="F279" s="3" t="inlineStr">
        <is>
          <t>The account total AFTER itemizing.</t>
        </is>
      </c>
      <c r="G279" s="11" t="inlineStr">
        <is>
          <t>sum = itemized total(items)
remainder = itemize remainder(lump.balance, items)
the answer:
sum + remainder   if remainder &gt; 0
sum   otherwise</t>
        </is>
      </c>
      <c r="H279" s="3" t="inlineStr">
        <is>
          <t>Sum is itemized total(items). Remainder is itemize remainder(lump.balance, items). The answer is sum plus remainder — when remainder &gt; 0; sum — otherwise.</t>
        </is>
      </c>
      <c r="I279" s="3" t="inlineStr">
        <is>
          <t>READ FROM THE CODE — rendered from the expressions the function runs</t>
        </is>
      </c>
      <c r="J279" s="3" t="inlineStr">
        <is>
          <t>1. lump: Pick&lt;AssetAccount, 'balance'&gt;
2. items: ItemHolding[]</t>
        </is>
      </c>
      <c r="K279" s="3" t="inlineStr">
        <is>
          <t>number</t>
        </is>
      </c>
      <c r="L279" s="3" t="inlineStr">
        <is>
          <t>NOT FOUND — a screen calls it, but the words printed beside its answer could not be traced automatically. Needs reading.</t>
        </is>
      </c>
      <c r="M279" s="3" t="inlineStr">
        <is>
          <t>None found in this function — anything it assumes comes from the functions it depends on.</t>
        </is>
      </c>
      <c r="N279" s="3" t="inlineStr">
        <is>
          <t>Yes</t>
        </is>
      </c>
      <c r="O279" s="3" t="inlineStr">
        <is>
          <t>1. MK-CF-F-155 cash
2. MK-NW-F-050 itemizeRemainder
3. MK-NW-F-049 itemizedTotal</t>
        </is>
      </c>
      <c r="P279" s="3" t="n">
        <v>4</v>
      </c>
      <c r="Q279" s="3" t="inlineStr">
        <is>
          <t>1. MK-CF-F-155 cash
2. MK-NW-F-050 itemizeRemainder
3. MK-NW-F-049 itemizedTotal
4. MK-XS-F-122 n</t>
        </is>
      </c>
      <c r="R279" s="3" t="inlineStr">
        <is>
          <t>1. MK-XS-F-122 n → MK-CF-F-155 cash → MK-NW-F-051 itemizedResultTotal
2. MK-NW-F-049 itemizedTotal → MK-NW-F-050 itemizeRemainder → MK-NW-F-051 itemizedResultTotal
3. MK-NW-F-049 itemizedTotal → MK-NW-F-051 itemizedResultTotal</t>
        </is>
      </c>
      <c r="S279" s="3" t="inlineStr">
        <is>
          <t>—</t>
        </is>
      </c>
      <c r="T279" s="3" t="inlineStr">
        <is>
          <t>—</t>
        </is>
      </c>
      <c r="U279" s="3" t="inlineStr">
        <is>
          <t>ACTIVE</t>
        </is>
      </c>
      <c r="V279" s="3" t="inlineStr">
        <is>
          <t>2026-10-07</t>
        </is>
      </c>
      <c r="W279" s="3" t="n"/>
      <c r="X279" s="3" t="n"/>
      <c r="Y279" s="3" t="inlineStr">
        <is>
          <t>NOTHING OPEN</t>
        </is>
      </c>
    </row>
    <row r="280" ht="60" customHeight="1">
      <c r="A280" s="3" t="inlineStr">
        <is>
          <t>MK-NW-F-052</t>
        </is>
      </c>
      <c r="B280" s="3" t="inlineStr">
        <is>
          <t>buildItemizedAccounts</t>
        </is>
      </c>
      <c r="C280" s="3" t="inlineStr">
        <is>
          <t>src/domain/assets/itemize.ts</t>
        </is>
      </c>
      <c r="D280" s="3" t="n">
        <v>173</v>
      </c>
      <c r="E280" s="3" t="inlineStr">
        <is>
          <t>2 · DISPLAYED</t>
        </is>
      </c>
      <c r="F280" s="3" t="inlineStr">
        <is>
          <t>Build the new accounts to CREATE when committing an itemization.</t>
        </is>
      </c>
      <c r="G280" s="11" t="inlineStr">
        <is>
          <t>missing = items (or none when missing) where value = nothing (or !number.is finite(value) when missing or zero)
institution = (lump.institution or lump.label or '').trim() (or undefined when missing or zero)
bucket = lump.tax bucket
wrapper = lump.kind   if lump.kind and ['401k', 'trad_ira', 'roth_ira', 'hsa', 'college_529'].includes(lump.kind)
undefined   otherwise
the answer = acct
remainder = itemize remainder(lump.balance, items)</t>
        </is>
      </c>
      <c r="H280" s="3" t="inlineStr">
        <is>
          <t>Missing is items (or none — when missing) where value is missing (or !number.is finite(value) — when missing or zero). Institution is (lump.institution or lump.label or '').trim() (or undefined — when missing or zero). Bucket is lump.tax bucket. Wrapper is lump.kind — when lump.kind and ['401k', 'trad_ira', 'roth_ira', 'hsa', 'college_529'].includes(lump.kind); undefined — otherwise. The answer is acct. Remainder is itemize remainder(lump.balance, items).</t>
        </is>
      </c>
      <c r="I280" s="3" t="inlineStr">
        <is>
          <t>PARTLY READ — some of the code is still showing through; needs a hand pass</t>
        </is>
      </c>
      <c r="J280" s="3" t="inlineStr">
        <is>
          <t>1. lump: AssetAccount
2. items: ItemHolding[]</t>
        </is>
      </c>
      <c r="K280" s="3" t="inlineStr">
        <is>
          <t>Omit&lt;AssetAccount, 'asset_id'&gt;[]</t>
        </is>
      </c>
      <c r="L280" s="3" t="inlineStr">
        <is>
          <t>NOT FOUND — a screen calls it, but the words printed beside its answer could not be traced automatically. Needs reading.</t>
        </is>
      </c>
      <c r="M280" s="3" t="inlineStr">
        <is>
          <t>None found in this function — anything it assumes comes from the functions it depends on.</t>
        </is>
      </c>
      <c r="N280" s="3" t="inlineStr">
        <is>
          <t>Yes</t>
        </is>
      </c>
      <c r="O280" s="3" t="inlineStr">
        <is>
          <t>1. MK-NW-F-034 benchmarkReturn
2. MK-CF-F-155 cash
3. MK-NW-F-050 itemizeRemainder
4. MK-CF-F-132 map
5. MK-NW-F-067 plural</t>
        </is>
      </c>
      <c r="P280" s="3" t="n">
        <v>19</v>
      </c>
      <c r="Q280" s="3" t="inlineStr">
        <is>
          <t>1. MK-NW-F-034 benchmarkReturn
2. MK-CF-F-155 cash
3. MK-NW-F-050 itemizeRemainder
4. MK-CF-F-132 map
5. MK-NW-F-067 plural
6. MK-NW-F-007 assetKind
7. MK-XS-F-122 n
8. MK-NW-F-049 itemizedTotal
9. MK-NW-F-011 assetClassOf
10. MK-NW-F-120 classEvidenceOf
11. MK-NW-F-008 incomeBearingClassOf
12. MK-NW-F-009 maturityClass
13. MK-ST-F-010 nameEvidence
14. MK-NW-F-068 prettyDay
15. MK-XS-F-147 call
16. MK-ST-F-056 has
17. MK-ST-F-027 accountId
18. MK-XS-F-064 currentIdToken
19. MK-XS-F-112 relayUrl</t>
        </is>
      </c>
      <c r="R280" s="3" t="inlineStr">
        <is>
          <t>1. MK-CF-F-155 cash → MK-NW-F-120 classEvidenceOf → MK-NW-F-011 assetClassOf → MK-NW-F-007 assetKind → MK-NW-F-034 benchmarkReturn → MK-NW-F-052 buildItemizedAccounts
2. MK-NW-F-008 incomeBearingClassOf → MK-NW-F-120 classEvidenceOf → MK-NW-F-011 assetClassOf → MK-NW-F-007 assetKind → MK-NW-F-034 benchmarkReturn → MK-NW-F-052 buildItemizedAccounts
3. MK-NW-F-009 maturityClass → MK-NW-F-120 classEvidenceOf → MK-NW-F-011 assetClassOf → MK-NW-F-007 assetKind → MK-NW-F-034 benchmarkReturn → MK-NW-F-052 buildItemizedAccounts
4. MK-XS-F-122 n → MK-CF-F-155 cash → MK-NW-F-007 assetKind → MK-NW-F-034 benchmarkReturn → MK-NW-F-052 buildItemizedAccounts
5. MK-XS-F-122 n → MK-CF-F-155 cash → MK-NW-F-052 buildItemizedAccounts
6. MK-NW-F-049 itemizedTotal → MK-NW-F-050 itemizeRemainder → MK-NW-F-052 buildItemizedAccounts
7. MK-CF-F-132 map → MK-NW-F-052 buildItemizedAccounts
8. MK-XS-F-122 n → MK-NW-F-067 plural → MK-NW-F-052 buildItemizedAccounts</t>
        </is>
      </c>
      <c r="S280" s="3" t="inlineStr">
        <is>
          <t>—</t>
        </is>
      </c>
      <c r="T280" s="3" t="inlineStr">
        <is>
          <t>ITEMISE_AN_ACCOUNT</t>
        </is>
      </c>
      <c r="U280" s="3" t="inlineStr">
        <is>
          <t>ACTIVE</t>
        </is>
      </c>
      <c r="V280" s="3" t="inlineStr">
        <is>
          <t>2026-10-09</t>
        </is>
      </c>
      <c r="W280" s="3" t="n"/>
      <c r="X280" s="3" t="n"/>
      <c r="Y280" s="3" t="inlineStr">
        <is>
          <t>NOTHING OPEN</t>
        </is>
      </c>
    </row>
    <row r="281" ht="60" customHeight="1">
      <c r="A281" s="3" t="inlineStr">
        <is>
          <t>MK-NW-F-053</t>
        </is>
      </c>
      <c r="B281" s="3" t="inlineStr">
        <is>
          <t>correctClassOf</t>
        </is>
      </c>
      <c r="C281" s="3" t="inlineStr">
        <is>
          <t>src/domain/assets/reclassify.ts</t>
        </is>
      </c>
      <c r="D281" s="3" t="n">
        <v>46</v>
      </c>
      <c r="E281" s="3" t="inlineStr">
        <is>
          <t>3 · DEPENDENT</t>
        </is>
      </c>
      <c r="F281" s="3" t="inlineStr">
        <is>
          <t>The class an account SHOULD carry under the current rule.</t>
        </is>
      </c>
      <c r="G281" s="11" t="inlineStr">
        <is>
          <t>asset class (or nothing when missing)   when class source = 'user'
evidence = class evidence of(a)
evidence   when evidence
'stocks_etf'   when kind = 'money_market'
'bonds'   when kind = 'cd'
the answer = nothing</t>
        </is>
      </c>
      <c r="H281" s="3" t="inlineStr">
        <is>
          <t>When class source = 'user', it answers asset class (or no answer — when missing). Evidence is class evidence of(a). When evidence, it answers evidence. When kind = 'money_market', it answers 'stocks_etf'. When kind = 'cd', it answers 'bonds'. The answer is no answer.</t>
        </is>
      </c>
      <c r="I281" s="3" t="inlineStr">
        <is>
          <t>READ FROM THE CODE — rendered from the expressions the function runs</t>
        </is>
      </c>
      <c r="J281" s="3" t="inlineStr">
        <is>
          <t>a: AssetAccount</t>
        </is>
      </c>
      <c r="K281" s="3" t="inlineStr">
        <is>
          <t>AssetClass | null</t>
        </is>
      </c>
      <c r="L281" s="3" t="inlineStr">
        <is>
          <t>—</t>
        </is>
      </c>
      <c r="M281" s="3" t="inlineStr">
        <is>
          <t>None found in this function — anything it assumes comes from the functions it depends on.</t>
        </is>
      </c>
      <c r="N281" s="3" t="inlineStr">
        <is>
          <t>Yes</t>
        </is>
      </c>
      <c r="O281" s="3" t="inlineStr">
        <is>
          <t>MK-NW-F-120 classEvidenceOf</t>
        </is>
      </c>
      <c r="P281" s="3" t="n">
        <v>14</v>
      </c>
      <c r="Q281" s="3" t="inlineStr">
        <is>
          <t>1. MK-NW-F-120 classEvidenceOf
2. MK-CF-F-155 cash
3. MK-NW-F-008 incomeBearingClassOf
4. MK-NW-F-009 maturityClass
5. MK-XS-F-122 n
6. MK-ST-F-010 nameEvidence
7. MK-NW-F-011 assetClassOf
8. MK-NW-F-068 prettyDay
9. MK-XS-F-147 call
10. MK-ST-F-056 has
11. MK-CF-F-132 map
12. MK-ST-F-027 accountId
13. MK-XS-F-064 currentIdToken
14. MK-XS-F-112 relayUrl</t>
        </is>
      </c>
      <c r="R281" s="3" t="inlineStr">
        <is>
          <t>1. MK-XS-F-122 n → MK-CF-F-155 cash → MK-NW-F-120 classEvidenceOf → MK-NW-F-053 correctClassOf
2. MK-XS-F-122 n → MK-CF-F-155 cash → MK-NW-F-008 incomeBearingClassOf → MK-NW-F-120 classEvidenceOf → MK-NW-F-053 correctClassOf
3. MK-ST-F-027 accountId → MK-XS-F-147 call → MK-ST-F-010 nameEvidence → MK-NW-F-008 incomeBearingClassOf → MK-NW-F-120 classEvidenceOf → MK-NW-F-053 correctClassOf
4. MK-XS-F-064 currentIdToken → MK-XS-F-147 call → MK-ST-F-010 nameEvidence → MK-NW-F-008 incomeBearingClassOf → MK-NW-F-120 classEvidenceOf → MK-NW-F-053 correctClassOf
5. MK-XS-F-112 relayUrl → MK-XS-F-147 call → MK-ST-F-010 nameEvidence → MK-NW-F-008 incomeBearingClassOf → MK-NW-F-120 classEvidenceOf → MK-NW-F-053 correctClassOf
6. MK-ST-F-056 has → MK-ST-F-010 nameEvidence → MK-NW-F-008 incomeBearingClassOf → MK-NW-F-120 classEvidenceOf → MK-NW-F-053 correctClassOf
7. MK-CF-F-132 map → MK-ST-F-010 nameEvidence → MK-NW-F-008 incomeBearingClassOf → MK-NW-F-120 classEvidenceOf → MK-NW-F-053 correctClassOf
8. classEvidenceOf (already above — a loop) → MK-NW-F-011 assetClassOf → MK-NW-F-009 maturityClass → MK-NW-F-120 classEvidenceOf → MK-NW-F-053 correctClassOf
9. … and 1 more paths</t>
        </is>
      </c>
      <c r="S281" s="3" t="inlineStr">
        <is>
          <t>—</t>
        </is>
      </c>
      <c r="T281" s="3" t="inlineStr">
        <is>
          <t>—</t>
        </is>
      </c>
      <c r="U281" s="3" t="inlineStr">
        <is>
          <t>ACTIVE</t>
        </is>
      </c>
      <c r="V281" s="3" t="inlineStr">
        <is>
          <t>2026-10-09</t>
        </is>
      </c>
      <c r="W281" s="3" t="n"/>
      <c r="X281" s="3" t="n"/>
      <c r="Y281" s="3" t="inlineStr">
        <is>
          <t>NOTHING OPEN</t>
        </is>
      </c>
    </row>
    <row r="282" ht="60" customHeight="1">
      <c r="A282" s="3" t="inlineStr">
        <is>
          <t>MK-NW-F-054</t>
        </is>
      </c>
      <c r="B282" s="3" t="inlineStr">
        <is>
          <t>reclassifyAccounts</t>
        </is>
      </c>
      <c r="C282" s="3" t="inlineStr">
        <is>
          <t>src/domain/assets/reclassify.ts</t>
        </is>
      </c>
      <c r="D282" s="3" t="n">
        <v>100</v>
      </c>
      <c r="E282" s="3" t="inlineStr">
        <is>
          <t>3 · DEPENDENT</t>
        </is>
      </c>
      <c r="F282" s="3" t="inlineStr">
        <is>
          <t>Corrects the asset class of any account or holding filed under the wrong one, and counts how many it changed.</t>
        </is>
      </c>
      <c r="G282" s="11" t="inlineStr">
        <is>
          <t>changed = 0
a   when wrapper confirmed
want = nothing   if class source = 'user'
correct class of(a)   otherwise
next = a
ps = (next.positions ?? []) as any[]
p   when class source = 'user' (or class asked when missing or zero)
the answer = p</t>
        </is>
      </c>
      <c r="H282" s="3" t="inlineStr">
        <is>
          <t>Changed is 0. When wrapper confirmed, it answers a. Want is no answer — when class source = 'user'; correct class of(a) — otherwise. Next is a. Ps is (next.positions ?? []) as any[]. When class source = 'user' (or class asked — when missing or zero), it answers p. The answer is p.</t>
        </is>
      </c>
      <c r="I282" s="3" t="inlineStr">
        <is>
          <t>PARTLY READ — some of the code is still showing through; needs a hand pass</t>
        </is>
      </c>
      <c r="J282" s="3" t="inlineStr">
        <is>
          <t>accounts: AssetAccount[]</t>
        </is>
      </c>
      <c r="K282" s="3" t="inlineStr">
        <is>
          <t>NOT DECLARED — the code does not say what it gives back</t>
        </is>
      </c>
      <c r="L282" s="3" t="inlineStr">
        <is>
          <t>—</t>
        </is>
      </c>
      <c r="M282" s="3" t="inlineStr">
        <is>
          <t>· Uses a built-in changed of 0.</t>
        </is>
      </c>
      <c r="N282" s="3" t="inlineStr">
        <is>
          <t>Yes</t>
        </is>
      </c>
      <c r="O282" s="3" t="inlineStr">
        <is>
          <t>1. MK-NW-F-053 correctClassOf
2. MK-NW-F-123 holdingNameEvidence
3. MK-NW-F-121 holdingTagClass
4. MK-NW-F-122 holdingTagFor
5. MK-CF-F-132 map</t>
        </is>
      </c>
      <c r="P282" s="3" t="n">
        <v>18</v>
      </c>
      <c r="Q282" s="3" t="inlineStr">
        <is>
          <t>1. MK-NW-F-053 correctClassOf
2. MK-NW-F-123 holdingNameEvidence
3. MK-NW-F-121 holdingTagClass
4. MK-NW-F-122 holdingTagFor
5. MK-CF-F-132 map
6. MK-NW-F-120 classEvidenceOf
7. MK-CF-F-155 cash
8. MK-NW-F-008 incomeBearingClassOf
9. MK-NW-F-009 maturityClass
10. MK-XS-F-122 n
11. MK-ST-F-010 nameEvidence
12. MK-NW-F-011 assetClassOf
13. MK-NW-F-068 prettyDay
14. MK-XS-F-147 call
15. MK-ST-F-056 has
16. MK-ST-F-027 accountId
17. MK-XS-F-064 currentIdToken
18. MK-XS-F-112 relayUrl</t>
        </is>
      </c>
      <c r="R282" s="3" t="inlineStr">
        <is>
          <t>1. MK-XS-F-122 n → MK-CF-F-155 cash → MK-NW-F-120 classEvidenceOf → MK-NW-F-053 correctClassOf → MK-NW-F-054 reclassifyAccounts
2. MK-XS-F-122 n → MK-CF-F-155 cash → MK-NW-F-008 incomeBearingClassOf → MK-NW-F-120 classEvidenceOf → MK-NW-F-053 correctClassOf → MK-NW-F-054 reclassifyAccounts
3. MK-XS-F-147 call → MK-ST-F-010 nameEvidence → MK-NW-F-008 incomeBearingClassOf → MK-NW-F-120 classEvidenceOf → MK-NW-F-053 correctClassOf → MK-NW-F-054 reclassifyAccounts
4. MK-ST-F-056 has → MK-ST-F-010 nameEvidence → MK-NW-F-008 incomeBearingClassOf → MK-NW-F-120 classEvidenceOf → MK-NW-F-053 correctClassOf → MK-NW-F-054 reclassifyAccounts
5. MK-CF-F-132 map → MK-ST-F-010 nameEvidence → MK-NW-F-008 incomeBearingClassOf → MK-NW-F-120 classEvidenceOf → MK-NW-F-053 correctClassOf → MK-NW-F-054 reclassifyAccounts
6. classEvidenceOf (already above — a loop) → MK-NW-F-011 assetClassOf → MK-NW-F-009 maturityClass → MK-NW-F-120 classEvidenceOf → MK-NW-F-053 correctClassOf → MK-NW-F-054 reclassifyAccounts
7. MK-CF-F-132 map → MK-NW-F-068 prettyDay → MK-NW-F-009 maturityClass → MK-NW-F-120 classEvidenceOf → MK-NW-F-053 correctClassOf → MK-NW-F-054 reclassifyAccounts
8. MK-XS-F-122 n → MK-CF-F-155 cash → MK-NW-F-123 holdingNameEvidence → MK-NW-F-054 reclassifyAccounts
9. … and 5 more paths</t>
        </is>
      </c>
      <c r="S282" s="3" t="inlineStr">
        <is>
          <t>—</t>
        </is>
      </c>
      <c r="T282" s="3" t="inlineStr">
        <is>
          <t>—</t>
        </is>
      </c>
      <c r="U282" s="3" t="inlineStr">
        <is>
          <t>ACTIVE</t>
        </is>
      </c>
      <c r="V282" s="3" t="inlineStr">
        <is>
          <t>2026-10-09</t>
        </is>
      </c>
      <c r="W282" s="3" t="n"/>
      <c r="X282" s="3" t="n"/>
      <c r="Y282" s="3" t="inlineStr">
        <is>
          <t>NOTHING OPEN</t>
        </is>
      </c>
    </row>
    <row r="283" ht="60" customHeight="1">
      <c r="A283" s="3" t="inlineStr">
        <is>
          <t>MK-NW-F-055</t>
        </is>
      </c>
      <c r="B283" s="3" t="inlineStr">
        <is>
          <t>isBond</t>
        </is>
      </c>
      <c r="C283" s="3" t="inlineStr">
        <is>
          <t>src/domain/bonds/index.ts</t>
        </is>
      </c>
      <c r="D283" s="3" t="n">
        <v>91</v>
      </c>
      <c r="E283" s="3" t="inlineStr">
        <is>
          <t>2 · DISPLAYED</t>
        </is>
      </c>
      <c r="F283" s="3" t="inlineStr">
        <is>
          <t>An AssetAccount is a bond if its ASSET CLASS is bonds (spec §2: "detected by assetClass, NOT maturity date").</t>
        </is>
      </c>
      <c r="G283" s="11" t="inlineStr">
        <is>
          <t>asset class of(a) = 'bonds'</t>
        </is>
      </c>
      <c r="H283" s="3" t="inlineStr">
        <is>
          <t>asset class of(a) = 'bonds'.</t>
        </is>
      </c>
      <c r="I283" s="3" t="inlineStr">
        <is>
          <t>READ FROM THE CODE — rendered from the expressions the function runs</t>
        </is>
      </c>
      <c r="J283" s="3" t="inlineStr">
        <is>
          <t>a: AssetAccount</t>
        </is>
      </c>
      <c r="K283" s="3" t="inlineStr">
        <is>
          <t>boolean</t>
        </is>
      </c>
      <c r="L283" s="3" t="inlineStr">
        <is>
          <t>NOT FOUND — a screen calls it, but the words printed beside its answer could not be traced automatically. Needs reading.</t>
        </is>
      </c>
      <c r="M283" s="3" t="inlineStr">
        <is>
          <t>None found in this function — anything it assumes comes from the functions it depends on.</t>
        </is>
      </c>
      <c r="N283" s="3" t="inlineStr">
        <is>
          <t>Yes</t>
        </is>
      </c>
      <c r="O283" s="3" t="inlineStr">
        <is>
          <t>MK-NW-F-011 assetClassOf</t>
        </is>
      </c>
      <c r="P283" s="3" t="n">
        <v>14</v>
      </c>
      <c r="Q283" s="3" t="inlineStr">
        <is>
          <t>1. MK-NW-F-011 assetClassOf
2. MK-NW-F-120 classEvidenceOf
3. MK-CF-F-155 cash
4. MK-NW-F-008 incomeBearingClassOf
5. MK-NW-F-009 maturityClass
6. MK-XS-F-122 n
7. MK-ST-F-010 nameEvidence
8. MK-NW-F-068 prettyDay
9. MK-XS-F-147 call
10. MK-ST-F-056 has
11. MK-CF-F-132 map
12. MK-ST-F-027 accountId
13. MK-XS-F-064 currentIdToken
14. MK-XS-F-112 relayUrl</t>
        </is>
      </c>
      <c r="R283" s="3" t="inlineStr">
        <is>
          <t>1. MK-XS-F-122 n → MK-CF-F-155 cash → MK-NW-F-120 classEvidenceOf → MK-NW-F-011 assetClassOf → MK-NW-F-055 isBond
2. MK-XS-F-122 n → MK-CF-F-155 cash → MK-NW-F-008 incomeBearingClassOf → MK-NW-F-120 classEvidenceOf → MK-NW-F-011 assetClassOf → MK-NW-F-055 isBond
3. MK-XS-F-147 call → MK-ST-F-010 nameEvidence → MK-NW-F-008 incomeBearingClassOf → MK-NW-F-120 classEvidenceOf → MK-NW-F-011 assetClassOf → MK-NW-F-055 isBond
4. MK-ST-F-056 has → MK-ST-F-010 nameEvidence → MK-NW-F-008 incomeBearingClassOf → MK-NW-F-120 classEvidenceOf → MK-NW-F-011 assetClassOf → MK-NW-F-055 isBond
5. MK-CF-F-132 map → MK-ST-F-010 nameEvidence → MK-NW-F-008 incomeBearingClassOf → MK-NW-F-120 classEvidenceOf → MK-NW-F-011 assetClassOf → MK-NW-F-055 isBond
6. assetClassOf (already above — a loop) → MK-NW-F-009 maturityClass → MK-NW-F-120 classEvidenceOf → MK-NW-F-011 assetClassOf → MK-NW-F-055 isBond
7. MK-CF-F-132 map → MK-NW-F-068 prettyDay → MK-NW-F-009 maturityClass → MK-NW-F-120 classEvidenceOf → MK-NW-F-011 assetClassOf → MK-NW-F-055 isBond</t>
        </is>
      </c>
      <c r="S283" s="3" t="inlineStr">
        <is>
          <t>—</t>
        </is>
      </c>
      <c r="T283" s="3" t="inlineStr">
        <is>
          <t>IS_BOND</t>
        </is>
      </c>
      <c r="U283" s="3" t="inlineStr">
        <is>
          <t>ACTIVE</t>
        </is>
      </c>
      <c r="V283" s="3" t="inlineStr">
        <is>
          <t>2026-08-27</t>
        </is>
      </c>
      <c r="W283" s="3" t="n"/>
      <c r="X283" s="3" t="n"/>
      <c r="Y283" s="3" t="inlineStr">
        <is>
          <t>NOTHING OPEN</t>
        </is>
      </c>
    </row>
    <row r="284" ht="60" customHeight="1">
      <c r="A284" s="3" t="inlineStr">
        <is>
          <t>MK-NW-F-056</t>
        </is>
      </c>
      <c r="B284" s="3" t="inlineStr">
        <is>
          <t>bondInfo</t>
        </is>
      </c>
      <c r="C284" s="3" t="inlineStr">
        <is>
          <t>src/domain/bonds/index.ts</t>
        </is>
      </c>
      <c r="D284" s="3" t="n">
        <v>139</v>
      </c>
      <c r="E284" s="3" t="inlineStr">
        <is>
          <t>3 · DEPENDENT</t>
        </is>
      </c>
      <c r="F284" s="3" t="inlineStr">
        <is>
          <t>What are this holding's bond facts?</t>
        </is>
      </c>
      <c r="G284" s="11" t="inlineStr">
        <is>
          <t>face = face value   when it is above 0;   nothing otherwise
coupon rate = coupon rate as entered (a typed 0 kept);   nothing when not entered
maturity = maturity date or ''
value = balance or 0
accrued interest = the entered figure, or nothing when not entered
is a CD = kind is 'cd', or the name or institution says CD or certificate of deposit
where a CD was bought = 'broker'   when the person said so;   'bank' otherwise (DEC-3837, 2026-10-10)</t>
        </is>
      </c>
      <c r="H284" s="3" t="inlineStr">
        <is>
          <t>Reads the bond's facts off the account record — face value, coupon rate, maturity date, the value as entered, the accrued interest when the person entered it (MK-XS-I-065), whether it is a CD, and where a CD was bought (a CD not answered is read as bought from the bank, DEC-3837). No arithmetic.</t>
        </is>
      </c>
      <c r="I284" s="3" t="inlineStr">
        <is>
          <t>READ BY HAND 2026-08-26 — checked line by line against the code</t>
        </is>
      </c>
      <c r="J284" s="3" t="inlineStr">
        <is>
          <t>a: AssetAccount</t>
        </is>
      </c>
      <c r="K284" s="3" t="inlineStr">
        <is>
          <t>BondInfo</t>
        </is>
      </c>
      <c r="L284" s="3" t="inlineStr">
        <is>
          <t>—</t>
        </is>
      </c>
      <c r="M284" s="3" t="inlineStr">
        <is>
          <t>· If balance is missing it counts as zero, so nothing recorded and a real zero look the same.</t>
        </is>
      </c>
      <c r="N284" s="3" t="inlineStr">
        <is>
          <t>Yes</t>
        </is>
      </c>
      <c r="O284" s="3" t="inlineStr">
        <is>
          <t>MK-CF-F-155 cash</t>
        </is>
      </c>
      <c r="P284" s="3" t="n">
        <v>2</v>
      </c>
      <c r="Q284" s="3" t="inlineStr">
        <is>
          <t>1. MK-CF-F-155 cash
2. MK-XS-F-122 n</t>
        </is>
      </c>
      <c r="R284" s="3" t="inlineStr">
        <is>
          <t>MK-XS-F-122 n → MK-CF-F-155 cash → MK-NW-F-056 bondInfo</t>
        </is>
      </c>
      <c r="S284" s="3" t="inlineStr">
        <is>
          <t>—</t>
        </is>
      </c>
      <c r="T284" s="3" t="inlineStr">
        <is>
          <t>BOND_FACTS</t>
        </is>
      </c>
      <c r="U284" s="3" t="inlineStr">
        <is>
          <t>ACTIVE</t>
        </is>
      </c>
      <c r="V284" s="3" t="inlineStr">
        <is>
          <t>2026-10-10</t>
        </is>
      </c>
      <c r="W284" s="3" t="inlineStr">
        <is>
          <t>[from MK-NW-M-041 / M-042 / M-045] bond display rule (nine facts; value current → cost → face; else 'need more information'); why compute yield when the coupon rate is an input?</t>
        </is>
      </c>
      <c r="X284"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84" s="6" t="inlineStr">
        <is>
          <t>WAITING ON YOU — answer to read</t>
        </is>
      </c>
    </row>
    <row r="285" ht="60" customHeight="1">
      <c r="A285" s="3" t="inlineStr">
        <is>
          <t>MK-NW-F-057</t>
        </is>
      </c>
      <c r="B285" s="3" t="inlineStr">
        <is>
          <t>annualCoupon</t>
        </is>
      </c>
      <c r="C285" s="3" t="inlineStr">
        <is>
          <t>src/domain/bonds/index.ts</t>
        </is>
      </c>
      <c r="D285" s="3" t="n">
        <v>185</v>
      </c>
      <c r="E285" s="3" t="inlineStr">
        <is>
          <t>3 · DEPENDENT</t>
        </is>
      </c>
      <c r="F285" s="3" t="inlineStr">
        <is>
          <t>Annual coupon income = face value × coupon rate (paid as cash).</t>
        </is>
      </c>
      <c r="G285" s="11" t="inlineStr">
        <is>
          <t>annual coupon = face value × coupon rate</t>
        </is>
      </c>
      <c r="H285" s="3" t="inlineStr">
        <is>
          <t>What the bond pays in interest over a year: its face value times its stated rate. Paid semi-annually in practice; this figure is the yearly total.</t>
        </is>
      </c>
      <c r="I285" s="3" t="inlineStr">
        <is>
          <t>READ BY HAND 2026-08-26 — checked line by line against the code</t>
        </is>
      </c>
      <c r="J285" s="3" t="inlineStr">
        <is>
          <t>b: BondInfo</t>
        </is>
      </c>
      <c r="K285" s="3" t="inlineStr">
        <is>
          <t>number | null</t>
        </is>
      </c>
      <c r="L285" s="3" t="inlineStr">
        <is>
          <t>—</t>
        </is>
      </c>
      <c r="M285" s="3" t="inlineStr">
        <is>
          <t>None found in this function — anything it assumes comes from the functions it depends on.</t>
        </is>
      </c>
      <c r="N285" s="3" t="inlineStr">
        <is>
          <t>Yes</t>
        </is>
      </c>
      <c r="O285" s="3" t="inlineStr">
        <is>
          <t>—</t>
        </is>
      </c>
      <c r="P285" s="3" t="n">
        <v>0</v>
      </c>
      <c r="Q285" s="3" t="inlineStr">
        <is>
          <t>None — no dependent function stands behind it</t>
        </is>
      </c>
      <c r="R285" s="3" t="inlineStr">
        <is>
          <t>No dependent function — it reads its inputs and answers</t>
        </is>
      </c>
      <c r="S285" s="3" t="inlineStr">
        <is>
          <t>—</t>
        </is>
      </c>
      <c r="T285" s="3" t="inlineStr">
        <is>
          <t>BOND_COUPON</t>
        </is>
      </c>
      <c r="U285" s="3" t="inlineStr">
        <is>
          <t>ACTIVE</t>
        </is>
      </c>
      <c r="V285" s="3" t="inlineStr">
        <is>
          <t>2026-09-27</t>
        </is>
      </c>
      <c r="W285" s="3" t="inlineStr">
        <is>
          <t>[from MK-NW-M-043] a matured bond must not earn a coupon; one label ('Calculated annual interest') instead of COUPON / YR and Interest payments; maturity date as an input.</t>
        </is>
      </c>
      <c r="X285" s="6" t="inlineStr">
        <is>
          <t>JJ-3: face × rate with no look at maturity — wrong for any matured bond, and inherited by F-061 and F-063. Fix: takes the maturity date and today; 0 once matured; adds MK-XS-I-013 to its inputs. Label: Q40; matured display: Q39.</t>
        </is>
      </c>
      <c r="Y285" s="6" t="inlineStr">
        <is>
          <t>WAITING ON YOU — answer to read</t>
        </is>
      </c>
    </row>
    <row r="286" ht="60" customHeight="1">
      <c r="A286" s="3" t="inlineStr">
        <is>
          <t>MK-NW-F-058</t>
        </is>
      </c>
      <c r="B286" s="3" t="inlineStr">
        <is>
          <t>yearsToMaturity</t>
        </is>
      </c>
      <c r="C286" s="3" t="inlineStr">
        <is>
          <t>src/domain/bonds/index.ts</t>
        </is>
      </c>
      <c r="D286" s="3" t="n">
        <v>390</v>
      </c>
      <c r="E286" s="3" t="inlineStr">
        <is>
          <t>3 · DEPENDENT</t>
        </is>
      </c>
      <c r="F286" s="3" t="inlineStr">
        <is>
          <t>How long until this bond pays back?</t>
        </is>
      </c>
      <c r="G286" s="11" t="inlineStr">
        <is>
          <t>years to maturity = max(0, (maturity date − today) ÷ 365.25 days)</t>
        </is>
      </c>
      <c r="H286" s="3" t="inlineStr">
        <is>
          <t>How long until the bond repays, as a fraction of a year, never negative. Uses 365.25 days — the master file says 365, which is finding A31.</t>
        </is>
      </c>
      <c r="I286" s="3" t="inlineStr">
        <is>
          <t>READ BY HAND 2026-08-26 — checked line by line against the code</t>
        </is>
      </c>
      <c r="J286" s="3" t="inlineStr">
        <is>
          <t>1. maturity: string
2. now: Date = new Date()</t>
        </is>
      </c>
      <c r="K286" s="3" t="inlineStr">
        <is>
          <t>number | null</t>
        </is>
      </c>
      <c r="L286" s="3" t="inlineStr">
        <is>
          <t>—</t>
        </is>
      </c>
      <c r="M286" s="3" t="inlineStr">
        <is>
          <t>1. Uses today's date from the device clock, so the answer changes by itself overnight.
2. Rounds the answer to a whole number.
3. No maturity date, or an unreadable one, gives NO answer — not zero and not "due now" (G11, founder 2026-09-12); the yield to maturity and the rate sensitivity then refuse too.</t>
        </is>
      </c>
      <c r="N286" s="3" t="inlineStr">
        <is>
          <t>Yes</t>
        </is>
      </c>
      <c r="O286" s="3" t="inlineStr">
        <is>
          <t>1. MK-NW-F-124 maturityParts
2. MK-XS-F-122 n</t>
        </is>
      </c>
      <c r="P286" s="3" t="n">
        <v>2</v>
      </c>
      <c r="Q286" s="3" t="inlineStr">
        <is>
          <t>1. MK-NW-F-124 maturityParts
2. MK-XS-F-122 n</t>
        </is>
      </c>
      <c r="R286" s="3" t="inlineStr">
        <is>
          <t>1. MK-NW-F-124 maturityParts → MK-NW-F-058 yearsToMaturity
2. MK-XS-F-122 n → MK-NW-F-058 yearsToMaturity</t>
        </is>
      </c>
      <c r="S286" s="3" t="inlineStr">
        <is>
          <t>—</t>
        </is>
      </c>
      <c r="T286" s="3" t="inlineStr">
        <is>
          <t>BOND_YEARS_LEFT</t>
        </is>
      </c>
      <c r="U286" s="3" t="inlineStr">
        <is>
          <t>ACTIVE</t>
        </is>
      </c>
      <c r="V286" s="3" t="inlineStr">
        <is>
          <t>2026-09-27</t>
        </is>
      </c>
      <c r="W286" s="3" t="n"/>
      <c r="X286" s="3" t="n"/>
      <c r="Y286" s="6" t="inlineStr">
        <is>
          <t>TESTED, NOT VERIFIED (G11)</t>
        </is>
      </c>
    </row>
    <row r="287" ht="60" customHeight="1">
      <c r="A287" s="3" t="inlineStr">
        <is>
          <t>MK-NW-F-059</t>
        </is>
      </c>
      <c r="B287" s="3" t="inlineStr">
        <is>
          <t>currentYield</t>
        </is>
      </c>
      <c r="C287" s="3" t="inlineStr">
        <is>
          <t>src/domain/bonds/index.ts</t>
        </is>
      </c>
      <c r="D287" s="3" t="n">
        <v>440</v>
      </c>
      <c r="E287" s="3" t="inlineStr">
        <is>
          <t>3 · DEPENDENT</t>
        </is>
      </c>
      <c r="F287" s="3" t="inlineStr">
        <is>
          <t>Current yield = annual coupon ÷ current price/value.</t>
        </is>
      </c>
      <c r="G287" s="11" t="inlineStr">
        <is>
          <t>current yield = annual coupon ÷ current value</t>
        </is>
      </c>
      <c r="H287" s="3" t="inlineStr">
        <is>
          <t>The interest a year as a share of what the bond is worth now. If the recorded value is a dirty price it carries accrued interest, and the yield reads low — the file does not say which it is.</t>
        </is>
      </c>
      <c r="I287" s="3" t="inlineStr">
        <is>
          <t>READ BY HAND 2026-08-26 — checked line by line against the code</t>
        </is>
      </c>
      <c r="J287" s="3" t="inlineStr">
        <is>
          <t>b: BondInfo</t>
        </is>
      </c>
      <c r="K287" s="3" t="inlineStr">
        <is>
          <t>number | null</t>
        </is>
      </c>
      <c r="L287" s="3" t="inlineStr">
        <is>
          <t>—</t>
        </is>
      </c>
      <c r="M287" s="3" t="inlineStr">
        <is>
          <t>None found in this function — anything it assumes comes from the functions it depends on.</t>
        </is>
      </c>
      <c r="N287" s="3" t="inlineStr">
        <is>
          <t>Yes</t>
        </is>
      </c>
      <c r="O287" s="3" t="inlineStr">
        <is>
          <t>MK-NW-F-112 yearlyInterest</t>
        </is>
      </c>
      <c r="P287" s="3" t="n">
        <v>1</v>
      </c>
      <c r="Q287" s="3" t="inlineStr">
        <is>
          <t>MK-NW-F-112 yearlyInterest</t>
        </is>
      </c>
      <c r="R287" s="3" t="inlineStr">
        <is>
          <t>MK-NW-F-112 yearlyInterest → MK-NW-F-059 currentYield</t>
        </is>
      </c>
      <c r="S287" s="3" t="inlineStr">
        <is>
          <t>—</t>
        </is>
      </c>
      <c r="T287" s="3" t="inlineStr">
        <is>
          <t>BOND_CURRENT_YIELD</t>
        </is>
      </c>
      <c r="U287" s="3" t="inlineStr">
        <is>
          <t>ACTIVE</t>
        </is>
      </c>
      <c r="V287" s="3" t="inlineStr">
        <is>
          <t>2026-09-27</t>
        </is>
      </c>
      <c r="W287" s="3" t="inlineStr">
        <is>
          <t>[from MK-NW-M-044, typed A47; and K45] subtract accrued interest when recorded, caveat when not; yield always two decimals.</t>
        </is>
      </c>
      <c r="X287" s="6" t="inlineStr">
        <is>
          <t>coupon ÷ value, no accrued-interest term (no field exists yet — after brief Q-38 (2026-08-20)). Two decimals: already on the Bonds screen; account detail's two yield rows still one decimal — fix there. Caveat wording: Q45.</t>
        </is>
      </c>
      <c r="Y287" s="6" t="inlineStr">
        <is>
          <t>WAITING ON YOU — answer to read · TESTED, NOT VERIFIED (A47)</t>
        </is>
      </c>
    </row>
    <row r="288" ht="60" customHeight="1">
      <c r="A288" s="3" t="inlineStr">
        <is>
          <t>MK-NW-F-060</t>
        </is>
      </c>
      <c r="B288" s="3" t="inlineStr">
        <is>
          <t>approxYTM</t>
        </is>
      </c>
      <c r="C288" s="3" t="inlineStr">
        <is>
          <t>src/domain/bonds/index.ts</t>
        </is>
      </c>
      <c r="D288" s="3" t="n">
        <v>610</v>
      </c>
      <c r="E288" s="3" t="inlineStr">
        <is>
          <t>3 · DEPENDENT</t>
        </is>
      </c>
      <c r="F288" s="3" t="inlineStr">
        <is>
          <t>Yield to maturity, solved from the price, decimal; a CD bought from the bank yields its rate (DEC-3837, 2026-10-10).</t>
        </is>
      </c>
      <c r="G288" s="11" t="inlineStr">
        <is>
          <t>nothing   when there is no maturity date or it has passed
a CD bought from the bank (not priced like a bond): the answer = its interest rate (DEC-3837, 2026-10-10)
nothing   when no face value or no rate was entered, or the value is 0 or less
full price = value + accrued interest (as entered, else estimated accrued)
the answer = the yield y at which price at yield(y) = full price, found by halving the interval</t>
        </is>
      </c>
      <c r="H288" s="3" t="inlineStr">
        <is>
          <t>The real yield, solved: the rate that discounts every remaining coupon and the face value back to the full price. A CD bought from the bank yields its stated rate, with or without a face value; a CD bought through a broker is priced like a bond (DEC-3837, 2026-10-10).</t>
        </is>
      </c>
      <c r="I288" s="3" t="inlineStr">
        <is>
          <t>READ BY HAND 2026-08-26 — checked line by line against the code</t>
        </is>
      </c>
      <c r="J288" s="3" t="inlineStr">
        <is>
          <t>1. b: BondInfo
2. now: Date = new Date()</t>
        </is>
      </c>
      <c r="K288" s="3" t="inlineStr">
        <is>
          <t>number | null</t>
        </is>
      </c>
      <c r="L288" s="3" t="inlineStr">
        <is>
          <t>—</t>
        </is>
      </c>
      <c r="M288" s="3" t="inlineStr">
        <is>
          <t>1. If amount is missing it uses 0.
2. Uses today's date from the device clock, so the answer changes by itself overnight.
3. 'value' is the bond's current value as entered (the balance) — the SAME total basis as face, not a price per $100 (founder question G20, 2026-09-08).</t>
        </is>
      </c>
      <c r="N288" s="3" t="inlineStr">
        <is>
          <t>Yes</t>
        </is>
      </c>
      <c r="O288" s="3" t="inlineStr">
        <is>
          <t>1. MK-NW-F-119 estimatedAccrued
2. MK-NW-F-069 priceAtYield
3. MK-NW-F-131 pricedLikeBond
4. MK-NW-F-058 yearsToMaturity</t>
        </is>
      </c>
      <c r="P288" s="3" t="n">
        <v>8</v>
      </c>
      <c r="Q288" s="3" t="inlineStr">
        <is>
          <t>1. MK-NW-F-119 estimatedAccrued
2. MK-NW-F-069 priceAtYield
3. MK-NW-F-131 pricedLikeBond
4. MK-NW-F-058 yearsToMaturity
5. MK-NW-F-124 maturityParts
6. MK-XS-F-122 n
7. MK-NW-F-057 annualCoupon
8. MK-CF-F-155 cash</t>
        </is>
      </c>
      <c r="R288" s="3" t="inlineStr">
        <is>
          <t>1. MK-NW-F-124 maturityParts → MK-NW-F-119 estimatedAccrued → MK-NW-F-060 approxYTM
2. MK-XS-F-122 n → MK-NW-F-119 estimatedAccrued → MK-NW-F-060 approxYTM
3. MK-XS-F-122 n → MK-CF-F-155 cash → MK-NW-F-131 pricedLikeBond → MK-NW-F-119 estimatedAccrued → MK-NW-F-060 approxYTM
4. MK-NW-F-057 annualCoupon → MK-NW-F-069 priceAtYield → MK-NW-F-060 approxYTM
5. MK-NW-F-124 maturityParts → MK-NW-F-058 yearsToMaturity → MK-NW-F-069 priceAtYield → MK-NW-F-060 approxYTM
6. MK-XS-F-122 n → MK-NW-F-058 yearsToMaturity → MK-NW-F-069 priceAtYield → MK-NW-F-060 approxYTM
7. MK-XS-F-122 n → MK-CF-F-155 cash → MK-NW-F-131 pricedLikeBond → MK-NW-F-060 approxYTM
8. MK-NW-F-124 maturityParts → MK-NW-F-058 yearsToMaturity → MK-NW-F-060 approxYTM
9. … and 1 more paths</t>
        </is>
      </c>
      <c r="S288" s="3" t="inlineStr">
        <is>
          <t>—</t>
        </is>
      </c>
      <c r="T288" s="3" t="inlineStr">
        <is>
          <t>BOND_YIELD_TO_MATURITY</t>
        </is>
      </c>
      <c r="U288" s="3" t="inlineStr">
        <is>
          <t>ACTIVE</t>
        </is>
      </c>
      <c r="V288" s="3" t="inlineStr">
        <is>
          <t>2026-10-10</t>
        </is>
      </c>
      <c r="W288" s="3" t="inlineStr">
        <is>
          <t>[from MK-NW-M-041, Formula (in words)] why compute yield when the coupon rate is an input?</t>
        </is>
      </c>
      <c r="X288" s="6" t="inlineStr">
        <is>
          <t>Yield to maturity is derived from coupon, face, value and years left — it cannot be an input. Coupon RATE stays an input (MK-XS-I-012). Two decimals on the account-detail row still owed (K45).</t>
        </is>
      </c>
      <c r="Y288" s="6" t="inlineStr">
        <is>
          <t>WAITING ON YOU — answer to read · TESTED, NOT VERIFIED (G11, G20)</t>
        </is>
      </c>
    </row>
    <row r="289" ht="60" customHeight="1">
      <c r="A289" s="3" t="inlineStr">
        <is>
          <t>MK-NW-F-061</t>
        </is>
      </c>
      <c r="B289" s="3" t="inlineStr">
        <is>
          <t>bondSummary</t>
        </is>
      </c>
      <c r="C289" s="3" t="inlineStr">
        <is>
          <t>src/domain/bonds/index.ts</t>
        </is>
      </c>
      <c r="D289" s="3" t="n">
        <v>698</v>
      </c>
      <c r="E289" s="3" t="inlineStr">
        <is>
          <t>3 · DEPENDENT</t>
        </is>
      </c>
      <c r="F289" s="3" t="inlineStr">
        <is>
          <t>Adds up every bond and CD held: how many there are, what they are worth, their face value, the interest they pay in a year, their average yield and the next one to mature.</t>
        </is>
      </c>
      <c r="G289" s="11" t="inlineStr">
        <is>
          <t>list = bonds (or none when missing)
total value = Σ over list of (value)
total face = Σ over list of (face (or 0 when missing))
coupon = Σ over list of (yearly interest now(each, now) (or 0 when missing))
clean = (b: bond info) =&gt; value
priced = list where clean(each) &gt; 0 and yearly interest(each) ≠ nothing and !is past maturity(maturity, now)
clean value = Σ over priced of (clean(each))
avg yield = Σ over clean value &gt; 0 ? priced of (yearly interest(each) (or 0 when missing))÷ clean value : nothing
today = iso local date(now)
future = for each of list: maturity where boolean where string(each).slice(0, 10) &gt; today, in order
the answer:
count = count of list
total value = total value
total face = total face
annual coupon = coupon
avg yield = avg yield
next maturity = the first of future (or nothing when missing)
… the first steps only — the rest of the body needs reading by hand.</t>
        </is>
      </c>
      <c r="H289" s="3" t="inlineStr">
        <is>
          <t>List is bonds (or none — when missing). Total value: the value added up across list. Total face: the face (or 0 — when missing) added up across list. Coupon: the yearly interest now(each, now) (or 0 — when missing) added up across list. Clean is (b: bond info) =&gt; value. Priced is list where clean(each) &gt; 0 and yearly interest(each) is not no answer and !is past maturity(maturity, now). Clean value: the clean(each) added up across priced. Avg yield: the yearly interest(each added up across clean value &gt; 0 ? priced (or 0 — when missing))÷ clean value : no answer. Today is iso local date(now). Future is for each of list: maturity where boolean where string(each).slice(0, 10) &gt; today, in order. The answer is count = how many list there are; total value = total value; total face = total face; annual coupon = coupon; avg yield = avg yield; next maturity = the first of future (or no answer — when missing). Only the first steps are shown; the rest of the body needs reading by hand.</t>
        </is>
      </c>
      <c r="I289" s="3" t="inlineStr">
        <is>
          <t>PARTLY READ — some of the code is still showing through; needs a hand pass</t>
        </is>
      </c>
      <c r="J289" s="3" t="inlineStr">
        <is>
          <t>1. bonds: BondInfo[]
2. now: Date = new Date()</t>
        </is>
      </c>
      <c r="K289" s="3" t="inlineStr">
        <is>
          <t>BondSummary</t>
        </is>
      </c>
      <c r="L289" s="3" t="inlineStr">
        <is>
          <t>—</t>
        </is>
      </c>
      <c r="M289" s="3" t="inlineStr">
        <is>
          <t>1. If face is missing it uses 0.
2. Uses today's date from the device clock, so the answer changes by itself overnight.</t>
        </is>
      </c>
      <c r="N289" s="3" t="inlineStr">
        <is>
          <t>Yes</t>
        </is>
      </c>
      <c r="O289" s="3" t="inlineStr">
        <is>
          <t>1. MK-NW-F-125 isPastMaturity
2. MK-ST-F-065 isoLocalDate
3. MK-CF-F-132 map
4. MK-NW-F-112 yearlyInterest
5. MK-NW-F-126 yearlyInterestNow</t>
        </is>
      </c>
      <c r="P289" s="3" t="n">
        <v>6</v>
      </c>
      <c r="Q289" s="3" t="inlineStr">
        <is>
          <t>1. MK-NW-F-125 isPastMaturity
2. MK-ST-F-065 isoLocalDate
3. MK-CF-F-132 map
4. MK-NW-F-112 yearlyInterest
5. MK-NW-F-126 yearlyInterestNow
6. MK-NW-F-124 maturityParts</t>
        </is>
      </c>
      <c r="R289" s="3" t="inlineStr">
        <is>
          <t>1. MK-ST-F-065 isoLocalDate → MK-NW-F-125 isPastMaturity → MK-NW-F-061 bondSummary
2. MK-NW-F-124 maturityParts → MK-NW-F-125 isPastMaturity → MK-NW-F-061 bondSummary
3. MK-ST-F-065 isoLocalDate → MK-NW-F-061 bondSummary
4. MK-CF-F-132 map → MK-NW-F-061 bondSummary
5. MK-NW-F-112 yearlyInterest → MK-NW-F-061 bondSummary
6. MK-ST-F-065 isoLocalDate → MK-NW-F-125 isPastMaturity → MK-NW-F-126 yearlyInterestNow → MK-NW-F-061 bondSummary
7. MK-NW-F-124 maturityParts → MK-NW-F-125 isPastMaturity → MK-NW-F-126 yearlyInterestNow → MK-NW-F-061 bondSummary
8. MK-NW-F-112 yearlyInterest → MK-NW-F-126 yearlyInterestNow → MK-NW-F-061 bondSummary</t>
        </is>
      </c>
      <c r="S289" s="3" t="inlineStr">
        <is>
          <t>—</t>
        </is>
      </c>
      <c r="T289" s="3" t="inlineStr">
        <is>
          <t>—</t>
        </is>
      </c>
      <c r="U289" s="3" t="inlineStr">
        <is>
          <t>ACTIVE</t>
        </is>
      </c>
      <c r="V289" s="3" t="inlineStr">
        <is>
          <t>2026-10-09</t>
        </is>
      </c>
      <c r="W289" s="3" t="inlineStr">
        <is>
          <t>[from MK-NW-M-041 / M-042 / M-043] total value = sum of what? inputs should be face value; matured bonds and the coupon total.</t>
        </is>
      </c>
      <c r="X289" s="6" t="inlineStr">
        <is>
          <t>totalValue = Σ each bond's entered value (the balance); totalFace = Σ face (MK-XS-I-011); count = number of bond records; the coupon total inherits JJ-3 (matured bonds still counted). This is the real producer of MK-NW-M-041 and M-042 — both rows should name it.</t>
        </is>
      </c>
      <c r="Y289" s="6" t="inlineStr">
        <is>
          <t>WAITING ON YOU — answer to read</t>
        </is>
      </c>
    </row>
    <row r="290" ht="60" customHeight="1">
      <c r="A290" s="3" t="inlineStr">
        <is>
          <t>MK-NW-F-062</t>
        </is>
      </c>
      <c r="B290" s="3" t="inlineStr">
        <is>
          <t>couponIncomeAnnual</t>
        </is>
      </c>
      <c r="C290" s="3" t="inlineStr">
        <is>
          <t>src/domain/bonds/index.ts</t>
        </is>
      </c>
      <c r="D290" s="3" t="n">
        <v>739</v>
      </c>
      <c r="E290" s="3" t="inlineStr">
        <is>
          <t>3 · DEPENDENT (feeds an action only)</t>
        </is>
      </c>
      <c r="F290" s="3" t="inlineStr">
        <is>
          <t>Total annual coupon income across the user's INDIVIDUAL bonds (kept for the Bonds screen summary).</t>
        </is>
      </c>
      <c r="G290" s="11" t="inlineStr">
        <is>
          <t>Σ over accounts (or none when missing) where is bond of (yearly interest now(bond info(each), now) (or 0 when missing))</t>
        </is>
      </c>
      <c r="H290" s="3" t="inlineStr">
        <is>
          <t>the yearly interest now(bond info(each), now) (or 0 — when missing) added up across accounts (or none — when missing) where is bond.</t>
        </is>
      </c>
      <c r="I290" s="3" t="inlineStr">
        <is>
          <t>READ FROM THE CODE — rendered from the expressions the function runs</t>
        </is>
      </c>
      <c r="J290" s="3" t="inlineStr">
        <is>
          <t>1. accounts: AssetAccount[]
2. now: Date = new Date()</t>
        </is>
      </c>
      <c r="K290" s="3" t="inlineStr">
        <is>
          <t>number</t>
        </is>
      </c>
      <c r="L290" s="3" t="inlineStr">
        <is>
          <t>—</t>
        </is>
      </c>
      <c r="M290" s="3" t="inlineStr">
        <is>
          <t>· Uses today's date from the device clock, so the answer changes by itself overnight.</t>
        </is>
      </c>
      <c r="N290" s="3" t="inlineStr">
        <is>
          <t>No</t>
        </is>
      </c>
      <c r="O290" s="3" t="inlineStr">
        <is>
          <t>1. MK-NW-F-056 bondInfo
2. MK-NW-F-063 interestIncomeAnnual
3. MK-NW-F-055 isBond
4. MK-NW-F-126 yearlyInterestNow</t>
        </is>
      </c>
      <c r="P290" s="3" t="n">
        <v>22</v>
      </c>
      <c r="Q290" s="3" t="inlineStr">
        <is>
          <t>1. MK-NW-F-056 bondInfo
2. MK-NW-F-063 interestIncomeAnnual
3. MK-NW-F-055 isBond
4. MK-NW-F-126 yearlyInterestNow
5. MK-CF-F-155 cash
6. MK-NW-F-011 assetClassOf
7. MK-NW-F-125 isPastMaturity
8. MK-NW-F-112 yearlyInterest
9. MK-XS-F-122 n
10. MK-NW-F-120 classEvidenceOf
11. MK-ST-F-065 isoLocalDate
12. MK-NW-F-124 maturityParts
13. MK-NW-F-008 incomeBearingClassOf
14. MK-NW-F-009 maturityClass
15. MK-ST-F-010 nameEvidence
16. MK-NW-F-068 prettyDay
17. MK-XS-F-147 call
18. MK-ST-F-056 has
19. MK-CF-F-132 map
20. MK-ST-F-027 accountId
21. MK-XS-F-064 currentIdToken
22. MK-XS-F-112 relayUrl</t>
        </is>
      </c>
      <c r="R290" s="3" t="inlineStr">
        <is>
          <t>1. MK-XS-F-122 n → MK-CF-F-155 cash → MK-NW-F-056 bondInfo → MK-NW-F-062 couponIncomeAnnual
2. MK-XS-F-122 n → MK-CF-F-155 cash → MK-NW-F-120 classEvidenceOf → MK-NW-F-011 assetClassOf → MK-NW-F-063 interestIncomeAnnual → MK-NW-F-062 couponIncomeAnnual
3. MK-CF-F-155 cash → MK-NW-F-008 incomeBearingClassOf → MK-NW-F-120 classEvidenceOf → MK-NW-F-011 assetClassOf → MK-NW-F-063 interestIncomeAnnual → MK-NW-F-062 couponIncomeAnnual
4. MK-ST-F-010 nameEvidence → MK-NW-F-008 incomeBearingClassOf → MK-NW-F-120 classEvidenceOf → MK-NW-F-011 assetClassOf → MK-NW-F-063 interestIncomeAnnual → MK-NW-F-062 couponIncomeAnnual
5. assetClassOf (already above — a loop) → MK-NW-F-009 maturityClass → MK-NW-F-120 classEvidenceOf → MK-NW-F-011 assetClassOf → MK-NW-F-063 interestIncomeAnnual → MK-NW-F-062 couponIncomeAnnual
6. MK-NW-F-068 prettyDay → MK-NW-F-009 maturityClass → MK-NW-F-120 classEvidenceOf → MK-NW-F-011 assetClassOf → MK-NW-F-063 interestIncomeAnnual → MK-NW-F-062 couponIncomeAnnual
7. MK-XS-F-122 n → MK-CF-F-155 cash → MK-NW-F-056 bondInfo → MK-NW-F-063 interestIncomeAnnual → MK-NW-F-062 couponIncomeAnnual
8. MK-ST-F-065 isoLocalDate → MK-NW-F-125 isPastMaturity → MK-NW-F-126 yearlyInterestNow → MK-NW-F-063 interestIncomeAnnual → MK-NW-F-062 couponIncomeAnnual
9. … and 5 more paths</t>
        </is>
      </c>
      <c r="S290" s="3" t="inlineStr">
        <is>
          <t>—</t>
        </is>
      </c>
      <c r="T290" s="3" t="inlineStr">
        <is>
          <t>—</t>
        </is>
      </c>
      <c r="U290" s="3" t="inlineStr">
        <is>
          <t>ACTIVE</t>
        </is>
      </c>
      <c r="V290" s="3" t="inlineStr">
        <is>
          <t>2026-10-09</t>
        </is>
      </c>
      <c r="W290" s="3" t="n"/>
      <c r="X290" s="3" t="n"/>
      <c r="Y290" s="3" t="inlineStr">
        <is>
          <t>NOTHING OPEN</t>
        </is>
      </c>
    </row>
    <row r="291" ht="60" customHeight="1">
      <c r="A291" s="3" t="inlineStr">
        <is>
          <t>MK-NW-F-063</t>
        </is>
      </c>
      <c r="B291" s="3" t="inlineStr">
        <is>
          <t>interestIncomeAnnual</t>
        </is>
      </c>
      <c r="C291" s="3" t="inlineStr">
        <is>
          <t>src/domain/bonds/index.ts</t>
        </is>
      </c>
      <c r="D291" s="3" t="n">
        <v>778</v>
      </c>
      <c r="E291" s="3" t="inlineStr">
        <is>
          <t>3 · DEPENDENT (feeds an action only)</t>
        </is>
      </c>
      <c r="F291" s="3" t="inlineStr">
        <is>
          <t>The interest every bond, CD and rate-paying cash account pays in a year, added up, counting nothing for a holding that states no rate.</t>
        </is>
      </c>
      <c r="G291" s="11" t="inlineStr">
        <is>
          <t>cls = asset class of(a)
the answer = t + (yearly interest now(bond info(a), now) ?? 0)</t>
        </is>
      </c>
      <c r="H291" s="3" t="inlineStr">
        <is>
          <t>Cls is asset class of(a). The answer is t plus (yearly interest now(bond info(a), now) ?? 0).</t>
        </is>
      </c>
      <c r="I291" s="3" t="inlineStr">
        <is>
          <t>PARTLY READ — some of the code is still showing through; needs a hand pass</t>
        </is>
      </c>
      <c r="J291" s="3" t="inlineStr">
        <is>
          <t>1. accounts: AssetAccount[]
2. now: Date = new Date()</t>
        </is>
      </c>
      <c r="K291" s="3" t="inlineStr">
        <is>
          <t>number</t>
        </is>
      </c>
      <c r="L291" s="3" t="inlineStr">
        <is>
          <t>—</t>
        </is>
      </c>
      <c r="M291" s="3" t="inlineStr">
        <is>
          <t>1. If coupon rate is missing it counts as zero, so nothing recorded and a real zero look the same.
2. If balance is missing it counts as zero, so nothing recorded and a real zero look the same.
3. Uses today's date from the device clock, so the answer changes by itself overnight.</t>
        </is>
      </c>
      <c r="N291" s="3" t="inlineStr">
        <is>
          <t>No</t>
        </is>
      </c>
      <c r="O291" s="3" t="inlineStr">
        <is>
          <t>1. MK-NW-F-011 assetClassOf
2. MK-NW-F-056 bondInfo
3. MK-NW-F-126 yearlyInterestNow</t>
        </is>
      </c>
      <c r="P291" s="3" t="n">
        <v>20</v>
      </c>
      <c r="Q291" s="3" t="inlineStr">
        <is>
          <t>1. MK-NW-F-011 assetClassOf
2. MK-NW-F-056 bondInfo
3. MK-NW-F-126 yearlyInterestNow
4. MK-NW-F-120 classEvidenceOf
5. MK-CF-F-155 cash
6. MK-NW-F-125 isPastMaturity
7. MK-NW-F-112 yearlyInterest
8. MK-NW-F-008 incomeBearingClassOf
9. MK-NW-F-009 maturityClass
10. MK-XS-F-122 n
11. MK-ST-F-065 isoLocalDate
12. MK-NW-F-124 maturityParts
13. MK-ST-F-010 nameEvidence
14. MK-NW-F-068 prettyDay
15. MK-XS-F-147 call
16. MK-ST-F-056 has
17. MK-CF-F-132 map
18. MK-ST-F-027 accountId
19. MK-XS-F-064 currentIdToken
20. MK-XS-F-112 relayUrl</t>
        </is>
      </c>
      <c r="R291" s="3" t="inlineStr">
        <is>
          <t>1. MK-XS-F-122 n → MK-CF-F-155 cash → MK-NW-F-120 classEvidenceOf → MK-NW-F-011 assetClassOf → MK-NW-F-063 interestIncomeAnnual
2. MK-XS-F-122 n → MK-CF-F-155 cash → MK-NW-F-008 incomeBearingClassOf → MK-NW-F-120 classEvidenceOf → MK-NW-F-011 assetClassOf → MK-NW-F-063 interestIncomeAnnual
3. MK-XS-F-147 call → MK-ST-F-010 nameEvidence → MK-NW-F-008 incomeBearingClassOf → MK-NW-F-120 classEvidenceOf → MK-NW-F-011 assetClassOf → MK-NW-F-063 interestIncomeAnnual
4. MK-ST-F-056 has → MK-ST-F-010 nameEvidence → MK-NW-F-008 incomeBearingClassOf → MK-NW-F-120 classEvidenceOf → MK-NW-F-011 assetClassOf → MK-NW-F-063 interestIncomeAnnual
5. MK-CF-F-132 map → MK-ST-F-010 nameEvidence → MK-NW-F-008 incomeBearingClassOf → MK-NW-F-120 classEvidenceOf → MK-NW-F-011 assetClassOf → MK-NW-F-063 interestIncomeAnnual
6. assetClassOf (already above — a loop) → MK-NW-F-009 maturityClass → MK-NW-F-120 classEvidenceOf → MK-NW-F-011 assetClassOf → MK-NW-F-063 interestIncomeAnnual
7. MK-CF-F-132 map → MK-NW-F-068 prettyDay → MK-NW-F-009 maturityClass → MK-NW-F-120 classEvidenceOf → MK-NW-F-011 assetClassOf → MK-NW-F-063 interestIncomeAnnual
8. MK-XS-F-122 n → MK-CF-F-155 cash → MK-NW-F-056 bondInfo → MK-NW-F-063 interestIncomeAnnual
9. … and 3 more paths</t>
        </is>
      </c>
      <c r="S291" s="3" t="inlineStr">
        <is>
          <t>—</t>
        </is>
      </c>
      <c r="T291" s="3" t="inlineStr">
        <is>
          <t>—</t>
        </is>
      </c>
      <c r="U291" s="3" t="inlineStr">
        <is>
          <t>ACTIVE</t>
        </is>
      </c>
      <c r="V291" s="3" t="inlineStr">
        <is>
          <t>2026-10-09</t>
        </is>
      </c>
      <c r="W291" s="3" t="inlineStr">
        <is>
          <t>[from MK-NW-M-043 / M-045, typed A46] If coupon rate is not available use 0.</t>
        </is>
      </c>
      <c r="X291" s="6" t="inlineStr">
        <is>
          <t>JJ-4: still falls back to 4.2% (DEFAULT_BOND_YIELD) for a bond fund with no rate, and the paycheck income lines do the same. Fix: 0 + 'no rate recorded'. Also inherits JJ-3 (matured bonds). The other 4.2%/4% figures are expected-return defaults, a different concept — Q44.</t>
        </is>
      </c>
      <c r="Y291" s="6" t="inlineStr">
        <is>
          <t>WAITING ON YOU — answer to read · TESTED, NOT VERIFIED (A46)</t>
        </is>
      </c>
    </row>
    <row r="292" ht="60" customHeight="1">
      <c r="A292" s="3" t="inlineStr">
        <is>
          <t>MK-NW-F-064</t>
        </is>
      </c>
      <c r="B292" s="3" t="inlineStr">
        <is>
          <t>bondRateSensitivity</t>
        </is>
      </c>
      <c r="C292" s="3" t="inlineStr">
        <is>
          <t>src/domain/bonds/index.ts</t>
        </is>
      </c>
      <c r="D292" s="3" t="n">
        <v>908</v>
      </c>
      <c r="E292" s="3" t="inlineStr">
        <is>
          <t>3 · DEPENDENT</t>
        </is>
      </c>
      <c r="F292" s="3" t="inlineStr">
        <is>
          <t>What happens to this bond if interest rates move?</t>
        </is>
      </c>
      <c r="G292" s="11" t="inlineStr">
        <is>
          <t>ytm = approx ytm(b, now)
nothing   when !priced like bond(b) (or ytm = nothing (or face = nothing (or face ≤ 0 (or not (coupon rate ≠ nothing and coupon rate &gt; 0) when missing or zero) when missing or zero) when missing or zero) when missing or zero)
step = (10)^(max(0, round down(math.log10(math.max(value, 1))) − 2))
base = price at yield(b, ytm, now)
nothing   when base = nothing
change = (price at yield(b, math.max(0.0001, ytm + delta), now) ?? base) − base
v = value + change
the answer:
rates up = move(0.01)
rates down = move(-0.01)</t>
        </is>
      </c>
      <c r="H292" s="3" t="inlineStr">
        <is>
          <t>Ytm is approx ytm(b, now). When !priced like bond(b) (or ytm is missing (or face is missing (or face is at most 0 (or not (coupon rate is not no answer and coupon rate &gt; 0) — when missing or zero) — when missing or zero) — when missing or zero) — when missing or zero), it answers no answer. Step is (10)^(math.log10(math.the larger of value and 1, rounded down, never below zero minus 2)). Base is price at yield(b, ytm, now). When base is missing, it answers no answer. Change is (price at yield(b, math.the larger of 0.0001 and ytm plus delta, now) ?? base) minus base. V is value plus change. The answer is rates up = move(0.01); rates down = move(-0.01).</t>
        </is>
      </c>
      <c r="I292" s="3" t="inlineStr">
        <is>
          <t>PARTLY READ — some of the code is still showing through; needs a hand pass</t>
        </is>
      </c>
      <c r="J292" s="3" t="inlineStr">
        <is>
          <t>1. b: BondInfo
2. now: Date = new Date()</t>
        </is>
      </c>
      <c r="K292" s="3" t="inlineStr">
        <is>
          <t>RateSensitivity | null</t>
        </is>
      </c>
      <c r="L292" s="3" t="inlineStr">
        <is>
          <t>—</t>
        </is>
      </c>
      <c r="M292" s="3" t="inlineStr">
        <is>
          <t>1. Applies a built-in rate of 99% to v.
2. Uses today's date from the device clock, so the answer changes by itself overnight.
3. Never lets value fall below 1.
4. Rounds the answer to a whole number.</t>
        </is>
      </c>
      <c r="N292" s="3" t="inlineStr">
        <is>
          <t>Yes</t>
        </is>
      </c>
      <c r="O292" s="3" t="inlineStr">
        <is>
          <t>1. MK-NW-F-060 approxYTM
2. MK-NW-F-069 priceAtYield
3. MK-NW-F-131 pricedLikeBond</t>
        </is>
      </c>
      <c r="P292" s="3" t="n">
        <v>9</v>
      </c>
      <c r="Q292" s="3" t="inlineStr">
        <is>
          <t>1. MK-NW-F-060 approxYTM
2. MK-NW-F-069 priceAtYield
3. MK-NW-F-131 pricedLikeBond
4. MK-NW-F-119 estimatedAccrued
5. MK-NW-F-058 yearsToMaturity
6. MK-NW-F-057 annualCoupon
7. MK-CF-F-155 cash
8. MK-NW-F-124 maturityParts
9. MK-XS-F-122 n</t>
        </is>
      </c>
      <c r="R292" s="3" t="inlineStr">
        <is>
          <t>1. MK-NW-F-124 maturityParts → MK-NW-F-119 estimatedAccrued → MK-NW-F-060 approxYTM → MK-NW-F-064 bondRateSensitivity
2. MK-XS-F-122 n → MK-NW-F-119 estimatedAccrued → MK-NW-F-060 approxYTM → MK-NW-F-064 bondRateSensitivity
3. MK-XS-F-122 n → MK-CF-F-155 cash → MK-NW-F-131 pricedLikeBond → MK-NW-F-119 estimatedAccrued → MK-NW-F-060 approxYTM → MK-NW-F-064 bondRateSensitivity
4. MK-NW-F-057 annualCoupon → MK-NW-F-069 priceAtYield → MK-NW-F-060 approxYTM → MK-NW-F-064 bondRateSensitivity
5. MK-NW-F-124 maturityParts → MK-NW-F-058 yearsToMaturity → MK-NW-F-069 priceAtYield → MK-NW-F-060 approxYTM → MK-NW-F-064 bondRateSensitivity
6. MK-XS-F-122 n → MK-NW-F-058 yearsToMaturity → MK-NW-F-069 priceAtYield → MK-NW-F-060 approxYTM → MK-NW-F-064 bondRateSensitivity
7. MK-XS-F-122 n → MK-CF-F-155 cash → MK-NW-F-131 pricedLikeBond → MK-NW-F-060 approxYTM → MK-NW-F-064 bondRateSensitivity
8. MK-NW-F-124 maturityParts → MK-NW-F-058 yearsToMaturity → MK-NW-F-060 approxYTM → MK-NW-F-064 bondRateSensitivity
9. … and 5 more paths</t>
        </is>
      </c>
      <c r="S292" s="3" t="inlineStr">
        <is>
          <t>MK-NW-M-028</t>
        </is>
      </c>
      <c r="T292" s="3" t="inlineStr">
        <is>
          <t>IF_RATES_MOVE</t>
        </is>
      </c>
      <c r="U292" s="3" t="inlineStr">
        <is>
          <t>ACTIVE</t>
        </is>
      </c>
      <c r="V292" s="3" t="inlineStr">
        <is>
          <t>2026-10-10</t>
        </is>
      </c>
      <c r="W292" s="3" t="n"/>
      <c r="X292" s="3" t="n"/>
      <c r="Y292" s="6" t="inlineStr">
        <is>
          <t>TESTED, NOT VERIFIED (G11)</t>
        </is>
      </c>
    </row>
    <row r="293" ht="60" customHeight="1">
      <c r="A293" s="3" t="inlineStr">
        <is>
          <t>MK-NW-F-065</t>
        </is>
      </c>
      <c r="B293" s="3" t="inlineStr">
        <is>
          <t>buildNetWorth</t>
        </is>
      </c>
      <c r="C293" s="3" t="inlineStr">
        <is>
          <t>src/domain/networth/index.ts</t>
        </is>
      </c>
      <c r="D293" s="3" t="n">
        <v>35</v>
      </c>
      <c r="E293" s="3" t="inlineStr">
        <is>
          <t>3 · DEPENDENT</t>
        </is>
      </c>
      <c r="F293" s="3" t="inlineStr">
        <is>
          <t>Net worth from two totals: everything owned less everything owed.</t>
        </is>
      </c>
      <c r="G293" s="11" t="inlineStr">
        <is>
          <t>gross assets = round(assets total, 2 dp)
gross debt   = round(debt total, 2 dp)
net worth    = round(assets total − debt total, 2 dp)</t>
        </is>
      </c>
      <c r="H293"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93" s="3" t="inlineStr">
        <is>
          <t>READ BY HAND 2026-08-26 — checked line by line against the code</t>
        </is>
      </c>
      <c r="J293" s="3" t="inlineStr">
        <is>
          <t>1. uid: UserId
2. grossAssets: number
3. grossDebt: number</t>
        </is>
      </c>
      <c r="K293" s="3" t="inlineStr">
        <is>
          <t>NetWorthState</t>
        </is>
      </c>
      <c r="L293" s="3" t="inlineStr">
        <is>
          <t>—</t>
        </is>
      </c>
      <c r="M293" s="3" t="inlineStr">
        <is>
          <t>None found in this function — anything it assumes comes from the functions it depends on.</t>
        </is>
      </c>
      <c r="N293" s="3" t="inlineStr">
        <is>
          <t>Yes</t>
        </is>
      </c>
      <c r="O293" s="3" t="inlineStr">
        <is>
          <t>MK-XS-F-175 uid</t>
        </is>
      </c>
      <c r="P293" s="3" t="n">
        <v>88</v>
      </c>
      <c r="Q29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MK-NW-F-009 maturityClass
79. MK-ST-F-010 nameEvidence
80. MK-CF-F-075 retirementIncomeMonthly
81. MK-ST-F-047 activeCurrency
82. MK-CF-F-099 deductionFor
83. MK-NW-F-011 assetClassOf
84. MK-NW-F-068 prettyDay
85. MK-XS-F-147 call
86. MK-CF-F-187 seniorDeductionFor
87. MK-XS-F-064 currentIdToken
88. MK-XS-F-112 relayUrl</t>
        </is>
      </c>
      <c r="R293"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S293" s="3" t="inlineStr">
        <is>
          <t>—</t>
        </is>
      </c>
      <c r="T293" s="3" t="inlineStr">
        <is>
          <t>NET_WORTH</t>
        </is>
      </c>
      <c r="U293" s="3" t="inlineStr">
        <is>
          <t>ACTIVE</t>
        </is>
      </c>
      <c r="V293" s="3" t="inlineStr">
        <is>
          <t>2026-09-27</t>
        </is>
      </c>
      <c r="W293" s="3" t="n"/>
      <c r="X293" s="3" t="n"/>
      <c r="Y293" s="3" t="inlineStr">
        <is>
          <t>NOTHING OPEN</t>
        </is>
      </c>
    </row>
    <row r="294" ht="60" customHeight="1">
      <c r="A294" s="3" t="inlineStr">
        <is>
          <t>MK-NW-F-066</t>
        </is>
      </c>
      <c r="B294" s="3" t="inlineStr">
        <is>
          <t>sumWhere</t>
        </is>
      </c>
      <c r="C294" s="3" t="inlineStr">
        <is>
          <t>src/domain/assets/index.ts</t>
        </is>
      </c>
      <c r="D294" s="3" t="n">
        <v>1030</v>
      </c>
      <c r="E294" s="3" t="inlineStr">
        <is>
          <t>3 · DEPENDENT</t>
        </is>
      </c>
      <c r="F294" s="3" t="inlineStr">
        <is>
          <t>Adds up the balances of the accounts that pass a given test.</t>
        </is>
      </c>
      <c r="G294" s="11" t="inlineStr">
        <is>
          <t>hits = accounts (or none when missing) where pred
missing = hits where balance = nothing (or !number.is finite(balance as number) when missing or zero)
total = Σ over hits where !missing.includes(each) of (balance as number)
the answer:
total = total
missing count = count of missing</t>
        </is>
      </c>
      <c r="H294" s="3" t="inlineStr">
        <is>
          <t>Hits is accounts (or none — when missing) where pred. Missing is hits where balance is missing (or !number.is finite(balance as number) — when missing or zero). Total: the balance as number added up across hits where !missing.includes(each). The answer is total = total; missing count = how many missing there are.</t>
        </is>
      </c>
      <c r="I294" s="3" t="inlineStr">
        <is>
          <t>PARTLY READ — some of the code is still showing through; needs a hand pass</t>
        </is>
      </c>
      <c r="J294" s="3" t="inlineStr">
        <is>
          <t>1. accounts: AssetAccount[]
2. pred: (a: AssetAccount) =&gt; boolean</t>
        </is>
      </c>
      <c r="K294" s="3" t="inlineStr">
        <is>
          <t>NOT DECLARED — the code does not say what it gives back</t>
        </is>
      </c>
      <c r="L294" s="3" t="inlineStr">
        <is>
          <t>—</t>
        </is>
      </c>
      <c r="M294" s="3" t="inlineStr">
        <is>
          <t>None found in this function — anything it assumes comes from the functions it depends on.</t>
        </is>
      </c>
      <c r="N294" s="3" t="inlineStr">
        <is>
          <t>Yes</t>
        </is>
      </c>
      <c r="O294" s="3" t="inlineStr">
        <is>
          <t>—</t>
        </is>
      </c>
      <c r="P294" s="3" t="n">
        <v>0</v>
      </c>
      <c r="Q294" s="3" t="inlineStr">
        <is>
          <t>None — no dependent function stands behind it</t>
        </is>
      </c>
      <c r="R294" s="3" t="inlineStr">
        <is>
          <t>No dependent function — it reads its inputs and answers</t>
        </is>
      </c>
      <c r="S294" s="3" t="inlineStr">
        <is>
          <t>—</t>
        </is>
      </c>
      <c r="T294" s="3" t="inlineStr">
        <is>
          <t>—</t>
        </is>
      </c>
      <c r="U294" s="3" t="inlineStr">
        <is>
          <t>ACTIVE</t>
        </is>
      </c>
      <c r="V294" s="3" t="inlineStr">
        <is>
          <t>2026-10-08</t>
        </is>
      </c>
      <c r="W294" s="3" t="n"/>
      <c r="X294" s="3" t="n"/>
      <c r="Y294" s="3" t="inlineStr">
        <is>
          <t>NOTHING OPEN</t>
        </is>
      </c>
    </row>
    <row r="295" ht="60" customHeight="1">
      <c r="A295" s="3" t="inlineStr">
        <is>
          <t>MK-NW-F-067</t>
        </is>
      </c>
      <c r="B295" s="3" t="inlineStr">
        <is>
          <t>plural</t>
        </is>
      </c>
      <c r="C295" s="3" t="inlineStr">
        <is>
          <t>src/domain/_shared/plural.ts</t>
        </is>
      </c>
      <c r="D295" s="3" t="n">
        <v>71</v>
      </c>
      <c r="E295" s="3" t="inlineStr">
        <is>
          <t>2 · DISPLAYED</t>
        </is>
      </c>
      <c r="F295" s="3" t="inlineStr">
        <is>
          <t>Writes a count with its noun, singular for one and plural otherwise: 1 CD, 3 CDs.</t>
        </is>
      </c>
      <c r="G295" s="11" t="inlineStr">
        <is>
          <t>the answer = n + ' ' + (one   when n = 1;   many   otherwise)</t>
        </is>
      </c>
      <c r="H295" s="3" t="inlineStr">
        <is>
          <t>'1 account' or '3 accounts' — the word made plural when the count is not one. Display only.</t>
        </is>
      </c>
      <c r="I295" s="3" t="inlineStr">
        <is>
          <t>READ BY HAND 2026-08-26 — checked line by line against the code</t>
        </is>
      </c>
      <c r="J295" s="3" t="inlineStr">
        <is>
          <t>1. n: number
2. word: CountedWord
3. shown: string | number = n</t>
        </is>
      </c>
      <c r="K295" s="3" t="inlineStr">
        <is>
          <t>string</t>
        </is>
      </c>
      <c r="L295" s="3" t="inlineStr">
        <is>
          <t>1. "ACTIVITY" — on the account portfolio screen, under "ACTIVITY"
2. "Interest rate % (optional)" — on a card used on more than one screen (DebtEditorSheet)
3. "Matures (CDs and dated bonds count under Bonds &amp; CDs)" — on the Net worth screen
4. "Matures" — on the account portfolio screen
5. "Nest egg today" — on the Retirement cockpit screen, under "scRetired ?"
6. "Net" — on the setup questions, which appear on more than one screen</t>
        </is>
      </c>
      <c r="M295" s="3" t="inlineStr">
        <is>
          <t>None found in this function — anything it assumes comes from the functions it depends on.</t>
        </is>
      </c>
      <c r="N295" s="3" t="inlineStr">
        <is>
          <t>Yes</t>
        </is>
      </c>
      <c r="O295" s="3" t="inlineStr">
        <is>
          <t>MK-XS-F-122 n</t>
        </is>
      </c>
      <c r="P295" s="3" t="n">
        <v>1</v>
      </c>
      <c r="Q295" s="3" t="inlineStr">
        <is>
          <t>MK-XS-F-122 n</t>
        </is>
      </c>
      <c r="R295" s="3" t="inlineStr">
        <is>
          <t>MK-XS-F-122 n → MK-NW-F-067 plural</t>
        </is>
      </c>
      <c r="S295" s="3" t="inlineStr">
        <is>
          <t>—</t>
        </is>
      </c>
      <c r="T295" s="3" t="inlineStr">
        <is>
          <t>—</t>
        </is>
      </c>
      <c r="U295" s="3" t="inlineStr">
        <is>
          <t>ACTIVE</t>
        </is>
      </c>
      <c r="V295" s="3" t="inlineStr">
        <is>
          <t>2026-10-10</t>
        </is>
      </c>
      <c r="W295" s="3" t="n"/>
      <c r="X295" s="3" t="n"/>
      <c r="Y295" s="3" t="inlineStr">
        <is>
          <t>NOTHING OPEN</t>
        </is>
      </c>
    </row>
    <row r="296" ht="60" customHeight="1">
      <c r="A296" s="3" t="inlineStr">
        <is>
          <t>MK-NW-F-068</t>
        </is>
      </c>
      <c r="B296" s="3" t="inlineStr">
        <is>
          <t>prettyDay</t>
        </is>
      </c>
      <c r="C296" s="3" t="inlineStr">
        <is>
          <t>src/domain/assets/index.ts</t>
        </is>
      </c>
      <c r="D296" s="3" t="n">
        <v>3002</v>
      </c>
      <c r="E296" s="3" t="inlineStr">
        <is>
          <t>3 · DEPENDENT</t>
        </is>
      </c>
      <c r="F296" s="3" t="inlineStr">
        <is>
          <t>Writes a date as month, day and year: Aug 4, 2026.</t>
        </is>
      </c>
      <c r="G296" s="11" t="inlineStr">
        <is>
          <t>m = ÷ ^(\d{4}) − (\d{2}) − (\d{2}) ÷ .exec(string(iso ?? '').trim())
''   when m is missing
''   when mo &lt; 1 (or mo &gt; 12 (or d &lt; 1 (or d &gt; new date(date.UTC(y, mo, 0)).get utcdate() when missing or zero) when missing or zero) when missing or zero)
the answer = `${MONTH_ABBR[mo − 1]} ${d}, ${y}`</t>
        </is>
      </c>
      <c r="H296" s="3" t="inlineStr">
        <is>
          <t>M is ÷ ^(\d{4}) minus (\d{2}) minus (\d{2}) divided by .exec(string(iso ?? '').trim()). When m is missing, it answers ''. When mo &lt; 1 (or mo &gt; 12 (or d &lt; 1 (or d &gt; new date(date.UTC(y, mo, 0)).get utcdate() — when missing or zero) — when missing or zero) — when missing or zero), it answers ''. The answer is `${MONTH_ABBR[mo minus 1]} ${d}, ${y}`.</t>
        </is>
      </c>
      <c r="I296" s="3" t="inlineStr">
        <is>
          <t>PARTLY READ — some of the code is still showing through; needs a hand pass</t>
        </is>
      </c>
      <c r="J296" s="3" t="inlineStr">
        <is>
          <t>iso: string</t>
        </is>
      </c>
      <c r="K296" s="3" t="inlineStr">
        <is>
          <t>string</t>
        </is>
      </c>
      <c r="L296" s="3" t="inlineStr">
        <is>
          <t>—</t>
        </is>
      </c>
      <c r="M296" s="3" t="inlineStr">
        <is>
          <t>None found in this function — anything it assumes comes from the functions it depends on.</t>
        </is>
      </c>
      <c r="N296" s="3" t="inlineStr">
        <is>
          <t>Yes</t>
        </is>
      </c>
      <c r="O296" s="3" t="inlineStr">
        <is>
          <t>MK-CF-F-132 map</t>
        </is>
      </c>
      <c r="P296" s="3" t="n">
        <v>1</v>
      </c>
      <c r="Q296" s="3" t="inlineStr">
        <is>
          <t>MK-CF-F-132 map</t>
        </is>
      </c>
      <c r="R296" s="3" t="inlineStr">
        <is>
          <t>MK-CF-F-132 map → MK-NW-F-068 prettyDay</t>
        </is>
      </c>
      <c r="S296" s="3" t="inlineStr">
        <is>
          <t>—</t>
        </is>
      </c>
      <c r="T296" s="3" t="inlineStr">
        <is>
          <t>—</t>
        </is>
      </c>
      <c r="U296" s="3" t="inlineStr">
        <is>
          <t>ACTIVE</t>
        </is>
      </c>
      <c r="V296" s="3" t="inlineStr">
        <is>
          <t>2026-10-08</t>
        </is>
      </c>
      <c r="W296" s="3" t="n"/>
      <c r="X296" s="3" t="n"/>
      <c r="Y296" s="3" t="inlineStr">
        <is>
          <t>NOTHING OPEN</t>
        </is>
      </c>
    </row>
    <row r="297" ht="60" customHeight="1">
      <c r="A297" s="3" t="inlineStr">
        <is>
          <t>MK-NW-F-069</t>
        </is>
      </c>
      <c r="B297" s="3" t="inlineStr">
        <is>
          <t>priceAtYield</t>
        </is>
      </c>
      <c r="C297" s="3" t="inlineStr">
        <is>
          <t>src/domain/bonds/index.ts</t>
        </is>
      </c>
      <c r="D297" s="3" t="n">
        <v>842</v>
      </c>
      <c r="E297" s="3" t="inlineStr">
        <is>
          <t>3 · DEPENDENT</t>
        </is>
      </c>
      <c r="F297" s="3" t="inlineStr">
        <is>
          <t>Price the bond's future cash flows at a given annual yield (yearly approximation).</t>
        </is>
      </c>
      <c r="G297" s="11" t="inlineStr">
        <is>
          <t>t = years to maturity(maturity, now)
nothing   when t = nothing (or t ≤ 0 when missing or zero)
nothing   when face = nothing (or not (face &gt; 0) or !(1 + y &gt; 0) when missing or zero)
c = annual coupon(b) (or 0 when missing)
pv = 0
[LOOP — the answer is found inside a loop the extractor cannot render; the steps above are the ones before it. Read by hand.]</t>
        </is>
      </c>
      <c r="H297" s="3" t="inlineStr">
        <is>
          <t>T is years to maturity(maturity, now). When t is missing (or t is at most 0 — when missing or zero), it answers no answer. When face is missing (or not (face &gt; 0) or !(1 plus y &gt; 0) — when missing or zero), it answers no answer. C is annual coupon(b) (or 0 — when missing). Pv is 0. The answer is pv. The answer is found inside a loop that cannot be rendered here; read the code by hand.</t>
        </is>
      </c>
      <c r="I297" s="3" t="inlineStr">
        <is>
          <t>PARTLY READ — the body has a loop the extractor cannot render; the steps shown are the ones before it. Needs a hand pass (G23).</t>
        </is>
      </c>
      <c r="J297" s="3" t="inlineStr">
        <is>
          <t>1. b: BondInfo
2. y: number
3. now: Date</t>
        </is>
      </c>
      <c r="K297" s="3" t="inlineStr">
        <is>
          <t>number | null</t>
        </is>
      </c>
      <c r="L297" s="3" t="inlineStr">
        <is>
          <t>—</t>
        </is>
      </c>
      <c r="M297" s="3" t="inlineStr">
        <is>
          <t>· Uses a built-in pv of 0.</t>
        </is>
      </c>
      <c r="N297" s="3" t="inlineStr">
        <is>
          <t>Yes</t>
        </is>
      </c>
      <c r="O297" s="3" t="inlineStr">
        <is>
          <t>1. MK-NW-F-057 annualCoupon
2. MK-NW-F-058 yearsToMaturity</t>
        </is>
      </c>
      <c r="P297" s="3" t="n">
        <v>4</v>
      </c>
      <c r="Q297" s="3" t="inlineStr">
        <is>
          <t>1. MK-NW-F-057 annualCoupon
2. MK-NW-F-058 yearsToMaturity
3. MK-NW-F-124 maturityParts
4. MK-XS-F-122 n</t>
        </is>
      </c>
      <c r="R297" s="3" t="inlineStr">
        <is>
          <t>1. MK-NW-F-057 annualCoupon → MK-NW-F-069 priceAtYield
2. MK-NW-F-124 maturityParts → MK-NW-F-058 yearsToMaturity → MK-NW-F-069 priceAtYield
3. MK-XS-F-122 n → MK-NW-F-058 yearsToMaturity → MK-NW-F-069 priceAtYield</t>
        </is>
      </c>
      <c r="S297" s="3" t="inlineStr">
        <is>
          <t>—</t>
        </is>
      </c>
      <c r="T297" s="3" t="inlineStr">
        <is>
          <t>—</t>
        </is>
      </c>
      <c r="U297" s="3" t="inlineStr">
        <is>
          <t>ACTIVE</t>
        </is>
      </c>
      <c r="V297" s="3" t="inlineStr">
        <is>
          <t>2026-10-09</t>
        </is>
      </c>
      <c r="W297" s="3" t="n"/>
      <c r="X297" s="3" t="n"/>
      <c r="Y297" s="3" t="inlineStr">
        <is>
          <t>NOTHING OPEN</t>
        </is>
      </c>
    </row>
    <row r="298" ht="60" customHeight="1">
      <c r="A298" s="3" t="inlineStr">
        <is>
          <t>MK-NW-F-070</t>
        </is>
      </c>
      <c r="B298" s="3" t="inlineStr">
        <is>
          <t>accruedInterestCaveat</t>
        </is>
      </c>
      <c r="C298" s="3" t="inlineStr">
        <is>
          <t>src/domain/bonds/index.ts</t>
        </is>
      </c>
      <c r="D298" s="3" t="n">
        <v>490</v>
      </c>
      <c r="E298" s="3" t="inlineStr">
        <is>
          <t>3 · DEPENDENT</t>
        </is>
      </c>
      <c r="F298" s="3" t="inlineStr">
        <is>
          <t>The note shown beside a bond's yield when its accrued interest was not entered, or nothing when it was.</t>
        </is>
      </c>
      <c r="G298" s="11" t="inlineStr">
        <is>
          <t>nothing   when accrued interest ≠ nothing
est = estimated accrued(b, now)
nothing   when est = nothing
pct = `${+((coupon rate as number) × 100).to fixed(3)}%`
the answer = `added estimated $${math.round(est.amount).to locale string('en − US')} in accrued interest to bond value at ${pct} coupon for ${plural(est.days, 'day')} to calculate YTM. if this is not accurate, enter actual accrued interest`</t>
        </is>
      </c>
      <c r="H298" s="3" t="inlineStr">
        <is>
          <t>When accrued interest is not no answer, it answers no answer. Est is estimated accrued(b, now). When est is missing, it answers no answer. Pct is `${+((coupon rate as number) times 100).to fixed(3)}%`. The answer is `added estimated $${math.est.amount, to a whole number.to locale string('en minus US')} in accrued interest to bond value at ${pct} coupon for ${plural(est.days, 'day')} to calculate YTM. — when this is accurate is missing, enter actual accrued interest`.</t>
        </is>
      </c>
      <c r="I298" s="3" t="inlineStr">
        <is>
          <t>PARTLY READ — some of the code is still showing through; needs a hand pass</t>
        </is>
      </c>
      <c r="J298" s="3" t="inlineStr">
        <is>
          <t>1. b: BondInfo
2. now: Date = new Date()</t>
        </is>
      </c>
      <c r="K298" s="3" t="inlineStr">
        <is>
          <t>string | null</t>
        </is>
      </c>
      <c r="L298" s="3" t="inlineStr">
        <is>
          <t>—</t>
        </is>
      </c>
      <c r="M298" s="3" t="inlineStr">
        <is>
          <t>1. Uses today's date from the device clock, so the answer changes by itself overnight.
2. Rounds the answer to a whole number.
3. Shows 3 decimal places.</t>
        </is>
      </c>
      <c r="N298" s="3" t="inlineStr">
        <is>
          <t>Yes</t>
        </is>
      </c>
      <c r="O298" s="3" t="inlineStr">
        <is>
          <t>1. MK-NW-F-119 estimatedAccrued
2. MK-NW-F-067 plural</t>
        </is>
      </c>
      <c r="P298" s="3" t="n">
        <v>6</v>
      </c>
      <c r="Q298" s="3" t="inlineStr">
        <is>
          <t>1. MK-NW-F-119 estimatedAccrued
2. MK-NW-F-067 plural
3. MK-NW-F-124 maturityParts
4. MK-XS-F-122 n
5. MK-NW-F-131 pricedLikeBond
6. MK-CF-F-155 cash</t>
        </is>
      </c>
      <c r="R298" s="3" t="inlineStr">
        <is>
          <t>1. MK-NW-F-124 maturityParts → MK-NW-F-119 estimatedAccrued → MK-NW-F-070 accruedInterestCaveat
2. MK-XS-F-122 n → MK-NW-F-119 estimatedAccrued → MK-NW-F-070 accruedInterestCaveat
3. MK-XS-F-122 n → MK-CF-F-155 cash → MK-NW-F-131 pricedLikeBond → MK-NW-F-119 estimatedAccrued → MK-NW-F-070 accruedInterestCaveat
4. MK-XS-F-122 n → MK-NW-F-067 plural → MK-NW-F-070 accruedInterestCaveat</t>
        </is>
      </c>
      <c r="S298" s="3" t="inlineStr">
        <is>
          <t>—</t>
        </is>
      </c>
      <c r="T298" s="3" t="inlineStr">
        <is>
          <t>—</t>
        </is>
      </c>
      <c r="U298" s="3" t="inlineStr">
        <is>
          <t>ACTIVE</t>
        </is>
      </c>
      <c r="V298" s="3" t="inlineStr">
        <is>
          <t>2026-10-10</t>
        </is>
      </c>
      <c r="W298" s="3" t="n"/>
      <c r="X298" s="3" t="n"/>
      <c r="Y298" s="6" t="inlineStr">
        <is>
          <t>TESTED, NOT VERIFIED (A47)</t>
        </is>
      </c>
    </row>
    <row r="299" ht="45" customHeight="1">
      <c r="A299" s="3" t="inlineStr">
        <is>
          <t>MK-NW-F-071</t>
        </is>
      </c>
      <c r="B299" s="3" t="inlineStr">
        <is>
          <t>isCertificateOfDeposit</t>
        </is>
      </c>
      <c r="C299" s="3" t="inlineStr">
        <is>
          <t>MoneyKeel/functions/networth-and-performance/bonds.ts</t>
        </is>
      </c>
      <c r="D299" s="3" t="n">
        <v>51</v>
      </c>
      <c r="E299" s="3" t="inlineStr">
        <is>
          <t>3 · DEPENDENT</t>
        </is>
      </c>
      <c r="F299" s="3" t="inlineStr">
        <is>
          <t>Whether an account is a certificate of deposit, judged from its name.</t>
        </is>
      </c>
      <c r="G299" s="11" t="inlineStr">
        <is>
          <t>!!bond info(a as any).is cd</t>
        </is>
      </c>
      <c r="H299" s="3" t="inlineStr">
        <is>
          <t>!!bond info(a as any).is cd.</t>
        </is>
      </c>
      <c r="I299" s="3" t="inlineStr">
        <is>
          <t>PARTLY READ — some of the code is still showing through; needs a hand pass</t>
        </is>
      </c>
      <c r="J299" s="3" t="inlineStr">
        <is>
          <t>a: Pick&lt;AssetAccount, 'label'&gt; &amp; { institution?: string; kind?: string }</t>
        </is>
      </c>
      <c r="K299" s="3" t="inlineStr">
        <is>
          <t>boolean</t>
        </is>
      </c>
      <c r="L299" s="3" t="inlineStr">
        <is>
          <t>—</t>
        </is>
      </c>
      <c r="M299" s="3" t="inlineStr">
        <is>
          <t>None found in this function — anything it assumes comes from the functions it depends on.</t>
        </is>
      </c>
      <c r="N299" s="3" t="inlineStr">
        <is>
          <t>Yes</t>
        </is>
      </c>
      <c r="O299" s="3" t="inlineStr">
        <is>
          <t>MK-NW-F-056 bondInfo</t>
        </is>
      </c>
      <c r="P299" s="3" t="n">
        <v>3</v>
      </c>
      <c r="Q299" s="3" t="inlineStr">
        <is>
          <t>1. MK-NW-F-056 bondInfo
2. MK-CF-F-155 cash
3. MK-XS-F-122 n</t>
        </is>
      </c>
      <c r="R299" s="3" t="inlineStr">
        <is>
          <t>MK-XS-F-122 n → MK-CF-F-155 cash → MK-NW-F-056 bondInfo → MK-NW-F-071 isCertificateOfDeposit</t>
        </is>
      </c>
      <c r="S299" s="3" t="inlineStr">
        <is>
          <t>—</t>
        </is>
      </c>
      <c r="T299" s="3" t="inlineStr">
        <is>
          <t>—</t>
        </is>
      </c>
      <c r="U299" s="3" t="inlineStr">
        <is>
          <t>ACTIVE</t>
        </is>
      </c>
      <c r="V299" s="3" t="inlineStr">
        <is>
          <t>2026-10-09</t>
        </is>
      </c>
      <c r="W299" s="3" t="n"/>
      <c r="X299" s="3" t="n"/>
      <c r="Y299" s="3" t="inlineStr">
        <is>
          <t>NOTHING OPEN</t>
        </is>
      </c>
    </row>
    <row r="300" ht="60" customHeight="1">
      <c r="A300" s="3" t="inlineStr">
        <is>
          <t>MK-NW-F-072</t>
        </is>
      </c>
      <c r="B300" s="3" t="inlineStr">
        <is>
          <t>rowOf</t>
        </is>
      </c>
      <c r="C300" s="3" t="inlineStr">
        <is>
          <t>MoneyKeel/functions/networth-and-performance/bonds.ts</t>
        </is>
      </c>
      <c r="D300" s="3" t="n">
        <v>150</v>
      </c>
      <c r="E300" s="3" t="inlineStr">
        <is>
          <t>3 · DEPENDENT</t>
        </is>
      </c>
      <c r="F300" s="3" t="inlineStr">
        <is>
          <t>One bond's row for the Bonds screen: its face value, yearly interest rate, interest paid in a year, maturity date and years left.</t>
        </is>
      </c>
      <c r="G300" s="11" t="inlineStr">
        <is>
          <t>b = bond info(a)</t>
        </is>
      </c>
      <c r="H300" s="3" t="inlineStr">
        <is>
          <t>B is bond info(a).</t>
        </is>
      </c>
      <c r="I300" s="3" t="inlineStr">
        <is>
          <t>READ FROM THE CODE — rendered from the expressions the function runs</t>
        </is>
      </c>
      <c r="J300" s="3" t="inlineStr">
        <is>
          <t>1. a: AssetAccount
2. now: Date</t>
        </is>
      </c>
      <c r="K300" s="3" t="inlineStr">
        <is>
          <t>BondRow</t>
        </is>
      </c>
      <c r="L300" s="3" t="inlineStr">
        <is>
          <t>—</t>
        </is>
      </c>
      <c r="M300" s="3" t="inlineStr">
        <is>
          <t>None found in this function — anything it assumes comes from the functions it depends on.</t>
        </is>
      </c>
      <c r="N300" s="3" t="inlineStr">
        <is>
          <t>Yes</t>
        </is>
      </c>
      <c r="O300" s="3" t="inlineStr">
        <is>
          <t>1. MK-NW-F-070 accruedInterestCaveat
2. MK-NW-F-060 approxYTM
3. MK-NW-F-056 bondInfo
4. MK-NW-F-059 currentYield
5. MK-NW-F-131 pricedLikeBond
6. MK-NW-F-126 yearlyInterestNow
7. MK-NW-F-058 yearsToMaturity</t>
        </is>
      </c>
      <c r="P300" s="3" t="n">
        <v>17</v>
      </c>
      <c r="Q300" s="3" t="inlineStr">
        <is>
          <t>1. MK-NW-F-070 accruedInterestCaveat
2. MK-NW-F-060 approxYTM
3. MK-NW-F-056 bondInfo
4. MK-NW-F-059 currentYield
5. MK-NW-F-131 pricedLikeBond
6. MK-NW-F-126 yearlyInterestNow
7. MK-NW-F-058 yearsToMaturity
8. MK-NW-F-119 estimatedAccrued
9. MK-NW-F-067 plural
10. MK-NW-F-069 priceAtYield
11. MK-CF-F-155 cash
12. MK-NW-F-112 yearlyInterest
13. MK-NW-F-125 isPastMaturity
14. MK-NW-F-124 maturityParts
15. MK-XS-F-122 n
16. MK-NW-F-057 annualCoupon
17. MK-ST-F-065 isoLocalDate</t>
        </is>
      </c>
      <c r="R300" s="3" t="inlineStr">
        <is>
          <t>1. MK-NW-F-124 maturityParts → MK-NW-F-119 estimatedAccrued → MK-NW-F-070 accruedInterestCaveat → MK-NW-F-072 rowOf
2. MK-XS-F-122 n → MK-NW-F-119 estimatedAccrued → MK-NW-F-070 accruedInterestCaveat → MK-NW-F-072 rowOf
3. MK-XS-F-122 n → MK-CF-F-155 cash → MK-NW-F-131 pricedLikeBond → MK-NW-F-119 estimatedAccrued → MK-NW-F-070 accruedInterestCaveat → MK-NW-F-072 rowOf
4. MK-XS-F-122 n → MK-NW-F-067 plural → MK-NW-F-070 accruedInterestCaveat → MK-NW-F-072 rowOf
5. MK-NW-F-124 maturityParts → MK-NW-F-119 estimatedAccrued → MK-NW-F-060 approxYTM → MK-NW-F-072 rowOf
6. MK-XS-F-122 n → MK-NW-F-119 estimatedAccrued → MK-NW-F-060 approxYTM → MK-NW-F-072 rowOf
7. MK-XS-F-122 n → MK-CF-F-155 cash → MK-NW-F-131 pricedLikeBond → MK-NW-F-119 estimatedAccrued → MK-NW-F-060 approxYTM → MK-NW-F-072 rowOf
8. MK-NW-F-057 annualCoupon → MK-NW-F-069 priceAtYield → MK-NW-F-060 approxYTM → MK-NW-F-072 rowOf
9. … and 5 more paths</t>
        </is>
      </c>
      <c r="S300" s="3" t="inlineStr">
        <is>
          <t>—</t>
        </is>
      </c>
      <c r="T300" s="3" t="inlineStr">
        <is>
          <t>—</t>
        </is>
      </c>
      <c r="U300" s="3" t="inlineStr">
        <is>
          <t>ACTIVE</t>
        </is>
      </c>
      <c r="V300" s="3" t="inlineStr">
        <is>
          <t>2026-09-27</t>
        </is>
      </c>
      <c r="W300" s="3" t="n"/>
      <c r="X300" s="3" t="n"/>
      <c r="Y300" s="3" t="inlineStr">
        <is>
          <t>NOTHING OPEN</t>
        </is>
      </c>
    </row>
    <row r="301" ht="60" customHeight="1">
      <c r="A301" s="3" t="inlineStr">
        <is>
          <t>MK-NW-F-073</t>
        </is>
      </c>
      <c r="B301" s="3" t="inlineStr">
        <is>
          <t>itemising</t>
        </is>
      </c>
      <c r="C301" s="3" t="inlineStr">
        <is>
          <t>MoneyKeel/functions/networth-and-performance/account.ts</t>
        </is>
      </c>
      <c r="D301" s="3" t="n">
        <v>190</v>
      </c>
      <c r="E301" s="3" t="inlineStr">
        <is>
          <t>2 · DISPLAYED</t>
        </is>
      </c>
      <c r="F301" s="3" t="inlineStr">
        <is>
          <t>When an account entered as one total is broken into holdings: the total to keep, the value of the holdings listed so far, and the amount still not explained by them.</t>
        </is>
      </c>
      <c r="G301" s="11" t="inlineStr">
        <is>
          <t>NOT READ YET — the body is not a shape this can render faithfully, so nothing is claimed rather than something being guessed. It needs reading by hand.</t>
        </is>
      </c>
      <c r="H301" s="3" t="inlineStr">
        <is>
          <t>NOT READ YET — the body is not a shape this can render faithfully, so nothing is claimed rather than something being guessed. It needs reading by hand.</t>
        </is>
      </c>
      <c r="I301" s="3" t="inlineStr">
        <is>
          <t>NOT READ — nothing is claimed rather than something guessed</t>
        </is>
      </c>
      <c r="J301" s="3" t="inlineStr">
        <is>
          <t>1. lumpBalance: number
2. items: ItemHolding[]</t>
        </is>
      </c>
      <c r="K301" s="3" t="inlineStr">
        <is>
          <t>Itemising</t>
        </is>
      </c>
      <c r="L301" s="3" t="inlineStr">
        <is>
          <t>NOT FOUND — a screen calls it, but the words printed beside its answer could not be traced automatically. Needs reading.</t>
        </is>
      </c>
      <c r="M301" s="3" t="inlineStr">
        <is>
          <t>None found in this function — anything it assumes comes from the functions it depends on.</t>
        </is>
      </c>
      <c r="N301" s="3" t="inlineStr">
        <is>
          <t>Yes</t>
        </is>
      </c>
      <c r="O301" s="3" t="inlineStr">
        <is>
          <t>1. MK-NW-F-118 itemizeMissingCount
2. MK-NW-F-050 itemizeRemainder
3. MK-NW-F-049 itemizedTotal</t>
        </is>
      </c>
      <c r="P301" s="3" t="n">
        <v>3</v>
      </c>
      <c r="Q301" s="3" t="inlineStr">
        <is>
          <t>1. MK-NW-F-118 itemizeMissingCount
2. MK-NW-F-050 itemizeRemainder
3. MK-NW-F-049 itemizedTotal</t>
        </is>
      </c>
      <c r="R301" s="3" t="inlineStr">
        <is>
          <t>1. MK-NW-F-118 itemizeMissingCount → MK-NW-F-073 itemising
2. MK-NW-F-049 itemizedTotal → MK-NW-F-050 itemizeRemainder → MK-NW-F-073 itemising
3. MK-NW-F-049 itemizedTotal → MK-NW-F-073 itemising</t>
        </is>
      </c>
      <c r="S301" s="3" t="inlineStr">
        <is>
          <t>—</t>
        </is>
      </c>
      <c r="T301" s="3" t="inlineStr">
        <is>
          <t>—</t>
        </is>
      </c>
      <c r="U301" s="3" t="inlineStr">
        <is>
          <t>ACTIVE</t>
        </is>
      </c>
      <c r="V301" s="3" t="inlineStr">
        <is>
          <t>2026-09-27</t>
        </is>
      </c>
      <c r="W301" s="3" t="n"/>
      <c r="X301" s="3" t="n"/>
      <c r="Y301" s="3" t="inlineStr">
        <is>
          <t>NOTHING OPEN</t>
        </is>
      </c>
    </row>
    <row r="302" ht="60" customHeight="1">
      <c r="A302" s="3" t="inlineStr">
        <is>
          <t>MK-NW-F-075</t>
        </is>
      </c>
      <c r="B302" s="3" t="inlineStr">
        <is>
          <t>ACC</t>
        </is>
      </c>
      <c r="C302" s="3" t="inlineStr">
        <is>
          <t>MoneyKeel/functions/networth-and-performance/account.ts</t>
        </is>
      </c>
      <c r="D302" s="3" t="n">
        <v>249</v>
      </c>
      <c r="E302" s="3" t="inlineStr">
        <is>
          <t>1 · ACTION</t>
        </is>
      </c>
      <c r="F302" s="3" t="inlineStr">
        <is>
          <t>Example only: runs theAccount on the worked example and calculates nothing of its own.</t>
        </is>
      </c>
      <c r="G302" s="11" t="inlineStr">
        <is>
          <t>NOT READ YET — the body is not a shape this can render faithfully, so nothing is claimed rather than something being guessed. It needs reading by hand.</t>
        </is>
      </c>
      <c r="H302" s="3" t="inlineStr">
        <is>
          <t>NOT READ YET — the body is not a shape this can render faithfully, so nothing is claimed rather than something being guessed. It needs reading by hand.</t>
        </is>
      </c>
      <c r="I302" s="3" t="inlineStr">
        <is>
          <t>NOT READ — nothing is claimed rather than something guessed</t>
        </is>
      </c>
      <c r="J302" s="3" t="inlineStr">
        <is>
          <t>Nothing is handed to it</t>
        </is>
      </c>
      <c r="K302" s="3" t="inlineStr">
        <is>
          <t>EXAMPLE_ACCOUNT, transactions: EXAMPLE_LEDGER });</t>
        </is>
      </c>
      <c r="L302" s="3" t="inlineStr">
        <is>
          <t>—</t>
        </is>
      </c>
      <c r="M302" s="3" t="inlineStr">
        <is>
          <t>None found in this function — anything it assumes comes from the functions it depends on.</t>
        </is>
      </c>
      <c r="N302" s="3" t="inlineStr">
        <is>
          <t>No</t>
        </is>
      </c>
      <c r="O302" s="3" t="inlineStr">
        <is>
          <t>1. MK-CF-F-155 cash
2. MK-XS-F-180 declareFigures
3. MK-NW-F-073 itemising
4. MK-PF-F-004 marketValue
5. MK-ST-F-030 record
6. MK-NW-O-002 theAccount</t>
        </is>
      </c>
      <c r="P302" s="3" t="n">
        <v>35</v>
      </c>
      <c r="Q302" s="3" t="inlineStr">
        <is>
          <t>1. MK-CF-F-155 cash
2. MK-XS-F-180 declareFigures
3. MK-NW-F-073 itemising
4. MK-PF-F-004 marketValue
5. MK-ST-F-030 record
6. MK-NW-O-002 theAccount
7. MK-XS-F-122 n
8. MK-NW-F-118 itemizeMissingCount
9. MK-NW-F-050 itemizeRemainder
10. MK-NW-F-049 itemizedTotal
11. MK-PF-F-031 contractMultiplier
12. MK-PF-F-001 totalShares
13. MK-NW-F-027 accountClassBreakdown
14. MK-CF-F-118 cashEffect
15. MK-CF-F-132 map
16. MK-ST-F-013 personalFlowTotals
17. MK-ST-F-021 toNumber
18. MK-NW-F-011 assetClassOf
19. MK-ST-F-056 has
20. MK-NW-F-109 holdingClassOf
21. MK-NW-F-067 plural
22. MK-NW-F-120 classEvidenceOf
23. MK-NW-F-123 holdingNameEvidence
24. MK-NW-F-121 holdingTagClass
25. MK-NW-F-054 reclassifyAccounts
26. MK-NW-F-008 incomeBearingClassOf
27. MK-NW-F-009 maturityClass
28. MK-NW-F-053 correctClassOf
29. MK-NW-F-122 holdingTagFor
30. MK-ST-F-010 nameEvidence
31. MK-NW-F-068 prettyDay
32. MK-XS-F-147 call
33. MK-ST-F-027 accountId
34. MK-XS-F-064 currentIdToken
35. MK-XS-F-112 relayUrl</t>
        </is>
      </c>
      <c r="R302" s="3" t="inlineStr">
        <is>
          <t>1. MK-XS-F-122 n → MK-CF-F-155 cash → MK-NW-F-075 ACC
2. MK-XS-F-180 declareFigures → MK-NW-F-075 ACC
3. MK-NW-F-118 itemizeMissingCount → MK-NW-F-073 itemising → MK-NW-F-075 ACC
4. MK-NW-F-049 itemizedTotal → MK-NW-F-050 itemizeRemainder → MK-NW-F-073 itemising → MK-NW-F-075 ACC
5. MK-NW-F-049 itemizedTotal → MK-NW-F-073 itemising → MK-NW-F-075 ACC
6. MK-PF-F-031 contractMultiplier → MK-PF-F-004 marketValue → MK-NW-F-075 ACC
7. MK-PF-F-001 totalShares → MK-PF-F-004 marketValue → MK-NW-F-075 ACC
8. MK-ST-F-030 record → MK-NW-F-075 ACC
9. … and 4 more paths</t>
        </is>
      </c>
      <c r="S302" s="3" t="inlineStr">
        <is>
          <t>—</t>
        </is>
      </c>
      <c r="T302" s="3" t="inlineStr">
        <is>
          <t>—</t>
        </is>
      </c>
      <c r="U302" s="3" t="inlineStr">
        <is>
          <t>ACTIVE</t>
        </is>
      </c>
      <c r="V302" s="3" t="inlineStr">
        <is>
          <t>2026-09-28</t>
        </is>
      </c>
      <c r="W302" s="3" t="n"/>
      <c r="X302" s="3" t="n"/>
      <c r="Y302" s="3" t="inlineStr">
        <is>
          <t>NOTHING OPEN</t>
        </is>
      </c>
    </row>
    <row r="303" ht="60" customHeight="1">
      <c r="A303" s="3" t="inlineStr">
        <is>
          <t>MK-NW-F-076</t>
        </is>
      </c>
      <c r="B303" s="3" t="inlineStr">
        <is>
          <t>ALT</t>
        </is>
      </c>
      <c r="C303" s="3" t="inlineStr">
        <is>
          <t>MoneyKeel/functions/networth-and-performance/alternatives-outlook.ts</t>
        </is>
      </c>
      <c r="D303" s="3" t="n">
        <v>180</v>
      </c>
      <c r="E303" s="3" t="inlineStr">
        <is>
          <t>3 · DEPENDENT (feeds an action only)</t>
        </is>
      </c>
      <c r="F303" s="3" t="inlineStr">
        <is>
          <t>Example only: runs theAlternativesOutlook on the worked example and calculates nothing of its own.</t>
        </is>
      </c>
      <c r="G303" s="11" t="inlineStr">
        <is>
          <t>NOT READ YET — the body is not a shape this can render faithfully, so nothing is claimed rather than something being guessed. It needs reading by hand.</t>
        </is>
      </c>
      <c r="H303" s="3" t="inlineStr">
        <is>
          <t>NOT READ YET — the body is not a shape this can render faithfully, so nothing is claimed rather than something being guessed. It needs reading by hand.</t>
        </is>
      </c>
      <c r="I303" s="3" t="inlineStr">
        <is>
          <t>NOT READ — nothing is claimed rather than something guessed</t>
        </is>
      </c>
      <c r="J303" s="3" t="inlineStr">
        <is>
          <t>Nothing is handed to it</t>
        </is>
      </c>
      <c r="K303" s="3" t="inlineStr">
        <is>
          <t>EXAMPLE });</t>
        </is>
      </c>
      <c r="L303" s="3" t="inlineStr">
        <is>
          <t>—</t>
        </is>
      </c>
      <c r="M303" s="3" t="inlineStr">
        <is>
          <t>None found in this function — anything it assumes comes from the functions it depends on.</t>
        </is>
      </c>
      <c r="N303" s="3" t="inlineStr">
        <is>
          <t>No</t>
        </is>
      </c>
      <c r="O303" s="3" t="inlineStr">
        <is>
          <t>1. MK-XS-F-180 declareFigures
2. MK-NW-O-005 theAlternativesOutlook</t>
        </is>
      </c>
      <c r="P303" s="3" t="n">
        <v>143</v>
      </c>
      <c r="Q303" s="3" t="inlineStr">
        <is>
          <t>1. MK-XS-F-180 declareFigures
2. MK-NW-O-005 theAlternativesOutlook
3. MK-NW-F-113 altPartsOf
4. MK-NW-F-002 alternativesSummary
5. MK-NW-F-034 benchmarkReturn
6. MK-NW-F-037 blendedReturn
7. MK-NW-F-028 classPortionLabel
8. MK-NW-F-001 isAlternative
9. MK-CF-F-132 map
10. MK-NW-F-132 notClassifiedWords
11. MK-NW-F-027 accountClassBreakdown
12. MK-NW-F-109 holdingClassOf
13. MK-CF-F-200 LINE
14. MK-CF-F-204 line
15. MK-NW-F-007 assetKind
16. MK-NW-F-032 earmarkedAmount
17. MK-NW-F-031 primaryCarIdOf
18. MK-NW-F-110 primaryHomeIdOf
19. MK-XS-F-120 nameOf
20. MK-NW-F-067 plural
21. MK-NW-F-011 assetClassOf
22. MK-ST-F-049 formatMoney
23. MK-CF-F-155 cash
24. MK-ST-F-056 has
25. MK-NW-F-123 holdingNameEvidence
26. MK-NW-F-121 holdingTagClass
27. MK-NW-F-054 reclassifyAccounts
28. MK-CF-O-006 theCreditLine
29. MK-CF-F-203 MONTH
30. MK-NW-F-030 earmarkDefault
31. MK-NW-F-134 carValueNotEnteredNotes
32. MK-NW-F-133 valueEntered
33. MK-NW-F-117 propertyUseMap
34. MK-XS-F-122 n
35. MK-NW-F-120 classEvidenceOf
36. MK-ST-F-048 currencySymbol
37. MK-ST-F-039 on
38. MK-NW-F-008 incomeBearingClassOf
39. MK-NW-F-053 correctClassOf
40. MK-NW-F-122 holdingTagFor
41. MK-CF-F-031 creditUtilization
42. MK-CF-O-010 theMonth
43. MK-ST-F-053 money
44. MK-NW-F-033 retirementEarmarkedValue
45. MK-NW-F-116 rentedIdsOf
46. MK-NW-F-009 maturityClass
47. MK-ST-F-047 activeCurrency
48. MK-ST-F-010 nameEvidence
49. MK-CF-O-002 expenses
50. MK-CF-O-003 thisMonth
51. MK-NW-F-115 liveRent
52. MK-NW-F-068 prettyDay
53. MK-XS-F-147 call
54. MK-CF-F-151 actualSpending
55. MK-CF-F-150 debtPaymentsCountedAsExpenses
56. MK-CF-F-153 radar
57. MK-CF-F-149 recurringDebtPayments
58. MK-CF-F-005 actualMonthFlow
59. MK-CF-F-156 plannedMonthFlow
60. MK-NW-F-114 rentAmount
61. MK-ST-F-027 accountId
62. MK-XS-F-064 currentIdToken
63. MK-XS-F-112 relayUrl
64. MK-CF-F-148 inMonth
65. MK-ST-F-052 toNum
66. MK-CF-F-191 ym
67. MK-CF-F-022 paymentShape
68. MK-CF-F-152 isRadarItem
69. MK-CF-F-023 requiredPayment
70. MK-NW-F-078 ONE
71. MK-CF-F-157 debtPaymentsByDebt
72. MK-CF-F-192 inflowLabel
73. MK-XS-F-027 takeHomeMonthly
74. MK-ST-F-085 rentFigure
75. MK-CF-F-021 defaultPaymentType
76. MK-NW-F-077 ALL
77. MK-NW-F-059 currentYield
78. MK-NW-O-001 theBonds
79. MK-CF-F-193 inflowSourceWord
80. MK-CF-F-092 incomeMonthlyGrid
81. MK-CF-F-011 savingsByMonth
82. MK-NW-F-112 yearlyInterest
83. MK-NW-F-057 annualCoupon
84. MK-NW-F-056 bondInfo
85. MK-NW-F-064 bondRateSensitivity
86. MK-NW-F-061 bondSummary
87. MK-NW-F-055 isBond
88. MK-NW-F-072 rowOf
89. MK-CF-F-069 benefitActiveMonths
90. MK-CF-F-072 currentRetirementIncomeMonthly
91. MK-CF-F-173 earnerWages
92. MK-CF-F-065 equityVestWeights
93. MK-CF-F-071 extraIncome
94. MK-CF-F-206 householdK401ByMonth
95. MK-CF-F-087 monthlyTaxRates
96. MK-CF-F-073 otherIncomeMonth
97. MK-CF-F-181 rateInForce
98. MK-CF-F-068 rentalNetAnnual
99. MK-CF-F-066 rsuAnnual
100. MK-CF-F-060 salaryGrossByMonth
101. MK-CF-F-077 scholarshipByCalendarMonth
102. MK-CF-F-088 taxableByCalendarMonth
103. MK-CF-F-177 wageGrossByMonth
104. MK-PL-F-012 waterfall
105. MK-CF-F-008 spendByMonth
106. MK-NW-F-060 approxYTM
107. MK-NW-F-069 priceAtYield
108. MK-NW-F-131 pricedLikeBond
109. MK-NW-F-125 isPastMaturity
110. MK-ST-F-065 isoLocalDate
111. MK-NW-F-126 yearlyInterestNow
112. MK-NW-F-070 accruedInterestCaveat
113. MK-NW-F-058 yearsToMaturity
114. MK-CF-F-075 retirementIncomeMonthly
115. MK-CF-F-172 hasWage
116. MK-CF-F-062 equityRowValue
117. MK-CF-F-070 benefitAnnual
118. MK-CF-F-176 sumMonthsOverEarners
119. MK-CF-F-090 effectiveRate
120. MK-CF-F-180 enteredLandsAnnual
121. MK-CF-F-085 filingStatusOf
122. MK-CF-F-089 over65CountOf
123. MK-CF-F-082 salaryAnnual
124. MK-CF-F-086 stateRateOf
125. MK-CF-F-101 taxOwedFor
126. MK-CF-F-084 taxableAnnual
127. MK-CF-F-067 rentalList
128. MK-CF-F-063 rowVestYear
129. MK-CF-F-130 enteredMonthlyRaw
130. MK-CF-F-166 hasMonthlySalaryTable
131. MK-ST-F-036 reconcile
132. MK-CF-F-167 salaryCalendarYear
133. MK-CF-F-120 pctBaseMonthly
134. MK-CF-F-004 spendBuckets
135. MK-NW-F-119 estimatedAccrued
136. MK-NW-F-124 maturityParts
137. MK-CF-F-100 taxableIncomeFor
138. MK-CF-F-074 tipsAnnual
139. MK-CF-F-165 salaryMonths
140. MK-CF-F-003 categoryMonthly
141. MK-CF-F-099 deductionFor
142. MK-CF-F-081 salaryActiveMonths
143. MK-CF-F-187 seniorDeductionFor</t>
        </is>
      </c>
      <c r="R303" s="3" t="inlineStr">
        <is>
          <t>1. MK-XS-F-180 declareFigures → MK-NW-F-076 ALT
2. MK-NW-F-120 classEvidenceOf → MK-NW-F-011 assetClassOf → MK-NW-F-027 accountClassBreakdown → MK-NW-F-113 altPartsOf → MK-NW-O-005 theAlternativesOutlook → MK-NW-F-076 ALT
3. MK-XS-F-122 n → MK-CF-F-155 cash → MK-NW-F-027 accountClassBreakdown → MK-NW-F-113 altPartsOf → MK-NW-O-005 theAlternativesOutlook → MK-NW-F-076 ALT
4. MK-ST-F-056 has → MK-NW-F-027 accountClassBreakdown → MK-NW-F-113 altPartsOf → MK-NW-O-005 theAlternativesOutlook → MK-NW-F-076 ALT
5. MK-NW-F-123 holdingNameEvidence → MK-NW-F-109 holdingClassOf → MK-NW-F-027 accountClassBreakdown → MK-NW-F-113 altPartsOf → MK-NW-O-005 theAlternativesOutlook → MK-NW-F-076 ALT
6. MK-NW-F-121 holdingTagClass → MK-NW-F-109 holdingClassOf → MK-NW-F-027 accountClassBreakdown → MK-NW-F-113 altPartsOf → MK-NW-O-005 theAlternativesOutlook → MK-NW-F-076 ALT
7. MK-NW-F-054 reclassifyAccounts → MK-NW-F-109 holdingClassOf → MK-NW-F-027 accountClassBreakdown → MK-NW-F-113 altPartsOf → MK-NW-O-005 theAlternativesOutlook → MK-NW-F-076 ALT
8. MK-CF-F-132 map → MK-NW-F-027 accountClassBreakdown → MK-NW-F-113 altPartsOf → MK-NW-O-005 theAlternativesOutlook → MK-NW-F-076 ALT
9. … and 4 more paths</t>
        </is>
      </c>
      <c r="S303" s="3" t="inlineStr">
        <is>
          <t>—</t>
        </is>
      </c>
      <c r="T303" s="3" t="inlineStr">
        <is>
          <t>—</t>
        </is>
      </c>
      <c r="U303" s="3" t="inlineStr">
        <is>
          <t>ACTIVE</t>
        </is>
      </c>
      <c r="V303" s="3" t="inlineStr">
        <is>
          <t>2026-10-01</t>
        </is>
      </c>
      <c r="W303" s="3" t="n"/>
      <c r="X303" s="3" t="n"/>
      <c r="Y303" s="3" t="inlineStr">
        <is>
          <t>NOTHING OPEN</t>
        </is>
      </c>
    </row>
    <row r="304" ht="60" customHeight="1">
      <c r="A304" s="3" t="inlineStr">
        <is>
          <t>MK-NW-F-077</t>
        </is>
      </c>
      <c r="B304" s="3" t="inlineStr">
        <is>
          <t>ALL</t>
        </is>
      </c>
      <c r="C304" s="3" t="inlineStr">
        <is>
          <t>MoneyKeel/functions/networth-and-performance/bonds.ts</t>
        </is>
      </c>
      <c r="D304" s="3" t="n">
        <v>333</v>
      </c>
      <c r="E304" s="3" t="inlineStr">
        <is>
          <t>1 · ACTION</t>
        </is>
      </c>
      <c r="F304" s="3" t="inlineStr">
        <is>
          <t>Example only: runs theBonds on the worked example and calculates nothing of its own.</t>
        </is>
      </c>
      <c r="G304" s="11" t="inlineStr">
        <is>
          <t>NOT READ YET — the body is not a shape this can render faithfully, so nothing is claimed rather than something being guessed. It needs reading by hand.</t>
        </is>
      </c>
      <c r="H304" s="3" t="inlineStr">
        <is>
          <t>NOT READ YET — the body is not a shape this can render faithfully, so nothing is claimed rather than something being guessed. It needs reading by hand.</t>
        </is>
      </c>
      <c r="I304" s="3" t="inlineStr">
        <is>
          <t>NOT READ — nothing is claimed rather than something guessed</t>
        </is>
      </c>
      <c r="J304" s="3" t="inlineStr">
        <is>
          <t>Nothing is handed to it</t>
        </is>
      </c>
      <c r="K304" s="3" t="inlineStr">
        <is>
          <t>EXAMPLE, today: TODAY });</t>
        </is>
      </c>
      <c r="L304" s="3" t="inlineStr">
        <is>
          <t>—</t>
        </is>
      </c>
      <c r="M304" s="3" t="inlineStr">
        <is>
          <t>None found in this function — anything it assumes comes from the functions it depends on.</t>
        </is>
      </c>
      <c r="N304" s="3" t="inlineStr">
        <is>
          <t>Yes</t>
        </is>
      </c>
      <c r="O304" s="3" t="inlineStr">
        <is>
          <t>MK-NW-O-001 theBonds</t>
        </is>
      </c>
      <c r="P304" s="3" t="n">
        <v>34</v>
      </c>
      <c r="Q304" s="3" t="inlineStr">
        <is>
          <t>1. MK-NW-O-001 theBonds
2. MK-ST-F-027 accountId
3. MK-NW-F-057 annualCoupon
4. MK-NW-F-056 bondInfo
5. MK-NW-F-064 bondRateSensitivity
6. MK-NW-F-061 bondSummary
7. MK-NW-F-055 isBond
8. MK-CF-F-132 map
9. MK-NW-F-072 rowOf
10. MK-NW-F-112 yearlyInterest
11. MK-CF-F-155 cash
12. MK-NW-F-060 approxYTM
13. MK-NW-F-069 priceAtYield
14. MK-NW-F-131 pricedLikeBond
15. MK-NW-F-125 isPastMaturity
16. MK-ST-F-065 isoLocalDate
17. MK-NW-F-126 yearlyInterestNow
18. MK-NW-F-011 assetClassOf
19. MK-NW-F-070 accruedInterestCaveat
20. MK-NW-F-059 currentYield
21. MK-NW-F-058 yearsToMaturity
22. MK-XS-F-122 n
23. MK-NW-F-119 estimatedAccrued
24. MK-NW-F-124 maturityParts
25. MK-NW-F-120 classEvidenceOf
26. MK-NW-F-067 plural
27. MK-NW-F-008 incomeBearingClassOf
28. MK-NW-F-009 maturityClass
29. MK-ST-F-010 nameEvidence
30. MK-NW-F-068 prettyDay
31. MK-XS-F-147 call
32. MK-ST-F-056 has
33. MK-XS-F-064 currentIdToken
34. MK-XS-F-112 relayUrl</t>
        </is>
      </c>
      <c r="R304" s="3" t="inlineStr">
        <is>
          <t>1. MK-ST-F-027 accountId → MK-NW-O-001 theBonds → MK-NW-F-077 ALL
2. MK-NW-F-057 annualCoupon → MK-NW-O-001 theBonds → MK-NW-F-077 ALL
3. MK-XS-F-122 n → MK-CF-F-155 cash → MK-NW-F-056 bondInfo → MK-NW-O-001 theBonds → MK-NW-F-077 ALL
4. MK-NW-F-124 maturityParts → MK-NW-F-119 estimatedAccrued → MK-NW-F-060 approxYTM → MK-NW-F-064 bondRateSensitivity → MK-NW-O-001 theBonds → MK-NW-F-077 ALL
5. MK-XS-F-122 n → MK-NW-F-119 estimatedAccrued → MK-NW-F-060 approxYTM → MK-NW-F-064 bondRateSensitivity → MK-NW-O-001 theBonds → MK-NW-F-077 ALL
6. MK-NW-F-131 pricedLikeBond → MK-NW-F-119 estimatedAccrued → MK-NW-F-060 approxYTM → MK-NW-F-064 bondRateSensitivity → MK-NW-O-001 theBonds → MK-NW-F-077 ALL
7. MK-NW-F-057 annualCoupon → MK-NW-F-069 priceAtYield → MK-NW-F-060 approxYTM → MK-NW-F-064 bondRateSensitivity → MK-NW-O-001 theBonds → MK-NW-F-077 ALL
8. MK-NW-F-058 yearsToMaturity → MK-NW-F-069 priceAtYield → MK-NW-F-060 approxYTM → MK-NW-F-064 bondRateSensitivity → MK-NW-O-001 theBonds → MK-NW-F-077 ALL
9. … and 4 more paths</t>
        </is>
      </c>
      <c r="S304" s="3" t="inlineStr">
        <is>
          <t>—</t>
        </is>
      </c>
      <c r="T304" s="3" t="inlineStr">
        <is>
          <t>—</t>
        </is>
      </c>
      <c r="U304" s="3" t="inlineStr">
        <is>
          <t>ACTIVE</t>
        </is>
      </c>
      <c r="V304" s="3" t="inlineStr">
        <is>
          <t>2026-09-28</t>
        </is>
      </c>
      <c r="W304" s="3" t="n"/>
      <c r="X304" s="3" t="n"/>
      <c r="Y304" s="3" t="inlineStr">
        <is>
          <t>NOTHING OPEN</t>
        </is>
      </c>
    </row>
    <row r="305" ht="60" customHeight="1">
      <c r="A305" s="3" t="inlineStr">
        <is>
          <t>MK-NW-F-078</t>
        </is>
      </c>
      <c r="B305" s="3" t="inlineStr">
        <is>
          <t>ONE</t>
        </is>
      </c>
      <c r="C305" s="3" t="inlineStr">
        <is>
          <t>MoneyKeel/functions/networth-and-performance/bonds.ts</t>
        </is>
      </c>
      <c r="D305" s="3" t="n">
        <v>377</v>
      </c>
      <c r="E305" s="3" t="inlineStr">
        <is>
          <t>2 · DISPLAYED</t>
        </is>
      </c>
      <c r="F305" s="3" t="inlineStr">
        <is>
          <t>Example only: runs theBonds for one bond of the worked example and calculates nothing of its own.</t>
        </is>
      </c>
      <c r="G305" s="11" t="inlineStr">
        <is>
          <t>NOT READ YET — the body is not a shape this can render faithfully, so nothing is claimed rather than something being guessed. It needs reading by hand.</t>
        </is>
      </c>
      <c r="H305" s="3" t="inlineStr">
        <is>
          <t>NOT READ YET — the body is not a shape this can render faithfully, so nothing is claimed rather than something being guessed. It needs reading by hand.</t>
        </is>
      </c>
      <c r="I305" s="3" t="inlineStr">
        <is>
          <t>NOT READ — nothing is claimed rather than something guessed</t>
        </is>
      </c>
      <c r="J305" s="3" t="inlineStr">
        <is>
          <t>Nothing is handed to it</t>
        </is>
      </c>
      <c r="K305" s="3" t="inlineStr">
        <is>
          <t>EXAMPLE, accountId: 'b1', today: TODAY }).one!;</t>
        </is>
      </c>
      <c r="L305" s="3" t="inlineStr">
        <is>
          <t>NOT FOUND — a screen calls it, but the words printed beside its answer could not be traced automatically. Needs reading.</t>
        </is>
      </c>
      <c r="M305" s="3" t="inlineStr">
        <is>
          <t>1. If face is missing it uses 0.
2. If coupon per year is missing it uses 0.
3. If current yield is missing it uses 0.
4. If coupon rate is missing it uses 0.
5. If years left is missing it uses 0.
6. Shows 2 decimal places.
7. Shows 1 decimal place.</t>
        </is>
      </c>
      <c r="N305" s="3" t="inlineStr">
        <is>
          <t>Yes</t>
        </is>
      </c>
      <c r="O305" s="3" t="inlineStr">
        <is>
          <t>1. MK-NW-F-077 ALL
2. MK-NW-F-059 currentYield
3. MK-XS-F-180 declareFigures
4. MK-ST-F-049 formatMoney
5. MK-ST-F-053 money
6. MK-NW-O-001 theBonds</t>
        </is>
      </c>
      <c r="P305" s="3" t="n">
        <v>41</v>
      </c>
      <c r="Q305" s="3" t="inlineStr">
        <is>
          <t>1. MK-NW-F-077 ALL
2. MK-NW-F-059 currentYield
3. MK-XS-F-180 declareFigures
4. MK-ST-F-049 formatMoney
5. MK-ST-F-053 money
6. MK-NW-O-001 theBonds
7. MK-NW-F-112 yearlyInterest
8. MK-ST-F-048 currencySymbol
9. MK-XS-F-122 n
10. MK-ST-F-039 on
11. MK-ST-F-027 accountId
12. MK-NW-F-057 annualCoupon
13. MK-NW-F-056 bondInfo
14. MK-NW-F-064 bondRateSensitivity
15. MK-NW-F-061 bondSummary
16. MK-NW-F-055 isBond
17. MK-CF-F-132 map
18. MK-NW-F-072 rowOf
19. MK-ST-F-047 activeCurrency
20. MK-CF-F-155 cash
21. MK-NW-F-060 approxYTM
22. MK-NW-F-069 priceAtYield
23. MK-NW-F-131 pricedLikeBond
24. MK-NW-F-125 isPastMaturity
25. MK-ST-F-065 isoLocalDate
26. MK-NW-F-126 yearlyInterestNow
27. MK-NW-F-011 assetClassOf
28. MK-NW-F-070 accruedInterestCaveat
29. MK-NW-F-058 yearsToMaturity
30. MK-NW-F-119 estimatedAccrued
31. MK-NW-F-124 maturityParts
32. MK-NW-F-120 classEvidenceOf
33. MK-NW-F-067 plural
34. MK-NW-F-008 incomeBearingClassOf
35. MK-NW-F-009 maturityClass
36. MK-ST-F-010 nameEvidence
37. MK-NW-F-068 prettyDay
38. MK-XS-F-147 call
39. MK-ST-F-056 has
40. MK-XS-F-064 currentIdToken
41. MK-XS-F-112 relayUrl</t>
        </is>
      </c>
      <c r="R305" s="3" t="inlineStr">
        <is>
          <t>1. MK-ST-F-027 accountId → MK-NW-O-001 theBonds → MK-NW-F-077 ALL → MK-NW-F-078 ONE
2. MK-NW-F-057 annualCoupon → MK-NW-O-001 theBonds → MK-NW-F-077 ALL → MK-NW-F-078 ONE
3. MK-XS-F-122 n → MK-CF-F-155 cash → MK-NW-F-056 bondInfo → MK-NW-O-001 theBonds → MK-NW-F-077 ALL → MK-NW-F-078 ONE
4. MK-NW-F-119 estimatedAccrued → MK-NW-F-060 approxYTM → MK-NW-F-064 bondRateSensitivity → MK-NW-O-001 theBonds → MK-NW-F-077 ALL → MK-NW-F-078 ONE
5. MK-NW-F-069 priceAtYield → MK-NW-F-060 approxYTM → MK-NW-F-064 bondRateSensitivity → MK-NW-O-001 theBonds → MK-NW-F-077 ALL → MK-NW-F-078 ONE
6. MK-NW-F-131 pricedLikeBond → MK-NW-F-060 approxYTM → MK-NW-F-064 bondRateSensitivity → MK-NW-O-001 theBonds → MK-NW-F-077 ALL → MK-NW-F-078 ONE
7. MK-NW-F-058 yearsToMaturity → MK-NW-F-060 approxYTM → MK-NW-F-064 bondRateSensitivity → MK-NW-O-001 theBonds → MK-NW-F-077 ALL → MK-NW-F-078 ONE
8. MK-NW-F-057 annualCoupon → MK-NW-F-069 priceAtYield → MK-NW-F-064 bondRateSensitivity → MK-NW-O-001 theBonds → MK-NW-F-077 ALL → MK-NW-F-078 ONE
9. … and 5 more paths</t>
        </is>
      </c>
      <c r="S305" s="3" t="inlineStr">
        <is>
          <t>—</t>
        </is>
      </c>
      <c r="T305" s="3" t="inlineStr">
        <is>
          <t>—</t>
        </is>
      </c>
      <c r="U305" s="3" t="inlineStr">
        <is>
          <t>ACTIVE</t>
        </is>
      </c>
      <c r="V305" s="3" t="inlineStr">
        <is>
          <t>2026-09-28</t>
        </is>
      </c>
      <c r="W305" s="3" t="n"/>
      <c r="X305" s="3" t="n"/>
      <c r="Y305" s="3" t="inlineStr">
        <is>
          <t>NOTHING OPEN</t>
        </is>
      </c>
    </row>
    <row r="306" ht="60" customHeight="1">
      <c r="A306" s="3" t="inlineStr">
        <is>
          <t>MK-NW-F-079</t>
        </is>
      </c>
      <c r="B306" s="3" t="inlineStr">
        <is>
          <t>EF</t>
        </is>
      </c>
      <c r="C306" s="3" t="inlineStr">
        <is>
          <t>MoneyKeel/functions/networth-and-performance/emergency-fund.ts</t>
        </is>
      </c>
      <c r="D306" s="3" t="n">
        <v>307</v>
      </c>
      <c r="E306" s="3" t="inlineStr">
        <is>
          <t>1 · ACTION</t>
        </is>
      </c>
      <c r="F306" s="3" t="inlineStr">
        <is>
          <t>Example only: runs theEmergencyFund on the worked example and calculates nothing of its own.</t>
        </is>
      </c>
      <c r="G306" s="11" t="inlineStr">
        <is>
          <t>the emergency fund(EXAMPLE)</t>
        </is>
      </c>
      <c r="H306" s="3" t="inlineStr">
        <is>
          <t>the emergency fund(EXAMPLE)</t>
        </is>
      </c>
      <c r="I306" s="3" t="inlineStr">
        <is>
          <t>READ FROM THE CODE — rendered from the expressions the function runs</t>
        </is>
      </c>
      <c r="J306" s="3" t="inlineStr">
        <is>
          <t>Nothing is handed to it</t>
        </is>
      </c>
      <c r="K306" s="3" t="inlineStr">
        <is>
          <t>NOT DECLARED — the code does not say what it gives back</t>
        </is>
      </c>
      <c r="L306" s="3" t="inlineStr">
        <is>
          <t>—</t>
        </is>
      </c>
      <c r="M306" s="3" t="inlineStr">
        <is>
          <t>1. Rounds the answer to 1 decimal place.
2. Shows 1 decimal place.</t>
        </is>
      </c>
      <c r="N306" s="3" t="inlineStr">
        <is>
          <t>No</t>
        </is>
      </c>
      <c r="O306" s="3" t="inlineStr">
        <is>
          <t>1. MK-CF-F-155 cash
2. MK-XS-F-180 declareFigures
3. MK-CF-F-190 essentialsMonthly
4. MK-ST-F-049 formatMoney
5. MK-NW-O-004 theEmergencyFund</t>
        </is>
      </c>
      <c r="P306" s="3" t="n">
        <v>152</v>
      </c>
      <c r="Q306" s="3" t="inlineStr">
        <is>
          <t>1. MK-CF-F-155 cash
2. MK-XS-F-180 declareFigures
3. MK-CF-F-190 essentialsMonthly
4. MK-ST-F-049 formatMoney
5. MK-NW-O-004 theEmergencyFund
6. MK-XS-F-122 n
7. MK-CF-F-189 essentialsFromLoggedSpending
8. MK-CF-O-002 expenses
9. MK-ST-F-048 currencySymbol
10. MK-ST-F-039 on
11. MK-NW-F-016 cashTotal
12. MK-CF-F-010 emergencyTest
13. MK-ST-F-056 has
14. MK-CF-O-004 incomeSummary
15. MK-CF-F-132 map
16. MK-CF-F-009 monthlyEssentials
17. MK-CF-F-022 paymentShape
18. MK-CF-F-002 plannedMonthlySpend
19. MK-NW-F-117 propertyUseMap
20. MK-ST-F-085 rentFigure
21. MK-CF-O-020 theBudgetCounted
22. MK-ST-F-052 toNum
23. MK-CF-F-191 ym
24. MK-CF-F-151 actualSpending
25. MK-CF-F-150 debtPaymentsCountedAsExpenses
26. MK-CF-F-153 radar
27. MK-CF-F-149 recurringDebtPayments
28. MK-ST-F-047 activeCurrency
29. MK-NW-F-027 accountClassBreakdown
30. MK-NW-F-029 assetAllocation
31. MK-NW-F-011 assetClassOf
32. MK-CF-F-203 MONTH
33. MK-CF-O-001 basePay
34. MK-CF-F-069 benefitActiveMonths
35. MK-CF-F-072 currentRetirementIncomeMonthly
36. MK-CF-F-173 earnerWages
37. MK-CF-F-179 entryFromWage
38. MK-CF-F-071 extraIncome
39. MK-CF-F-085 filingStatusOf
40. MK-CF-F-092 incomeMonthlyGrid
41. MK-CF-F-192 inflowLabel
42. MK-CF-F-103 marginalBracketFor
43. MK-CF-F-089 over65CountOf
44. MK-CF-F-181 rateInForce
45. MK-CF-F-068 rentalNetAnnual
46. MK-CF-F-082 salaryAnnual
47. MK-CF-F-060 salaryGrossByMonth
48. MK-CF-F-084 taxableAnnual
49. MK-CF-F-120 pctBaseMonthly
50. MK-CF-F-004 spendBuckets
51. MK-CF-F-021 defaultPaymentType
52. MK-XS-F-027 takeHomeMonthly
53. MK-NW-F-116 rentedIdsOf
54. MK-NW-F-106 mortgagesByProperty
55. MK-NW-F-107 propertyUses
56. MK-CF-F-148 inMonth
57. MK-CF-F-152 isRadarItem
58. MK-CF-F-023 requiredPayment
59. MK-NW-F-109 holdingClassOf
60. MK-NW-F-067 plural
61. MK-NW-F-120 classEvidenceOf
62. MK-CF-O-010 theMonth
63. MK-ST-F-035 covers
64. MK-CF-F-171 earnerPay
65. MK-CF-F-204 line
66. MK-ST-F-053 money
67. MK-HM-F-006 money0
68. MK-CF-F-198 payrollTaxWithheld
69. MK-CF-F-075 retirementIncomeMonthly
70. MK-CF-F-172 hasWage
71. MK-CF-F-165 salaryMonths
72. MK-CF-F-070 benefitAnnual
73. MK-CF-F-065 equityVestWeights
74. MK-CF-F-206 householdK401ByMonth
75. MK-CF-F-087 monthlyTaxRates
76. MK-CF-F-073 otherIncomeMonth
77. MK-CF-F-066 rsuAnnual
78. MK-CF-F-077 scholarshipByCalendarMonth
79. MK-CF-F-088 taxableByCalendarMonth
80. MK-CF-F-177 wageGrossByMonth
81. MK-PL-F-012 waterfall
82. MK-CF-F-193 inflowSourceWord
83. MK-CF-F-100 taxableIncomeFor
84. MK-CF-F-180 enteredLandsAnnual
85. MK-CF-F-086 stateRateOf
86. MK-CF-F-101 taxOwedFor
87. MK-CF-F-067 rentalList
88. MK-CF-F-176 sumMonthsOverEarners
89. MK-CF-F-074 tipsAnnual
90. MK-CF-F-003 categoryMonthly
91. MK-CF-F-011 savingsByMonth
92. MK-NW-F-115 liveRent
93. MK-NW-F-123 holdingNameEvidence
94. MK-NW-F-121 holdingTagClass
95. MK-NW-F-054 reclassifyAccounts
96. MK-NW-F-008 incomeBearingClassOf
97. MK-NW-F-009 maturityClass
98. MK-CF-O-003 thisMonth
99. MK-ST-F-034 firstDate
100. MK-CF-F-143 annualisedGross
101. MK-CF-F-145 deductionsFromPay
102. MK-CF-F-128 grossByMonth
103. MK-CF-F-146 payFiguresAgree
104. MK-CF-F-144 takeHomeAsEntered
105. MK-HM-F-005 pctTxt
106. MK-CF-F-062 equityRowValue
107. MK-CF-F-090 effectiveRate
108. MK-CF-F-063 rowVestYear
109. MK-CF-F-130 enteredMonthlyRaw
110. MK-CF-F-166 hasMonthlySalaryTable
111. MK-ST-F-036 reconcile
112. MK-CF-F-167 salaryCalendarYear
113. MK-CF-F-099 deductionFor
114. MK-CF-F-081 salaryActiveMonths
115. MK-CF-F-008 spendByMonth
116. MK-NW-F-114 rentAmount
117. MK-NW-F-053 correctClassOf
118. MK-NW-F-122 holdingTagFor
119. MK-ST-F-010 nameEvidence
120. MK-NW-F-068 prettyDay
121. MK-CF-F-005 actualMonthFlow
122. MK-CF-F-156 plannedMonthFlow
123. MK-CF-F-142 monthsOf
124. MK-CF-F-141 perMonth
125. MK-CF-F-187 seniorDeductionFor
126. MK-XS-F-147 call
127. MK-NW-F-078 ONE
128. MK-CF-F-157 debtPaymentsByDebt
129. MK-CF-F-140 periodsAYear
130. MK-ST-F-027 accountId
131. MK-XS-F-064 currentIdToken
132. MK-XS-F-112 relayUrl
133. MK-NW-F-077 ALL
134. MK-NW-F-059 currentYield
135. MK-NW-O-001 theBonds
136. MK-NW-F-112 yearlyInterest
137. MK-NW-F-057 annualCoupon
138. MK-NW-F-056 bondInfo
139. MK-NW-F-064 bondRateSensitivity
140. MK-NW-F-061 bondSummary
141. MK-NW-F-055 isBond
142. MK-NW-F-072 rowOf
143. MK-NW-F-060 approxYTM
144. MK-NW-F-069 priceAtYield
145. MK-NW-F-131 pricedLikeBond
146. MK-NW-F-125 isPastMaturity
147. MK-ST-F-065 isoLocalDate
148. MK-NW-F-126 yearlyInterestNow
149. MK-NW-F-070 accruedInterestCaveat
150. MK-NW-F-058 yearsToMaturity
151. MK-NW-F-119 estimatedAccrued
152. MK-NW-F-124 maturityParts</t>
        </is>
      </c>
      <c r="R306" s="3" t="inlineStr">
        <is>
          <t>1. MK-XS-F-122 n → MK-CF-F-155 cash → MK-NW-F-079 EF
2. MK-XS-F-180 declareFigures → MK-NW-F-079 EF
3. MK-ST-F-056 has → MK-CF-F-189 essentialsFromLoggedSpending → MK-CF-F-190 essentialsMonthly → MK-NW-F-079 EF
4. MK-XS-F-122 n → MK-CF-F-189 essentialsFromLoggedSpending → MK-CF-F-190 essentialsMonthly → MK-NW-F-079 EF
5. MK-XS-F-122 n → MK-ST-F-052 toNum → MK-CF-F-189 essentialsFromLoggedSpending → MK-CF-F-190 essentialsMonthly → MK-NW-F-079 EF
6. MK-CF-F-191 ym → MK-CF-F-189 essentialsFromLoggedSpending → MK-CF-F-190 essentialsMonthly → MK-NW-F-079 EF
7. MK-CF-F-191 ym → MK-CF-F-148 inMonth → MK-CF-F-151 actualSpending → MK-CF-O-002 expenses → MK-CF-F-190 essentialsMonthly → MK-NW-F-079 EF
8. MK-XS-F-122 n → MK-ST-F-052 toNum → MK-CF-F-151 actualSpending → MK-CF-O-002 expenses → MK-CF-F-190 essentialsMonthly → MK-NW-F-079 EF
9. … and 5 more paths</t>
        </is>
      </c>
      <c r="S306" s="3" t="inlineStr">
        <is>
          <t>—</t>
        </is>
      </c>
      <c r="T306" s="3" t="inlineStr">
        <is>
          <t>—</t>
        </is>
      </c>
      <c r="U306" s="3" t="inlineStr">
        <is>
          <t>ACTIVE</t>
        </is>
      </c>
      <c r="V306" s="3" t="inlineStr">
        <is>
          <t>2026-09-28</t>
        </is>
      </c>
      <c r="W306" s="3" t="n"/>
      <c r="X306" s="3" t="n"/>
      <c r="Y306" s="3" t="inlineStr">
        <is>
          <t>NOTHING OPEN</t>
        </is>
      </c>
    </row>
    <row r="307" ht="60" customHeight="1">
      <c r="A307" s="3" t="inlineStr">
        <is>
          <t>MK-NW-F-080</t>
        </is>
      </c>
      <c r="B307" s="3" t="inlineStr">
        <is>
          <t>HOLD</t>
        </is>
      </c>
      <c r="C307" s="3" t="inlineStr">
        <is>
          <t>MoneyKeel/functions/networth-and-performance/holding.ts</t>
        </is>
      </c>
      <c r="D307" s="3" t="n">
        <v>217</v>
      </c>
      <c r="E307" s="3" t="inlineStr">
        <is>
          <t>1 · ACTION</t>
        </is>
      </c>
      <c r="F307" s="3" t="inlineStr">
        <is>
          <t>Example only: runs theHolding on the worked example and calculates nothing of its own.</t>
        </is>
      </c>
      <c r="G307" s="11" t="inlineStr">
        <is>
          <t>NOT READ YET — the body is not a shape this can render faithfully, so nothing is claimed rather than something being guessed. It needs reading by hand.</t>
        </is>
      </c>
      <c r="H307" s="3" t="inlineStr">
        <is>
          <t>NOT READ YET — the body is not a shape this can render faithfully, so nothing is claimed rather than something being guessed. It needs reading by hand.</t>
        </is>
      </c>
      <c r="I307" s="3" t="inlineStr">
        <is>
          <t>NOT READ — nothing is claimed rather than something guessed</t>
        </is>
      </c>
      <c r="J307" s="3" t="inlineStr">
        <is>
          <t>Nothing is handed to it</t>
        </is>
      </c>
      <c r="K307" s="3" t="inlineStr">
        <is>
          <t>EXAMPLE_POSITION, accountId: 'a2', price: 290,</t>
        </is>
      </c>
      <c r="L307" s="3" t="inlineStr">
        <is>
          <t>—</t>
        </is>
      </c>
      <c r="M307" s="3" t="inlineStr">
        <is>
          <t>None found in this function — anything it assumes comes from the functions it depends on.</t>
        </is>
      </c>
      <c r="N307" s="3" t="inlineStr">
        <is>
          <t>No</t>
        </is>
      </c>
      <c r="O307" s="3" t="inlineStr">
        <is>
          <t>1. MK-XS-F-180 declareFigures
2. MK-NW-O-006 theHolding</t>
        </is>
      </c>
      <c r="P307" s="3" t="n">
        <v>10</v>
      </c>
      <c r="Q307" s="3" t="inlineStr">
        <is>
          <t>1. MK-XS-F-180 declareFigures
2. MK-NW-O-006 theHolding
3. MK-PF-F-006 capGains
4. MK-PF-F-031 contractMultiplier
5. MK-PF-F-002 costBasis
6. MK-CF-F-132 map
7. MK-PF-F-004 marketValue
8. MK-PF-F-028 realizedFromLedger
9. MK-PF-F-001 totalShares
10. MK-XS-F-122 n</t>
        </is>
      </c>
      <c r="R307" s="3" t="inlineStr">
        <is>
          <t>1. MK-XS-F-180 declareFigures → MK-NW-F-080 HOLD
2. MK-PF-F-031 contractMultiplier → MK-PF-F-006 capGains → MK-NW-O-006 theHolding → MK-NW-F-080 HOLD
3. MK-XS-F-122 n → MK-PF-F-006 capGains → MK-NW-O-006 theHolding → MK-NW-F-080 HOLD
4. MK-PF-F-031 contractMultiplier → MK-NW-O-006 theHolding → MK-NW-F-080 HOLD
5. MK-PF-F-031 contractMultiplier → MK-PF-F-002 costBasis → MK-NW-O-006 theHolding → MK-NW-F-080 HOLD
6. MK-CF-F-132 map → MK-NW-O-006 theHolding → MK-NW-F-080 HOLD
7. MK-PF-F-031 contractMultiplier → MK-PF-F-004 marketValue → MK-NW-O-006 theHolding → MK-NW-F-080 HOLD
8. MK-PF-F-001 totalShares → MK-PF-F-004 marketValue → MK-NW-O-006 theHolding → MK-NW-F-080 HOLD
9. … and 2 more paths</t>
        </is>
      </c>
      <c r="S307" s="3" t="inlineStr">
        <is>
          <t>—</t>
        </is>
      </c>
      <c r="T307" s="3" t="inlineStr">
        <is>
          <t>—</t>
        </is>
      </c>
      <c r="U307" s="3" t="inlineStr">
        <is>
          <t>ACTIVE</t>
        </is>
      </c>
      <c r="V307" s="3" t="inlineStr">
        <is>
          <t>2026-09-28</t>
        </is>
      </c>
      <c r="W307" s="3" t="n"/>
      <c r="X307" s="3" t="n"/>
      <c r="Y307" s="3" t="inlineStr">
        <is>
          <t>NOTHING OPEN</t>
        </is>
      </c>
    </row>
    <row r="308" ht="60" customHeight="1">
      <c r="A308" s="3" t="inlineStr">
        <is>
          <t>MK-NW-F-081</t>
        </is>
      </c>
      <c r="B308" s="3" t="inlineStr">
        <is>
          <t>LB</t>
        </is>
      </c>
      <c r="C308" s="3" t="inlineStr">
        <is>
          <t>MoneyKeel/functions/networth-and-performance/look-back.ts</t>
        </is>
      </c>
      <c r="D308" s="3" t="n">
        <v>96</v>
      </c>
      <c r="E308" s="3" t="inlineStr">
        <is>
          <t>1 · ACTION</t>
        </is>
      </c>
      <c r="F308" s="3" t="inlineStr">
        <is>
          <t>Example only: runs theLookBack on the worked example and calculates nothing of its own.</t>
        </is>
      </c>
      <c r="G308" s="11" t="inlineStr">
        <is>
          <t>the look back(EXAMPLE)!</t>
        </is>
      </c>
      <c r="H308" s="3" t="inlineStr">
        <is>
          <t>the look back(EXAMPLE)!</t>
        </is>
      </c>
      <c r="I308" s="3" t="inlineStr">
        <is>
          <t>READ FROM THE CODE — rendered from the expressions the function runs</t>
        </is>
      </c>
      <c r="J308" s="3" t="inlineStr">
        <is>
          <t>Nothing is handed to it</t>
        </is>
      </c>
      <c r="K308" s="3" t="inlineStr">
        <is>
          <t>NOT DECLARED — the code does not say what it gives back</t>
        </is>
      </c>
      <c r="L308" s="3" t="inlineStr">
        <is>
          <t>—</t>
        </is>
      </c>
      <c r="M308" s="3" t="inlineStr">
        <is>
          <t>None found in this function — anything it assumes comes from the functions it depends on.</t>
        </is>
      </c>
      <c r="N308" s="3" t="inlineStr">
        <is>
          <t>No</t>
        </is>
      </c>
      <c r="O308" s="3" t="inlineStr">
        <is>
          <t>1. MK-XS-F-180 declareFigures
2. MK-ST-F-053 money
3. MK-NW-O-007 theLookBack</t>
        </is>
      </c>
      <c r="P308" s="3" t="n">
        <v>11</v>
      </c>
      <c r="Q308" s="3" t="inlineStr">
        <is>
          <t>1. MK-XS-F-180 declareFigures
2. MK-ST-F-053 money
3. MK-NW-O-007 theLookBack
4. MK-ST-F-049 formatMoney
5. MK-XS-F-122 n
6. MK-PF-F-023 lookBack
7. MK-ST-F-048 currencySymbol
8. MK-ST-F-039 on
9. MK-PF-F-022 factorOverMonths
10. MK-ST-F-047 activeCurrency
11. MK-ST-F-065 isoLocalDate</t>
        </is>
      </c>
      <c r="R308" s="3" t="inlineStr">
        <is>
          <t>1. MK-XS-F-180 declareFigures → MK-NW-F-081 LB
2. MK-ST-F-047 activeCurrency → MK-ST-F-048 currencySymbol → MK-ST-F-049 formatMoney → MK-ST-F-053 money → MK-NW-F-081 LB
3. MK-XS-F-122 n → MK-ST-F-049 formatMoney → MK-ST-F-053 money → MK-NW-F-081 LB
4. MK-ST-F-039 on → MK-ST-F-049 formatMoney → MK-ST-F-053 money → MK-NW-F-081 LB
5. MK-XS-F-122 n → MK-ST-F-053 money → MK-NW-F-081 LB
6. MK-ST-F-065 isoLocalDate → MK-PF-F-022 factorOverMonths → MK-PF-F-023 lookBack → MK-NW-O-007 theLookBack → MK-NW-F-081 LB</t>
        </is>
      </c>
      <c r="S308" s="3" t="inlineStr">
        <is>
          <t>—</t>
        </is>
      </c>
      <c r="T308" s="3" t="inlineStr">
        <is>
          <t>—</t>
        </is>
      </c>
      <c r="U308" s="3" t="inlineStr">
        <is>
          <t>ACTIVE</t>
        </is>
      </c>
      <c r="V308" s="3" t="inlineStr">
        <is>
          <t>2026-09-28</t>
        </is>
      </c>
      <c r="W308" s="3" t="n"/>
      <c r="X308" s="3" t="n"/>
      <c r="Y308" s="3" t="inlineStr">
        <is>
          <t>NOTHING OPEN</t>
        </is>
      </c>
    </row>
    <row r="309" ht="60" customHeight="1">
      <c r="A309" s="3" t="inlineStr">
        <is>
          <t>MK-NW-F-082</t>
        </is>
      </c>
      <c r="B309" s="3" t="inlineStr">
        <is>
          <t>NW</t>
        </is>
      </c>
      <c r="C309" s="3" t="inlineStr">
        <is>
          <t>MoneyKeel/functions/networth-and-performance/net-worth.ts</t>
        </is>
      </c>
      <c r="D309" s="3" t="n">
        <v>552</v>
      </c>
      <c r="E309" s="3" t="inlineStr">
        <is>
          <t>1 · ACTION</t>
        </is>
      </c>
      <c r="F309" s="3" t="inlineStr">
        <is>
          <t>Example only: runs theNetWorth on the worked example and calculates nothing of its own.</t>
        </is>
      </c>
      <c r="G309" s="11" t="inlineStr">
        <is>
          <t>the net worth(EXAMPLE)</t>
        </is>
      </c>
      <c r="H309" s="3" t="inlineStr">
        <is>
          <t>the net worth(EXAMPLE)</t>
        </is>
      </c>
      <c r="I309" s="3" t="inlineStr">
        <is>
          <t>READ FROM THE CODE — rendered from the expressions the function runs</t>
        </is>
      </c>
      <c r="J309" s="3" t="inlineStr">
        <is>
          <t>Nothing is handed to it</t>
        </is>
      </c>
      <c r="K309" s="3" t="inlineStr">
        <is>
          <t>NOT DECLARED — the code does not say what it gives back</t>
        </is>
      </c>
      <c r="L309" s="3" t="inlineStr">
        <is>
          <t>—</t>
        </is>
      </c>
      <c r="M309" s="3" t="inlineStr">
        <is>
          <t>None found in this function — anything it assumes comes from the functions it depends on.</t>
        </is>
      </c>
      <c r="N309" s="3" t="inlineStr">
        <is>
          <t>Yes</t>
        </is>
      </c>
      <c r="O309" s="3" t="inlineStr">
        <is>
          <t>1. MK-NW-F-097 LEDGER
2. MK-NW-O-003 theNetWorth</t>
        </is>
      </c>
      <c r="P309" s="3" t="n">
        <v>219</v>
      </c>
      <c r="Q309" s="3" t="inlineStr">
        <is>
          <t>1. MK-NW-F-097 LEDGER
2. MK-NW-O-003 theNetWorth
3. MK-NW-F-096 CLASS_KEY_OF
4. MK-NW-F-095 CLASS_LABEL_OF
5. MK-NW-F-094 ledgerGroups
6. MK-NW-F-078 ONE
7. MK-NW-F-029 assetAllocation
8. MK-NW-F-011 assetClassOf
9. MK-NW-F-039 buildAssetsState
10. MK-ST-F-028 buildDayFromAccounts
11. MK-CF-F-036 buildDebtState
12. MK-NW-F-065 buildNetWorth
13. MK-NW-F-016 cashTotal
14. MK-NW-F-022 investableAssets
15. MK-NW-F-021 investmentsTotal
16. MK-NW-F-014 isRealAsset
17. MK-ST-F-065 isoLocalDate
18. MK-CF-F-132 map
19. MK-NW-F-106 mortgagesByProperty
20. MK-ST-F-082 movementsOf
21. MK-ST-F-039 on
22. MK-ST-F-030 record
23. MK-CF-F-023 requiredPayment
24. MK-ST-F-081 timeWeightedReturn
25. MK-XS-F-005 trendPoints
26. MK-XS-F-175 uid
27. MK-NW-F-027 accountClassBreakdown
28. MK-NW-F-077 ALL
29. MK-NW-F-059 currentYield
30. MK-XS-F-180 declareFigures
31. MK-ST-F-049 formatMoney
32. MK-ST-F-053 money
33. MK-NW-O-001 theBonds
34. MK-NW-F-120 classEvidenceOf
35. MK-CF-F-026 actualDebtPayment
36. MK-CF-F-204 line
37. MK-CF-F-025 minimumDebtService
38. MK-NW-F-066 sumWhere
39. MK-NW-F-015 totalAssets
40. MK-NW-F-023 wrapperWord
41. MK-CF-F-155 cash
42. MK-ST-F-056 has
43. MK-CF-F-022 paymentShape
44. MK-ST-F-027 accountId
45. MK-ST-F-083 accountValuesOn
46. MK-ST-F-080 isDay
47. MK-XS-F-009 readHistory
48. MK-CF-F-111 applyTransaction
49. MK-NW-F-040 assetsFromOnboarding
50. MK-PF-F-013 benchmarkTicker
51. MK-PF-F-034 closeOnOrBefore
52. MK-CF-F-186 convertTakeHomeMode
53. MK-ST-F-079 dailyWindowStart
54. MK-CF-F-038 debtsFromOnboarding
55. MK-XS-F-083 fetchPriceSeries
56. MK-ST-F-084 fillBetweenObservations
57. MK-PL-F-013 goalsFromOnboarding
58. MK-CF-F-116 inverseOf
59. MK-CF-F-112 makeTransaction
60. MK-XS-F-122 n
61. MK-ST-F-043 newEntityId
62. MK-XS-F-006 pruneDaily
63. MK-ST-F-073 rebuildDays
64. MK-NW-F-054 reclassifyAccounts
65. MK-XS-F-174 recomputeBalances
66. MK-CF-F-115 restoreUndo
67. MK-CF-F-109 reviewTransactions
68. MK-ST-F-044 setMoneyFormat
69. MK-CF-F-114 undoSnapshot
70. MK-CF-F-191 ym
71. MK-NW-F-109 holdingClassOf
72. MK-NW-F-067 plural
73. MK-NW-F-112 yearlyInterest
74. MK-ST-F-048 currencySymbol
75. MK-NW-F-057 annualCoupon
76. MK-NW-F-056 bondInfo
77. MK-NW-F-064 bondRateSensitivity
78. MK-NW-F-061 bondSummary
79. MK-NW-F-055 isBond
80. MK-NW-F-072 rowOf
81. MK-NW-F-008 incomeBearingClassOf
82. MK-NW-F-009 maturityClass
83. MK-CF-F-024 totalDebtMonthly
84. MK-CF-F-203 MONTH
85. MK-CF-F-021 defaultPaymentType
86. MK-XS-F-008 normalizeSnapshot
87. MK-CF-F-138 addLot
88. MK-CF-F-136 bumpCash
89. MK-CF-F-137 findPos
90. MK-CF-F-139 removeShares
91. MK-PF-F-001 totalShares
92. MK-ST-F-052 toNum
93. MK-CF-F-085 filingStatusOf
94. MK-CF-F-097 grossFromNet
95. MK-CF-F-185 needsTakeHomeConversion
96. MK-CF-F-089 over65CountOf
97. MK-CF-F-037 inferDebtType
98. MK-ST-F-069 amountOf
99. MK-CF-F-133 cashOf
100. MK-ST-F-066 isDayKey
101. MK-ST-F-070 isOpening
102. MK-ST-F-071 rebuildableFrom
103. MK-ST-F-068 stepDay
104. MK-ST-F-072 undo
105. MK-NW-F-053 correctClassOf
106. MK-NW-F-123 holdingNameEvidence
107. MK-NW-F-121 holdingTagClass
108. MK-NW-F-122 holdingTagFor
109. MK-PF-F-002 costBasis
110. MK-PF-F-009 latestClose
111. MK-PF-F-004 marketValue
112. MK-XS-F-024 resolveLens
113. MK-ST-F-055 round2
114. MK-CF-F-162 daysApart
115. MK-CF-F-108 isMoneyOut
116. MK-PL-F-074 median
117. MK-CF-F-131 normPayee
118. MK-CF-F-113 affectedAccountIds
119. MK-ST-F-047 activeCurrency
120. MK-NW-F-060 approxYTM
121. MK-NW-F-069 priceAtYield
122. MK-NW-F-131 pricedLikeBond
123. MK-NW-F-125 isPastMaturity
124. MK-NW-F-126 yearlyInterestNow
125. MK-NW-F-070 accruedInterestCaveat
126. MK-NW-F-058 yearsToMaturity
127. MK-ST-F-010 nameEvidence
128. MK-NW-F-068 prettyDay
129. MK-CF-F-201 INCOME
130. MK-CF-O-010 theMonth
131. MK-XS-F-121 isYm
132. MK-CF-F-134 usesSleeve
133. MK-CF-F-101 taxOwedFor
134. MK-ST-F-067 utcOfDay
135. MK-ST-F-035 covers
136. MK-PF-F-031 contractMultiplier
137. MK-CF-F-072 currentRetirementIncomeMonthly
138. MK-NW-F-119 estimatedAccrued
139. MK-NW-F-124 maturityParts
140. MK-XS-F-147 call
141. MK-CF-F-207 SOURCE
142. MK-CF-O-004 incomeSummary
143. MK-CF-O-002 expenses
144. MK-CF-O-003 thisMonth
145. MK-CF-F-100 taxableIncomeFor
146. MK-ST-F-034 firstDate
147. MK-CF-F-075 retirementIncomeMonthly
148. MK-XS-F-064 currentIdToken
149. MK-XS-F-112 relayUrl
150. MK-CF-O-016 incomeSources
151. MK-CF-O-001 basePay
152. MK-CF-F-069 benefitActiveMonths
153. MK-CF-F-173 earnerWages
154. MK-CF-F-179 entryFromWage
155. MK-CF-F-071 extraIncome
156. MK-CF-F-092 incomeMonthlyGrid
157. MK-CF-F-192 inflowLabel
158. MK-CF-F-103 marginalBracketFor
159. MK-CF-F-181 rateInForce
160. MK-CF-F-068 rentalNetAnnual
161. MK-CF-F-082 salaryAnnual
162. MK-CF-F-060 salaryGrossByMonth
163. MK-CF-F-084 taxableAnnual
164. MK-CF-F-151 actualSpending
165. MK-CF-F-150 debtPaymentsCountedAsExpenses
166. MK-CF-F-153 radar
167. MK-CF-F-149 recurringDebtPayments
168. MK-CF-F-005 actualMonthFlow
169. MK-CF-F-156 plannedMonthFlow
170. MK-CF-F-099 deductionFor
171. MK-CF-F-066 rsuAnnual
172. MK-CF-F-171 earnerPay
173. MK-HM-F-006 money0
174. MK-CF-F-198 payrollTaxWithheld
175. MK-CF-F-172 hasWage
176. MK-CF-F-165 salaryMonths
177. MK-CF-F-070 benefitAnnual
178. MK-CF-F-065 equityVestWeights
179. MK-CF-F-206 householdK401ByMonth
180. MK-CF-F-087 monthlyTaxRates
181. MK-CF-F-073 otherIncomeMonth
182. MK-CF-F-077 scholarshipByCalendarMonth
183. MK-CF-F-088 taxableByCalendarMonth
184. MK-CF-F-177 wageGrossByMonth
185. MK-PL-F-012 waterfall
186. MK-CF-F-193 inflowSourceWord
187. MK-CF-F-180 enteredLandsAnnual
188. MK-CF-F-086 stateRateOf
189. MK-CF-F-067 rentalList
190. MK-CF-F-176 sumMonthsOverEarners
191. MK-CF-F-074 tipsAnnual
192. MK-CF-F-148 inMonth
193. MK-CF-F-152 isRadarItem
194. MK-CF-F-157 debtPaymentsByDebt
195. MK-XS-F-027 takeHomeMonthly
196. MK-CF-F-187 seniorDeductionFor
197. MK-CF-F-062 equityRowValue
198. MK-CF-F-063 rowVestYear
199. MK-CF-F-143 annualisedGross
200. MK-CF-F-145 deductionsFromPay
201. MK-CF-F-128 grossByMonth
202. MK-CF-F-146 payFiguresAgree
203. MK-CF-F-144 takeHomeAsEntered
204. MK-HM-F-005 pctTxt
205. MK-CF-F-090 effectiveRate
206. MK-CF-F-130 enteredMonthlyRaw
207. MK-CF-F-166 hasMonthlySalaryTable
208. MK-ST-F-036 reconcile
209. MK-CF-F-167 salaryCalendarYear
210. MK-ST-F-085 rentFigure
211. MK-CF-F-081 salaryActiveMonths
212. MK-CF-F-011 savingsByMonth
213. MK-CF-F-142 monthsOf
214. MK-CF-F-141 perMonth
215. MK-CF-F-008 spendByMonth
216. MK-CF-F-140 periodsAYear
217. MK-CF-F-120 pctBaseMonthly
218. MK-CF-F-004 spendBuckets
219. MK-CF-F-003 categoryMonthly</t>
        </is>
      </c>
      <c r="R309" s="3" t="inlineStr">
        <is>
          <t>1. MK-NW-F-096 CLASS_KEY_OF → MK-NW-F-097 LEDGER → MK-NW-F-082 NW
2. MK-NW-F-095 CLASS_LABEL_OF → MK-NW-F-097 LEDGER → MK-NW-F-082 NW
3. MK-NW-F-120 classEvidenceOf → MK-NW-F-011 assetClassOf → MK-NW-F-027 accountClassBreakdown → MK-NW-F-094 ledgerGroups → MK-NW-F-097 LEDGER → MK-NW-F-082 NW
4. MK-XS-F-122 n → MK-CF-F-155 cash → MK-NW-F-027 accountClassBreakdown → MK-NW-F-094 ledgerGroups → MK-NW-F-097 LEDGER → MK-NW-F-082 NW
5. MK-ST-F-056 has → MK-NW-F-027 accountClassBreakdown → MK-NW-F-094 ledgerGroups → MK-NW-F-097 LEDGER → MK-NW-F-082 NW
6. MK-NW-F-123 holdingNameEvidence → MK-NW-F-109 holdingClassOf → MK-NW-F-027 accountClassBreakdown → MK-NW-F-094 ledgerGroups → MK-NW-F-097 LEDGER → MK-NW-F-082 NW
7. MK-NW-F-121 holdingTagClass → MK-NW-F-109 holdingClassOf → MK-NW-F-027 accountClassBreakdown → MK-NW-F-094 ledgerGroups → MK-NW-F-097 LEDGER → MK-NW-F-082 NW
8. MK-NW-F-054 reclassifyAccounts → MK-NW-F-109 holdingClassOf → MK-NW-F-027 accountClassBreakdown → MK-NW-F-094 ledgerGroups → MK-NW-F-097 LEDGER → MK-NW-F-082 NW
9. … and 4 more paths</t>
        </is>
      </c>
      <c r="S309" s="3" t="inlineStr">
        <is>
          <t>—</t>
        </is>
      </c>
      <c r="T309" s="3" t="inlineStr">
        <is>
          <t>—</t>
        </is>
      </c>
      <c r="U309" s="3" t="inlineStr">
        <is>
          <t>ACTIVE</t>
        </is>
      </c>
      <c r="V309" s="3" t="inlineStr">
        <is>
          <t>2026-09-28</t>
        </is>
      </c>
      <c r="W309" s="3" t="n"/>
      <c r="X309" s="3" t="n"/>
      <c r="Y309" s="3" t="inlineStr">
        <is>
          <t>NOTHING OPEN</t>
        </is>
      </c>
    </row>
    <row r="310" ht="60" customHeight="1">
      <c r="A310" s="3" t="inlineStr">
        <is>
          <t>MK-NW-F-083</t>
        </is>
      </c>
      <c r="B310" s="3" t="inlineStr">
        <is>
          <t>PERF</t>
        </is>
      </c>
      <c r="C310" s="3" t="inlineStr">
        <is>
          <t>MoneyKeel/functions/networth-and-performance/performance.ts</t>
        </is>
      </c>
      <c r="D310" s="3" t="n">
        <v>998</v>
      </c>
      <c r="E310" s="3" t="inlineStr">
        <is>
          <t>1 · ACTION</t>
        </is>
      </c>
      <c r="F310" s="3" t="inlineStr">
        <is>
          <t>Example only: runs thePerformance on the worked example and calculates nothing of its own.</t>
        </is>
      </c>
      <c r="G310" s="11" t="inlineStr">
        <is>
          <t>the performance(EXAMPLE)</t>
        </is>
      </c>
      <c r="H310" s="3" t="inlineStr">
        <is>
          <t>the performance(EXAMPLE)</t>
        </is>
      </c>
      <c r="I310" s="3" t="inlineStr">
        <is>
          <t>READ FROM THE CODE — rendered from the expressions the function runs</t>
        </is>
      </c>
      <c r="J310" s="3" t="inlineStr">
        <is>
          <t>Nothing is handed to it</t>
        </is>
      </c>
      <c r="K310" s="3" t="inlineStr">
        <is>
          <t>NOT DECLARED — the code does not say what it gives back</t>
        </is>
      </c>
      <c r="L310" s="3" t="inlineStr">
        <is>
          <t>—</t>
        </is>
      </c>
      <c r="M310" s="3" t="inlineStr">
        <is>
          <t>None found in this function — anything it assumes comes from the functions it depends on.</t>
        </is>
      </c>
      <c r="N310" s="3" t="inlineStr">
        <is>
          <t>No</t>
        </is>
      </c>
      <c r="O310" s="3" t="inlineStr">
        <is>
          <t>MK-NW-O-008 thePerformance</t>
        </is>
      </c>
      <c r="P310" s="3" t="n">
        <v>157</v>
      </c>
      <c r="Q310" s="3" t="inlineStr">
        <is>
          <t>1. MK-NW-O-008 thePerformance
2. MK-NW-F-026 accountDisplayNames
3. MK-ST-F-083 accountValuesOn
4. MK-XS-F-011 buildChangeWalk
5. MK-ST-F-028 buildDayFromAccounts
6. MK-PF-F-014 buildPerformance
7. MK-NW-F-130 cannotWorkBackSentence
8. MK-CF-F-155 cash
9. MK-NW-F-104 closedWith
10. MK-ST-F-078 dateShown
11. MK-NW-F-129 gainRowName
12. MK-ST-F-056 has
13. MK-NW-F-071 isCertificateOfDeposit
14. MK-CF-F-132 map
15. MK-ST-F-082 movementsOf
16. MK-ST-F-013 personalFlowTotals
17. MK-NW-F-091 pricedGainOf
18. MK-ST-F-030 record
19. MK-ST-F-081 timeWeightedReturn
20. MK-ST-F-021 toNumber
21. MK-ST-F-031 valueOn
22. MK-ST-F-060 verdict
23. MK-NW-F-105 whyNoReturn
24. MK-ST-F-038 windowBounds
25. MK-NW-F-025 accountDisplayName
26. MK-XS-F-122 n
27. MK-ST-F-027 accountId
28. MK-PF-F-013 benchmarkTicker
29. MK-PF-F-002 costBasis
30. MK-PF-F-012 earliestPurchaseDate
31. MK-PF-F-009 latestClose
32. MK-PF-F-004 marketValue
33. MK-ST-F-053 money
34. MK-PF-F-010 periodReturn
35. MK-PF-F-011 periodReturnSince
36. MK-PF-F-008 startDateFor
37. MK-PF-F-007 totalROI
38. MK-PF-F-005 unrealizedGain
39. MK-NW-F-056 bondInfo
40. MK-NW-F-127 gainOfRow
41. MK-ST-F-080 isDay
42. MK-CF-F-204 line
43. MK-ST-F-039 on
44. MK-ST-F-033 onOrBefore
45. MK-ST-F-063 shiftDay
46. MK-ST-F-062 toUtc
47. MK-NW-F-024 accountLastFour
48. MK-NW-F-012 taxTreatmentOf
49. MK-NW-F-023 wrapperWord
50. MK-PF-F-031 contractMultiplier
51. MK-PF-F-001 totalShares
52. MK-ST-F-049 formatMoney
53. MK-PF-F-029 closeAsOf
54. MK-NW-F-128 heldValueOf
55. MK-CF-F-203 MONTH
56. MK-XS-F-180 declareFigures
57. MK-NW-F-007 assetKind
58. MK-ST-F-048 currencySymbol
59. MK-CF-O-010 theMonth
60. MK-NW-F-011 assetClassOf
61. MK-ST-F-047 activeCurrency
62. MK-CF-O-002 expenses
63. MK-CF-O-003 thisMonth
64. MK-NW-F-120 classEvidenceOf
65. MK-CF-F-151 actualSpending
66. MK-CF-F-150 debtPaymentsCountedAsExpenses
67. MK-CF-F-153 radar
68. MK-CF-F-149 recurringDebtPayments
69. MK-CF-F-005 actualMonthFlow
70. MK-CF-F-156 plannedMonthFlow
71. MK-NW-F-008 incomeBearingClassOf
72. MK-NW-F-009 maturityClass
73. MK-CF-F-148 inMonth
74. MK-ST-F-052 toNum
75. MK-CF-F-191 ym
76. MK-CF-F-022 paymentShape
77. MK-CF-F-152 isRadarItem
78. MK-CF-F-023 requiredPayment
79. MK-NW-F-078 ONE
80. MK-CF-F-157 debtPaymentsByDebt
81. MK-CF-F-192 inflowLabel
82. MK-XS-F-027 takeHomeMonthly
83. MK-ST-F-010 nameEvidence
84. MK-NW-F-068 prettyDay
85. MK-CF-F-021 defaultPaymentType
86. MK-NW-F-077 ALL
87. MK-NW-F-059 currentYield
88. MK-NW-O-001 theBonds
89. MK-CF-F-193 inflowSourceWord
90. MK-CF-F-092 incomeMonthlyGrid
91. MK-CF-F-011 savingsByMonth
92. MK-XS-F-147 call
93. MK-NW-F-112 yearlyInterest
94. MK-NW-F-057 annualCoupon
95. MK-NW-F-064 bondRateSensitivity
96. MK-NW-F-061 bondSummary
97. MK-NW-F-055 isBond
98. MK-NW-F-072 rowOf
99. MK-CF-F-069 benefitActiveMonths
100. MK-CF-F-072 currentRetirementIncomeMonthly
101. MK-CF-F-173 earnerWages
102. MK-CF-F-065 equityVestWeights
103. MK-CF-F-071 extraIncome
104. MK-CF-F-206 householdK401ByMonth
105. MK-CF-F-087 monthlyTaxRates
106. MK-CF-F-073 otherIncomeMonth
107. MK-CF-F-181 rateInForce
108. MK-CF-F-068 rentalNetAnnual
109. MK-CF-F-066 rsuAnnual
110. MK-CF-F-060 salaryGrossByMonth
111. MK-CF-F-077 scholarshipByCalendarMonth
112. MK-CF-F-088 taxableByCalendarMonth
113. MK-CF-F-177 wageGrossByMonth
114. MK-PL-F-012 waterfall
115. MK-CF-F-008 spendByMonth
116. MK-XS-F-064 currentIdToken
117. MK-XS-F-112 relayUrl
118. MK-NW-F-060 approxYTM
119. MK-NW-F-069 priceAtYield
120. MK-NW-F-131 pricedLikeBond
121. MK-NW-F-125 isPastMaturity
122. MK-ST-F-065 isoLocalDate
123. MK-NW-F-126 yearlyInterestNow
124. MK-NW-F-070 accruedInterestCaveat
125. MK-NW-F-058 yearsToMaturity
126. MK-CF-F-075 retirementIncomeMonthly
127. MK-CF-F-172 hasWage
128. MK-CF-F-062 equityRowValue
129. MK-CF-F-070 benefitAnnual
130. MK-CF-F-176 sumMonthsOverEarners
131. MK-CF-F-090 effectiveRate
132. MK-CF-F-180 enteredLandsAnnual
133. MK-CF-F-085 filingStatusOf
134. MK-CF-F-089 over65CountOf
135. MK-CF-F-082 salaryAnnual
136. MK-CF-F-086 stateRateOf
137. MK-CF-F-101 taxOwedFor
138. MK-CF-F-084 taxableAnnual
139. MK-CF-F-067 rentalList
140. MK-CF-F-063 rowVestYear
141. MK-CF-F-130 enteredMonthlyRaw
142. MK-CF-F-166 hasMonthlySalaryTable
143. MK-ST-F-036 reconcile
144. MK-CF-F-167 salaryCalendarYear
145. MK-CF-F-120 pctBaseMonthly
146. MK-CF-F-004 spendBuckets
147. MK-NW-F-119 estimatedAccrued
148. MK-NW-F-124 maturityParts
149. MK-NW-F-067 plural
150. MK-CF-F-100 taxableIncomeFor
151. MK-CF-F-074 tipsAnnual
152. MK-ST-F-085 rentFigure
153. MK-CF-F-165 salaryMonths
154. MK-CF-F-003 categoryMonthly
155. MK-CF-F-099 deductionFor
156. MK-CF-F-081 salaryActiveMonths
157. MK-CF-F-187 seniorDeductionFor</t>
        </is>
      </c>
      <c r="R310" s="3" t="inlineStr">
        <is>
          <t>1. accountDisplayNames (already above — a loop) → MK-NW-F-025 accountDisplayName → MK-NW-F-026 accountDisplayNames → MK-NW-O-008 thePerformance → MK-NW-F-083 PERF
2. MK-NW-F-024 accountLastFour → MK-NW-F-025 accountDisplayName → MK-NW-F-026 accountDisplayNames → MK-NW-O-008 thePerformance → MK-NW-F-083 PERF
3. MK-ST-F-039 on → MK-NW-F-025 accountDisplayName → MK-NW-F-026 accountDisplayNames → MK-NW-O-008 thePerformance → MK-NW-F-083 PERF
4. MK-NW-F-007 assetKind → MK-NW-F-012 taxTreatmentOf → MK-NW-F-025 accountDisplayName → MK-NW-F-026 accountDisplayNames → MK-NW-O-008 thePerformance → MK-NW-F-083 PERF
5. MK-NW-F-023 wrapperWord → MK-NW-F-025 accountDisplayName → MK-NW-F-026 accountDisplayNames → MK-NW-O-008 thePerformance → MK-NW-F-083 PERF
6. MK-ST-F-056 has → MK-NW-F-026 accountDisplayNames → MK-NW-O-008 thePerformance → MK-NW-F-083 PERF
7. MK-CF-F-132 map → MK-NW-F-026 accountDisplayNames → MK-NW-O-008 thePerformance → MK-NW-F-083 PERF
8. MK-XS-F-122 n → MK-NW-F-026 accountDisplayNames → MK-NW-O-008 thePerformance → MK-NW-F-083 PERF
9. … and 4 more paths</t>
        </is>
      </c>
      <c r="S310" s="3" t="inlineStr">
        <is>
          <t>—</t>
        </is>
      </c>
      <c r="T310" s="3" t="inlineStr">
        <is>
          <t>—</t>
        </is>
      </c>
      <c r="U310" s="3" t="inlineStr">
        <is>
          <t>ACTIVE</t>
        </is>
      </c>
      <c r="V310" s="3" t="inlineStr">
        <is>
          <t>2026-09-30</t>
        </is>
      </c>
      <c r="W310" s="3" t="n"/>
      <c r="X310" s="3" t="n"/>
      <c r="Y310" s="3" t="inlineStr">
        <is>
          <t>NOTHING OPEN</t>
        </is>
      </c>
    </row>
    <row r="311" ht="60" customHeight="1">
      <c r="A311" s="3" t="inlineStr">
        <is>
          <t>MK-NW-F-084</t>
        </is>
      </c>
      <c r="B311" s="3" t="inlineStr">
        <is>
          <t>categoryEarnings</t>
        </is>
      </c>
      <c r="C311" s="3" t="inlineStr">
        <is>
          <t>MoneyKeel/functions/networth-and-performance/performance.ts</t>
        </is>
      </c>
      <c r="D311" s="3" t="n">
        <v>808</v>
      </c>
      <c r="E311" s="3" t="inlineStr">
        <is>
          <t>2 · DISPLAYED</t>
        </is>
      </c>
      <c r="F311" s="3" t="inlineStr">
        <is>
          <t>What each category of investment paid in dividends and interest over the period, and that category's return.</t>
        </is>
      </c>
      <c r="G311" s="11" t="inlineStr">
        <is>
          <t>rows = input.rows (or none when missing)
cls = string(asset class ?? '')
'bonds'   when cls = 'bond' (or cls = 'bonds' when missing or zero)
'cash'   when cls = 'cash'
'alternatives'   when cls = 'other' (or cls = 'alternatives' when missing or zero)
'bonds'   when !cls and kind = 'fixed_income'
the answer = 'stocks_etf'
r = rows.find((x) =&gt; string(position.ticker ?? '').to upper case() = string(tk ?? '').to upper case())
category of(position)   when r
in class = rows where category of(position) = cls
usable = in class where period return ≠ nothing and (period return as number) &gt; -1 and (market value ?? 0) &gt; 0
… the first steps only — the rest of the body needs reading by hand.</t>
        </is>
      </c>
      <c r="H311" s="3" t="inlineStr">
        <is>
          <t>Rows is input.rows (or none — when missing). Cls is string(asset class ?? ''). When cls = 'bond' (or cls = 'bonds' — when missing or zero), it answers 'bonds'. When cls = 'cash', it answers 'cash'. When cls = 'other' (or cls = 'alternatives' — when missing or zero), it answers 'alternatives'. When !cls and kind = 'fixed_income', it answers 'bonds'. The answer is 'stocks_etf'. R is rows.find((x) =&gt; string(position.ticker ?? '').to upper case() = string(tk ?? '').to upper case()). When r, it answers category of(position). In class is rows where category of(position) = cls. Usable is in class where period return is not no answer and (period return as number) &gt; -1 and (market value ?? 0) &gt; 0. Only the first steps are shown; the rest of the body needs reading by hand.</t>
        </is>
      </c>
      <c r="I311" s="3" t="inlineStr">
        <is>
          <t>PARTLY READ — some of the code is still showing through; needs a hand pass</t>
        </is>
      </c>
      <c r="J311" s="3" t="inlineStr">
        <is>
          <t>Nothing is handed to it</t>
        </is>
      </c>
      <c r="K311" s="3" t="inlineStr">
        <is>
          <t>NOT DECLARED — the code does not say what it gives back</t>
        </is>
      </c>
      <c r="L311" s="3" t="inlineStr">
        <is>
          <t>NOT FOUND — a screen calls it, but the words printed beside its answer could not be traced automatically. Needs reading.</t>
        </is>
      </c>
      <c r="M311" s="3" t="inlineStr">
        <is>
          <t>1. If market value is missing it uses 0.
2. If balance is missing it uses 0.
3. If coupon rate is missing it uses 0.</t>
        </is>
      </c>
      <c r="N311" s="3" t="inlineStr">
        <is>
          <t>Yes</t>
        </is>
      </c>
      <c r="O311" s="3" t="inlineStr">
        <is>
          <t>1. MK-CF-F-155 cash
2. MK-CF-F-132 map
3. MK-ST-F-030 record</t>
        </is>
      </c>
      <c r="P311" s="3" t="n">
        <v>4</v>
      </c>
      <c r="Q311" s="3" t="inlineStr">
        <is>
          <t>1. MK-CF-F-155 cash
2. MK-CF-F-132 map
3. MK-ST-F-030 record
4. MK-XS-F-122 n</t>
        </is>
      </c>
      <c r="R311" s="3" t="inlineStr">
        <is>
          <t>1. MK-XS-F-122 n → MK-CF-F-155 cash → MK-NW-F-084 categoryEarnings
2. MK-CF-F-132 map → MK-NW-F-084 categoryEarnings
3. MK-ST-F-030 record → MK-NW-F-084 categoryEarnings</t>
        </is>
      </c>
      <c r="S311" s="3" t="inlineStr">
        <is>
          <t>—</t>
        </is>
      </c>
      <c r="T311" s="3" t="inlineStr">
        <is>
          <t>—</t>
        </is>
      </c>
      <c r="U311" s="3" t="inlineStr">
        <is>
          <t>ACTIVE</t>
        </is>
      </c>
      <c r="V311" s="3" t="inlineStr">
        <is>
          <t>2026-10-09</t>
        </is>
      </c>
      <c r="W311" s="3" t="n"/>
      <c r="X311" s="3" t="n"/>
      <c r="Y311" s="3" t="inlineStr">
        <is>
          <t>NOTHING OPEN</t>
        </is>
      </c>
    </row>
    <row r="312" ht="60" customHeight="1">
      <c r="A312" s="3" t="inlineStr">
        <is>
          <t>MK-NW-F-085</t>
        </is>
      </c>
      <c r="B312" s="3" t="inlineStr">
        <is>
          <t>PERF_ONE</t>
        </is>
      </c>
      <c r="C312" s="3" t="inlineStr">
        <is>
          <t>MoneyKeel/functions/networth-and-performance/performance.ts</t>
        </is>
      </c>
      <c r="D312" s="3" t="n">
        <v>1026</v>
      </c>
      <c r="E312" s="3" t="inlineStr">
        <is>
          <t>1 · ACTION</t>
        </is>
      </c>
      <c r="F312" s="3" t="inlineStr">
        <is>
          <t>Example only: runs thePerformance for chosen accounts of the worked example and calculates nothing of its own.</t>
        </is>
      </c>
      <c r="G312" s="11" t="inlineStr">
        <is>
          <t>NOT READ YET — the body is not a shape this can render faithfully, so nothing is claimed rather than something being guessed. It needs reading by hand.</t>
        </is>
      </c>
      <c r="H312" s="3" t="inlineStr">
        <is>
          <t>NOT READ YET — the body is not a shape this can render faithfully, so nothing is claimed rather than something being guessed. It needs reading by hand.</t>
        </is>
      </c>
      <c r="I312" s="3" t="inlineStr">
        <is>
          <t>NOT READ — nothing is claimed rather than something guessed</t>
        </is>
      </c>
      <c r="J312" s="3" t="inlineStr">
        <is>
          <t>ids: string[]</t>
        </is>
      </c>
      <c r="K312" s="3" t="inlineStr">
        <is>
          <t>new Set(ids) });</t>
        </is>
      </c>
      <c r="L312" s="3" t="inlineStr">
        <is>
          <t>—</t>
        </is>
      </c>
      <c r="M312" s="3" t="inlineStr">
        <is>
          <t>None found in this function — anything it assumes comes from the functions it depends on.</t>
        </is>
      </c>
      <c r="N312" s="3" t="inlineStr">
        <is>
          <t>No</t>
        </is>
      </c>
      <c r="O312" s="3" t="inlineStr">
        <is>
          <t>MK-NW-O-008 thePerformance</t>
        </is>
      </c>
      <c r="P312" s="3" t="n">
        <v>157</v>
      </c>
      <c r="Q312" s="3" t="inlineStr">
        <is>
          <t>1. MK-NW-O-008 thePerformance
2. MK-NW-F-026 accountDisplayNames
3. MK-ST-F-083 accountValuesOn
4. MK-XS-F-011 buildChangeWalk
5. MK-ST-F-028 buildDayFromAccounts
6. MK-PF-F-014 buildPerformance
7. MK-NW-F-130 cannotWorkBackSentence
8. MK-CF-F-155 cash
9. MK-NW-F-104 closedWith
10. MK-ST-F-078 dateShown
11. MK-NW-F-129 gainRowName
12. MK-ST-F-056 has
13. MK-NW-F-071 isCertificateOfDeposit
14. MK-CF-F-132 map
15. MK-ST-F-082 movementsOf
16. MK-ST-F-013 personalFlowTotals
17. MK-NW-F-091 pricedGainOf
18. MK-ST-F-030 record
19. MK-ST-F-081 timeWeightedReturn
20. MK-ST-F-021 toNumber
21. MK-ST-F-031 valueOn
22. MK-ST-F-060 verdict
23. MK-NW-F-105 whyNoReturn
24. MK-ST-F-038 windowBounds
25. MK-NW-F-025 accountDisplayName
26. MK-XS-F-122 n
27. MK-ST-F-027 accountId
28. MK-PF-F-013 benchmarkTicker
29. MK-PF-F-002 costBasis
30. MK-PF-F-012 earliestPurchaseDate
31. MK-PF-F-009 latestClose
32. MK-PF-F-004 marketValue
33. MK-ST-F-053 money
34. MK-PF-F-010 periodReturn
35. MK-PF-F-011 periodReturnSince
36. MK-PF-F-008 startDateFor
37. MK-PF-F-007 totalROI
38. MK-PF-F-005 unrealizedGain
39. MK-NW-F-056 bondInfo
40. MK-NW-F-127 gainOfRow
41. MK-ST-F-080 isDay
42. MK-CF-F-204 line
43. MK-ST-F-039 on
44. MK-ST-F-033 onOrBefore
45. MK-ST-F-063 shiftDay
46. MK-ST-F-062 toUtc
47. MK-NW-F-024 accountLastFour
48. MK-NW-F-012 taxTreatmentOf
49. MK-NW-F-023 wrapperWord
50. MK-PF-F-031 contractMultiplier
51. MK-PF-F-001 totalShares
52. MK-ST-F-049 formatMoney
53. MK-PF-F-029 closeAsOf
54. MK-NW-F-128 heldValueOf
55. MK-CF-F-203 MONTH
56. MK-XS-F-180 declareFigures
57. MK-NW-F-007 assetKind
58. MK-ST-F-048 currencySymbol
59. MK-CF-O-010 theMonth
60. MK-NW-F-011 assetClassOf
61. MK-ST-F-047 activeCurrency
62. MK-CF-O-002 expenses
63. MK-CF-O-003 thisMonth
64. MK-NW-F-120 classEvidenceOf
65. MK-CF-F-151 actualSpending
66. MK-CF-F-150 debtPaymentsCountedAsExpenses
67. MK-CF-F-153 radar
68. MK-CF-F-149 recurringDebtPayments
69. MK-CF-F-005 actualMonthFlow
70. MK-CF-F-156 plannedMonthFlow
71. MK-NW-F-008 incomeBearingClassOf
72. MK-NW-F-009 maturityClass
73. MK-CF-F-148 inMonth
74. MK-ST-F-052 toNum
75. MK-CF-F-191 ym
76. MK-CF-F-022 paymentShape
77. MK-CF-F-152 isRadarItem
78. MK-CF-F-023 requiredPayment
79. MK-NW-F-078 ONE
80. MK-CF-F-157 debtPaymentsByDebt
81. MK-CF-F-192 inflowLabel
82. MK-XS-F-027 takeHomeMonthly
83. MK-ST-F-010 nameEvidence
84. MK-NW-F-068 prettyDay
85. MK-CF-F-021 defaultPaymentType
86. MK-NW-F-077 ALL
87. MK-NW-F-059 currentYield
88. MK-NW-O-001 theBonds
89. MK-CF-F-193 inflowSourceWord
90. MK-CF-F-092 incomeMonthlyGrid
91. MK-CF-F-011 savingsByMonth
92. MK-XS-F-147 call
93. MK-NW-F-112 yearlyInterest
94. MK-NW-F-057 annualCoupon
95. MK-NW-F-064 bondRateSensitivity
96. MK-NW-F-061 bondSummary
97. MK-NW-F-055 isBond
98. MK-NW-F-072 rowOf
99. MK-CF-F-069 benefitActiveMonths
100. MK-CF-F-072 currentRetirementIncomeMonthly
101. MK-CF-F-173 earnerWages
102. MK-CF-F-065 equityVestWeights
103. MK-CF-F-071 extraIncome
104. MK-CF-F-206 householdK401ByMonth
105. MK-CF-F-087 monthlyTaxRates
106. MK-CF-F-073 otherIncomeMonth
107. MK-CF-F-181 rateInForce
108. MK-CF-F-068 rentalNetAnnual
109. MK-CF-F-066 rsuAnnual
110. MK-CF-F-060 salaryGrossByMonth
111. MK-CF-F-077 scholarshipByCalendarMonth
112. MK-CF-F-088 taxableByCalendarMonth
113. MK-CF-F-177 wageGrossByMonth
114. MK-PL-F-012 waterfall
115. MK-CF-F-008 spendByMonth
116. MK-XS-F-064 currentIdToken
117. MK-XS-F-112 relayUrl
118. MK-NW-F-060 approxYTM
119. MK-NW-F-069 priceAtYield
120. MK-NW-F-131 pricedLikeBond
121. MK-NW-F-125 isPastMaturity
122. MK-ST-F-065 isoLocalDate
123. MK-NW-F-126 yearlyInterestNow
124. MK-NW-F-070 accruedInterestCaveat
125. MK-NW-F-058 yearsToMaturity
126. MK-CF-F-075 retirementIncomeMonthly
127. MK-CF-F-172 hasWage
128. MK-CF-F-062 equityRowValue
129. MK-CF-F-070 benefitAnnual
130. MK-CF-F-176 sumMonthsOverEarners
131. MK-CF-F-090 effectiveRate
132. MK-CF-F-180 enteredLandsAnnual
133. MK-CF-F-085 filingStatusOf
134. MK-CF-F-089 over65CountOf
135. MK-CF-F-082 salaryAnnual
136. MK-CF-F-086 stateRateOf
137. MK-CF-F-101 taxOwedFor
138. MK-CF-F-084 taxableAnnual
139. MK-CF-F-067 rentalList
140. MK-CF-F-063 rowVestYear
141. MK-CF-F-130 enteredMonthlyRaw
142. MK-CF-F-166 hasMonthlySalaryTable
143. MK-ST-F-036 reconcile
144. MK-CF-F-167 salaryCalendarYear
145. MK-CF-F-120 pctBaseMonthly
146. MK-CF-F-004 spendBuckets
147. MK-NW-F-119 estimatedAccrued
148. MK-NW-F-124 maturityParts
149. MK-NW-F-067 plural
150. MK-CF-F-100 taxableIncomeFor
151. MK-CF-F-074 tipsAnnual
152. MK-ST-F-085 rentFigure
153. MK-CF-F-165 salaryMonths
154. MK-CF-F-003 categoryMonthly
155. MK-CF-F-099 deductionFor
156. MK-CF-F-081 salaryActiveMonths
157. MK-CF-F-187 seniorDeductionFor</t>
        </is>
      </c>
      <c r="R312" s="3" t="inlineStr">
        <is>
          <t>1. accountDisplayNames (already above — a loop) → MK-NW-F-025 accountDisplayName → MK-NW-F-026 accountDisplayNames → MK-NW-O-008 thePerformance → MK-NW-F-085 PERF_ONE
2. MK-NW-F-024 accountLastFour → MK-NW-F-025 accountDisplayName → MK-NW-F-026 accountDisplayNames → MK-NW-O-008 thePerformance → MK-NW-F-085 PERF_ONE
3. MK-ST-F-039 on → MK-NW-F-025 accountDisplayName → MK-NW-F-026 accountDisplayNames → MK-NW-O-008 thePerformance → MK-NW-F-085 PERF_ONE
4. MK-NW-F-007 assetKind → MK-NW-F-012 taxTreatmentOf → MK-NW-F-025 accountDisplayName → MK-NW-F-026 accountDisplayNames → MK-NW-O-008 thePerformance → MK-NW-F-085 PERF_ONE
5. MK-NW-F-023 wrapperWord → MK-NW-F-025 accountDisplayName → MK-NW-F-026 accountDisplayNames → MK-NW-O-008 thePerformance → MK-NW-F-085 PERF_ONE
6. MK-ST-F-056 has → MK-NW-F-026 accountDisplayNames → MK-NW-O-008 thePerformance → MK-NW-F-085 PERF_ONE
7. MK-CF-F-132 map → MK-NW-F-026 accountDisplayNames → MK-NW-O-008 thePerformance → MK-NW-F-085 PERF_ONE
8. MK-XS-F-122 n → MK-NW-F-026 accountDisplayNames → MK-NW-O-008 thePerformance → MK-NW-F-085 PERF_ONE
9. … and 4 more paths</t>
        </is>
      </c>
      <c r="S312" s="3" t="inlineStr">
        <is>
          <t>—</t>
        </is>
      </c>
      <c r="T312" s="3" t="inlineStr">
        <is>
          <t>—</t>
        </is>
      </c>
      <c r="U312" s="3" t="inlineStr">
        <is>
          <t>ACTIVE</t>
        </is>
      </c>
      <c r="V312" s="3" t="inlineStr">
        <is>
          <t>2026-09-30</t>
        </is>
      </c>
      <c r="W312" s="3" t="n"/>
      <c r="X312" s="3" t="n"/>
      <c r="Y312" s="3" t="inlineStr">
        <is>
          <t>NOTHING OPEN</t>
        </is>
      </c>
    </row>
    <row r="313" ht="60" customHeight="1">
      <c r="A313" s="3" t="inlineStr">
        <is>
          <t>MK-NW-F-086</t>
        </is>
      </c>
      <c r="B313" s="3" t="inlineStr">
        <is>
          <t>CATS</t>
        </is>
      </c>
      <c r="C313" s="3" t="inlineStr">
        <is>
          <t>MoneyKeel/functions/networth-and-performance/performance.ts</t>
        </is>
      </c>
      <c r="D313" s="3" t="n">
        <v>1074</v>
      </c>
      <c r="E313" s="3" t="inlineStr">
        <is>
          <t>1 · ACTION</t>
        </is>
      </c>
      <c r="F313" s="3" t="inlineStr">
        <is>
          <t>Example only: runs categoryEarnings on the worked example and calculates nothing of its own.</t>
        </is>
      </c>
      <c r="G313" s="11" t="inlineStr">
        <is>
          <t>category earnings(CAT_EXAMPLE)</t>
        </is>
      </c>
      <c r="H313" s="3" t="inlineStr">
        <is>
          <t>category earnings(CAT_EXAMPLE)</t>
        </is>
      </c>
      <c r="I313" s="3" t="inlineStr">
        <is>
          <t>READ FROM THE CODE — rendered from the expressions the function runs</t>
        </is>
      </c>
      <c r="J313" s="3" t="inlineStr">
        <is>
          <t>Nothing is handed to it</t>
        </is>
      </c>
      <c r="K313" s="3" t="inlineStr">
        <is>
          <t>NOT DECLARED — the code does not say what it gives back</t>
        </is>
      </c>
      <c r="L313" s="3" t="inlineStr">
        <is>
          <t>—</t>
        </is>
      </c>
      <c r="M313" s="3" t="inlineStr">
        <is>
          <t>None found in this function — anything it assumes comes from the functions it depends on.</t>
        </is>
      </c>
      <c r="N313" s="3" t="inlineStr">
        <is>
          <t>No</t>
        </is>
      </c>
      <c r="O313" s="3" t="inlineStr">
        <is>
          <t>MK-NW-F-084 categoryEarnings</t>
        </is>
      </c>
      <c r="P313" s="3" t="n">
        <v>5</v>
      </c>
      <c r="Q313" s="3" t="inlineStr">
        <is>
          <t>1. MK-NW-F-084 categoryEarnings
2. MK-CF-F-155 cash
3. MK-CF-F-132 map
4. MK-ST-F-030 record
5. MK-XS-F-122 n</t>
        </is>
      </c>
      <c r="R313" s="3" t="inlineStr">
        <is>
          <t>1. MK-XS-F-122 n → MK-CF-F-155 cash → MK-NW-F-084 categoryEarnings → MK-NW-F-086 CATS
2. MK-CF-F-132 map → MK-NW-F-084 categoryEarnings → MK-NW-F-086 CATS
3. MK-ST-F-030 record → MK-NW-F-084 categoryEarnings → MK-NW-F-086 CATS</t>
        </is>
      </c>
      <c r="S313" s="3" t="inlineStr">
        <is>
          <t>—</t>
        </is>
      </c>
      <c r="T313" s="3" t="inlineStr">
        <is>
          <t>—</t>
        </is>
      </c>
      <c r="U313" s="3" t="inlineStr">
        <is>
          <t>ACTIVE</t>
        </is>
      </c>
      <c r="V313" s="3" t="inlineStr">
        <is>
          <t>2026-09-30</t>
        </is>
      </c>
      <c r="W313" s="3" t="n"/>
      <c r="X313" s="3" t="n"/>
      <c r="Y313" s="3" t="inlineStr">
        <is>
          <t>NOTHING OPEN</t>
        </is>
      </c>
    </row>
    <row r="314" ht="60" customHeight="1">
      <c r="A314" s="3" t="inlineStr">
        <is>
          <t>MK-NW-F-087</t>
        </is>
      </c>
      <c r="B314" s="3" t="inlineStr">
        <is>
          <t>CAT</t>
        </is>
      </c>
      <c r="C314" s="3" t="inlineStr">
        <is>
          <t>MoneyKeel/functions/networth-and-performance/performance.ts</t>
        </is>
      </c>
      <c r="D314" s="3" t="n">
        <v>1096</v>
      </c>
      <c r="E314" s="3" t="inlineStr">
        <is>
          <t>1 · ACTION</t>
        </is>
      </c>
      <c r="F314" s="3" t="inlineStr">
        <is>
          <t>Example only: picks one category out of the worked example of what each category earned.</t>
        </is>
      </c>
      <c r="G314" s="11" t="inlineStr">
        <is>
          <t>CATS().find((c) =&gt; key = key)</t>
        </is>
      </c>
      <c r="H314" s="3" t="inlineStr">
        <is>
          <t>CATS().find((c) =&gt; key = key)</t>
        </is>
      </c>
      <c r="I314" s="3" t="inlineStr">
        <is>
          <t>PARTLY READ — some of the code is still showing through; needs a hand pass</t>
        </is>
      </c>
      <c r="J314" s="3" t="inlineStr">
        <is>
          <t>key: string</t>
        </is>
      </c>
      <c r="K314" s="3" t="inlineStr">
        <is>
          <t>NOT DECLARED — the code does not say what it gives back</t>
        </is>
      </c>
      <c r="L314" s="3" t="inlineStr">
        <is>
          <t>—</t>
        </is>
      </c>
      <c r="M314" s="3" t="inlineStr">
        <is>
          <t>None found in this function — anything it assumes comes from the functions it depends on.</t>
        </is>
      </c>
      <c r="N314" s="3" t="inlineStr">
        <is>
          <t>No</t>
        </is>
      </c>
      <c r="O314" s="3" t="inlineStr">
        <is>
          <t>MK-NW-F-086 CATS</t>
        </is>
      </c>
      <c r="P314" s="3" t="n">
        <v>6</v>
      </c>
      <c r="Q314" s="3" t="inlineStr">
        <is>
          <t>1. MK-NW-F-086 CATS
2. MK-NW-F-084 categoryEarnings
3. MK-CF-F-155 cash
4. MK-CF-F-132 map
5. MK-ST-F-030 record
6. MK-XS-F-122 n</t>
        </is>
      </c>
      <c r="R314" s="3" t="inlineStr">
        <is>
          <t>1. MK-XS-F-122 n → MK-CF-F-155 cash → MK-NW-F-084 categoryEarnings → MK-NW-F-086 CATS → MK-NW-F-087 CAT
2. MK-CF-F-132 map → MK-NW-F-084 categoryEarnings → MK-NW-F-086 CATS → MK-NW-F-087 CAT
3. MK-ST-F-030 record → MK-NW-F-084 categoryEarnings → MK-NW-F-086 CATS → MK-NW-F-087 CAT</t>
        </is>
      </c>
      <c r="S314" s="3" t="inlineStr">
        <is>
          <t>—</t>
        </is>
      </c>
      <c r="T314" s="3" t="inlineStr">
        <is>
          <t>—</t>
        </is>
      </c>
      <c r="U314" s="3" t="inlineStr">
        <is>
          <t>ACTIVE</t>
        </is>
      </c>
      <c r="V314" s="3" t="inlineStr">
        <is>
          <t>2026-09-30</t>
        </is>
      </c>
      <c r="W314" s="3" t="n"/>
      <c r="X314" s="3" t="n"/>
      <c r="Y314" s="3" t="inlineStr">
        <is>
          <t>NOTHING OPEN</t>
        </is>
      </c>
    </row>
    <row r="315" ht="60" customHeight="1">
      <c r="A315" s="3" t="inlineStr">
        <is>
          <t>MK-NW-F-088</t>
        </is>
      </c>
      <c r="B315" s="3" t="inlineStr">
        <is>
          <t>BENCH</t>
        </is>
      </c>
      <c r="C315" s="3" t="inlineStr">
        <is>
          <t>MoneyKeel/functions/networth-and-performance/performance.ts</t>
        </is>
      </c>
      <c r="D315" s="3" t="n">
        <v>1127</v>
      </c>
      <c r="E315" s="3" t="inlineStr">
        <is>
          <t>3 · DEPENDENT (feeds an action only)</t>
        </is>
      </c>
      <c r="F315" s="3" t="inlineStr">
        <is>
          <t>Example only: runs the market comparison on the worked example and calculates nothing of its own.</t>
        </is>
      </c>
      <c r="G315" s="11" t="inlineStr">
        <is>
          <t>portfolio bench return([</t>
        </is>
      </c>
      <c r="H315" s="3" t="inlineStr">
        <is>
          <t>portfolio bench return([</t>
        </is>
      </c>
      <c r="I315" s="3" t="inlineStr">
        <is>
          <t>READ FROM THE CODE — rendered from the expressions the function runs</t>
        </is>
      </c>
      <c r="J315" s="3" t="inlineStr">
        <is>
          <t>Nothing is handed to it</t>
        </is>
      </c>
      <c r="K315" s="3" t="inlineStr">
        <is>
          <t>NOT DECLARED — the code does not say what it gives back</t>
        </is>
      </c>
      <c r="L315" s="3" t="inlineStr">
        <is>
          <t>—</t>
        </is>
      </c>
      <c r="M315" s="3" t="inlineStr">
        <is>
          <t>None found in this function — anything it assumes comes from the functions it depends on.</t>
        </is>
      </c>
      <c r="N315" s="3" t="inlineStr">
        <is>
          <t>No</t>
        </is>
      </c>
      <c r="O315" s="3" t="inlineStr">
        <is>
          <t>1. MK-NW-F-087 CAT
2. MK-NW-F-083 PERF
3. MK-NW-F-085 PERF_ONE
4. MK-NW-F-093 QUIET_PERF
5. MK-CF-F-135 availableCash
6. MK-XS-F-180 declareFigures
7. MK-ST-F-049 formatMoney
8. MK-PF-F-020 portfolioBenchReturn</t>
        </is>
      </c>
      <c r="P315" s="3" t="n">
        <v>166</v>
      </c>
      <c r="Q315" s="3" t="inlineStr">
        <is>
          <t>1. MK-NW-F-087 CAT
2. MK-NW-F-083 PERF
3. MK-NW-F-085 PERF_ONE
4. MK-NW-F-093 QUIET_PERF
5. MK-CF-F-135 availableCash
6. MK-XS-F-180 declareFigures
7. MK-ST-F-049 formatMoney
8. MK-PF-F-020 portfolioBenchReturn
9. MK-NW-F-086 CATS
10. MK-NW-O-008 thePerformance
11. MK-CF-F-134 usesSleeve
12. MK-ST-F-048 currencySymbol
13. MK-XS-F-122 n
14. MK-ST-F-039 on
15. MK-PF-F-004 marketValue
16. MK-NW-F-084 categoryEarnings
17. MK-NW-F-026 accountDisplayNames
18. MK-ST-F-083 accountValuesOn
19. MK-XS-F-011 buildChangeWalk
20. MK-ST-F-028 buildDayFromAccounts
21. MK-PF-F-014 buildPerformance
22. MK-NW-F-130 cannotWorkBackSentence
23. MK-CF-F-155 cash
24. MK-NW-F-104 closedWith
25. MK-ST-F-078 dateShown
26. MK-NW-F-129 gainRowName
27. MK-ST-F-056 has
28. MK-NW-F-071 isCertificateOfDeposit
29. MK-CF-F-132 map
30. MK-ST-F-082 movementsOf
31. MK-ST-F-013 personalFlowTotals
32. MK-NW-F-091 pricedGainOf
33. MK-ST-F-030 record
34. MK-ST-F-081 timeWeightedReturn
35. MK-ST-F-021 toNumber
36. MK-ST-F-031 valueOn
37. MK-ST-F-060 verdict
38. MK-NW-F-105 whyNoReturn
39. MK-ST-F-038 windowBounds
40. MK-ST-F-047 activeCurrency
41. MK-PF-F-031 contractMultiplier
42. MK-PF-F-001 totalShares
43. MK-NW-F-025 accountDisplayName
44. MK-ST-F-027 accountId
45. MK-PF-F-013 benchmarkTicker
46. MK-PF-F-002 costBasis
47. MK-PF-F-012 earliestPurchaseDate
48. MK-PF-F-009 latestClose
49. MK-ST-F-053 money
50. MK-PF-F-010 periodReturn
51. MK-PF-F-011 periodReturnSince
52. MK-PF-F-008 startDateFor
53. MK-PF-F-007 totalROI
54. MK-PF-F-005 unrealizedGain
55. MK-NW-F-056 bondInfo
56. MK-NW-F-127 gainOfRow
57. MK-ST-F-080 isDay
58. MK-CF-F-204 line
59. MK-ST-F-033 onOrBefore
60. MK-ST-F-063 shiftDay
61. MK-ST-F-062 toUtc
62. MK-NW-F-024 accountLastFour
63. MK-NW-F-012 taxTreatmentOf
64. MK-NW-F-023 wrapperWord
65. MK-PF-F-029 closeAsOf
66. MK-NW-F-128 heldValueOf
67. MK-CF-F-203 MONTH
68. MK-NW-F-007 assetKind
69. MK-CF-O-010 theMonth
70. MK-NW-F-011 assetClassOf
71. MK-CF-O-002 expenses
72. MK-CF-O-003 thisMonth
73. MK-NW-F-120 classEvidenceOf
74. MK-CF-F-151 actualSpending
75. MK-CF-F-150 debtPaymentsCountedAsExpenses
76. MK-CF-F-153 radar
77. MK-CF-F-149 recurringDebtPayments
78. MK-CF-F-005 actualMonthFlow
79. MK-CF-F-156 plannedMonthFlow
80. MK-NW-F-008 incomeBearingClassOf
81. MK-NW-F-009 maturityClass
82. MK-CF-F-148 inMonth
83. MK-ST-F-052 toNum
84. MK-CF-F-191 ym
85. MK-CF-F-022 paymentShape
86. MK-CF-F-152 isRadarItem
87. MK-CF-F-023 requiredPayment
88. MK-NW-F-078 ONE
89. MK-CF-F-157 debtPaymentsByDebt
90. MK-CF-F-192 inflowLabel
91. MK-XS-F-027 takeHomeMonthly
92. MK-ST-F-010 nameEvidence
93. MK-NW-F-068 prettyDay
94. MK-CF-F-021 defaultPaymentType
95. MK-NW-F-077 ALL
96. MK-NW-F-059 currentYield
97. MK-NW-O-001 theBonds
98. MK-CF-F-193 inflowSourceWord
99. MK-CF-F-092 incomeMonthlyGrid
100. MK-CF-F-011 savingsByMonth
101. MK-XS-F-147 call
102. MK-NW-F-112 yearlyInterest
103. MK-NW-F-057 annualCoupon
104. MK-NW-F-064 bondRateSensitivity
105. MK-NW-F-061 bondSummary
106. MK-NW-F-055 isBond
107. MK-NW-F-072 rowOf
108. MK-CF-F-069 benefitActiveMonths
109. MK-CF-F-072 currentRetirementIncomeMonthly
110. MK-CF-F-173 earnerWages
111. MK-CF-F-065 equityVestWeights
112. MK-CF-F-071 extraIncome
113. MK-CF-F-206 householdK401ByMonth
114. MK-CF-F-087 monthlyTaxRates
115. MK-CF-F-073 otherIncomeMonth
116. MK-CF-F-181 rateInForce
117. MK-CF-F-068 rentalNetAnnual
118. MK-CF-F-066 rsuAnnual
119. MK-CF-F-060 salaryGrossByMonth
120. MK-CF-F-077 scholarshipByCalendarMonth
121. MK-CF-F-088 taxableByCalendarMonth
122. MK-CF-F-177 wageGrossByMonth
123. MK-PL-F-012 waterfall
124. MK-CF-F-008 spendByMonth
125. MK-XS-F-064 currentIdToken
126. MK-XS-F-112 relayUrl
127. MK-NW-F-060 approxYTM
128. MK-NW-F-069 priceAtYield
129. MK-NW-F-131 pricedLikeBond
130. MK-NW-F-125 isPastMaturity
131. MK-ST-F-065 isoLocalDate
132. MK-NW-F-126 yearlyInterestNow
133. MK-NW-F-070 accruedInterestCaveat
134. MK-NW-F-058 yearsToMaturity
135. MK-CF-F-075 retirementIncomeMonthly
136. MK-CF-F-172 hasWage
137. MK-CF-F-062 equityRowValue
138. MK-CF-F-070 benefitAnnual
139. MK-CF-F-176 sumMonthsOverEarners
140. MK-CF-F-090 effectiveRate
141. MK-CF-F-180 enteredLandsAnnual
142. MK-CF-F-085 filingStatusOf
143. MK-CF-F-089 over65CountOf
144. MK-CF-F-082 salaryAnnual
145. MK-CF-F-086 stateRateOf
146. MK-CF-F-101 taxOwedFor
147. MK-CF-F-084 taxableAnnual
148. MK-CF-F-067 rentalList
149. MK-CF-F-063 rowVestYear
150. MK-CF-F-130 enteredMonthlyRaw
151. MK-CF-F-166 hasMonthlySalaryTable
152. MK-ST-F-036 reconcile
153. MK-CF-F-167 salaryCalendarYear
154. MK-CF-F-120 pctBaseMonthly
155. MK-CF-F-004 spendBuckets
156. MK-NW-F-119 estimatedAccrued
157. MK-NW-F-124 maturityParts
158. MK-NW-F-067 plural
159. MK-CF-F-100 taxableIncomeFor
160. MK-CF-F-074 tipsAnnual
161. MK-ST-F-085 rentFigure
162. MK-CF-F-165 salaryMonths
163. MK-CF-F-003 categoryMonthly
164. MK-CF-F-099 deductionFor
165. MK-CF-F-081 salaryActiveMonths
166. MK-CF-F-187 seniorDeductionFor</t>
        </is>
      </c>
      <c r="R315" s="3" t="inlineStr">
        <is>
          <t>1. MK-XS-F-122 n → MK-CF-F-155 cash → MK-NW-F-084 categoryEarnings → MK-NW-F-086 CATS → MK-NW-F-087 CAT → MK-NW-F-088 BENCH
2. MK-CF-F-132 map → MK-NW-F-084 categoryEarnings → MK-NW-F-086 CATS → MK-NW-F-087 CAT → MK-NW-F-088 BENCH
3. MK-ST-F-030 record → MK-NW-F-084 categoryEarnings → MK-NW-F-086 CATS → MK-NW-F-087 CAT → MK-NW-F-088 BENCH
4. accountDisplayNames (already above — a loop) → MK-NW-F-025 accountDisplayName → MK-NW-F-026 accountDisplayNames → MK-NW-O-008 thePerformance → MK-NW-F-083 PERF → MK-NW-F-088 BENCH
5. MK-NW-F-024 accountLastFour → MK-NW-F-025 accountDisplayName → MK-NW-F-026 accountDisplayNames → MK-NW-O-008 thePerformance → MK-NW-F-083 PERF → MK-NW-F-088 BENCH
6. MK-ST-F-039 on → MK-NW-F-025 accountDisplayName → MK-NW-F-026 accountDisplayNames → MK-NW-O-008 thePerformance → MK-NW-F-083 PERF → MK-NW-F-088 BENCH
7. MK-NW-F-012 taxTreatmentOf → MK-NW-F-025 accountDisplayName → MK-NW-F-026 accountDisplayNames → MK-NW-O-008 thePerformance → MK-NW-F-083 PERF → MK-NW-F-088 BENCH
8. MK-NW-F-023 wrapperWord → MK-NW-F-025 accountDisplayName → MK-NW-F-026 accountDisplayNames → MK-NW-O-008 thePerformance → MK-NW-F-083 PERF → MK-NW-F-088 BENCH
9. … and 5 more paths</t>
        </is>
      </c>
      <c r="S315" s="3" t="inlineStr">
        <is>
          <t>—</t>
        </is>
      </c>
      <c r="T315" s="3" t="inlineStr">
        <is>
          <t>—</t>
        </is>
      </c>
      <c r="U315" s="3" t="inlineStr">
        <is>
          <t>ACTIVE</t>
        </is>
      </c>
      <c r="V315" s="3" t="inlineStr">
        <is>
          <t>2026-09-30</t>
        </is>
      </c>
      <c r="W315" s="3" t="n"/>
      <c r="X315" s="3" t="n"/>
      <c r="Y315" s="3" t="inlineStr">
        <is>
          <t>NOTHING OPEN</t>
        </is>
      </c>
    </row>
    <row r="316" ht="60" customHeight="1">
      <c r="A316" s="3" t="inlineStr">
        <is>
          <t>MK-NW-F-090</t>
        </is>
      </c>
      <c r="B316" s="3" t="inlineStr">
        <is>
          <t>windowStartKey</t>
        </is>
      </c>
      <c r="C316" s="3" t="inlineStr">
        <is>
          <t>MoneyKeel/functions/networth-and-performance/performance.ts</t>
        </is>
      </c>
      <c r="D316" s="3" t="n">
        <v>121</v>
      </c>
      <c r="E316" s="3" t="inlineStr">
        <is>
          <t>2 · DISPLAYED</t>
        </is>
      </c>
      <c r="F316" s="3" t="inlineStr">
        <is>
          <t>The first day of a period: the day after the record's first day for Since, 1 January for This year, and the same day one month, one year or two years back for the others.</t>
        </is>
      </c>
      <c r="G316" s="11" t="inlineStr">
        <is>
          <t>first = record dates where ÷ ^\d{4}-\d{2}-\d{2}$ ÷ .test(each)the first of , in order
today   when first is missing
after = the first 10 of the date date.parse(`${first}T00:00:00Z`) + 86400000).to isostring(
the answer:
after   if after ≤ today
today   otherwise
d = the date today + 'T12:00:00Z'
months = '1 m': 1 = '1 m': 1
'3 m': 3 = '3 m': 3
'6 m': 6 = '6 m': 6
'1 y': 12 = '1 y': 12
'2 y': 24 = '2 y': 24
`${today.slice(0, 4)}-01 − 01`   when period = 'YTD'
back = months[period] (or 12 when missing)
y = get utcfull year(), m = get utcmonth() − back, day = get utcdate()
last day = the date date.UTC(y, m + 1, 0)).get utcdate(</t>
        </is>
      </c>
      <c r="H316" s="3" t="inlineStr">
        <is>
          <t>First is record dates where divided by ^\d{4}-\d{2}-\d{2}$ divided by .test(each)the first of , in order. When first is missing, it answers today. After: the first 10 of the date date.parse(`${first}T00:00:00Z`) plus 86400000).to isostring(. The answer is after — when after is at most today; today — otherwise. D: the date today plus 'T12:00:00Z'. Months is '1 m': 1 = '1 m': 1; '3 m': 3 = '3 m': 3; '6 m': 6 = '6 m': 6; '1 y': 12 = '1 y': 12; '2 y': 24 = '2 y': 24. When period = 'YTD', it answers `${today.slice(0, 4)}-01 minus 01`. Back is months[period] (or 12 — when missing). Y is get utcfull year(), m = get utcmonth() minus back, day = get utcdate(). Last day: the date date.UTC(y, m plus 1, 0)).get utcdate(.</t>
        </is>
      </c>
      <c r="I316" s="3" t="inlineStr">
        <is>
          <t>PARTLY READ — some of the code is still showing through; needs a hand pass</t>
        </is>
      </c>
      <c r="J316" s="3" t="inlineStr">
        <is>
          <t>1. period: string
2. recordDates: string[]
3. today: string</t>
        </is>
      </c>
      <c r="K316" s="3" t="inlineStr">
        <is>
          <t>string</t>
        </is>
      </c>
      <c r="L316" s="3" t="inlineStr">
        <is>
          <t>NOT FOUND — a screen calls it, but the words printed beside its answer could not be traced automatically. Needs reading.</t>
        </is>
      </c>
      <c r="M316" s="3" t="inlineStr">
        <is>
          <t>· If months[period] is missing it uses 12.</t>
        </is>
      </c>
      <c r="N316" s="3" t="inlineStr">
        <is>
          <t>Yes</t>
        </is>
      </c>
      <c r="O316" s="3" t="inlineStr">
        <is>
          <t>—</t>
        </is>
      </c>
      <c r="P316" s="3" t="n">
        <v>0</v>
      </c>
      <c r="Q316" s="3" t="inlineStr">
        <is>
          <t>None — no dependent function stands behind it</t>
        </is>
      </c>
      <c r="R316" s="3" t="inlineStr">
        <is>
          <t>No dependent function — it reads its inputs and answers</t>
        </is>
      </c>
      <c r="S316" s="3" t="inlineStr">
        <is>
          <t>—</t>
        </is>
      </c>
      <c r="T316" s="3" t="inlineStr">
        <is>
          <t>—</t>
        </is>
      </c>
      <c r="U316" s="3" t="inlineStr">
        <is>
          <t>ACTIVE</t>
        </is>
      </c>
      <c r="V316" s="3" t="inlineStr">
        <is>
          <t>2026-10-10</t>
        </is>
      </c>
      <c r="W316" s="3" t="n"/>
      <c r="X316" s="3" t="n"/>
      <c r="Y316" s="3" t="inlineStr">
        <is>
          <t>NOTHING OPEN</t>
        </is>
      </c>
    </row>
    <row r="317" ht="60" customHeight="1">
      <c r="A317" s="3" t="inlineStr">
        <is>
          <t>MK-NW-F-091</t>
        </is>
      </c>
      <c r="B317" s="3" t="inlineStr">
        <is>
          <t>pricedGainOf</t>
        </is>
      </c>
      <c r="C317" s="3" t="inlineStr">
        <is>
          <t>MoneyKeel/functions/networth-and-performance/performance.ts</t>
        </is>
      </c>
      <c r="D317" s="3" t="n">
        <v>204</v>
      </c>
      <c r="E317" s="3" t="inlineStr">
        <is>
          <t>2 · DISPLAYED</t>
        </is>
      </c>
      <c r="F317" s="3" t="inlineStr">
        <is>
          <t>What the holdings gained over the period in dollars: the true gain for a holding bought inside the period, the price move's share of today's value for one with a price history, the stated rate's share for a CD — and nothing (unknown) when any holding has neither.</t>
        </is>
      </c>
      <c r="G317" s="11" t="inlineStr">
        <is>
          <t>total = 0
g = gain of row(r, years)
nothing   when g = nothing
[LOOP — the answer is found inside a loop the extractor cannot render; the steps above are the ones before it. Read by hand.]</t>
        </is>
      </c>
      <c r="H317" s="3" t="inlineStr">
        <is>
          <t>Total is 0. G is gain of row(r, years). When g is missing, it answers no answer. The answer is total. The answer is found inside a loop that cannot be rendered here; read the code by hand.</t>
        </is>
      </c>
      <c r="I317" s="3" t="inlineStr">
        <is>
          <t>PARTLY READ — the body has a loop the extractor cannot render; the steps shown are the ones before it. Needs a hand pass (G23).</t>
        </is>
      </c>
      <c r="J317" s="3" t="inlineStr">
        <is>
          <t>1. rows: GainRow[]
2. years = 0</t>
        </is>
      </c>
      <c r="K317" s="3" t="inlineStr">
        <is>
          <t>number | null</t>
        </is>
      </c>
      <c r="L317" s="3" t="inlineStr">
        <is>
          <t>NOT FOUND — a screen calls it, but the words printed beside its answer could not be traced automatically. Needs reading.</t>
        </is>
      </c>
      <c r="M317" s="3" t="inlineStr">
        <is>
          <t>· Uses a built-in total of 0.</t>
        </is>
      </c>
      <c r="N317" s="3" t="inlineStr">
        <is>
          <t>Yes</t>
        </is>
      </c>
      <c r="O317" s="3" t="inlineStr">
        <is>
          <t>MK-NW-F-127 gainOfRow</t>
        </is>
      </c>
      <c r="P317" s="3" t="n">
        <v>2</v>
      </c>
      <c r="Q317" s="3" t="inlineStr">
        <is>
          <t>1. MK-NW-F-127 gainOfRow
2. MK-NW-F-128 heldValueOf</t>
        </is>
      </c>
      <c r="R317" s="3" t="inlineStr">
        <is>
          <t>MK-NW-F-128 heldValueOf → MK-NW-F-127 gainOfRow → MK-NW-F-091 pricedGainOf</t>
        </is>
      </c>
      <c r="S317" s="3" t="inlineStr">
        <is>
          <t>—</t>
        </is>
      </c>
      <c r="T317" s="3" t="inlineStr">
        <is>
          <t>—</t>
        </is>
      </c>
      <c r="U317" s="3" t="inlineStr">
        <is>
          <t>ACTIVE</t>
        </is>
      </c>
      <c r="V317" s="3" t="inlineStr">
        <is>
          <t>2026-10-09</t>
        </is>
      </c>
      <c r="W317" s="3" t="n"/>
      <c r="X317" s="3" t="n"/>
      <c r="Y317" s="3" t="inlineStr">
        <is>
          <t>NOTHING OPEN</t>
        </is>
      </c>
    </row>
    <row r="318" ht="60" customHeight="1">
      <c r="A318" s="3" t="inlineStr">
        <is>
          <t>MK-NW-F-092</t>
        </is>
      </c>
      <c r="B318" s="3" t="inlineStr">
        <is>
          <t>investmentAccountIdsOf</t>
        </is>
      </c>
      <c r="C318" s="3" t="inlineStr">
        <is>
          <t>MoneyKeel/functions/networth-and-performance/performance.ts</t>
        </is>
      </c>
      <c r="D318" s="3" t="n">
        <v>398</v>
      </c>
      <c r="E318" s="3" t="inlineStr">
        <is>
          <t>2 · DISPLAYED</t>
        </is>
      </c>
      <c r="F318" s="3" t="inlineStr">
        <is>
          <t>Which accounts count as investments: those holding stocks and funds, bonds and CDs, alternatives or a mix, and never cash or property.</t>
        </is>
      </c>
      <c r="G318" s="11" t="inlineStr">
        <is>
          <t>invested = a list with no repeats of ['stocks_etf', 'bonds', 'alternatives', 'mixed']
the answer = a list with no repeats of accounts (or none when missing) where invested.has(class of(each))for each of : string(asset id)</t>
        </is>
      </c>
      <c r="H318" s="3" t="inlineStr">
        <is>
          <t>Invested is a list with no repeats of ['stocks_etf', 'bonds', 'alternatives', 'mixed']. The answer is a list with no repeats of accounts (or none — when missing) where invested.has(class of(each))for each of : string(asset id).</t>
        </is>
      </c>
      <c r="I318" s="3" t="inlineStr">
        <is>
          <t>PARTLY READ — some of the code is still showing through; needs a hand pass</t>
        </is>
      </c>
      <c r="J318" s="3" t="inlineStr">
        <is>
          <t>Nothing is handed to it</t>
        </is>
      </c>
      <c r="K318" s="3" t="inlineStr">
        <is>
          <t>NOT DECLARED — the code does not say what it gives back</t>
        </is>
      </c>
      <c r="L318" s="3" t="inlineStr">
        <is>
          <t>NOT FOUND — a screen calls it, but the words printed beside its answer could not be traced automatically. Needs reading.</t>
        </is>
      </c>
      <c r="M318" s="3" t="inlineStr">
        <is>
          <t>None found in this function — anything it assumes comes from the functions it depends on.</t>
        </is>
      </c>
      <c r="N318" s="3" t="inlineStr">
        <is>
          <t>Yes</t>
        </is>
      </c>
      <c r="O318" s="3" t="inlineStr">
        <is>
          <t>1. MK-ST-F-056 has
2. MK-CF-F-132 map</t>
        </is>
      </c>
      <c r="P318" s="3" t="n">
        <v>2</v>
      </c>
      <c r="Q318" s="3" t="inlineStr">
        <is>
          <t>1. MK-ST-F-056 has
2. MK-CF-F-132 map</t>
        </is>
      </c>
      <c r="R318" s="3" t="inlineStr">
        <is>
          <t>1. MK-ST-F-056 has → MK-NW-F-092 investmentAccountIdsOf
2. MK-CF-F-132 map → MK-NW-F-092 investmentAccountIdsOf</t>
        </is>
      </c>
      <c r="S318" s="3" t="inlineStr">
        <is>
          <t>—</t>
        </is>
      </c>
      <c r="T318" s="3" t="inlineStr">
        <is>
          <t>—</t>
        </is>
      </c>
      <c r="U318" s="3" t="inlineStr">
        <is>
          <t>ACTIVE</t>
        </is>
      </c>
      <c r="V318" s="3" t="inlineStr">
        <is>
          <t>2026-09-30</t>
        </is>
      </c>
      <c r="W318" s="3" t="n"/>
      <c r="X318" s="3" t="n"/>
      <c r="Y318" s="3" t="inlineStr">
        <is>
          <t>NOTHING OPEN</t>
        </is>
      </c>
    </row>
    <row r="319" ht="60" customHeight="1">
      <c r="A319" s="3" t="inlineStr">
        <is>
          <t>MK-NW-F-093</t>
        </is>
      </c>
      <c r="B319" s="3" t="inlineStr">
        <is>
          <t>QUIET_PERF</t>
        </is>
      </c>
      <c r="C319" s="3" t="inlineStr">
        <is>
          <t>MoneyKeel/functions/networth-and-performance/performance.ts</t>
        </is>
      </c>
      <c r="D319" s="3" t="n">
        <v>977</v>
      </c>
      <c r="E319" s="3" t="inlineStr">
        <is>
          <t>1 · ACTION</t>
        </is>
      </c>
      <c r="F319" s="3" t="inlineStr">
        <is>
          <t>Example only: runs thePerformance on the worked example and calculates nothing of its own.</t>
        </is>
      </c>
      <c r="G319" s="11" t="inlineStr">
        <is>
          <t>the performance(QUIET)</t>
        </is>
      </c>
      <c r="H319" s="3" t="inlineStr">
        <is>
          <t>the performance(QUIET)</t>
        </is>
      </c>
      <c r="I319" s="3" t="inlineStr">
        <is>
          <t>READ FROM THE CODE — rendered from the expressions the function runs</t>
        </is>
      </c>
      <c r="J319" s="3" t="inlineStr">
        <is>
          <t>Nothing is handed to it</t>
        </is>
      </c>
      <c r="K319" s="3" t="inlineStr">
        <is>
          <t>NOT DECLARED — the code does not say what it gives back</t>
        </is>
      </c>
      <c r="L319" s="3" t="inlineStr">
        <is>
          <t>—</t>
        </is>
      </c>
      <c r="M319" s="3" t="inlineStr">
        <is>
          <t>None found in this function — anything it assumes comes from the functions it depends on.</t>
        </is>
      </c>
      <c r="N319" s="3" t="inlineStr">
        <is>
          <t>No</t>
        </is>
      </c>
      <c r="O319" s="3" t="inlineStr">
        <is>
          <t>MK-NW-O-008 thePerformance</t>
        </is>
      </c>
      <c r="P319" s="3" t="n">
        <v>157</v>
      </c>
      <c r="Q319" s="3" t="inlineStr">
        <is>
          <t>1. MK-NW-O-008 thePerformance
2. MK-NW-F-026 accountDisplayNames
3. MK-ST-F-083 accountValuesOn
4. MK-XS-F-011 buildChangeWalk
5. MK-ST-F-028 buildDayFromAccounts
6. MK-PF-F-014 buildPerformance
7. MK-NW-F-130 cannotWorkBackSentence
8. MK-CF-F-155 cash
9. MK-NW-F-104 closedWith
10. MK-ST-F-078 dateShown
11. MK-NW-F-129 gainRowName
12. MK-ST-F-056 has
13. MK-NW-F-071 isCertificateOfDeposit
14. MK-CF-F-132 map
15. MK-ST-F-082 movementsOf
16. MK-ST-F-013 personalFlowTotals
17. MK-NW-F-091 pricedGainOf
18. MK-ST-F-030 record
19. MK-ST-F-081 timeWeightedReturn
20. MK-ST-F-021 toNumber
21. MK-ST-F-031 valueOn
22. MK-ST-F-060 verdict
23. MK-NW-F-105 whyNoReturn
24. MK-ST-F-038 windowBounds
25. MK-NW-F-025 accountDisplayName
26. MK-XS-F-122 n
27. MK-ST-F-027 accountId
28. MK-PF-F-013 benchmarkTicker
29. MK-PF-F-002 costBasis
30. MK-PF-F-012 earliestPurchaseDate
31. MK-PF-F-009 latestClose
32. MK-PF-F-004 marketValue
33. MK-ST-F-053 money
34. MK-PF-F-010 periodReturn
35. MK-PF-F-011 periodReturnSince
36. MK-PF-F-008 startDateFor
37. MK-PF-F-007 totalROI
38. MK-PF-F-005 unrealizedGain
39. MK-NW-F-056 bondInfo
40. MK-NW-F-127 gainOfRow
41. MK-ST-F-080 isDay
42. MK-CF-F-204 line
43. MK-ST-F-039 on
44. MK-ST-F-033 onOrBefore
45. MK-ST-F-063 shiftDay
46. MK-ST-F-062 toUtc
47. MK-NW-F-024 accountLastFour
48. MK-NW-F-012 taxTreatmentOf
49. MK-NW-F-023 wrapperWord
50. MK-PF-F-031 contractMultiplier
51. MK-PF-F-001 totalShares
52. MK-ST-F-049 formatMoney
53. MK-PF-F-029 closeAsOf
54. MK-NW-F-128 heldValueOf
55. MK-CF-F-203 MONTH
56. MK-XS-F-180 declareFigures
57. MK-NW-F-007 assetKind
58. MK-ST-F-048 currencySymbol
59. MK-CF-O-010 theMonth
60. MK-NW-F-011 assetClassOf
61. MK-ST-F-047 activeCurrency
62. MK-CF-O-002 expenses
63. MK-CF-O-003 thisMonth
64. MK-NW-F-120 classEvidenceOf
65. MK-CF-F-151 actualSpending
66. MK-CF-F-150 debtPaymentsCountedAsExpenses
67. MK-CF-F-153 radar
68. MK-CF-F-149 recurringDebtPayments
69. MK-CF-F-005 actualMonthFlow
70. MK-CF-F-156 plannedMonthFlow
71. MK-NW-F-008 incomeBearingClassOf
72. MK-NW-F-009 maturityClass
73. MK-CF-F-148 inMonth
74. MK-ST-F-052 toNum
75. MK-CF-F-191 ym
76. MK-CF-F-022 paymentShape
77. MK-CF-F-152 isRadarItem
78. MK-CF-F-023 requiredPayment
79. MK-NW-F-078 ONE
80. MK-CF-F-157 debtPaymentsByDebt
81. MK-CF-F-192 inflowLabel
82. MK-XS-F-027 takeHomeMonthly
83. MK-ST-F-010 nameEvidence
84. MK-NW-F-068 prettyDay
85. MK-CF-F-021 defaultPaymentType
86. MK-NW-F-077 ALL
87. MK-NW-F-059 currentYield
88. MK-NW-O-001 theBonds
89. MK-CF-F-193 inflowSourceWord
90. MK-CF-F-092 incomeMonthlyGrid
91. MK-CF-F-011 savingsByMonth
92. MK-XS-F-147 call
93. MK-NW-F-112 yearlyInterest
94. MK-NW-F-057 annualCoupon
95. MK-NW-F-064 bondRateSensitivity
96. MK-NW-F-061 bondSummary
97. MK-NW-F-055 isBond
98. MK-NW-F-072 rowOf
99. MK-CF-F-069 benefitActiveMonths
100. MK-CF-F-072 currentRetirementIncomeMonthly
101. MK-CF-F-173 earnerWages
102. MK-CF-F-065 equityVestWeights
103. MK-CF-F-071 extraIncome
104. MK-CF-F-206 householdK401ByMonth
105. MK-CF-F-087 monthlyTaxRates
106. MK-CF-F-073 otherIncomeMonth
107. MK-CF-F-181 rateInForce
108. MK-CF-F-068 rentalNetAnnual
109. MK-CF-F-066 rsuAnnual
110. MK-CF-F-060 salaryGrossByMonth
111. MK-CF-F-077 scholarshipByCalendarMonth
112. MK-CF-F-088 taxableByCalendarMonth
113. MK-CF-F-177 wageGrossByMonth
114. MK-PL-F-012 waterfall
115. MK-CF-F-008 spendByMonth
116. MK-XS-F-064 currentIdToken
117. MK-XS-F-112 relayUrl
118. MK-NW-F-060 approxYTM
119. MK-NW-F-069 priceAtYield
120. MK-NW-F-131 pricedLikeBond
121. MK-NW-F-125 isPastMaturity
122. MK-ST-F-065 isoLocalDate
123. MK-NW-F-126 yearlyInterestNow
124. MK-NW-F-070 accruedInterestCaveat
125. MK-NW-F-058 yearsToMaturity
126. MK-CF-F-075 retirementIncomeMonthly
127. MK-CF-F-172 hasWage
128. MK-CF-F-062 equityRowValue
129. MK-CF-F-070 benefitAnnual
130. MK-CF-F-176 sumMonthsOverEarners
131. MK-CF-F-090 effectiveRate
132. MK-CF-F-180 enteredLandsAnnual
133. MK-CF-F-085 filingStatusOf
134. MK-CF-F-089 over65CountOf
135. MK-CF-F-082 salaryAnnual
136. MK-CF-F-086 stateRateOf
137. MK-CF-F-101 taxOwedFor
138. MK-CF-F-084 taxableAnnual
139. MK-CF-F-067 rentalList
140. MK-CF-F-063 rowVestYear
141. MK-CF-F-130 enteredMonthlyRaw
142. MK-CF-F-166 hasMonthlySalaryTable
143. MK-ST-F-036 reconcile
144. MK-CF-F-167 salaryCalendarYear
145. MK-CF-F-120 pctBaseMonthly
146. MK-CF-F-004 spendBuckets
147. MK-NW-F-119 estimatedAccrued
148. MK-NW-F-124 maturityParts
149. MK-NW-F-067 plural
150. MK-CF-F-100 taxableIncomeFor
151. MK-CF-F-074 tipsAnnual
152. MK-ST-F-085 rentFigure
153. MK-CF-F-165 salaryMonths
154. MK-CF-F-003 categoryMonthly
155. MK-CF-F-099 deductionFor
156. MK-CF-F-081 salaryActiveMonths
157. MK-CF-F-187 seniorDeductionFor</t>
        </is>
      </c>
      <c r="R319" s="3" t="inlineStr">
        <is>
          <t>1. accountDisplayNames (already above — a loop) → MK-NW-F-025 accountDisplayName → MK-NW-F-026 accountDisplayNames → MK-NW-O-008 thePerformance → MK-NW-F-093 QUIET_PERF
2. MK-NW-F-024 accountLastFour → MK-NW-F-025 accountDisplayName → MK-NW-F-026 accountDisplayNames → MK-NW-O-008 thePerformance → MK-NW-F-093 QUIET_PERF
3. MK-ST-F-039 on → MK-NW-F-025 accountDisplayName → MK-NW-F-026 accountDisplayNames → MK-NW-O-008 thePerformance → MK-NW-F-093 QUIET_PERF
4. MK-NW-F-007 assetKind → MK-NW-F-012 taxTreatmentOf → MK-NW-F-025 accountDisplayName → MK-NW-F-026 accountDisplayNames → MK-NW-O-008 thePerformance → MK-NW-F-093 QUIET_PERF
5. MK-NW-F-023 wrapperWord → MK-NW-F-025 accountDisplayName → MK-NW-F-026 accountDisplayNames → MK-NW-O-008 thePerformance → MK-NW-F-093 QUIET_PERF
6. MK-ST-F-056 has → MK-NW-F-026 accountDisplayNames → MK-NW-O-008 thePerformance → MK-NW-F-093 QUIET_PERF
7. MK-CF-F-132 map → MK-NW-F-026 accountDisplayNames → MK-NW-O-008 thePerformance → MK-NW-F-093 QUIET_PERF
8. MK-XS-F-122 n → MK-NW-F-026 accountDisplayNames → MK-NW-O-008 thePerformance → MK-NW-F-093 QUIET_PERF
9. … and 4 more paths</t>
        </is>
      </c>
      <c r="S319" s="3" t="inlineStr">
        <is>
          <t>—</t>
        </is>
      </c>
      <c r="T319" s="3" t="inlineStr">
        <is>
          <t>—</t>
        </is>
      </c>
      <c r="U319" s="3" t="inlineStr">
        <is>
          <t>ACTIVE</t>
        </is>
      </c>
      <c r="V319" s="3" t="inlineStr">
        <is>
          <t>2026-09-30</t>
        </is>
      </c>
      <c r="W319" s="3" t="n"/>
      <c r="X319" s="3" t="n"/>
      <c r="Y319" s="3" t="inlineStr">
        <is>
          <t>NOTHING OPEN</t>
        </is>
      </c>
    </row>
    <row r="320" ht="60" customHeight="1">
      <c r="A320" s="3" t="inlineStr">
        <is>
          <t>MK-NW-F-094</t>
        </is>
      </c>
      <c r="B320" s="3" t="inlineStr">
        <is>
          <t>ledgerGroups</t>
        </is>
      </c>
      <c r="C320" s="3" t="inlineStr">
        <is>
          <t>MoneyKeel/functions/networth-and-performance/net-worth.ts</t>
        </is>
      </c>
      <c r="D320" s="3" t="n">
        <v>432</v>
      </c>
      <c r="E320" s="3" t="inlineStr">
        <is>
          <t>2 · DISPLAYED</t>
        </is>
      </c>
      <c r="F320" s="3" t="inlineStr">
        <is>
          <t>Groups the accounts for the Net worth list, by asset class or by institution, and gives each group its total.</t>
        </is>
      </c>
      <c r="G320" s="11" t="inlineStr">
        <is>
          <t>out = new map&lt;string, ledger group&gt;()
g = out.get(key) (or label = label
total = 0
account ids = []
rows = []
mix = [] when missing)
split = account class breakdown(a)
shown = string((a as any).institution ?? '').trim() (or 'no institution set' when missing or zero)
g = group(shown.to lower case(), shown)
[LOOP — the answer is found inside a loop the extractor cannot render; the steps above are the ones before it. Read by hand.]</t>
        </is>
      </c>
      <c r="H320" s="3" t="inlineStr">
        <is>
          <t>Out is new map&lt;string, ledger group&gt;(). G is out.get(key) (or label = label; total = 0; account ids = []; rows = []; mix = [] — when missing). The answer is g. Split is account class breakdown(a). Shown is string((a as any).institution ?? '').trim() (or 'no institution set' — when missing or zero). G is group(shown.to lower case(), shown). The answer is found inside a loop that cannot be rendered here; read the code by hand.</t>
        </is>
      </c>
      <c r="I320" s="3" t="inlineStr">
        <is>
          <t>PARTLY READ — the body has a loop the extractor cannot render; the steps shown are the ones before it. Needs a hand pass (G23).</t>
        </is>
      </c>
      <c r="J320" s="3" t="inlineStr">
        <is>
          <t>Nothing is handed to it</t>
        </is>
      </c>
      <c r="K320" s="3" t="inlineStr">
        <is>
          <t>NOT DECLARED — the code does not say what it gives back</t>
        </is>
      </c>
      <c r="L320" s="3" t="inlineStr">
        <is>
          <t>NOT FOUND — a screen calls it, but the words printed beside its answer could not be traced automatically. Needs reading.</t>
        </is>
      </c>
      <c r="M320" s="3" t="inlineStr">
        <is>
          <t>· If balance is missing it counts as zero, so nothing recorded and a real zero look the same.</t>
        </is>
      </c>
      <c r="N320" s="3" t="inlineStr">
        <is>
          <t>Yes</t>
        </is>
      </c>
      <c r="O320" s="3" t="inlineStr">
        <is>
          <t>1. MK-NW-F-027 accountClassBreakdown
2. MK-CF-F-132 map</t>
        </is>
      </c>
      <c r="P320" s="3" t="n">
        <v>22</v>
      </c>
      <c r="Q320" s="3" t="inlineStr">
        <is>
          <t>1. MK-NW-F-027 accountClassBreakdown
2. MK-CF-F-132 map
3. MK-NW-F-011 assetClassOf
4. MK-CF-F-155 cash
5. MK-ST-F-056 has
6. MK-NW-F-109 holdingClassOf
7. MK-NW-F-067 plural
8. MK-NW-F-120 classEvidenceOf
9. MK-XS-F-122 n
10. MK-NW-F-123 holdingNameEvidence
11. MK-NW-F-121 holdingTagClass
12. MK-NW-F-054 reclassifyAccounts
13. MK-NW-F-008 incomeBearingClassOf
14. MK-NW-F-009 maturityClass
15. MK-NW-F-053 correctClassOf
16. MK-NW-F-122 holdingTagFor
17. MK-ST-F-010 nameEvidence
18. MK-NW-F-068 prettyDay
19. MK-XS-F-147 call
20. MK-ST-F-027 accountId
21. MK-XS-F-064 currentIdToken
22. MK-XS-F-112 relayUrl</t>
        </is>
      </c>
      <c r="R320" s="3" t="inlineStr">
        <is>
          <t>1. MK-XS-F-122 n → MK-CF-F-155 cash → MK-NW-F-120 classEvidenceOf → MK-NW-F-011 assetClassOf → MK-NW-F-027 accountClassBreakdown → MK-NW-F-094 ledgerGroups
2. MK-CF-F-155 cash → MK-NW-F-008 incomeBearingClassOf → MK-NW-F-120 classEvidenceOf → MK-NW-F-011 assetClassOf → MK-NW-F-027 accountClassBreakdown → MK-NW-F-094 ledgerGroups
3. MK-ST-F-010 nameEvidence → MK-NW-F-008 incomeBearingClassOf → MK-NW-F-120 classEvidenceOf → MK-NW-F-011 assetClassOf → MK-NW-F-027 accountClassBreakdown → MK-NW-F-094 ledgerGroups
4. assetClassOf (already above — a loop) → MK-NW-F-009 maturityClass → MK-NW-F-120 classEvidenceOf → MK-NW-F-011 assetClassOf → MK-NW-F-027 accountClassBreakdown → MK-NW-F-094 ledgerGroups
5. MK-NW-F-068 prettyDay → MK-NW-F-009 maturityClass → MK-NW-F-120 classEvidenceOf → MK-NW-F-011 assetClassOf → MK-NW-F-027 accountClassBreakdown → MK-NW-F-094 ledgerGroups
6. MK-XS-F-122 n → MK-CF-F-155 cash → MK-NW-F-027 accountClassBreakdown → MK-NW-F-094 ledgerGroups
7. MK-ST-F-056 has → MK-NW-F-027 accountClassBreakdown → MK-NW-F-094 ledgerGroups
8. MK-XS-F-122 n → MK-CF-F-155 cash → MK-NW-F-123 holdingNameEvidence → MK-NW-F-109 holdingClassOf → MK-NW-F-027 accountClassBreakdown → MK-NW-F-094 ledgerGroups
9. … and 5 more paths</t>
        </is>
      </c>
      <c r="S320" s="3" t="inlineStr">
        <is>
          <t>—</t>
        </is>
      </c>
      <c r="T320" s="3" t="inlineStr">
        <is>
          <t>—</t>
        </is>
      </c>
      <c r="U320" s="3" t="inlineStr">
        <is>
          <t>ACTIVE</t>
        </is>
      </c>
      <c r="V320" s="3" t="inlineStr">
        <is>
          <t>2026-10-07</t>
        </is>
      </c>
      <c r="W320" s="3" t="n"/>
      <c r="X320" s="3" t="n"/>
      <c r="Y320" s="3" t="inlineStr">
        <is>
          <t>NOTHING OPEN</t>
        </is>
      </c>
    </row>
    <row r="321" ht="60" customHeight="1">
      <c r="A321" s="3" t="inlineStr">
        <is>
          <t>MK-NW-F-095</t>
        </is>
      </c>
      <c r="B321" s="3" t="inlineStr">
        <is>
          <t>CLASS_LABEL_OF</t>
        </is>
      </c>
      <c r="C321" s="3" t="inlineStr">
        <is>
          <t>MoneyKeel/functions/networth-and-performance/net-worth.ts</t>
        </is>
      </c>
      <c r="D321" s="3" t="n">
        <v>594</v>
      </c>
      <c r="E321" s="3" t="inlineStr">
        <is>
          <t>1 · ACTION</t>
        </is>
      </c>
      <c r="F321" s="3" t="inlineStr">
        <is>
          <t>Example only: the display name of an asset class, used by the worked example of the Net worth list.</t>
        </is>
      </c>
      <c r="G321" s="11" t="inlineStr">
        <is>
          <t>NOT READ YET — the body is not a shape this can render faithfully, so nothing is claimed rather than something being guessed. It needs reading by hand.</t>
        </is>
      </c>
      <c r="H321" s="3" t="inlineStr">
        <is>
          <t>NOT READ YET — the body is not a shape this can render faithfully, so nothing is claimed rather than something being guessed. It needs reading by hand.</t>
        </is>
      </c>
      <c r="I321" s="3" t="inlineStr">
        <is>
          <t>NOT READ — nothing is claimed rather than something guessed</t>
        </is>
      </c>
      <c r="J321" s="3" t="inlineStr">
        <is>
          <t>a: any</t>
        </is>
      </c>
      <c r="K321" s="3" t="inlineStr">
        <is>
          <t>NOT DECLARED — the code does not say what it gives back</t>
        </is>
      </c>
      <c r="L321" s="3" t="inlineStr">
        <is>
          <t>—</t>
        </is>
      </c>
      <c r="M321" s="3" t="inlineStr">
        <is>
          <t>None found in this function — anything it assumes comes from the functions it depends on.</t>
        </is>
      </c>
      <c r="N321" s="3" t="inlineStr">
        <is>
          <t>No</t>
        </is>
      </c>
      <c r="O321" s="3" t="inlineStr">
        <is>
          <t>—</t>
        </is>
      </c>
      <c r="P321" s="3" t="n">
        <v>0</v>
      </c>
      <c r="Q321" s="3" t="inlineStr">
        <is>
          <t>None — no dependent function stands behind it</t>
        </is>
      </c>
      <c r="R321" s="3" t="inlineStr">
        <is>
          <t>No dependent function — it reads its inputs and answers</t>
        </is>
      </c>
      <c r="S321" s="3" t="inlineStr">
        <is>
          <t>—</t>
        </is>
      </c>
      <c r="T321" s="3" t="inlineStr">
        <is>
          <t>—</t>
        </is>
      </c>
      <c r="U321" s="3" t="inlineStr">
        <is>
          <t>ACTIVE</t>
        </is>
      </c>
      <c r="V321" s="3" t="inlineStr">
        <is>
          <t>2026-09-30</t>
        </is>
      </c>
      <c r="W321" s="3" t="n"/>
      <c r="X321" s="3" t="n"/>
      <c r="Y321" s="3" t="inlineStr">
        <is>
          <t>NOTHING OPEN</t>
        </is>
      </c>
    </row>
    <row r="322" ht="45" customHeight="1">
      <c r="A322" s="3" t="inlineStr">
        <is>
          <t>MK-NW-F-096</t>
        </is>
      </c>
      <c r="B322" s="3" t="inlineStr">
        <is>
          <t>CLASS_KEY_OF</t>
        </is>
      </c>
      <c r="C322" s="3" t="inlineStr">
        <is>
          <t>MoneyKeel/functions/networth-and-performance/net-worth.ts</t>
        </is>
      </c>
      <c r="D322" s="3" t="n">
        <v>620</v>
      </c>
      <c r="E322" s="3" t="inlineStr">
        <is>
          <t>1 · ACTION</t>
        </is>
      </c>
      <c r="F322" s="3" t="inlineStr">
        <is>
          <t>Example only: the asset class an account is filed under, used by the worked example of the Net worth list.</t>
        </is>
      </c>
      <c r="G322" s="11" t="inlineStr">
        <is>
          <t>string(asset class)</t>
        </is>
      </c>
      <c r="H322" s="3" t="inlineStr">
        <is>
          <t>string(asset class)</t>
        </is>
      </c>
      <c r="I322" s="3" t="inlineStr">
        <is>
          <t>READ FROM THE CODE — rendered from the expressions the function runs</t>
        </is>
      </c>
      <c r="J322" s="3" t="inlineStr">
        <is>
          <t>a: any</t>
        </is>
      </c>
      <c r="K322" s="3" t="inlineStr">
        <is>
          <t>NOT DECLARED — the code does not say what it gives back</t>
        </is>
      </c>
      <c r="L322" s="3" t="inlineStr">
        <is>
          <t>—</t>
        </is>
      </c>
      <c r="M322" s="3" t="inlineStr">
        <is>
          <t>None found in this function — anything it assumes comes from the functions it depends on.</t>
        </is>
      </c>
      <c r="N322" s="3" t="inlineStr">
        <is>
          <t>No</t>
        </is>
      </c>
      <c r="O322" s="3" t="inlineStr">
        <is>
          <t>—</t>
        </is>
      </c>
      <c r="P322" s="3" t="n">
        <v>0</v>
      </c>
      <c r="Q322" s="3" t="inlineStr">
        <is>
          <t>None — no dependent function stands behind it</t>
        </is>
      </c>
      <c r="R322" s="3" t="inlineStr">
        <is>
          <t>No dependent function — it reads its inputs and answers</t>
        </is>
      </c>
      <c r="S322" s="3" t="inlineStr">
        <is>
          <t>—</t>
        </is>
      </c>
      <c r="T322" s="3" t="inlineStr">
        <is>
          <t>—</t>
        </is>
      </c>
      <c r="U322" s="3" t="inlineStr">
        <is>
          <t>ACTIVE</t>
        </is>
      </c>
      <c r="V322" s="3" t="inlineStr">
        <is>
          <t>2026-09-30</t>
        </is>
      </c>
      <c r="W322" s="3" t="n"/>
      <c r="X322" s="3" t="n"/>
      <c r="Y322" s="3" t="inlineStr">
        <is>
          <t>NOTHING OPEN</t>
        </is>
      </c>
    </row>
    <row r="323" ht="60" customHeight="1">
      <c r="A323" s="3" t="inlineStr">
        <is>
          <t>MK-NW-F-097</t>
        </is>
      </c>
      <c r="B323" s="3" t="inlineStr">
        <is>
          <t>LEDGER</t>
        </is>
      </c>
      <c r="C323" s="3" t="inlineStr">
        <is>
          <t>MoneyKeel/functions/networth-and-performance/net-worth.ts</t>
        </is>
      </c>
      <c r="D323" s="3" t="n">
        <v>644</v>
      </c>
      <c r="E323" s="3" t="inlineStr">
        <is>
          <t>1 · ACTION</t>
        </is>
      </c>
      <c r="F323" s="3" t="inlineStr">
        <is>
          <t>Example only: groups the worked example's accounts for the Net worth list, by class or by institution.</t>
        </is>
      </c>
      <c r="G323" s="11" t="inlineStr">
        <is>
          <t>ledger groups(LEDGER_ACCOUNTS, by, CLASS_LABEL_OF, CLASS_KEY_OF)</t>
        </is>
      </c>
      <c r="H323" s="3" t="inlineStr">
        <is>
          <t>ledger groups(LEDGER_ACCOUNTS, by, CLASS_LABEL_OF, CLASS_KEY_OF)</t>
        </is>
      </c>
      <c r="I323" s="3" t="inlineStr">
        <is>
          <t>READ FROM THE CODE — rendered from the expressions the function runs</t>
        </is>
      </c>
      <c r="J323" s="3" t="inlineStr">
        <is>
          <t>by: 'class' | 'institution'</t>
        </is>
      </c>
      <c r="K323" s="3" t="inlineStr">
        <is>
          <t>NOT DECLARED — the code does not say what it gives back</t>
        </is>
      </c>
      <c r="L323" s="3" t="inlineStr">
        <is>
          <t>—</t>
        </is>
      </c>
      <c r="M323" s="3" t="inlineStr">
        <is>
          <t>None found in this function — anything it assumes comes from the functions it depends on.</t>
        </is>
      </c>
      <c r="N323" s="3" t="inlineStr">
        <is>
          <t>Yes</t>
        </is>
      </c>
      <c r="O323" s="3" t="inlineStr">
        <is>
          <t>1. MK-NW-F-096 CLASS_KEY_OF
2. MK-NW-F-095 CLASS_LABEL_OF
3. MK-NW-F-094 ledgerGroups</t>
        </is>
      </c>
      <c r="P323" s="3" t="n">
        <v>25</v>
      </c>
      <c r="Q323" s="3" t="inlineStr">
        <is>
          <t>1. MK-NW-F-096 CLASS_KEY_OF
2. MK-NW-F-095 CLASS_LABEL_OF
3. MK-NW-F-094 ledgerGroups
4. MK-NW-F-027 accountClassBreakdown
5. MK-CF-F-132 map
6. MK-NW-F-011 assetClassOf
7. MK-CF-F-155 cash
8. MK-ST-F-056 has
9. MK-NW-F-109 holdingClassOf
10. MK-NW-F-067 plural
11. MK-NW-F-120 classEvidenceOf
12. MK-XS-F-122 n
13. MK-NW-F-123 holdingNameEvidence
14. MK-NW-F-121 holdingTagClass
15. MK-NW-F-054 reclassifyAccounts
16. MK-NW-F-008 incomeBearingClassOf
17. MK-NW-F-009 maturityClass
18. MK-NW-F-053 correctClassOf
19. MK-NW-F-122 holdingTagFor
20. MK-ST-F-010 nameEvidence
21. MK-NW-F-068 prettyDay
22. MK-XS-F-147 call
23. MK-ST-F-027 accountId
24. MK-XS-F-064 currentIdToken
25. MK-XS-F-112 relayUrl</t>
        </is>
      </c>
      <c r="R323" s="3" t="inlineStr">
        <is>
          <t>1. MK-NW-F-096 CLASS_KEY_OF → MK-NW-F-097 LEDGER
2. MK-NW-F-095 CLASS_LABEL_OF → MK-NW-F-097 LEDGER
3. MK-CF-F-155 cash → MK-NW-F-120 classEvidenceOf → MK-NW-F-011 assetClassOf → MK-NW-F-027 accountClassBreakdown → MK-NW-F-094 ledgerGroups → MK-NW-F-097 LEDGER
4. MK-NW-F-008 incomeBearingClassOf → MK-NW-F-120 classEvidenceOf → MK-NW-F-011 assetClassOf → MK-NW-F-027 accountClassBreakdown → MK-NW-F-094 ledgerGroups → MK-NW-F-097 LEDGER
5. MK-NW-F-009 maturityClass → MK-NW-F-120 classEvidenceOf → MK-NW-F-011 assetClassOf → MK-NW-F-027 accountClassBreakdown → MK-NW-F-094 ledgerGroups → MK-NW-F-097 LEDGER
6. MK-XS-F-122 n → MK-CF-F-155 cash → MK-NW-F-027 accountClassBreakdown → MK-NW-F-094 ledgerGroups → MK-NW-F-097 LEDGER
7. MK-ST-F-056 has → MK-NW-F-027 accountClassBreakdown → MK-NW-F-094 ledgerGroups → MK-NW-F-097 LEDGER
8. MK-CF-F-155 cash → MK-NW-F-123 holdingNameEvidence → MK-NW-F-109 holdingClassOf → MK-NW-F-027 accountClassBreakdown → MK-NW-F-094 ledgerGroups → MK-NW-F-097 LEDGER
9. … and 4 more paths</t>
        </is>
      </c>
      <c r="S323" s="3" t="inlineStr">
        <is>
          <t>—</t>
        </is>
      </c>
      <c r="T323" s="3" t="inlineStr">
        <is>
          <t>—</t>
        </is>
      </c>
      <c r="U323" s="3" t="inlineStr">
        <is>
          <t>ACTIVE</t>
        </is>
      </c>
      <c r="V323" s="3" t="inlineStr">
        <is>
          <t>2026-09-30</t>
        </is>
      </c>
      <c r="W323" s="3" t="n"/>
      <c r="X323" s="3" t="n"/>
      <c r="Y323" s="3" t="inlineStr">
        <is>
          <t>NOTHING OPEN</t>
        </is>
      </c>
    </row>
    <row r="324" ht="60" customHeight="1">
      <c r="A324" s="3" t="inlineStr">
        <is>
          <t>MK-NW-F-098</t>
        </is>
      </c>
      <c r="B324" s="3" t="inlineStr">
        <is>
          <t>LEDGER_BAND</t>
        </is>
      </c>
      <c r="C324" s="3" t="inlineStr">
        <is>
          <t>MoneyKeel/functions/networth-and-performance/net-worth.ts</t>
        </is>
      </c>
      <c r="D324" s="3" t="n">
        <v>665</v>
      </c>
      <c r="E324" s="3" t="inlineStr">
        <is>
          <t>1 · ACTION</t>
        </is>
      </c>
      <c r="F324" s="3" t="inlineStr">
        <is>
          <t>Example only: the total of one named group in the worked example of the Net worth list.</t>
        </is>
      </c>
      <c r="G324" s="11" t="inlineStr">
        <is>
          <t>LEDGER('class').find((g) =&gt; label = label).total (or nothing when missing)</t>
        </is>
      </c>
      <c r="H324" s="3" t="inlineStr">
        <is>
          <t>LEDGER('class').find((g) =&gt; label = label).total (or no answer — when missing)</t>
        </is>
      </c>
      <c r="I324" s="3" t="inlineStr">
        <is>
          <t>PARTLY READ — some of the code is still showing through; needs a hand pass</t>
        </is>
      </c>
      <c r="J324" s="3" t="inlineStr">
        <is>
          <t>label: string</t>
        </is>
      </c>
      <c r="K324" s="3" t="inlineStr">
        <is>
          <t>NOT DECLARED — the code does not say what it gives back</t>
        </is>
      </c>
      <c r="L324" s="3" t="inlineStr">
        <is>
          <t>—</t>
        </is>
      </c>
      <c r="M324" s="3" t="inlineStr">
        <is>
          <t>None found in this function — anything it assumes comes from the functions it depends on.</t>
        </is>
      </c>
      <c r="N324" s="3" t="inlineStr">
        <is>
          <t>Yes</t>
        </is>
      </c>
      <c r="O324" s="3" t="inlineStr">
        <is>
          <t>1. MK-NW-F-097 LEDGER
2. MK-CF-F-200 LINE</t>
        </is>
      </c>
      <c r="P324" s="3" t="n">
        <v>126</v>
      </c>
      <c r="Q324" s="3" t="inlineStr">
        <is>
          <t>1. MK-NW-F-097 LEDGER
2. MK-CF-F-200 LINE
3. MK-NW-F-096 CLASS_KEY_OF
4. MK-NW-F-095 CLASS_LABEL_OF
5. MK-NW-F-094 ledgerGroups
6. MK-XS-F-180 declareFigures
7. MK-CF-O-006 theCreditLine
8. MK-NW-F-027 accountClassBreakdown
9. MK-CF-F-132 map
10. MK-CF-F-031 creditUtilization
11. MK-CF-F-204 line
12. MK-NW-F-011 assetClassOf
13. MK-CF-F-155 cash
14. MK-ST-F-056 has
15. MK-NW-F-109 holdingClassOf
16. MK-NW-F-067 plural
17. MK-CF-F-203 MONTH
18. MK-NW-F-120 classEvidenceOf
19. MK-XS-F-122 n
20. MK-NW-F-123 holdingNameEvidence
21. MK-NW-F-121 holdingTagClass
22. MK-NW-F-054 reclassifyAccounts
23. MK-CF-O-010 theMonth
24. MK-NW-F-008 incomeBearingClassOf
25. MK-NW-F-009 maturityClass
26. MK-NW-F-053 correctClassOf
27. MK-NW-F-122 holdingTagFor
28. MK-CF-O-002 expenses
29. MK-CF-O-003 thisMonth
30. MK-ST-F-010 nameEvidence
31. MK-NW-F-068 prettyDay
32. MK-CF-F-151 actualSpending
33. MK-CF-F-150 debtPaymentsCountedAsExpenses
34. MK-CF-F-153 radar
35. MK-CF-F-149 recurringDebtPayments
36. MK-CF-F-005 actualMonthFlow
37. MK-CF-F-156 plannedMonthFlow
38. MK-XS-F-147 call
39. MK-CF-F-148 inMonth
40. MK-ST-F-052 toNum
41. MK-CF-F-191 ym
42. MK-CF-F-022 paymentShape
43. MK-CF-F-152 isRadarItem
44. MK-CF-F-023 requiredPayment
45. MK-NW-F-078 ONE
46. MK-CF-F-157 debtPaymentsByDebt
47. MK-CF-F-192 inflowLabel
48. MK-XS-F-027 takeHomeMonthly
49. MK-ST-F-027 accountId
50. MK-XS-F-064 currentIdToken
51. MK-XS-F-112 relayUrl
52. MK-CF-F-021 defaultPaymentType
53. MK-NW-F-077 ALL
54. MK-NW-F-059 currentYield
55. MK-ST-F-049 formatMoney
56. MK-ST-F-053 money
57. MK-NW-O-001 theBonds
58. MK-CF-F-193 inflowSourceWord
59. MK-CF-F-092 incomeMonthlyGrid
60. MK-CF-F-011 savingsByMonth
61. MK-NW-F-112 yearlyInterest
62. MK-ST-F-048 currencySymbol
63. MK-ST-F-039 on
64. MK-NW-F-057 annualCoupon
65. MK-NW-F-056 bondInfo
66. MK-NW-F-064 bondRateSensitivity
67. MK-NW-F-061 bondSummary
68. MK-NW-F-055 isBond
69. MK-NW-F-072 rowOf
70. MK-CF-F-069 benefitActiveMonths
71. MK-CF-F-072 currentRetirementIncomeMonthly
72. MK-CF-F-173 earnerWages
73. MK-CF-F-065 equityVestWeights
74. MK-CF-F-071 extraIncome
75. MK-CF-F-206 householdK401ByMonth
76. MK-CF-F-087 monthlyTaxRates
77. MK-CF-F-073 otherIncomeMonth
78. MK-CF-F-181 rateInForce
79. MK-CF-F-068 rentalNetAnnual
80. MK-CF-F-066 rsuAnnual
81. MK-CF-F-060 salaryGrossByMonth
82. MK-CF-F-077 scholarshipByCalendarMonth
83. MK-CF-F-088 taxableByCalendarMonth
84. MK-CF-F-177 wageGrossByMonth
85. MK-PL-F-012 waterfall
86. MK-CF-F-008 spendByMonth
87. MK-ST-F-047 activeCurrency
88. MK-NW-F-060 approxYTM
89. MK-NW-F-069 priceAtYield
90. MK-NW-F-131 pricedLikeBond
91. MK-NW-F-125 isPastMaturity
92. MK-ST-F-065 isoLocalDate
93. MK-NW-F-126 yearlyInterestNow
94. MK-NW-F-070 accruedInterestCaveat
95. MK-NW-F-058 yearsToMaturity
96. MK-CF-F-075 retirementIncomeMonthly
97. MK-CF-F-172 hasWage
98. MK-CF-F-062 equityRowValue
99. MK-CF-F-070 benefitAnnual
100. MK-CF-F-176 sumMonthsOverEarners
101. MK-CF-F-090 effectiveRate
102. MK-CF-F-180 enteredLandsAnnual
103. MK-CF-F-085 filingStatusOf
104. MK-CF-F-089 over65CountOf
105. MK-CF-F-082 salaryAnnual
106. MK-CF-F-086 stateRateOf
107. MK-CF-F-101 taxOwedFor
108. MK-CF-F-084 taxableAnnual
109. MK-CF-F-067 rentalList
110. MK-CF-F-063 rowVestYear
111. MK-CF-F-130 enteredMonthlyRaw
112. MK-CF-F-166 hasMonthlySalaryTable
113. MK-ST-F-036 reconcile
114. MK-CF-F-167 salaryCalendarYear
115. MK-CF-F-120 pctBaseMonthly
116. MK-CF-F-004 spendBuckets
117. MK-NW-F-119 estimatedAccrued
118. MK-NW-F-124 maturityParts
119. MK-CF-F-100 taxableIncomeFor
120. MK-CF-F-074 tipsAnnual
121. MK-ST-F-085 rentFigure
122. MK-CF-F-165 salaryMonths
123. MK-CF-F-003 categoryMonthly
124. MK-CF-F-099 deductionFor
125. MK-CF-F-081 salaryActiveMonths
126. MK-CF-F-187 seniorDeductionFor</t>
        </is>
      </c>
      <c r="R324" s="3" t="inlineStr">
        <is>
          <t>1. MK-NW-F-096 CLASS_KEY_OF → MK-NW-F-097 LEDGER → MK-NW-F-098 LEDGER_BAND
2. MK-NW-F-095 CLASS_LABEL_OF → MK-NW-F-097 LEDGER → MK-NW-F-098 LEDGER_BAND
3. MK-NW-F-120 classEvidenceOf → MK-NW-F-011 assetClassOf → MK-NW-F-027 accountClassBreakdown → MK-NW-F-094 ledgerGroups → MK-NW-F-097 LEDGER → MK-NW-F-098 LEDGER_BAND
4. MK-XS-F-122 n → MK-CF-F-155 cash → MK-NW-F-027 accountClassBreakdown → MK-NW-F-094 ledgerGroups → MK-NW-F-097 LEDGER → MK-NW-F-098 LEDGER_BAND
5. MK-ST-F-056 has → MK-NW-F-027 accountClassBreakdown → MK-NW-F-094 ledgerGroups → MK-NW-F-097 LEDGER → MK-NW-F-098 LEDGER_BAND
6. MK-NW-F-123 holdingNameEvidence → MK-NW-F-109 holdingClassOf → MK-NW-F-027 accountClassBreakdown → MK-NW-F-094 ledgerGroups → MK-NW-F-097 LEDGER → MK-NW-F-098 LEDGER_BAND
7. MK-NW-F-121 holdingTagClass → MK-NW-F-109 holdingClassOf → MK-NW-F-027 accountClassBreakdown → MK-NW-F-094 ledgerGroups → MK-NW-F-097 LEDGER → MK-NW-F-098 LEDGER_BAND
8. MK-NW-F-054 reclassifyAccounts → MK-NW-F-109 holdingClassOf → MK-NW-F-027 accountClassBreakdown → MK-NW-F-094 ledgerGroups → MK-NW-F-097 LEDGER → MK-NW-F-098 LEDGER_BAND
9. … and 4 more paths</t>
        </is>
      </c>
      <c r="S324" s="3" t="inlineStr">
        <is>
          <t>—</t>
        </is>
      </c>
      <c r="T324" s="3" t="inlineStr">
        <is>
          <t>—</t>
        </is>
      </c>
      <c r="U324" s="3" t="inlineStr">
        <is>
          <t>ACTIVE</t>
        </is>
      </c>
      <c r="V324" s="3" t="inlineStr">
        <is>
          <t>2026-09-30</t>
        </is>
      </c>
      <c r="W324" s="3" t="n"/>
      <c r="X324" s="3" t="n"/>
      <c r="Y324" s="3" t="inlineStr">
        <is>
          <t>NOTHING OPEN</t>
        </is>
      </c>
    </row>
    <row r="325" ht="60" customHeight="1">
      <c r="A325" s="3" t="inlineStr">
        <is>
          <t>MK-NW-F-099</t>
        </is>
      </c>
      <c r="B325" s="3" t="inlineStr">
        <is>
          <t>SNAP</t>
        </is>
      </c>
      <c r="C325" s="3" t="inlineStr">
        <is>
          <t>MoneyKeel/functions/networth-and-performance/net-worth.ts</t>
        </is>
      </c>
      <c r="D325" s="3" t="n">
        <v>693</v>
      </c>
      <c r="E325" s="3" t="inlineStr">
        <is>
          <t>1 · ACTION</t>
        </is>
      </c>
      <c r="F325" s="3" t="inlineStr">
        <is>
          <t>Example only: makes one month's recorded net worth for the worked example of the trend line.</t>
        </is>
      </c>
      <c r="G325" s="11" t="inlineStr">
        <is>
          <t>NOT READ YET — the body is not a shape this can render faithfully, so nothing is claimed rather than something being guessed. It needs reading by hand.</t>
        </is>
      </c>
      <c r="H325" s="3" t="inlineStr">
        <is>
          <t>NOT READ YET — the body is not a shape this can render faithfully, so nothing is claimed rather than something being guessed. It needs reading by hand.</t>
        </is>
      </c>
      <c r="I325" s="3" t="inlineStr">
        <is>
          <t>NOT READ — nothing is claimed rather than something guessed</t>
        </is>
      </c>
      <c r="J325" s="3" t="inlineStr">
        <is>
          <t>1. month: string
2. net: number</t>
        </is>
      </c>
      <c r="K325" s="3" t="inlineStr">
        <is>
          <t>net, gross_assets: net + 242000, gross_debt: 242000 });</t>
        </is>
      </c>
      <c r="L325" s="3" t="inlineStr">
        <is>
          <t>—</t>
        </is>
      </c>
      <c r="M325" s="3" t="inlineStr">
        <is>
          <t>None found in this function — anything it assumes comes from the functions it depends on.</t>
        </is>
      </c>
      <c r="N325" s="3" t="inlineStr">
        <is>
          <t>Yes</t>
        </is>
      </c>
      <c r="O325" s="3" t="inlineStr">
        <is>
          <t>—</t>
        </is>
      </c>
      <c r="P325" s="3" t="n">
        <v>0</v>
      </c>
      <c r="Q325" s="3" t="inlineStr">
        <is>
          <t>None — no dependent function stands behind it</t>
        </is>
      </c>
      <c r="R325" s="3" t="inlineStr">
        <is>
          <t>No dependent function — it reads its inputs and answers</t>
        </is>
      </c>
      <c r="S325" s="3" t="inlineStr">
        <is>
          <t>—</t>
        </is>
      </c>
      <c r="T325" s="3" t="inlineStr">
        <is>
          <t>—</t>
        </is>
      </c>
      <c r="U325" s="3" t="inlineStr">
        <is>
          <t>ACTIVE</t>
        </is>
      </c>
      <c r="V325" s="3" t="inlineStr">
        <is>
          <t>2026-09-30</t>
        </is>
      </c>
      <c r="W325" s="3" t="n"/>
      <c r="X325" s="3" t="n"/>
      <c r="Y325" s="3" t="inlineStr">
        <is>
          <t>NOTHING OPEN</t>
        </is>
      </c>
    </row>
    <row r="326" ht="60" customHeight="1">
      <c r="A326" s="3" t="inlineStr">
        <is>
          <t>MK-NW-F-100</t>
        </is>
      </c>
      <c r="B326" s="3" t="inlineStr">
        <is>
          <t>TREND</t>
        </is>
      </c>
      <c r="C326" s="3" t="inlineStr">
        <is>
          <t>MoneyKeel/functions/networth-and-performance/net-worth.ts</t>
        </is>
      </c>
      <c r="D326" s="3" t="n">
        <v>716</v>
      </c>
      <c r="E326" s="3" t="inlineStr">
        <is>
          <t>1 · ACTION</t>
        </is>
      </c>
      <c r="F326" s="3" t="inlineStr">
        <is>
          <t>Example only: runs theNetWorth on four months of recorded net worth, to show the trend line.</t>
        </is>
      </c>
      <c r="G326" s="11" t="inlineStr">
        <is>
          <t>NOT READ YET — the body is not a shape this can render faithfully, so nothing is claimed rather than something being guessed. It needs reading by hand.</t>
        </is>
      </c>
      <c r="H326" s="3" t="inlineStr">
        <is>
          <t>NOT READ YET — the body is not a shape this can render faithfully, so nothing is claimed rather than something being guessed. It needs reading by hand.</t>
        </is>
      </c>
      <c r="I326" s="3" t="inlineStr">
        <is>
          <t>NOT READ — nothing is claimed rather than something guessed</t>
        </is>
      </c>
      <c r="J326" s="3" t="inlineStr">
        <is>
          <t>Nothing is handed to it</t>
        </is>
      </c>
      <c r="K326" s="3" t="inlineStr">
        <is>
          <t>NOT DECLARED — the code does not say what it gives back</t>
        </is>
      </c>
      <c r="L326" s="3" t="inlineStr">
        <is>
          <t>—</t>
        </is>
      </c>
      <c r="M326" s="3" t="inlineStr">
        <is>
          <t>None found in this function — anything it assumes comes from the functions it depends on.</t>
        </is>
      </c>
      <c r="N326" s="3" t="inlineStr">
        <is>
          <t>Yes</t>
        </is>
      </c>
      <c r="O326" s="3" t="inlineStr">
        <is>
          <t>1. MK-NW-F-099 SNAP
2. MK-NW-O-003 theNetWorth</t>
        </is>
      </c>
      <c r="P326" s="3" t="n">
        <v>216</v>
      </c>
      <c r="Q326" s="3" t="inlineStr">
        <is>
          <t>1. MK-NW-F-099 SNAP
2. MK-NW-O-003 theNetWorth
3. MK-NW-F-078 ONE
4. MK-NW-F-029 assetAllocation
5. MK-NW-F-011 assetClassOf
6. MK-NW-F-039 buildAssetsState
7. MK-ST-F-028 buildDayFromAccounts
8. MK-CF-F-036 buildDebtState
9. MK-NW-F-065 buildNetWorth
10. MK-NW-F-016 cashTotal
11. MK-NW-F-022 investableAssets
12. MK-NW-F-021 investmentsTotal
13. MK-NW-F-014 isRealAsset
14. MK-ST-F-065 isoLocalDate
15. MK-CF-F-132 map
16. MK-NW-F-106 mortgagesByProperty
17. MK-ST-F-082 movementsOf
18. MK-ST-F-039 on
19. MK-ST-F-030 record
20. MK-CF-F-023 requiredPayment
21. MK-ST-F-081 timeWeightedReturn
22. MK-XS-F-005 trendPoints
23. MK-XS-F-175 uid
24. MK-NW-F-077 ALL
25. MK-NW-F-059 currentYield
26. MK-XS-F-180 declareFigures
27. MK-ST-F-049 formatMoney
28. MK-ST-F-053 money
29. MK-NW-O-001 theBonds
30. MK-NW-F-027 accountClassBreakdown
31. MK-NW-F-120 classEvidenceOf
32. MK-CF-F-026 actualDebtPayment
33. MK-CF-F-204 line
34. MK-CF-F-025 minimumDebtService
35. MK-NW-F-066 sumWhere
36. MK-NW-F-015 totalAssets
37. MK-NW-F-023 wrapperWord
38. MK-CF-F-155 cash
39. MK-ST-F-056 has
40. MK-CF-F-022 paymentShape
41. MK-ST-F-027 accountId
42. MK-ST-F-083 accountValuesOn
43. MK-ST-F-080 isDay
44. MK-XS-F-009 readHistory
45. MK-CF-F-111 applyTransaction
46. MK-NW-F-040 assetsFromOnboarding
47. MK-PF-F-013 benchmarkTicker
48. MK-PF-F-034 closeOnOrBefore
49. MK-CF-F-186 convertTakeHomeMode
50. MK-ST-F-079 dailyWindowStart
51. MK-CF-F-038 debtsFromOnboarding
52. MK-XS-F-083 fetchPriceSeries
53. MK-ST-F-084 fillBetweenObservations
54. MK-PL-F-013 goalsFromOnboarding
55. MK-CF-F-116 inverseOf
56. MK-CF-F-112 makeTransaction
57. MK-XS-F-122 n
58. MK-ST-F-043 newEntityId
59. MK-XS-F-006 pruneDaily
60. MK-ST-F-073 rebuildDays
61. MK-NW-F-054 reclassifyAccounts
62. MK-XS-F-174 recomputeBalances
63. MK-CF-F-115 restoreUndo
64. MK-CF-F-109 reviewTransactions
65. MK-ST-F-044 setMoneyFormat
66. MK-CF-F-114 undoSnapshot
67. MK-CF-F-191 ym
68. MK-NW-F-112 yearlyInterest
69. MK-ST-F-048 currencySymbol
70. MK-NW-F-057 annualCoupon
71. MK-NW-F-056 bondInfo
72. MK-NW-F-064 bondRateSensitivity
73. MK-NW-F-061 bondSummary
74. MK-NW-F-055 isBond
75. MK-NW-F-072 rowOf
76. MK-NW-F-109 holdingClassOf
77. MK-NW-F-067 plural
78. MK-NW-F-008 incomeBearingClassOf
79. MK-NW-F-009 maturityClass
80. MK-CF-F-024 totalDebtMonthly
81. MK-CF-F-203 MONTH
82. MK-CF-F-021 defaultPaymentType
83. MK-XS-F-008 normalizeSnapshot
84. MK-CF-F-138 addLot
85. MK-CF-F-136 bumpCash
86. MK-CF-F-137 findPos
87. MK-CF-F-139 removeShares
88. MK-PF-F-001 totalShares
89. MK-ST-F-052 toNum
90. MK-CF-F-085 filingStatusOf
91. MK-CF-F-097 grossFromNet
92. MK-CF-F-185 needsTakeHomeConversion
93. MK-CF-F-089 over65CountOf
94. MK-CF-F-037 inferDebtType
95. MK-ST-F-069 amountOf
96. MK-CF-F-133 cashOf
97. MK-ST-F-066 isDayKey
98. MK-ST-F-070 isOpening
99. MK-ST-F-071 rebuildableFrom
100. MK-ST-F-068 stepDay
101. MK-ST-F-072 undo
102. MK-NW-F-053 correctClassOf
103. MK-NW-F-123 holdingNameEvidence
104. MK-NW-F-121 holdingTagClass
105. MK-NW-F-122 holdingTagFor
106. MK-PF-F-002 costBasis
107. MK-PF-F-009 latestClose
108. MK-PF-F-004 marketValue
109. MK-XS-F-024 resolveLens
110. MK-ST-F-055 round2
111. MK-CF-F-162 daysApart
112. MK-CF-F-108 isMoneyOut
113. MK-PL-F-074 median
114. MK-CF-F-131 normPayee
115. MK-CF-F-113 affectedAccountIds
116. MK-ST-F-047 activeCurrency
117. MK-NW-F-060 approxYTM
118. MK-NW-F-069 priceAtYield
119. MK-NW-F-131 pricedLikeBond
120. MK-NW-F-125 isPastMaturity
121. MK-NW-F-126 yearlyInterestNow
122. MK-NW-F-070 accruedInterestCaveat
123. MK-NW-F-058 yearsToMaturity
124. MK-ST-F-010 nameEvidence
125. MK-NW-F-068 prettyDay
126. MK-CF-F-201 INCOME
127. MK-CF-O-010 theMonth
128. MK-XS-F-121 isYm
129. MK-CF-F-134 usesSleeve
130. MK-CF-F-101 taxOwedFor
131. MK-ST-F-067 utcOfDay
132. MK-ST-F-035 covers
133. MK-PF-F-031 contractMultiplier
134. MK-CF-F-072 currentRetirementIncomeMonthly
135. MK-NW-F-119 estimatedAccrued
136. MK-NW-F-124 maturityParts
137. MK-XS-F-147 call
138. MK-CF-F-207 SOURCE
139. MK-CF-O-004 incomeSummary
140. MK-CF-O-002 expenses
141. MK-CF-O-003 thisMonth
142. MK-CF-F-100 taxableIncomeFor
143. MK-ST-F-034 firstDate
144. MK-CF-F-075 retirementIncomeMonthly
145. MK-XS-F-064 currentIdToken
146. MK-XS-F-112 relayUrl
147. MK-CF-O-016 incomeSources
148. MK-CF-O-001 basePay
149. MK-CF-F-069 benefitActiveMonths
150. MK-CF-F-173 earnerWages
151. MK-CF-F-179 entryFromWage
152. MK-CF-F-071 extraIncome
153. MK-CF-F-092 incomeMonthlyGrid
154. MK-CF-F-192 inflowLabel
155. MK-CF-F-103 marginalBracketFor
156. MK-CF-F-181 rateInForce
157. MK-CF-F-068 rentalNetAnnual
158. MK-CF-F-082 salaryAnnual
159. MK-CF-F-060 salaryGrossByMonth
160. MK-CF-F-084 taxableAnnual
161. MK-CF-F-151 actualSpending
162. MK-CF-F-150 debtPaymentsCountedAsExpenses
163. MK-CF-F-153 radar
164. MK-CF-F-149 recurringDebtPayments
165. MK-CF-F-005 actualMonthFlow
166. MK-CF-F-156 plannedMonthFlow
167. MK-CF-F-099 deductionFor
168. MK-CF-F-066 rsuAnnual
169. MK-CF-F-171 earnerPay
170. MK-HM-F-006 money0
171. MK-CF-F-198 payrollTaxWithheld
172. MK-CF-F-172 hasWage
173. MK-CF-F-165 salaryMonths
174. MK-CF-F-070 benefitAnnual
175. MK-CF-F-065 equityVestWeights
176. MK-CF-F-206 householdK401ByMonth
177. MK-CF-F-087 monthlyTaxRates
178. MK-CF-F-073 otherIncomeMonth
179. MK-CF-F-077 scholarshipByCalendarMonth
180. MK-CF-F-088 taxableByCalendarMonth
181. MK-CF-F-177 wageGrossByMonth
182. MK-PL-F-012 waterfall
183. MK-CF-F-193 inflowSourceWord
184. MK-CF-F-180 enteredLandsAnnual
185. MK-CF-F-086 stateRateOf
186. MK-CF-F-067 rentalList
187. MK-CF-F-176 sumMonthsOverEarners
188. MK-CF-F-074 tipsAnnual
189. MK-CF-F-148 inMonth
190. MK-CF-F-152 isRadarItem
191. MK-CF-F-157 debtPaymentsByDebt
192. MK-XS-F-027 takeHomeMonthly
193. MK-CF-F-187 seniorDeductionFor
194. MK-CF-F-062 equityRowValue
195. MK-CF-F-063 rowVestYear
196. MK-CF-F-143 annualisedGross
197. MK-CF-F-145 deductionsFromPay
198. MK-CF-F-128 grossByMonth
199. MK-CF-F-146 payFiguresAgree
200. MK-CF-F-144 takeHomeAsEntered
201. MK-HM-F-005 pctTxt
202. MK-CF-F-090 effectiveRate
203. MK-CF-F-130 enteredMonthlyRaw
204. MK-CF-F-166 hasMonthlySalaryTable
205. MK-ST-F-036 reconcile
206. MK-CF-F-167 salaryCalendarYear
207. MK-ST-F-085 rentFigure
208. MK-CF-F-081 salaryActiveMonths
209. MK-CF-F-011 savingsByMonth
210. MK-CF-F-142 monthsOf
211. MK-CF-F-141 perMonth
212. MK-CF-F-008 spendByMonth
213. MK-CF-F-140 periodsAYear
214. MK-CF-F-120 pctBaseMonthly
215. MK-CF-F-004 spendBuckets
216. MK-CF-F-003 categoryMonthly</t>
        </is>
      </c>
      <c r="R326" s="3" t="inlineStr">
        <is>
          <t>1. MK-NW-F-099 SNAP → MK-NW-F-100 TREND
2. MK-ST-F-027 accountId → MK-NW-O-001 theBonds → MK-NW-F-077 ALL → MK-NW-F-078 ONE → MK-NW-O-003 theNetWorth → MK-NW-F-100 TREND
3. MK-NW-F-057 annualCoupon → MK-NW-O-001 theBonds → MK-NW-F-077 ALL → MK-NW-F-078 ONE → MK-NW-O-003 theNetWorth → MK-NW-F-100 TREND
4. MK-NW-F-056 bondInfo → MK-NW-O-001 theBonds → MK-NW-F-077 ALL → MK-NW-F-078 ONE → MK-NW-O-003 theNetWorth → MK-NW-F-100 TREND
5. MK-NW-F-064 bondRateSensitivity → MK-NW-O-001 theBonds → MK-NW-F-077 ALL → MK-NW-F-078 ONE → MK-NW-O-003 theNetWorth → MK-NW-F-100 TREND
6. MK-NW-F-061 bondSummary → MK-NW-O-001 theBonds → MK-NW-F-077 ALL → MK-NW-F-078 ONE → MK-NW-O-003 theNetWorth → MK-NW-F-100 TREND
7. MK-NW-F-055 isBond → MK-NW-O-001 theBonds → MK-NW-F-077 ALL → MK-NW-F-078 ONE → MK-NW-O-003 theNetWorth → MK-NW-F-100 TREND
8. MK-CF-F-132 map → MK-NW-O-001 theBonds → MK-NW-F-077 ALL → MK-NW-F-078 ONE → MK-NW-O-003 theNetWorth → MK-NW-F-100 TREND
9. … and 4 more paths</t>
        </is>
      </c>
      <c r="S326" s="3" t="inlineStr">
        <is>
          <t>—</t>
        </is>
      </c>
      <c r="T326" s="3" t="inlineStr">
        <is>
          <t>—</t>
        </is>
      </c>
      <c r="U326" s="3" t="inlineStr">
        <is>
          <t>ACTIVE</t>
        </is>
      </c>
      <c r="V326" s="3" t="inlineStr">
        <is>
          <t>2026-09-30</t>
        </is>
      </c>
      <c r="W326" s="3" t="n"/>
      <c r="X326" s="3" t="n"/>
      <c r="Y326" s="3" t="inlineStr">
        <is>
          <t>NOTHING OPEN</t>
        </is>
      </c>
    </row>
    <row r="327" ht="60" customHeight="1">
      <c r="A327" s="3" t="inlineStr">
        <is>
          <t>MK-NW-F-101</t>
        </is>
      </c>
      <c r="B327" s="3" t="inlineStr">
        <is>
          <t>PLAN</t>
        </is>
      </c>
      <c r="C327" s="3" t="inlineStr">
        <is>
          <t>MoneyKeel/functions/networth-and-performance/net-worth.ts</t>
        </is>
      </c>
      <c r="D327" s="3" t="n">
        <v>760</v>
      </c>
      <c r="E327" s="3" t="inlineStr">
        <is>
          <t>2 · DISPLAYED</t>
        </is>
      </c>
      <c r="F327" s="3" t="inlineStr">
        <is>
          <t>Example only: runs the nest-egg projection on the worked example and calculates nothing of its own.</t>
        </is>
      </c>
      <c r="G327" s="11" t="inlineStr">
        <is>
          <t>NOT READ YET — the body is not a shape this can render faithfully, so nothing is claimed rather than something being guessed. It needs reading by hand.</t>
        </is>
      </c>
      <c r="H327" s="3" t="inlineStr">
        <is>
          <t>NOT READ YET — the body is not a shape this can render faithfully, so nothing is claimed rather than something being guessed. It needs reading by hand.</t>
        </is>
      </c>
      <c r="I327" s="3" t="inlineStr">
        <is>
          <t>NOT READ — nothing is claimed rather than something guessed</t>
        </is>
      </c>
      <c r="J327" s="3" t="inlineStr">
        <is>
          <t>Nothing is handed to it</t>
        </is>
      </c>
      <c r="K327" s="3" t="inlineStr">
        <is>
          <t>NOT DECLARED — the code does not say what it gives back</t>
        </is>
      </c>
      <c r="L327" s="3" t="inlineStr">
        <is>
          <t>NOT FOUND — a screen calls it, but the words printed beside its answer could not be traced automatically. Needs reading.</t>
        </is>
      </c>
      <c r="M327" s="3" t="inlineStr">
        <is>
          <t>None found in this function — anything it assumes comes from the functions it depends on.</t>
        </is>
      </c>
      <c r="N327" s="3" t="inlineStr">
        <is>
          <t>Yes</t>
        </is>
      </c>
      <c r="O327" s="3" t="inlineStr">
        <is>
          <t>1. MK-NW-F-097 LEDGER
2. MK-NW-F-098 LEDGER_BAND
3. MK-NW-F-082 NW
4. MK-NW-F-100 TREND
5. MK-CF-F-155 cash
6. MK-XS-F-180 declareFigures
7. MK-ST-F-049 formatMoney
8. MK-CF-F-204 line
9. MK-PL-F-055 projectNestEgg
10. MK-NW-O-003 theNetWorth</t>
        </is>
      </c>
      <c r="P327" s="3" t="n">
        <v>233</v>
      </c>
      <c r="Q327" s="3" t="inlineStr">
        <is>
          <t>1. MK-NW-F-097 LEDGER
2. MK-NW-F-098 LEDGER_BAND
3. MK-NW-F-082 NW
4. MK-NW-F-100 TREND
5. MK-CF-F-155 cash
6. MK-XS-F-180 declareFigures
7. MK-ST-F-049 formatMoney
8. MK-CF-F-204 line
9. MK-PL-F-055 projectNestEgg
10. MK-NW-O-003 theNetWorth
11. MK-NW-F-096 CLASS_KEY_OF
12. MK-NW-F-095 CLASS_LABEL_OF
13. MK-NW-F-094 ledgerGroups
14. MK-CF-F-200 LINE
15. MK-NW-F-099 SNAP
16. MK-XS-F-122 n
17. MK-ST-F-048 currencySymbol
18. MK-ST-F-039 on
19. MK-CF-F-203 MONTH
20. MK-CF-F-132 map
21. MK-PL-F-050 simulate
22. MK-NW-F-078 ONE
23. MK-NW-F-029 assetAllocation
24. MK-NW-F-011 assetClassOf
25. MK-NW-F-039 buildAssetsState
26. MK-ST-F-028 buildDayFromAccounts
27. MK-CF-F-036 buildDebtState
28. MK-NW-F-065 buildNetWorth
29. MK-NW-F-016 cashTotal
30. MK-NW-F-022 investableAssets
31. MK-NW-F-021 investmentsTotal
32. MK-NW-F-014 isRealAsset
33. MK-ST-F-065 isoLocalDate
34. MK-NW-F-106 mortgagesByProperty
35. MK-ST-F-082 movementsOf
36. MK-ST-F-030 record
37. MK-CF-F-023 requiredPayment
38. MK-ST-F-081 timeWeightedReturn
39. MK-XS-F-005 trendPoints
40. MK-XS-F-175 uid
41. MK-NW-F-027 accountClassBreakdown
42. MK-CF-O-006 theCreditLine
43. MK-ST-F-047 activeCurrency
44. MK-CF-O-010 theMonth
45. MK-CF-O-002 expenses
46. MK-PL-F-074 median
47. MK-PL-F-072 mulberry32
48. MK-PL-F-073 normal
49. MK-PL-F-075 pctOfSorted
50. MK-ST-F-025 rmdStartAgeFromAge
51. MK-NW-F-077 ALL
52. MK-NW-F-059 currentYield
53. MK-ST-F-053 money
54. MK-NW-O-001 theBonds
55. MK-NW-F-120 classEvidenceOf
56. MK-CF-F-026 actualDebtPayment
57. MK-CF-F-025 minimumDebtService
58. MK-NW-F-066 sumWhere
59. MK-NW-F-015 totalAssets
60. MK-NW-F-023 wrapperWord
61. MK-ST-F-056 has
62. MK-CF-F-022 paymentShape
63. MK-ST-F-027 accountId
64. MK-ST-F-083 accountValuesOn
65. MK-ST-F-080 isDay
66. MK-XS-F-009 readHistory
67. MK-CF-F-111 applyTransaction
68. MK-NW-F-040 assetsFromOnboarding
69. MK-PF-F-013 benchmarkTicker
70. MK-PF-F-034 closeOnOrBefore
71. MK-CF-F-186 convertTakeHomeMode
72. MK-ST-F-079 dailyWindowStart
73. MK-CF-F-038 debtsFromOnboarding
74. MK-XS-F-083 fetchPriceSeries
75. MK-ST-F-084 fillBetweenObservations
76. MK-PL-F-013 goalsFromOnboarding
77. MK-CF-F-116 inverseOf
78. MK-CF-F-112 makeTransaction
79. MK-ST-F-043 newEntityId
80. MK-XS-F-006 pruneDaily
81. MK-ST-F-073 rebuildDays
82. MK-NW-F-054 reclassifyAccounts
83. MK-XS-F-174 recomputeBalances
84. MK-CF-F-115 restoreUndo
85. MK-CF-F-109 reviewTransactions
86. MK-ST-F-044 setMoneyFormat
87. MK-CF-F-114 undoSnapshot
88. MK-CF-F-191 ym
89. MK-NW-F-109 holdingClassOf
90. MK-NW-F-067 plural
91. MK-CF-F-031 creditUtilization
92. MK-CF-O-003 thisMonth
93. MK-CF-F-151 actualSpending
94. MK-CF-F-150 debtPaymentsCountedAsExpenses
95. MK-CF-F-153 radar
96. MK-CF-F-149 recurringDebtPayments
97. MK-ST-F-024 rmdStartAge
98. MK-NW-F-112 yearlyInterest
99. MK-NW-F-057 annualCoupon
100. MK-NW-F-056 bondInfo
101. MK-NW-F-064 bondRateSensitivity
102. MK-NW-F-061 bondSummary
103. MK-NW-F-055 isBond
104. MK-NW-F-072 rowOf
105. MK-NW-F-008 incomeBearingClassOf
106. MK-NW-F-009 maturityClass
107. MK-CF-F-024 totalDebtMonthly
108. MK-CF-F-021 defaultPaymentType
109. MK-XS-F-008 normalizeSnapshot
110. MK-CF-F-138 addLot
111. MK-CF-F-136 bumpCash
112. MK-CF-F-137 findPos
113. MK-CF-F-139 removeShares
114. MK-PF-F-001 totalShares
115. MK-ST-F-052 toNum
116. MK-CF-F-085 filingStatusOf
117. MK-CF-F-097 grossFromNet
118. MK-CF-F-185 needsTakeHomeConversion
119. MK-CF-F-089 over65CountOf
120. MK-CF-F-037 inferDebtType
121. MK-ST-F-069 amountOf
122. MK-CF-F-133 cashOf
123. MK-ST-F-066 isDayKey
124. MK-ST-F-070 isOpening
125. MK-ST-F-071 rebuildableFrom
126. MK-ST-F-068 stepDay
127. MK-ST-F-072 undo
128. MK-NW-F-053 correctClassOf
129. MK-NW-F-123 holdingNameEvidence
130. MK-NW-F-121 holdingTagClass
131. MK-NW-F-122 holdingTagFor
132. MK-PF-F-002 costBasis
133. MK-PF-F-009 latestClose
134. MK-PF-F-004 marketValue
135. MK-XS-F-024 resolveLens
136. MK-ST-F-055 round2
137. MK-CF-F-162 daysApart
138. MK-CF-F-108 isMoneyOut
139. MK-CF-F-131 normPayee
140. MK-CF-F-113 affectedAccountIds
141. MK-CF-F-005 actualMonthFlow
142. MK-CF-F-156 plannedMonthFlow
143. MK-CF-F-148 inMonth
144. MK-CF-F-152 isRadarItem
145. MK-NW-F-060 approxYTM
146. MK-NW-F-069 priceAtYield
147. MK-NW-F-131 pricedLikeBond
148. MK-NW-F-125 isPastMaturity
149. MK-NW-F-126 yearlyInterestNow
150. MK-NW-F-070 accruedInterestCaveat
151. MK-NW-F-058 yearsToMaturity
152. MK-ST-F-010 nameEvidence
153. MK-NW-F-068 prettyDay
154. MK-CF-F-201 INCOME
155. MK-XS-F-121 isYm
156. MK-CF-F-134 usesSleeve
157. MK-CF-F-101 taxOwedFor
158. MK-ST-F-067 utcOfDay
159. MK-ST-F-035 covers
160. MK-PF-F-031 contractMultiplier
161. MK-CF-F-072 currentRetirementIncomeMonthly
162. MK-CF-F-157 debtPaymentsByDebt
163. MK-CF-F-192 inflowLabel
164. MK-XS-F-027 takeHomeMonthly
165. MK-NW-F-119 estimatedAccrued
166. MK-NW-F-124 maturityParts
167. MK-XS-F-147 call
168. MK-CF-F-207 SOURCE
169. MK-CF-O-004 incomeSummary
170. MK-CF-F-100 taxableIncomeFor
171. MK-ST-F-034 firstDate
172. MK-CF-F-075 retirementIncomeMonthly
173. MK-CF-F-193 inflowSourceWord
174. MK-CF-F-092 incomeMonthlyGrid
175. MK-CF-F-011 savingsByMonth
176. MK-XS-F-064 currentIdToken
177. MK-XS-F-112 relayUrl
178. MK-CF-O-016 incomeSources
179. MK-CF-O-001 basePay
180. MK-CF-F-069 benefitActiveMonths
181. MK-CF-F-173 earnerWages
182. MK-CF-F-179 entryFromWage
183. MK-CF-F-071 extraIncome
184. MK-CF-F-103 marginalBracketFor
185. MK-CF-F-181 rateInForce
186. MK-CF-F-068 rentalNetAnnual
187. MK-CF-F-082 salaryAnnual
188. MK-CF-F-060 salaryGrossByMonth
189. MK-CF-F-084 taxableAnnual
190. MK-CF-F-099 deductionFor
191. MK-CF-F-065 equityVestWeights
192. MK-CF-F-206 householdK401ByMonth
193. MK-CF-F-087 monthlyTaxRates
194. MK-CF-F-073 otherIncomeMonth
195. MK-CF-F-066 rsuAnnual
196. MK-CF-F-077 scholarshipByCalendarMonth
197. MK-CF-F-088 taxableByCalendarMonth
198. MK-CF-F-177 wageGrossByMonth
199. MK-PL-F-012 waterfall
200. MK-CF-F-008 spendByMonth
201. MK-CF-F-171 earnerPay
202. MK-HM-F-006 money0
203. MK-CF-F-198 payrollTaxWithheld
204. MK-CF-F-172 hasWage
205. MK-CF-F-165 salaryMonths
206. MK-CF-F-070 benefitAnnual
207. MK-CF-F-180 enteredLandsAnnual
208. MK-CF-F-086 stateRateOf
209. MK-CF-F-067 rentalList
210. MK-CF-F-176 sumMonthsOverEarners
211. MK-CF-F-074 tipsAnnual
212. MK-CF-F-187 seniorDeductionFor
213. MK-CF-F-062 equityRowValue
214. MK-CF-F-090 effectiveRate
215. MK-CF-F-063 rowVestYear
216. MK-CF-F-130 enteredMonthlyRaw
217. MK-CF-F-166 hasMonthlySalaryTable
218. MK-ST-F-036 reconcile
219. MK-CF-F-167 salaryCalendarYear
220. MK-CF-F-120 pctBaseMonthly
221. MK-CF-F-004 spendBuckets
222. MK-CF-F-143 annualisedGross
223. MK-CF-F-145 deductionsFromPay
224. MK-CF-F-128 grossByMonth
225. MK-CF-F-146 payFiguresAgree
226. MK-CF-F-144 takeHomeAsEntered
227. MK-HM-F-005 pctTxt
228. MK-ST-F-085 rentFigure
229. MK-CF-F-081 salaryActiveMonths
230. MK-CF-F-003 categoryMonthly
231. MK-CF-F-142 monthsOf
232. MK-CF-F-141 perMonth
233. MK-CF-F-140 periodsAYear</t>
        </is>
      </c>
      <c r="R327" s="3" t="inlineStr">
        <is>
          <t>1. MK-NW-F-096 CLASS_KEY_OF → MK-NW-F-097 LEDGER → MK-NW-F-101 PLAN
2. MK-NW-F-095 CLASS_LABEL_OF → MK-NW-F-097 LEDGER → MK-NW-F-101 PLAN
3. MK-NW-F-120 classEvidenceOf → MK-NW-F-011 assetClassOf → MK-NW-F-027 accountClassBreakdown → MK-NW-F-094 ledgerGroups → MK-NW-F-097 LEDGER → MK-NW-F-101 PLAN
4. MK-XS-F-122 n → MK-CF-F-155 cash → MK-NW-F-027 accountClassBreakdown → MK-NW-F-094 ledgerGroups → MK-NW-F-097 LEDGER → MK-NW-F-101 PLAN
5. MK-ST-F-056 has → MK-NW-F-027 accountClassBreakdown → MK-NW-F-094 ledgerGroups → MK-NW-F-097 LEDGER → MK-NW-F-101 PLAN
6. MK-NW-F-123 holdingNameEvidence → MK-NW-F-109 holdingClassOf → MK-NW-F-027 accountClassBreakdown → MK-NW-F-094 ledgerGroups → MK-NW-F-097 LEDGER → MK-NW-F-101 PLAN
7. MK-NW-F-121 holdingTagClass → MK-NW-F-109 holdingClassOf → MK-NW-F-027 accountClassBreakdown → MK-NW-F-094 ledgerGroups → MK-NW-F-097 LEDGER → MK-NW-F-101 PLAN
8. MK-NW-F-054 reclassifyAccounts → MK-NW-F-109 holdingClassOf → MK-NW-F-027 accountClassBreakdown → MK-NW-F-094 ledgerGroups → MK-NW-F-097 LEDGER → MK-NW-F-101 PLAN
9. … and 5 more paths</t>
        </is>
      </c>
      <c r="S327" s="3" t="inlineStr">
        <is>
          <t>—</t>
        </is>
      </c>
      <c r="T327" s="3" t="inlineStr">
        <is>
          <t>—</t>
        </is>
      </c>
      <c r="U327" s="3" t="inlineStr">
        <is>
          <t>ACTIVE</t>
        </is>
      </c>
      <c r="V327" s="3" t="inlineStr">
        <is>
          <t>2026-09-30</t>
        </is>
      </c>
      <c r="W327" s="3" t="n"/>
      <c r="X327" s="3" t="n"/>
      <c r="Y327" s="3" t="inlineStr">
        <is>
          <t>NOTHING OPEN</t>
        </is>
      </c>
    </row>
    <row r="328" ht="60" customHeight="1">
      <c r="A328" s="3" t="inlineStr">
        <is>
          <t>MK-NW-F-103</t>
        </is>
      </c>
      <c r="B328" s="3" t="inlineStr">
        <is>
          <t>investmentRecordDates</t>
        </is>
      </c>
      <c r="C328" s="3" t="inlineStr">
        <is>
          <t>MoneyKeel/functions/networth-and-performance/performance.ts</t>
        </is>
      </c>
      <c r="D328" s="3" t="n">
        <v>158</v>
      </c>
      <c r="E328" s="3" t="inlineStr">
        <is>
          <t>2 · DISPLAYED</t>
        </is>
      </c>
      <c r="F328" s="3" t="inlineStr">
        <is>
          <t>THE DAYS THE RECORD HOLDS AN INVESTMENT VALUE FOR, oldest first.</t>
        </is>
      </c>
      <c r="G328" s="11" t="inlineStr">
        <is>
          <t>[]   when investment account ids.size is missing</t>
        </is>
      </c>
      <c r="H328" s="3" t="inlineStr">
        <is>
          <t>When investment account ids.size is missing, it answers [].</t>
        </is>
      </c>
      <c r="I328" s="3" t="inlineStr">
        <is>
          <t>READ FROM THE CODE — rendered from the expressions the function runs</t>
        </is>
      </c>
      <c r="J328" s="3" t="inlineStr">
        <is>
          <t>1. snapshotDays: any[]
2. investmentAccountIds: Set&lt;string&gt;</t>
        </is>
      </c>
      <c r="K328" s="3" t="inlineStr">
        <is>
          <t>string[]</t>
        </is>
      </c>
      <c r="L328" s="3" t="inlineStr">
        <is>
          <t>NOT FOUND — a screen calls it, but the words printed beside its answer could not be traced automatically. Needs reading.</t>
        </is>
      </c>
      <c r="M328" s="3" t="inlineStr">
        <is>
          <t>None found in this function — anything it assumes comes from the functions it depends on.</t>
        </is>
      </c>
      <c r="N328" s="3" t="inlineStr">
        <is>
          <t>Yes</t>
        </is>
      </c>
      <c r="O328" s="3" t="inlineStr">
        <is>
          <t>1. MK-CF-F-132 map
2. MK-ST-F-031 valueOn</t>
        </is>
      </c>
      <c r="P328" s="3" t="n">
        <v>6</v>
      </c>
      <c r="Q328" s="3" t="inlineStr">
        <is>
          <t>1. MK-CF-F-132 map
2. MK-ST-F-031 valueOn
3. MK-ST-F-083 accountValuesOn
4. MK-ST-F-056 has
5. MK-ST-F-033 onOrBefore
6. MK-ST-F-027 accountId</t>
        </is>
      </c>
      <c r="R328" s="3" t="inlineStr">
        <is>
          <t>1. MK-CF-F-132 map → MK-NW-F-103 investmentRecordDates
2. MK-ST-F-027 accountId → MK-ST-F-083 accountValuesOn → MK-ST-F-031 valueOn → MK-NW-F-103 investmentRecordDates
3. MK-ST-F-056 has → MK-ST-F-083 accountValuesOn → MK-ST-F-031 valueOn → MK-NW-F-103 investmentRecordDates
4. MK-ST-F-056 has → MK-ST-F-031 valueOn → MK-NW-F-103 investmentRecordDates
5. MK-ST-F-033 onOrBefore → MK-ST-F-031 valueOn → MK-NW-F-103 investmentRecordDates</t>
        </is>
      </c>
      <c r="S328" s="3" t="inlineStr">
        <is>
          <t>—</t>
        </is>
      </c>
      <c r="T328" s="3" t="inlineStr">
        <is>
          <t>—</t>
        </is>
      </c>
      <c r="U328" s="3" t="inlineStr">
        <is>
          <t>ACTIVE</t>
        </is>
      </c>
      <c r="V328" s="3" t="inlineStr">
        <is>
          <t>2026-10-03</t>
        </is>
      </c>
      <c r="W328" s="3" t="n"/>
      <c r="X328" s="3" t="n"/>
      <c r="Y328" s="3" t="inlineStr">
        <is>
          <t>NOTHING OPEN</t>
        </is>
      </c>
    </row>
    <row r="329" ht="60" customHeight="1">
      <c r="A329" s="3" t="inlineStr">
        <is>
          <t>MK-NW-F-104</t>
        </is>
      </c>
      <c r="B329" s="3" t="inlineStr">
        <is>
          <t>closedWith</t>
        </is>
      </c>
      <c r="C329" s="3" t="inlineStr">
        <is>
          <t>MoneyKeel/functions/networth-and-performance/performance.ts</t>
        </is>
      </c>
      <c r="D329" s="3" t="n">
        <v>470</v>
      </c>
      <c r="E329" s="3" t="inlineStr">
        <is>
          <t>3 · DEPENDENT</t>
        </is>
      </c>
      <c r="F329" s="3" t="inlineStr">
        <is>
          <t>The daily record with today added to it, worth what the caller says the measured accounts are worth now.</t>
        </is>
      </c>
      <c r="G329" s="11" t="inlineStr">
        <is>
          <t>last = [...days] where date &lt; today.sort((x, y) =&gt; string(date).locale compare(string(date))).pop()
days   when last is missing
members = [...new set([...(last.holdings ?? []), ...(last.accounts ?? [])].map((r: any) =&gt; string(account id)).filter((id) =&gt; ids.size = 0 or ids.has(id)))]
days   when count of members is missing</t>
        </is>
      </c>
      <c r="H329" s="3" t="inlineStr">
        <is>
          <t>Last is [...days] where date &lt; today.sort((x, y) =&gt; string(date).locale compare(string(date))).pop(). When last is missing, it answers days. Members is [...new set([...(last.holdings ?? []), ...(last.accounts ?? [])].map((r: any) =&gt; string(account id)).filter((id) =&gt; ids.size = 0 or ids.has(id)))]. When how many members is missing there are, it answers days.</t>
        </is>
      </c>
      <c r="I329" s="3" t="inlineStr">
        <is>
          <t>PARTLY READ — some of the code is still showing through; needs a hand pass</t>
        </is>
      </c>
      <c r="J329" s="3" t="inlineStr">
        <is>
          <t>1. days: any[]
2. ids: Set&lt;string&gt;
3. today: string
4. ending: number</t>
        </is>
      </c>
      <c r="K329" s="3" t="inlineStr">
        <is>
          <t>any[]</t>
        </is>
      </c>
      <c r="L329" s="3" t="inlineStr">
        <is>
          <t>—</t>
        </is>
      </c>
      <c r="M329" s="3" t="inlineStr">
        <is>
          <t>None found in this function — anything it assumes comes from the functions it depends on.</t>
        </is>
      </c>
      <c r="N329" s="3" t="inlineStr">
        <is>
          <t>Yes</t>
        </is>
      </c>
      <c r="O329" s="3" t="inlineStr">
        <is>
          <t>1. MK-ST-F-027 accountId
2. MK-ST-F-056 has
3. MK-CF-F-132 map</t>
        </is>
      </c>
      <c r="P329" s="3" t="n">
        <v>3</v>
      </c>
      <c r="Q329" s="3" t="inlineStr">
        <is>
          <t>1. MK-ST-F-027 accountId
2. MK-ST-F-056 has
3. MK-CF-F-132 map</t>
        </is>
      </c>
      <c r="R329" s="3" t="inlineStr">
        <is>
          <t>1. MK-ST-F-027 accountId → MK-NW-F-104 closedWith
2. MK-ST-F-056 has → MK-NW-F-104 closedWith
3. MK-CF-F-132 map → MK-NW-F-104 closedWith</t>
        </is>
      </c>
      <c r="S329" s="3" t="inlineStr">
        <is>
          <t>—</t>
        </is>
      </c>
      <c r="T329" s="3" t="inlineStr">
        <is>
          <t>—</t>
        </is>
      </c>
      <c r="U329" s="3" t="inlineStr">
        <is>
          <t>ACTIVE</t>
        </is>
      </c>
      <c r="V329" s="3" t="inlineStr">
        <is>
          <t>2026-10-04</t>
        </is>
      </c>
      <c r="W329" s="3" t="n"/>
      <c r="X329" s="3" t="n"/>
      <c r="Y329" s="3" t="inlineStr">
        <is>
          <t>NOTHING OPEN</t>
        </is>
      </c>
    </row>
    <row r="330" ht="60" customHeight="1">
      <c r="A330" s="3" t="inlineStr">
        <is>
          <t>MK-NW-F-105</t>
        </is>
      </c>
      <c r="B330" s="3" t="inlineStr">
        <is>
          <t>whyNoReturn</t>
        </is>
      </c>
      <c r="C330" s="3" t="inlineStr">
        <is>
          <t>MoneyKeel/functions/networth-and-performance/performance.ts</t>
        </is>
      </c>
      <c r="D330" s="3" t="n">
        <v>432</v>
      </c>
      <c r="E330" s="3" t="inlineStr">
        <is>
          <t>3 · DEPENDENT</t>
        </is>
      </c>
      <c r="F330" s="3" t="inlineStr">
        <is>
          <t>WHY A RETURN CANNOT BE MEASURED, in words a person reads.</t>
        </is>
      </c>
      <c r="G330" s="11" t="inlineStr">
        <is>
          <t>''   when v is missing (or rate ≠ nothing when missing or zero)
on = date shown(day)   if day
''   otherwise</t>
        </is>
      </c>
      <c r="H330" s="3" t="inlineStr">
        <is>
          <t>When v is missing (or rate is not no answer — when missing or zero), it answers ''. On is date shown(day) — when day; '' — otherwise.</t>
        </is>
      </c>
      <c r="I330" s="3" t="inlineStr">
        <is>
          <t>READ FROM THE CODE — rendered from the expressions the function runs</t>
        </is>
      </c>
      <c r="J330" s="3" t="inlineStr">
        <is>
          <t>v: TimeWeightedVerdict | null</t>
        </is>
      </c>
      <c r="K330" s="3" t="inlineStr">
        <is>
          <t>string</t>
        </is>
      </c>
      <c r="L330" s="3" t="inlineStr">
        <is>
          <t>—</t>
        </is>
      </c>
      <c r="M330" s="3" t="inlineStr">
        <is>
          <t>None found in this function — anything it assumes comes from the functions it depends on.</t>
        </is>
      </c>
      <c r="N330" s="3" t="inlineStr">
        <is>
          <t>Yes</t>
        </is>
      </c>
      <c r="O330" s="3" t="inlineStr">
        <is>
          <t>MK-ST-F-078 dateShown</t>
        </is>
      </c>
      <c r="P330" s="3" t="n">
        <v>2</v>
      </c>
      <c r="Q330" s="3" t="inlineStr">
        <is>
          <t>1. MK-ST-F-078 dateShown
2. MK-CF-F-132 map</t>
        </is>
      </c>
      <c r="R330" s="3" t="inlineStr">
        <is>
          <t>MK-CF-F-132 map → MK-ST-F-078 dateShown → MK-NW-F-105 whyNoReturn</t>
        </is>
      </c>
      <c r="S330" s="3" t="inlineStr">
        <is>
          <t>—</t>
        </is>
      </c>
      <c r="T330" s="3" t="inlineStr">
        <is>
          <t>—</t>
        </is>
      </c>
      <c r="U330" s="3" t="inlineStr">
        <is>
          <t>ACTIVE</t>
        </is>
      </c>
      <c r="V330" s="3" t="inlineStr">
        <is>
          <t>2026-10-04</t>
        </is>
      </c>
      <c r="W330" s="3" t="n"/>
      <c r="X330" s="3" t="n"/>
      <c r="Y330" s="3" t="inlineStr">
        <is>
          <t>NOTHING OPEN</t>
        </is>
      </c>
    </row>
    <row r="331" ht="60" customHeight="1">
      <c r="A331" s="3" t="inlineStr">
        <is>
          <t>MK-NW-F-106</t>
        </is>
      </c>
      <c r="B331" s="3" t="inlineStr">
        <is>
          <t>mortgagesByProperty</t>
        </is>
      </c>
      <c r="C331" s="3" t="inlineStr">
        <is>
          <t>MoneyKeel/functions/networth-and-performance/net-worth.ts</t>
        </is>
      </c>
      <c r="D331" s="3" t="n">
        <v>273</v>
      </c>
      <c r="E331" s="3" t="inlineStr">
        <is>
          <t>3 · DEPENDENT</t>
        </is>
      </c>
      <c r="F331" s="3" t="inlineStr">
        <is>
          <t>Which mortgage is on which property, and which mortgages are on none.</t>
        </is>
      </c>
      <c r="G331" s="11" t="inlineStr">
        <is>
          <t>properties = accounts (or none when missing) where asset class of(each) = 'real_estate'
mortgages = debts (or none when missing) where string(debt type ?? '').to upper case() = 'MORTGAGE'
on = new map&lt;string, any&gt;()
placed = new set&lt;any&gt;()
place = (d: any, property id: string) =&gt; { on.set(property id, d); placed.add(d); }
id = string(property id)   if property id ≠ nothing
''   otherwise
name = string(label ?? '').trim().to lower case()
free = properties where !on.has(string(asset id))
loose = mortgages as any[] where !placed.has(each) and property id = nothing
unmatched = mortgages as any[] where !placed.has(each)for each of : id = string(debt id)
label = string(label ?? 'Mortgage')
d = on.get(string(asset id))
… the first steps only — the rest of the body needs reading by hand.</t>
        </is>
      </c>
      <c r="H331" s="3" t="inlineStr">
        <is>
          <t>Properties is accounts (or none — when missing) where asset class of(each) = 'real_estate'. Mortgages is debts (or none — when missing) where string(debt type ?? '').to upper case() = 'MORTGAGE'. On is new map&lt;string, any&gt;(). Placed is new set&lt;any&gt;(). Place is (d: any, property id: string) =&gt; { on.set(property id, d); placed.add(d); }. Id is string(property id) — when property id is not no answer; '' — otherwise. Name is string(label ?? '').trim().to lower case(). Free is properties where !on.has(string(asset id)). Loose is mortgages as any[] where !placed.has(each) and property id is missing. Unmatched is mortgages as any[] where !placed.has(each)for each of : id = string(debt id); label = string(label ?? 'Mortgage'). D is on.get(string(asset id)). Only the first steps are shown; the rest of the body needs reading by hand.</t>
        </is>
      </c>
      <c r="I331" s="3" t="inlineStr">
        <is>
          <t>PARTLY READ — some of the code is still showing through; needs a hand pass</t>
        </is>
      </c>
      <c r="J331" s="3" t="inlineStr">
        <is>
          <t>1. accounts: AssetAccount[]
2. debts: Debt[]</t>
        </is>
      </c>
      <c r="K331" s="3" t="inlineStr">
        <is>
          <t>MortgageCheck</t>
        </is>
      </c>
      <c r="L331" s="3" t="inlineStr">
        <is>
          <t>—</t>
        </is>
      </c>
      <c r="M331" s="3" t="inlineStr">
        <is>
          <t>None found in this function — anything it assumes comes from the functions it depends on.</t>
        </is>
      </c>
      <c r="N331" s="3" t="inlineStr">
        <is>
          <t>Yes</t>
        </is>
      </c>
      <c r="O331" s="3" t="inlineStr">
        <is>
          <t>1. MK-NW-F-011 assetClassOf
2. MK-ST-F-056 has
3. MK-CF-F-132 map
4. MK-CF-F-023 requiredPayment</t>
        </is>
      </c>
      <c r="P331" s="3" t="n">
        <v>17</v>
      </c>
      <c r="Q331" s="3" t="inlineStr">
        <is>
          <t>1. MK-NW-F-011 assetClassOf
2. MK-ST-F-056 has
3. MK-CF-F-132 map
4. MK-CF-F-023 requiredPayment
5. MK-NW-F-120 classEvidenceOf
6. MK-CF-F-022 paymentShape
7. MK-CF-F-155 cash
8. MK-NW-F-008 incomeBearingClassOf
9. MK-NW-F-009 maturityClass
10. MK-CF-F-021 defaultPaymentType
11. MK-XS-F-122 n
12. MK-ST-F-010 nameEvidence
13. MK-NW-F-068 prettyDay
14. MK-XS-F-147 call
15. MK-ST-F-027 accountId
16. MK-XS-F-064 currentIdToken
17. MK-XS-F-112 relayUrl</t>
        </is>
      </c>
      <c r="R331" s="3" t="inlineStr">
        <is>
          <t>1. MK-XS-F-122 n → MK-CF-F-155 cash → MK-NW-F-120 classEvidenceOf → MK-NW-F-011 assetClassOf → MK-NW-F-106 mortgagesByProperty
2. MK-XS-F-122 n → MK-CF-F-155 cash → MK-NW-F-008 incomeBearingClassOf → MK-NW-F-120 classEvidenceOf → MK-NW-F-011 assetClassOf → MK-NW-F-106 mortgagesByProperty
3. MK-XS-F-147 call → MK-ST-F-010 nameEvidence → MK-NW-F-008 incomeBearingClassOf → MK-NW-F-120 classEvidenceOf → MK-NW-F-011 assetClassOf → MK-NW-F-106 mortgagesByProperty
4. MK-ST-F-056 has → MK-ST-F-010 nameEvidence → MK-NW-F-008 incomeBearingClassOf → MK-NW-F-120 classEvidenceOf → MK-NW-F-011 assetClassOf → MK-NW-F-106 mortgagesByProperty
5. MK-CF-F-132 map → MK-ST-F-010 nameEvidence → MK-NW-F-008 incomeBearingClassOf → MK-NW-F-120 classEvidenceOf → MK-NW-F-011 assetClassOf → MK-NW-F-106 mortgagesByProperty
6. assetClassOf (already above — a loop) → MK-NW-F-009 maturityClass → MK-NW-F-120 classEvidenceOf → MK-NW-F-011 assetClassOf → MK-NW-F-106 mortgagesByProperty
7. MK-CF-F-132 map → MK-NW-F-068 prettyDay → MK-NW-F-009 maturityClass → MK-NW-F-120 classEvidenceOf → MK-NW-F-011 assetClassOf → MK-NW-F-106 mortgagesByProperty
8. MK-ST-F-056 has → MK-NW-F-106 mortgagesByProperty
9. … and 2 more paths</t>
        </is>
      </c>
      <c r="S331" s="3" t="inlineStr">
        <is>
          <t>—</t>
        </is>
      </c>
      <c r="T331" s="3" t="inlineStr">
        <is>
          <t>—</t>
        </is>
      </c>
      <c r="U331" s="3" t="inlineStr">
        <is>
          <t>ACTIVE</t>
        </is>
      </c>
      <c r="V331" s="3" t="inlineStr">
        <is>
          <t>2026-10-04</t>
        </is>
      </c>
      <c r="W331" s="3" t="n"/>
      <c r="X331" s="3" t="n"/>
      <c r="Y331" s="3" t="inlineStr">
        <is>
          <t>NOTHING OPEN</t>
        </is>
      </c>
    </row>
    <row r="332" ht="60" customHeight="1">
      <c r="A332" s="3" t="inlineStr">
        <is>
          <t>MK-NW-F-107</t>
        </is>
      </c>
      <c r="B332" s="3" t="inlineStr">
        <is>
          <t>propertyUses</t>
        </is>
      </c>
      <c r="C332" s="3" t="inlineStr">
        <is>
          <t>MoneyKeel/functions/networth-and-performance/net-worth.ts</t>
        </is>
      </c>
      <c r="D332" s="3" t="n">
        <v>349</v>
      </c>
      <c r="E332" s="3" t="inlineStr">
        <is>
          <t>3 · DEPENDENT</t>
        </is>
      </c>
      <c r="F332" s="3" t="inlineStr">
        <is>
          <t>What each property is used for: the home lived in, a rental, or a second or vacation home.</t>
        </is>
      </c>
      <c r="G332" s="11" t="inlineStr">
        <is>
          <t>property use map(accounts, rentals ?? nothing)</t>
        </is>
      </c>
      <c r="H332" s="3" t="inlineStr">
        <is>
          <t>property use map(accounts, rentals ?? no answer).</t>
        </is>
      </c>
      <c r="I332" s="3" t="inlineStr">
        <is>
          <t>PARTLY READ — some of the code is still showing through; needs a hand pass</t>
        </is>
      </c>
      <c r="J332" s="3" t="inlineStr">
        <is>
          <t>1. accounts: AssetAccount[]
2. rentals: { income?: any; expenses?: any; property_id?: any }[] | null | undefined</t>
        </is>
      </c>
      <c r="K332" s="3" t="inlineStr">
        <is>
          <t>Map&lt;string, PropertyUse&gt;</t>
        </is>
      </c>
      <c r="L332" s="3" t="inlineStr">
        <is>
          <t>—</t>
        </is>
      </c>
      <c r="M332" s="3" t="inlineStr">
        <is>
          <t>None found in this function — anything it assumes comes from the functions it depends on.</t>
        </is>
      </c>
      <c r="N332" s="3" t="inlineStr">
        <is>
          <t>Yes</t>
        </is>
      </c>
      <c r="O332" s="3" t="inlineStr">
        <is>
          <t>MK-NW-F-117 propertyUseMap</t>
        </is>
      </c>
      <c r="P332" s="3" t="n">
        <v>31</v>
      </c>
      <c r="Q332" s="3" t="inlineStr">
        <is>
          <t>1. MK-NW-F-117 propertyUseMap
2. MK-NW-F-011 assetClassOf
3. MK-ST-F-056 has
4. MK-NW-F-116 rentedIdsOf
5. MK-NW-F-120 classEvidenceOf
6. MK-NW-F-115 liveRent
7. MK-CF-F-132 map
8. MK-CF-F-155 cash
9. MK-NW-F-008 incomeBearingClassOf
10. MK-NW-F-009 maturityClass
11. MK-CF-O-002 expenses
12. MK-NW-F-114 rentAmount
13. MK-XS-F-122 n
14. MK-ST-F-010 nameEvidence
15. MK-NW-F-068 prettyDay
16. MK-CF-F-151 actualSpending
17. MK-CF-F-150 debtPaymentsCountedAsExpenses
18. MK-CF-F-153 radar
19. MK-CF-F-149 recurringDebtPayments
20. MK-ST-F-085 rentFigure
21. MK-XS-F-147 call
22. MK-CF-F-148 inMonth
23. MK-ST-F-052 toNum
24. MK-CF-F-191 ym
25. MK-CF-F-022 paymentShape
26. MK-CF-F-152 isRadarItem
27. MK-CF-F-023 requiredPayment
28. MK-ST-F-027 accountId
29. MK-XS-F-064 currentIdToken
30. MK-XS-F-112 relayUrl
31. MK-CF-F-021 defaultPaymentType</t>
        </is>
      </c>
      <c r="R332" s="3" t="inlineStr">
        <is>
          <t>1. MK-XS-F-122 n → MK-CF-F-155 cash → MK-NW-F-120 classEvidenceOf → MK-NW-F-011 assetClassOf → MK-NW-F-117 propertyUseMap → MK-NW-F-107 propertyUses
2. MK-CF-F-155 cash → MK-NW-F-008 incomeBearingClassOf → MK-NW-F-120 classEvidenceOf → MK-NW-F-011 assetClassOf → MK-NW-F-117 propertyUseMap → MK-NW-F-107 propertyUses
3. MK-ST-F-010 nameEvidence → MK-NW-F-008 incomeBearingClassOf → MK-NW-F-120 classEvidenceOf → MK-NW-F-011 assetClassOf → MK-NW-F-117 propertyUseMap → MK-NW-F-107 propertyUses
4. assetClassOf (already above — a loop) → MK-NW-F-009 maturityClass → MK-NW-F-120 classEvidenceOf → MK-NW-F-011 assetClassOf → MK-NW-F-117 propertyUseMap → MK-NW-F-107 propertyUses
5. MK-NW-F-068 prettyDay → MK-NW-F-009 maturityClass → MK-NW-F-120 classEvidenceOf → MK-NW-F-011 assetClassOf → MK-NW-F-117 propertyUseMap → MK-NW-F-107 propertyUses
6. MK-ST-F-056 has → MK-NW-F-117 propertyUseMap → MK-NW-F-107 propertyUses
7. MK-CF-F-151 actualSpending → MK-CF-O-002 expenses → MK-NW-F-115 liveRent → MK-NW-F-116 rentedIdsOf → MK-NW-F-117 propertyUseMap → MK-NW-F-107 propertyUses
8. MK-CF-F-150 debtPaymentsCountedAsExpenses → MK-CF-O-002 expenses → MK-NW-F-115 liveRent → MK-NW-F-116 rentedIdsOf → MK-NW-F-117 propertyUseMap → MK-NW-F-107 propertyUses
9. … and 4 more paths</t>
        </is>
      </c>
      <c r="S332" s="3" t="inlineStr">
        <is>
          <t>—</t>
        </is>
      </c>
      <c r="T332" s="3" t="inlineStr">
        <is>
          <t>—</t>
        </is>
      </c>
      <c r="U332" s="3" t="inlineStr">
        <is>
          <t>ACTIVE</t>
        </is>
      </c>
      <c r="V332" s="3" t="inlineStr">
        <is>
          <t>2026-10-07</t>
        </is>
      </c>
      <c r="W332" s="3" t="n"/>
      <c r="X332" s="3" t="n"/>
      <c r="Y332" s="3" t="inlineStr">
        <is>
          <t>NOTHING OPEN</t>
        </is>
      </c>
    </row>
    <row r="333" ht="60" customHeight="1">
      <c r="A333" s="3" t="inlineStr">
        <is>
          <t>MK-NW-F-108</t>
        </is>
      </c>
      <c r="B333" s="3" t="inlineStr">
        <is>
          <t>taxWordsOf</t>
        </is>
      </c>
      <c r="C333" s="3" t="inlineStr">
        <is>
          <t>src/domain/assets/index.ts</t>
        </is>
      </c>
      <c r="D333" s="3" t="n">
        <v>708</v>
      </c>
      <c r="E333" s="3" t="inlineStr">
        <is>
          <t>2 · DISPLAYED</t>
        </is>
      </c>
      <c r="F333" s="3" t="inlineStr">
        <is>
          <t>How an account is taxed, in the words a person reads on the account's page.</t>
        </is>
      </c>
      <c r="G333" s="11" t="inlineStr">
        <is>
          <t>'tax − free for education'   when kind = 'college_529'
'pre − tax — tax − free for medical costs'   when kind = 'hsa'
t = tax treatment of(a)
TAX_TYPE_NOT_STATED   when t = 'not_stated'
the answer:
'pre − tax — taxed when it comes out'   if t = 'tax_deferred'
'tax − free (roth)'   if tax bucket = 'ROTH'
'tax − free'   otherwise   if t = 'tax_free'
'taxable'   otherwise   otherwise</t>
        </is>
      </c>
      <c r="H333" s="3" t="inlineStr">
        <is>
          <t>When kind = 'college_529', it answers 'tax minus free for education'. When kind = 'hsa', it answers 'pre minus tax — tax minus free for medical costs'. T is tax treatment of(a). When t = 'not_stated', it answers TAX_TYPE_NOT_STATED. The answer is 'pre minus tax — taxed when it comes out' — when t = 'tax_deferred'; 'tax minus free (roth)' — when tax bucket = 'ROTH'; 'tax minus free' — otherwise — when t = 'tax_free'; 'taxable' — otherwise — otherwise.</t>
        </is>
      </c>
      <c r="I333" s="3" t="inlineStr">
        <is>
          <t>READ FROM THE CODE — rendered from the expressions the function runs</t>
        </is>
      </c>
      <c r="J333" s="3" t="inlineStr">
        <is>
          <t>a: AssetAccount</t>
        </is>
      </c>
      <c r="K333" s="3" t="inlineStr">
        <is>
          <t>string</t>
        </is>
      </c>
      <c r="L333" s="3" t="inlineStr">
        <is>
          <t>NOT FOUND — a screen calls it, but the words printed beside its answer could not be traced automatically. Needs reading.</t>
        </is>
      </c>
      <c r="M333" s="3" t="inlineStr">
        <is>
          <t>None found in this function — anything it assumes comes from the functions it depends on.</t>
        </is>
      </c>
      <c r="N333" s="3" t="inlineStr">
        <is>
          <t>Yes</t>
        </is>
      </c>
      <c r="O333" s="3" t="inlineStr">
        <is>
          <t>MK-NW-F-012 taxTreatmentOf</t>
        </is>
      </c>
      <c r="P333" s="3" t="n">
        <v>16</v>
      </c>
      <c r="Q333" s="3" t="inlineStr">
        <is>
          <t>1. MK-NW-F-012 taxTreatmentOf
2. MK-NW-F-007 assetKind
3. MK-NW-F-011 assetClassOf
4. MK-CF-F-155 cash
5. MK-NW-F-120 classEvidenceOf
6. MK-XS-F-122 n
7. MK-NW-F-008 incomeBearingClassOf
8. MK-NW-F-009 maturityClass
9. MK-ST-F-010 nameEvidence
10. MK-NW-F-068 prettyDay
11. MK-XS-F-147 call
12. MK-ST-F-056 has
13. MK-CF-F-132 map
14. MK-ST-F-027 accountId
15. MK-XS-F-064 currentIdToken
16. MK-XS-F-112 relayUrl</t>
        </is>
      </c>
      <c r="R333" s="3" t="inlineStr">
        <is>
          <t>1. MK-CF-F-155 cash → MK-NW-F-120 classEvidenceOf → MK-NW-F-011 assetClassOf → MK-NW-F-007 assetKind → MK-NW-F-012 taxTreatmentOf → MK-NW-F-108 taxWordsOf
2. MK-NW-F-008 incomeBearingClassOf → MK-NW-F-120 classEvidenceOf → MK-NW-F-011 assetClassOf → MK-NW-F-007 assetKind → MK-NW-F-012 taxTreatmentOf → MK-NW-F-108 taxWordsOf
3. MK-NW-F-009 maturityClass → MK-NW-F-120 classEvidenceOf → MK-NW-F-011 assetClassOf → MK-NW-F-007 assetKind → MK-NW-F-012 taxTreatmentOf → MK-NW-F-108 taxWordsOf
4. MK-XS-F-122 n → MK-CF-F-155 cash → MK-NW-F-007 assetKind → MK-NW-F-012 taxTreatmentOf → MK-NW-F-108 taxWordsOf</t>
        </is>
      </c>
      <c r="S333" s="3" t="inlineStr">
        <is>
          <t>—</t>
        </is>
      </c>
      <c r="T333" s="3" t="inlineStr">
        <is>
          <t>—</t>
        </is>
      </c>
      <c r="U333" s="3" t="inlineStr">
        <is>
          <t>ACTIVE</t>
        </is>
      </c>
      <c r="V333" s="3" t="inlineStr">
        <is>
          <t>2026-10-10</t>
        </is>
      </c>
      <c r="W333" s="3" t="n"/>
      <c r="X333" s="3" t="n"/>
      <c r="Y333" s="3" t="inlineStr">
        <is>
          <t>NOTHING OPEN</t>
        </is>
      </c>
    </row>
    <row r="334" ht="60" customHeight="1">
      <c r="A334" s="3" t="inlineStr">
        <is>
          <t>MK-NW-F-109</t>
        </is>
      </c>
      <c r="B334" s="3" t="inlineStr">
        <is>
          <t>holdingClassOf</t>
        </is>
      </c>
      <c r="C334" s="3" t="inlineStr">
        <is>
          <t>src/domain/assets/index.ts</t>
        </is>
      </c>
      <c r="D334" s="3" t="n">
        <v>1552</v>
      </c>
      <c r="E334" s="3" t="inlineStr">
        <is>
          <t>2 · DISPLAYED</t>
        </is>
      </c>
      <c r="F334" s="3" t="inlineStr">
        <is>
          <t>What one holding inside an account is, by the one rule the split, the words under it and the account's page all use.</t>
        </is>
      </c>
      <c r="G334" s="11" t="inlineStr">
        <is>
          <t>tag = asset class
by kind = KIND_TO_CLASS[kind]   if kind
undefined   otherwise
stored (or 'mixed' when missing)   when class source = 'user'
'mixed'   when class asked
by name = holding name evidence(p)
by name   when by name and by name ! = 'cash'
the answer:
stored (or 'cash'   if by name = 'cash'
'mixed'   otherwise when missing)</t>
        </is>
      </c>
      <c r="H334" s="3" t="inlineStr">
        <is>
          <t>Tag is asset class. By kind is KIND_TO_CLASS[kind] — when kind; undefined — otherwise. When class source = 'user', it answers stored (or 'mixed' — when missing). When class asked, it answers 'mixed'. By name is holding name evidence(p). When by name and by name ! = 'cash', it answers by name. The answer is stored (or 'cash' — when by name = 'cash'; 'mixed' — otherwise — when missing).</t>
        </is>
      </c>
      <c r="I334" s="3" t="inlineStr">
        <is>
          <t>PARTLY READ — some of the code is still showing through; needs a hand pass</t>
        </is>
      </c>
      <c r="J334" s="3" t="inlineStr">
        <is>
          <t>p: any</t>
        </is>
      </c>
      <c r="K334" s="3" t="inlineStr">
        <is>
          <t>AssetClass</t>
        </is>
      </c>
      <c r="L334" s="3" t="inlineStr">
        <is>
          <t>NOT FOUND — a screen calls it, but the words printed beside its answer could not be traced automatically. Needs reading.</t>
        </is>
      </c>
      <c r="M334" s="3" t="inlineStr">
        <is>
          <t>None found in this function — anything it assumes comes from the functions it depends on.</t>
        </is>
      </c>
      <c r="N334" s="3" t="inlineStr">
        <is>
          <t>Yes</t>
        </is>
      </c>
      <c r="O334" s="3" t="inlineStr">
        <is>
          <t>1. MK-NW-F-123 holdingNameEvidence
2. MK-NW-F-121 holdingTagClass
3. MK-NW-F-054 reclassifyAccounts</t>
        </is>
      </c>
      <c r="P334" s="3" t="n">
        <v>19</v>
      </c>
      <c r="Q334" s="3" t="inlineStr">
        <is>
          <t>1. MK-NW-F-123 holdingNameEvidence
2. MK-NW-F-121 holdingTagClass
3. MK-NW-F-054 reclassifyAccounts
4. MK-CF-F-155 cash
5. MK-NW-F-008 incomeBearingClassOf
6. MK-NW-F-053 correctClassOf
7. MK-NW-F-122 holdingTagFor
8. MK-CF-F-132 map
9. MK-XS-F-122 n
10. MK-ST-F-010 nameEvidence
11. MK-NW-F-120 classEvidenceOf
12. MK-XS-F-147 call
13. MK-ST-F-056 has
14. MK-NW-F-009 maturityClass
15. MK-ST-F-027 accountId
16. MK-XS-F-064 currentIdToken
17. MK-XS-F-112 relayUrl
18. MK-NW-F-011 assetClassOf
19. MK-NW-F-068 prettyDay</t>
        </is>
      </c>
      <c r="R334" s="3" t="inlineStr">
        <is>
          <t>1. MK-XS-F-122 n → MK-CF-F-155 cash → MK-NW-F-123 holdingNameEvidence → MK-NW-F-109 holdingClassOf
2. MK-XS-F-122 n → MK-CF-F-155 cash → MK-NW-F-008 incomeBearingClassOf → MK-NW-F-123 holdingNameEvidence → MK-NW-F-109 holdingClassOf
3. MK-ST-F-027 accountId → MK-XS-F-147 call → MK-ST-F-010 nameEvidence → MK-NW-F-008 incomeBearingClassOf → MK-NW-F-123 holdingNameEvidence → MK-NW-F-109 holdingClassOf
4. MK-XS-F-064 currentIdToken → MK-XS-F-147 call → MK-ST-F-010 nameEvidence → MK-NW-F-008 incomeBearingClassOf → MK-NW-F-123 holdingNameEvidence → MK-NW-F-109 holdingClassOf
5. MK-XS-F-112 relayUrl → MK-XS-F-147 call → MK-ST-F-010 nameEvidence → MK-NW-F-008 incomeBearingClassOf → MK-NW-F-123 holdingNameEvidence → MK-NW-F-109 holdingClassOf
6. MK-ST-F-056 has → MK-ST-F-010 nameEvidence → MK-NW-F-008 incomeBearingClassOf → MK-NW-F-123 holdingNameEvidence → MK-NW-F-109 holdingClassOf
7. MK-CF-F-132 map → MK-ST-F-010 nameEvidence → MK-NW-F-008 incomeBearingClassOf → MK-NW-F-123 holdingNameEvidence → MK-NW-F-109 holdingClassOf
8. MK-NW-F-121 holdingTagClass → MK-NW-F-109 holdingClassOf
9. … and 4 more paths</t>
        </is>
      </c>
      <c r="S334" s="3" t="inlineStr">
        <is>
          <t>—</t>
        </is>
      </c>
      <c r="T334" s="3" t="inlineStr">
        <is>
          <t>—</t>
        </is>
      </c>
      <c r="U334" s="3" t="inlineStr">
        <is>
          <t>ACTIVE</t>
        </is>
      </c>
      <c r="V334" s="3" t="inlineStr">
        <is>
          <t>2026-10-09</t>
        </is>
      </c>
      <c r="W334" s="3" t="n"/>
      <c r="X334" s="3" t="n"/>
      <c r="Y334" s="3" t="inlineStr">
        <is>
          <t>NOTHING OPEN</t>
        </is>
      </c>
    </row>
    <row r="335" ht="60" customHeight="1">
      <c r="A335" s="3" t="inlineStr">
        <is>
          <t>MK-NW-F-110</t>
        </is>
      </c>
      <c r="B335" s="3" t="inlineStr">
        <is>
          <t>primaryHomeIdOf</t>
        </is>
      </c>
      <c r="C335" s="3" t="inlineStr">
        <is>
          <t>src/domain/assets/index.ts</t>
        </is>
      </c>
      <c r="D335" s="3" t="n">
        <v>961</v>
      </c>
      <c r="E335" s="3" t="inlineStr">
        <is>
          <t>2 · DISPLAYED</t>
        </is>
      </c>
      <c r="F335" s="3" t="inlineStr">
        <is>
          <t>Which property is the home lived in: the one marked so; with none marked and no use stated on any, the one entered first; otherwise none.</t>
        </is>
      </c>
      <c r="G335" s="11" t="inlineStr">
        <is>
          <t>nothing
[LOOP — the answer is found inside a loop the extractor cannot render; the steps above are the ones before it. Read by hand.]</t>
        </is>
      </c>
      <c r="H335" s="3" t="inlineStr">
        <is>
          <t>no answer. The answer is found inside a loop that cannot be rendered here; read the code by hand.</t>
        </is>
      </c>
      <c r="I335" s="3" t="inlineStr">
        <is>
          <t>PARTLY READ — the body has a loop the extractor cannot render; the steps shown are the ones before it. Needs a hand pass (G23).</t>
        </is>
      </c>
      <c r="J335" s="3" t="inlineStr">
        <is>
          <t>1. accounts: AssetAccount[]
2. rentals?: RentEntry[] | null</t>
        </is>
      </c>
      <c r="K335" s="3" t="inlineStr">
        <is>
          <t>string | null</t>
        </is>
      </c>
      <c r="L335" s="3" t="inlineStr">
        <is>
          <t>"What counts toward retirement?" — on the Retirement cockpit screen</t>
        </is>
      </c>
      <c r="M335" s="3" t="inlineStr">
        <is>
          <t>None found in this function — anything it assumes comes from the functions it depends on.</t>
        </is>
      </c>
      <c r="N335" s="3" t="inlineStr">
        <is>
          <t>Yes</t>
        </is>
      </c>
      <c r="O335" s="3" t="inlineStr">
        <is>
          <t>1. MK-NW-F-030 earmarkDefault
2. MK-NW-F-117 propertyUseMap</t>
        </is>
      </c>
      <c r="P335" s="3" t="n">
        <v>32</v>
      </c>
      <c r="Q335" s="3" t="inlineStr">
        <is>
          <t>1. MK-NW-F-030 earmarkDefault
2. MK-NW-F-117 propertyUseMap
3. MK-NW-F-011 assetClassOf
4. MK-ST-F-056 has
5. MK-NW-F-116 rentedIdsOf
6. MK-NW-F-120 classEvidenceOf
7. MK-NW-F-115 liveRent
8. MK-CF-F-132 map
9. MK-CF-F-155 cash
10. MK-NW-F-008 incomeBearingClassOf
11. MK-NW-F-009 maturityClass
12. MK-CF-O-002 expenses
13. MK-NW-F-114 rentAmount
14. MK-XS-F-122 n
15. MK-ST-F-010 nameEvidence
16. MK-NW-F-068 prettyDay
17. MK-CF-F-151 actualSpending
18. MK-CF-F-150 debtPaymentsCountedAsExpenses
19. MK-CF-F-153 radar
20. MK-CF-F-149 recurringDebtPayments
21. MK-ST-F-085 rentFigure
22. MK-XS-F-147 call
23. MK-CF-F-148 inMonth
24. MK-ST-F-052 toNum
25. MK-CF-F-191 ym
26. MK-CF-F-022 paymentShape
27. MK-CF-F-152 isRadarItem
28. MK-CF-F-023 requiredPayment
29. MK-ST-F-027 accountId
30. MK-XS-F-064 currentIdToken
31. MK-XS-F-112 relayUrl
32. MK-CF-F-021 defaultPaymentType</t>
        </is>
      </c>
      <c r="R335" s="3" t="inlineStr">
        <is>
          <t>1. MK-XS-F-122 n → MK-CF-F-155 cash → MK-NW-F-120 classEvidenceOf → MK-NW-F-011 assetClassOf → MK-NW-F-030 earmarkDefault → MK-NW-F-110 primaryHomeIdOf
2. MK-CF-F-155 cash → MK-NW-F-008 incomeBearingClassOf → MK-NW-F-120 classEvidenceOf → MK-NW-F-011 assetClassOf → MK-NW-F-030 earmarkDefault → MK-NW-F-110 primaryHomeIdOf
3. MK-ST-F-010 nameEvidence → MK-NW-F-008 incomeBearingClassOf → MK-NW-F-120 classEvidenceOf → MK-NW-F-011 assetClassOf → MK-NW-F-030 earmarkDefault → MK-NW-F-110 primaryHomeIdOf
4. assetClassOf (already above — a loop) → MK-NW-F-009 maturityClass → MK-NW-F-120 classEvidenceOf → MK-NW-F-011 assetClassOf → MK-NW-F-030 earmarkDefault → MK-NW-F-110 primaryHomeIdOf
5. MK-NW-F-068 prettyDay → MK-NW-F-009 maturityClass → MK-NW-F-120 classEvidenceOf → MK-NW-F-011 assetClassOf → MK-NW-F-030 earmarkDefault → MK-NW-F-110 primaryHomeIdOf
6. MK-XS-F-122 n → MK-CF-F-155 cash → MK-NW-F-120 classEvidenceOf → MK-NW-F-011 assetClassOf → MK-NW-F-117 propertyUseMap → MK-NW-F-110 primaryHomeIdOf
7. MK-CF-F-155 cash → MK-NW-F-008 incomeBearingClassOf → MK-NW-F-120 classEvidenceOf → MK-NW-F-011 assetClassOf → MK-NW-F-117 propertyUseMap → MK-NW-F-110 primaryHomeIdOf
8. MK-ST-F-010 nameEvidence → MK-NW-F-008 incomeBearingClassOf → MK-NW-F-120 classEvidenceOf → MK-NW-F-011 assetClassOf → MK-NW-F-117 propertyUseMap → MK-NW-F-110 primaryHomeIdOf
9. … and 4 more paths</t>
        </is>
      </c>
      <c r="S335" s="3" t="inlineStr">
        <is>
          <t>—</t>
        </is>
      </c>
      <c r="T335" s="3" t="inlineStr">
        <is>
          <t>—</t>
        </is>
      </c>
      <c r="U335" s="3" t="inlineStr">
        <is>
          <t>ACTIVE</t>
        </is>
      </c>
      <c r="V335" s="3" t="inlineStr">
        <is>
          <t>2026-10-07</t>
        </is>
      </c>
      <c r="W335" s="3" t="n"/>
      <c r="X335" s="3" t="n"/>
      <c r="Y335" s="3" t="inlineStr">
        <is>
          <t>NOTHING OPEN</t>
        </is>
      </c>
    </row>
    <row r="336" ht="60" customHeight="1">
      <c r="A336" s="3" t="inlineStr">
        <is>
          <t>MK-NW-F-111</t>
        </is>
      </c>
      <c r="B336" s="3" t="inlineStr">
        <is>
          <t>assetsStateFrom</t>
        </is>
      </c>
      <c r="C336" s="3" t="inlineStr">
        <is>
          <t>src/domain/assets/index.ts</t>
        </is>
      </c>
      <c r="D336" s="3" t="n">
        <v>2815</v>
      </c>
      <c r="E336" s="3" t="inlineStr">
        <is>
          <t>3 · DEPENDENT (feeds an action only)</t>
        </is>
      </c>
      <c r="F336" s="3" t="inlineStr">
        <is>
          <t>The saved accounts as a state to show — or nothing, when nothing is saved OR every saved account was deleted (outside review, 2026-10-07: an empty list is not a $0 total with a blended return).</t>
        </is>
      </c>
      <c r="G336" s="11" t="inlineStr">
        <is>
          <t>build assets state(uid, accounts ?? [])   if count of d and (accounts ?? [])
nothing   otherwise</t>
        </is>
      </c>
      <c r="H336" s="3" t="inlineStr">
        <is>
          <t>build assets state(uid, accounts ?? []) — when how many d and (accounts ?? []) there are; no answer — otherwise.</t>
        </is>
      </c>
      <c r="I336" s="3" t="inlineStr">
        <is>
          <t>PARTLY READ — some of the code is still showing through; needs a hand pass</t>
        </is>
      </c>
      <c r="J336" s="3" t="inlineStr">
        <is>
          <t>1. uid: UserId
2. d: AssetsDoc | null | undefined</t>
        </is>
      </c>
      <c r="K336" s="3" t="inlineStr">
        <is>
          <t>AssetsState | null</t>
        </is>
      </c>
      <c r="L336" s="3" t="inlineStr">
        <is>
          <t>—</t>
        </is>
      </c>
      <c r="M336" s="3" t="inlineStr">
        <is>
          <t>None found in this function — anything it assumes comes from the functions it depends on.</t>
        </is>
      </c>
      <c r="N336" s="3" t="inlineStr">
        <is>
          <t>No</t>
        </is>
      </c>
      <c r="O336" s="3" t="inlineStr">
        <is>
          <t>1. MK-NW-F-039 buildAssetsState
2. MK-XS-F-175 uid</t>
        </is>
      </c>
      <c r="P336" s="3" t="n">
        <v>89</v>
      </c>
      <c r="Q336" s="3" t="inlineStr">
        <is>
          <t>1. MK-NW-F-039 buildAssetsState
2. MK-XS-F-175 uid
3. MK-CF-F-132 map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336" s="3" t="inlineStr">
        <is>
          <t>1. MK-CF-F-132 map → MK-NW-F-039 buildAssetsState → MK-NW-F-111 assetsStateFrom
2. MK-ST-F-027 accountId → MK-XS-F-175 uid → MK-NW-F-039 buildAssetsState → MK-NW-F-111 assetsStateFrom
3. MK-CF-F-137 findPos → MK-CF-F-138 addLot → MK-CF-F-111 applyTransaction → MK-XS-F-175 uid → MK-NW-F-039 buildAssetsState → MK-NW-F-111 assetsStateFrom
4. MK-CF-F-132 map → MK-CF-F-138 addLot → MK-CF-F-111 applyTransaction → MK-XS-F-175 uid → MK-NW-F-039 buildAssetsState → MK-NW-F-111 assetsStateFrom
5. MK-ST-F-043 newEntityId → MK-CF-F-138 addLot → MK-CF-F-111 applyTransaction → MK-XS-F-175 uid → MK-NW-F-039 buildAssetsState → MK-NW-F-111 assetsStateFrom
6. MK-CF-F-134 usesSleeve → MK-CF-F-136 bumpCash → MK-CF-F-111 applyTransaction → MK-XS-F-175 uid → MK-NW-F-039 buildAssetsState → MK-NW-F-111 assetsStateFrom
7. MK-CF-F-137 findPos → MK-CF-F-111 applyTransaction → MK-XS-F-175 uid → MK-NW-F-039 buildAssetsState → MK-NW-F-111 assetsStateFrom
8. MK-CF-F-132 map → MK-CF-F-111 applyTransaction → MK-XS-F-175 uid → MK-NW-F-039 buildAssetsState → MK-NW-F-111 assetsStateFrom
9. … and 5 more paths</t>
        </is>
      </c>
      <c r="S336" s="3" t="inlineStr">
        <is>
          <t>—</t>
        </is>
      </c>
      <c r="T336" s="3" t="inlineStr">
        <is>
          <t>—</t>
        </is>
      </c>
      <c r="U336" s="3" t="inlineStr">
        <is>
          <t>ACTIVE</t>
        </is>
      </c>
      <c r="V336" s="3" t="inlineStr">
        <is>
          <t>2026-10-07</t>
        </is>
      </c>
      <c r="W336" s="3" t="n"/>
      <c r="X336" s="3" t="n"/>
      <c r="Y336" s="3" t="inlineStr">
        <is>
          <t>NOTHING OPEN</t>
        </is>
      </c>
    </row>
    <row r="337" ht="60" customHeight="1">
      <c r="A337" s="3" t="inlineStr">
        <is>
          <t>MK-NW-F-112</t>
        </is>
      </c>
      <c r="B337" s="3" t="inlineStr">
        <is>
          <t>yearlyInterest</t>
        </is>
      </c>
      <c r="C337" s="3" t="inlineStr">
        <is>
          <t>src/domain/bonds/index.ts</t>
        </is>
      </c>
      <c r="D337" s="3" t="n">
        <v>224</v>
      </c>
      <c r="E337" s="3" t="inlineStr">
        <is>
          <t>3 · DEPENDENT</t>
        </is>
      </c>
      <c r="F337" s="3" t="inlineStr">
        <is>
          <t>A year's interest from one bond or CD, by the one rule both income figures use: face × rate; with no face entered, today's value × rate (a CD typed by its balance); with no rate, nothing (owner A46: counted as $0, said so).</t>
        </is>
      </c>
      <c r="G337" s="11" t="inlineStr">
        <is>
          <t>nothing   when coupon rate = nothing
face × coupon rate   if face ≠ nothing
value × coupon rate   otherwise</t>
        </is>
      </c>
      <c r="H337" s="3" t="inlineStr">
        <is>
          <t>When coupon rate is missing, it answers no answer. face times coupon rate — when face is not no answer; value times coupon rate — otherwise.</t>
        </is>
      </c>
      <c r="I337" s="3" t="inlineStr">
        <is>
          <t>READ FROM THE CODE — rendered from the expressions the function runs</t>
        </is>
      </c>
      <c r="J337" s="3" t="inlineStr">
        <is>
          <t>b: BondInfo</t>
        </is>
      </c>
      <c r="K337" s="3" t="inlineStr">
        <is>
          <t>number | null</t>
        </is>
      </c>
      <c r="L337" s="3" t="inlineStr">
        <is>
          <t>—</t>
        </is>
      </c>
      <c r="M337" s="3" t="inlineStr">
        <is>
          <t>None found in this function — anything it assumes comes from the functions it depends on.</t>
        </is>
      </c>
      <c r="N337" s="3" t="inlineStr">
        <is>
          <t>Yes</t>
        </is>
      </c>
      <c r="O337" s="3" t="inlineStr">
        <is>
          <t>—</t>
        </is>
      </c>
      <c r="P337" s="3" t="n">
        <v>0</v>
      </c>
      <c r="Q337" s="3" t="inlineStr">
        <is>
          <t>None — no dependent function stands behind it</t>
        </is>
      </c>
      <c r="R337" s="3" t="inlineStr">
        <is>
          <t>No dependent function — it reads its inputs and answers</t>
        </is>
      </c>
      <c r="S337" s="3" t="inlineStr">
        <is>
          <t>—</t>
        </is>
      </c>
      <c r="T337" s="3" t="inlineStr">
        <is>
          <t>—</t>
        </is>
      </c>
      <c r="U337" s="3" t="inlineStr">
        <is>
          <t>ACTIVE</t>
        </is>
      </c>
      <c r="V337" s="3" t="inlineStr">
        <is>
          <t>2026-10-07</t>
        </is>
      </c>
      <c r="W337" s="3" t="n"/>
      <c r="X337" s="3" t="n"/>
      <c r="Y337" s="3" t="inlineStr">
        <is>
          <t>NOTHING OPEN</t>
        </is>
      </c>
    </row>
    <row r="338" ht="60" customHeight="1">
      <c r="A338" s="3" t="inlineStr">
        <is>
          <t>MK-NW-F-113</t>
        </is>
      </c>
      <c r="B338" s="3" t="inlineStr">
        <is>
          <t>altPartsOf</t>
        </is>
      </c>
      <c r="C338" s="3" t="inlineStr">
        <is>
          <t>src/domain/alternatives/index.ts</t>
        </is>
      </c>
      <c r="D338" s="3" t="n">
        <v>142</v>
      </c>
      <c r="E338" s="3" t="inlineStr">
        <is>
          <t>3 · DEPENDENT</t>
        </is>
      </c>
      <c r="F338" s="3" t="inlineStr">
        <is>
          <t>The alternatives inside one account, each with the kind its yearly rate is read from.</t>
        </is>
      </c>
      <c r="G338" s="11" t="inlineStr">
        <is>
          <t>split = account class breakdown(a)
v = split.alternatives   if split
balance (or 0 when missing or zero)   otherwise
the answer = [{ value: v, kind: kind }]
[]   when split is missing (or split.alternatives is missing when missing or zero)
out = []
sh = (lots ?? []).reduce((t: number, l: any) =&gt; t + (shares or 0), 0)
name = `${ticker ?? ''} ${name ?? label ?? ''}`
rest = Σ over split.alternatives − out of (value)</t>
        </is>
      </c>
      <c r="H338" s="3" t="inlineStr">
        <is>
          <t>Split is account class breakdown(a). V is split.alternatives — when split; balance (or 0 — when missing or zero) — otherwise. The answer is [{ value: v, kind: kind }]. When split is missing (or split.alternatives is missing — when missing or zero), it answers []. Out is []. Sh is (lots ?? []).reduce((t: number, l: any) =&gt; t plus (shares or 0), 0). Name is `${ticker ?? ''} ${name ?? label ?? ''}`. Rest: the value added up across split.alternatives minus out.</t>
        </is>
      </c>
      <c r="I338" s="3" t="inlineStr">
        <is>
          <t>PARTLY READ — some of the code is still showing through; needs a hand pass</t>
        </is>
      </c>
      <c r="J338" s="3" t="inlineStr">
        <is>
          <t>a: AssetAccount</t>
        </is>
      </c>
      <c r="K338" s="3" t="inlineStr">
        <is>
          <t>AltPart[]</t>
        </is>
      </c>
      <c r="L338" s="3" t="inlineStr">
        <is>
          <t>—</t>
        </is>
      </c>
      <c r="M338" s="3" t="inlineStr">
        <is>
          <t>1. If balance is missing it counts as zero, so nothing recorded and a real zero look the same.
2. If shares is missing it counts as zero, so nothing recorded and a real zero look the same.</t>
        </is>
      </c>
      <c r="N338" s="3" t="inlineStr">
        <is>
          <t>Yes</t>
        </is>
      </c>
      <c r="O338" s="3" t="inlineStr">
        <is>
          <t>1. MK-NW-F-027 accountClassBreakdown
2. MK-NW-F-109 holdingClassOf
3. MK-NW-F-001 isAlternative</t>
        </is>
      </c>
      <c r="P338" s="3" t="n">
        <v>23</v>
      </c>
      <c r="Q338" s="3" t="inlineStr">
        <is>
          <t>1. MK-NW-F-027 accountClassBreakdown
2. MK-NW-F-109 holdingClassOf
3. MK-NW-F-001 isAlternative
4. MK-NW-F-011 assetClassOf
5. MK-CF-F-155 cash
6. MK-ST-F-056 has
7. MK-CF-F-132 map
8. MK-NW-F-067 plural
9. MK-NW-F-123 holdingNameEvidence
10. MK-NW-F-121 holdingTagClass
11. MK-NW-F-054 reclassifyAccounts
12. MK-NW-F-120 classEvidenceOf
13. MK-XS-F-122 n
14. MK-NW-F-008 incomeBearingClassOf
15. MK-NW-F-053 correctClassOf
16. MK-NW-F-122 holdingTagFor
17. MK-NW-F-009 maturityClass
18. MK-ST-F-010 nameEvidence
19. MK-NW-F-068 prettyDay
20. MK-XS-F-147 call
21. MK-ST-F-027 accountId
22. MK-XS-F-064 currentIdToken
23. MK-XS-F-112 relayUrl</t>
        </is>
      </c>
      <c r="R338" s="3" t="inlineStr">
        <is>
          <t>1. MK-XS-F-122 n → MK-CF-F-155 cash → MK-NW-F-120 classEvidenceOf → MK-NW-F-011 assetClassOf → MK-NW-F-027 accountClassBreakdown → MK-NW-F-113 altPartsOf
2. MK-CF-F-155 cash → MK-NW-F-008 incomeBearingClassOf → MK-NW-F-120 classEvidenceOf → MK-NW-F-011 assetClassOf → MK-NW-F-027 accountClassBreakdown → MK-NW-F-113 altPartsOf
3. MK-ST-F-010 nameEvidence → MK-NW-F-008 incomeBearingClassOf → MK-NW-F-120 classEvidenceOf → MK-NW-F-011 assetClassOf → MK-NW-F-027 accountClassBreakdown → MK-NW-F-113 altPartsOf
4. assetClassOf (already above — a loop) → MK-NW-F-009 maturityClass → MK-NW-F-120 classEvidenceOf → MK-NW-F-011 assetClassOf → MK-NW-F-027 accountClassBreakdown → MK-NW-F-113 altPartsOf
5. MK-NW-F-068 prettyDay → MK-NW-F-009 maturityClass → MK-NW-F-120 classEvidenceOf → MK-NW-F-011 assetClassOf → MK-NW-F-027 accountClassBreakdown → MK-NW-F-113 altPartsOf
6. MK-XS-F-122 n → MK-CF-F-155 cash → MK-NW-F-027 accountClassBreakdown → MK-NW-F-113 altPartsOf
7. MK-ST-F-056 has → MK-NW-F-027 accountClassBreakdown → MK-NW-F-113 altPartsOf
8. MK-XS-F-122 n → MK-CF-F-155 cash → MK-NW-F-123 holdingNameEvidence → MK-NW-F-109 holdingClassOf → MK-NW-F-027 accountClassBreakdown → MK-NW-F-113 altPartsOf
9. … and 5 more paths</t>
        </is>
      </c>
      <c r="S338" s="3" t="inlineStr">
        <is>
          <t>—</t>
        </is>
      </c>
      <c r="T338" s="3" t="inlineStr">
        <is>
          <t>—</t>
        </is>
      </c>
      <c r="U338" s="3" t="inlineStr">
        <is>
          <t>ACTIVE</t>
        </is>
      </c>
      <c r="V338" s="3" t="inlineStr">
        <is>
          <t>2026-10-07</t>
        </is>
      </c>
      <c r="W338" s="3" t="n"/>
      <c r="X338" s="3" t="n"/>
      <c r="Y338" s="3" t="inlineStr">
        <is>
          <t>NOTHING OPEN</t>
        </is>
      </c>
    </row>
    <row r="339" ht="60" customHeight="1">
      <c r="A339" s="3" t="inlineStr">
        <is>
          <t>MK-NW-F-114</t>
        </is>
      </c>
      <c r="B339" s="3" t="inlineStr">
        <is>
          <t>rentAmount</t>
        </is>
      </c>
      <c r="C339" s="3" t="inlineStr">
        <is>
          <t>src/domain/assets/index.ts</t>
        </is>
      </c>
      <c r="D339" s="3" t="n">
        <v>797</v>
      </c>
      <c r="E339" s="3" t="inlineStr">
        <is>
          <t>1 · ACTION</t>
        </is>
      </c>
      <c r="F339" s="3" t="inlineStr">
        <is>
          <t>DEC-3768c (2026-10-10): a rent figure with words in it is not read — it counts as not entered, never as the digits inside it ("about 2k" was $2 and made the property a rental).</t>
        </is>
      </c>
      <c r="G339" s="11" t="inlineStr">
        <is>
          <t>rent figure(v) (or 0 when missing)</t>
        </is>
      </c>
      <c r="H339" s="3" t="inlineStr">
        <is>
          <t>rent figure(v) (or 0 — when missing)</t>
        </is>
      </c>
      <c r="I339" s="3" t="inlineStr">
        <is>
          <t>READ FROM THE CODE — rendered from the expressions the function runs</t>
        </is>
      </c>
      <c r="J339" s="3" t="inlineStr">
        <is>
          <t>v: any</t>
        </is>
      </c>
      <c r="K339" s="3" t="inlineStr">
        <is>
          <t>NOT DECLARED — the code does not say what it gives back</t>
        </is>
      </c>
      <c r="L339" s="3" t="inlineStr">
        <is>
          <t>—</t>
        </is>
      </c>
      <c r="M339" s="3" t="inlineStr">
        <is>
          <t>None found in this function — anything it assumes comes from the functions it depends on.</t>
        </is>
      </c>
      <c r="N339" s="3" t="inlineStr">
        <is>
          <t>Yes</t>
        </is>
      </c>
      <c r="O339" s="3" t="inlineStr">
        <is>
          <t>MK-ST-F-085 rentFigure</t>
        </is>
      </c>
      <c r="P339" s="3" t="n">
        <v>2</v>
      </c>
      <c r="Q339" s="3" t="inlineStr">
        <is>
          <t>1. MK-ST-F-085 rentFigure
2. MK-XS-F-122 n</t>
        </is>
      </c>
      <c r="R339" s="3" t="inlineStr">
        <is>
          <t>MK-XS-F-122 n → MK-ST-F-085 rentFigure → MK-NW-F-114 rentAmount</t>
        </is>
      </c>
      <c r="S339" s="3" t="inlineStr">
        <is>
          <t>—</t>
        </is>
      </c>
      <c r="T339" s="3" t="inlineStr">
        <is>
          <t>—</t>
        </is>
      </c>
      <c r="U339" s="3" t="inlineStr">
        <is>
          <t>ACTIVE</t>
        </is>
      </c>
      <c r="V339" s="3" t="inlineStr">
        <is>
          <t>2026-10-10</t>
        </is>
      </c>
      <c r="W339" s="3" t="n"/>
      <c r="X339" s="3" t="n"/>
      <c r="Y339" s="3" t="inlineStr">
        <is>
          <t>NOTHING OPEN</t>
        </is>
      </c>
    </row>
    <row r="340" ht="60" customHeight="1">
      <c r="A340" s="3" t="inlineStr">
        <is>
          <t>MK-NW-F-115</t>
        </is>
      </c>
      <c r="B340" s="3" t="inlineStr">
        <is>
          <t>liveRent</t>
        </is>
      </c>
      <c r="C340" s="3" t="inlineStr">
        <is>
          <t>src/domain/assets/index.ts</t>
        </is>
      </c>
      <c r="D340" s="3" t="n">
        <v>828</v>
      </c>
      <c r="E340" s="3" t="inlineStr">
        <is>
          <t>1 · ACTION</t>
        </is>
      </c>
      <c r="F340" s="3" t="inlineStr">
        <is>
          <t>The rent entries that carry a figure and name their property: rent coming in or costs going out above zero.</t>
        </is>
      </c>
      <c r="G340" s="11" t="inlineStr">
        <is>
          <t>rentals (or none when missing) where property id ≠ nothing and string(property id).trim() ! = ''</t>
        </is>
      </c>
      <c r="H340" s="3" t="inlineStr">
        <is>
          <t>rentals (or none — when missing) where property id is not no answer and string(property id).trim() ! = ''</t>
        </is>
      </c>
      <c r="I340" s="3" t="inlineStr">
        <is>
          <t>PARTLY READ — some of the code is still showing through; needs a hand pass</t>
        </is>
      </c>
      <c r="J340" s="3" t="inlineStr">
        <is>
          <t>rentals: RentEntry[] | null | undefined</t>
        </is>
      </c>
      <c r="K340" s="3" t="inlineStr">
        <is>
          <t>NOT DECLARED — the code does not say what it gives back</t>
        </is>
      </c>
      <c r="L340" s="3" t="inlineStr">
        <is>
          <t>—</t>
        </is>
      </c>
      <c r="M340" s="3" t="inlineStr">
        <is>
          <t>None found in this function — anything it assumes comes from the functions it depends on.</t>
        </is>
      </c>
      <c r="N340" s="3" t="inlineStr">
        <is>
          <t>Yes</t>
        </is>
      </c>
      <c r="O340" s="3" t="inlineStr">
        <is>
          <t>1. MK-CF-O-002 expenses
2. MK-NW-F-114 rentAmount</t>
        </is>
      </c>
      <c r="P340" s="3" t="n">
        <v>17</v>
      </c>
      <c r="Q340" s="3" t="inlineStr">
        <is>
          <t>1. MK-CF-O-002 expenses
2. MK-NW-F-114 rentAmount
3. MK-CF-F-151 actualSpending
4. MK-CF-F-150 debtPaymentsCountedAsExpenses
5. MK-CF-F-153 radar
6. MK-CF-F-149 recurringDebtPayments
7. MK-ST-F-085 rentFigure
8. MK-CF-F-148 inMonth
9. MK-ST-F-052 toNum
10. MK-CF-F-191 ym
11. MK-ST-F-056 has
12. MK-CF-F-022 paymentShape
13. MK-CF-F-152 isRadarItem
14. MK-CF-F-023 requiredPayment
15. MK-CF-F-132 map
16. MK-XS-F-122 n
17. MK-CF-F-021 defaultPaymentType</t>
        </is>
      </c>
      <c r="R340" s="3" t="inlineStr">
        <is>
          <t>1. MK-CF-F-191 ym → MK-CF-F-148 inMonth → MK-CF-F-151 actualSpending → MK-CF-O-002 expenses → MK-NW-F-115 liveRent
2. MK-XS-F-122 n → MK-ST-F-052 toNum → MK-CF-F-151 actualSpending → MK-CF-O-002 expenses → MK-NW-F-115 liveRent
3. MK-CF-F-191 ym → MK-CF-F-151 actualSpending → MK-CF-O-002 expenses → MK-NW-F-115 liveRent
4. MK-ST-F-056 has → MK-CF-F-150 debtPaymentsCountedAsExpenses → MK-CF-O-002 expenses → MK-NW-F-115 liveRent
5. MK-CF-F-191 ym → MK-CF-F-148 inMonth → MK-CF-F-150 debtPaymentsCountedAsExpenses → MK-CF-O-002 expenses → MK-NW-F-115 liveRent
6. MK-CF-F-021 defaultPaymentType → MK-CF-F-022 paymentShape → MK-CF-F-150 debtPaymentsCountedAsExpenses → MK-CF-O-002 expenses → MK-NW-F-115 liveRent
7. MK-XS-F-122 n → MK-ST-F-052 toNum → MK-CF-F-150 debtPaymentsCountedAsExpenses → MK-CF-O-002 expenses → MK-NW-F-115 liveRent
8. MK-CF-F-191 ym → MK-CF-F-150 debtPaymentsCountedAsExpenses → MK-CF-O-002 expenses → MK-NW-F-115 liveRent
9. … and 5 more paths</t>
        </is>
      </c>
      <c r="S340" s="3" t="inlineStr">
        <is>
          <t>—</t>
        </is>
      </c>
      <c r="T340" s="3" t="inlineStr">
        <is>
          <t>—</t>
        </is>
      </c>
      <c r="U340" s="3" t="inlineStr">
        <is>
          <t>ACTIVE</t>
        </is>
      </c>
      <c r="V340" s="3" t="inlineStr">
        <is>
          <t>2026-10-10</t>
        </is>
      </c>
      <c r="W340" s="3" t="n"/>
      <c r="X340" s="3" t="n"/>
      <c r="Y340" s="3" t="inlineStr">
        <is>
          <t>NOTHING OPEN</t>
        </is>
      </c>
    </row>
    <row r="341" ht="60" customHeight="1">
      <c r="A341" s="3" t="inlineStr">
        <is>
          <t>MK-NW-F-116</t>
        </is>
      </c>
      <c r="B341" s="3" t="inlineStr">
        <is>
          <t>rentedIdsOf</t>
        </is>
      </c>
      <c r="C341" s="3" t="inlineStr">
        <is>
          <t>src/domain/assets/index.ts</t>
        </is>
      </c>
      <c r="D341" s="3" t="n">
        <v>858</v>
      </c>
      <c r="E341" s="3" t="inlineStr">
        <is>
          <t>1 · ACTION</t>
        </is>
      </c>
      <c r="F341" s="3" t="inlineStr">
        <is>
          <t>Which properties the rent entries name, by their identifiers.</t>
        </is>
      </c>
      <c r="G341" s="11" t="inlineStr">
        <is>
          <t>NOT READ YET — the body is not a shape this can render faithfully, so nothing is claimed rather than something being guessed. It needs reading by hand.</t>
        </is>
      </c>
      <c r="H341" s="3" t="inlineStr">
        <is>
          <t>NOT READ YET — the body is not a shape this can render faithfully, so nothing is claimed rather than something being guessed. It needs reading by hand.</t>
        </is>
      </c>
      <c r="I341" s="3" t="inlineStr">
        <is>
          <t>NOT READ — nothing is claimed rather than something guessed</t>
        </is>
      </c>
      <c r="J341" s="3" t="inlineStr">
        <is>
          <t>rentals: RentEntry[] | null | undefined</t>
        </is>
      </c>
      <c r="K341" s="3" t="inlineStr">
        <is>
          <t>NOT DECLARED — the code does not say what it gives back</t>
        </is>
      </c>
      <c r="L341" s="3" t="inlineStr">
        <is>
          <t>—</t>
        </is>
      </c>
      <c r="M341" s="3" t="inlineStr">
        <is>
          <t>None found in this function — anything it assumes comes from the functions it depends on.</t>
        </is>
      </c>
      <c r="N341" s="3" t="inlineStr">
        <is>
          <t>Yes</t>
        </is>
      </c>
      <c r="O341" s="3" t="inlineStr">
        <is>
          <t>1. MK-NW-F-115 liveRent
2. MK-CF-F-132 map</t>
        </is>
      </c>
      <c r="P341" s="3" t="n">
        <v>18</v>
      </c>
      <c r="Q341" s="3" t="inlineStr">
        <is>
          <t>1. MK-NW-F-115 liveRent
2. MK-CF-F-132 map
3. MK-CF-O-002 expenses
4. MK-NW-F-114 rentAmount
5. MK-CF-F-151 actualSpending
6. MK-CF-F-150 debtPaymentsCountedAsExpenses
7. MK-CF-F-153 radar
8. MK-CF-F-149 recurringDebtPayments
9. MK-ST-F-085 rentFigure
10. MK-CF-F-148 inMonth
11. MK-ST-F-052 toNum
12. MK-CF-F-191 ym
13. MK-ST-F-056 has
14. MK-CF-F-022 paymentShape
15. MK-CF-F-152 isRadarItem
16. MK-CF-F-023 requiredPayment
17. MK-XS-F-122 n
18. MK-CF-F-021 defaultPaymentType</t>
        </is>
      </c>
      <c r="R341" s="3" t="inlineStr">
        <is>
          <t>1. MK-CF-F-191 ym → MK-CF-F-148 inMonth → MK-CF-F-151 actualSpending → MK-CF-O-002 expenses → MK-NW-F-115 liveRent → MK-NW-F-116 rentedIdsOf
2. MK-XS-F-122 n → MK-ST-F-052 toNum → MK-CF-F-151 actualSpending → MK-CF-O-002 expenses → MK-NW-F-115 liveRent → MK-NW-F-116 rentedIdsOf
3. MK-CF-F-191 ym → MK-CF-F-151 actualSpending → MK-CF-O-002 expenses → MK-NW-F-115 liveRent → MK-NW-F-116 rentedIdsOf
4. MK-ST-F-056 has → MK-CF-F-150 debtPaymentsCountedAsExpenses → MK-CF-O-002 expenses → MK-NW-F-115 liveRent → MK-NW-F-116 rentedIdsOf
5. MK-CF-F-191 ym → MK-CF-F-148 inMonth → MK-CF-F-150 debtPaymentsCountedAsExpenses → MK-CF-O-002 expenses → MK-NW-F-115 liveRent → MK-NW-F-116 rentedIdsOf
6. MK-CF-F-021 defaultPaymentType → MK-CF-F-022 paymentShape → MK-CF-F-150 debtPaymentsCountedAsExpenses → MK-CF-O-002 expenses → MK-NW-F-115 liveRent → MK-NW-F-116 rentedIdsOf
7. MK-XS-F-122 n → MK-ST-F-052 toNum → MK-CF-F-150 debtPaymentsCountedAsExpenses → MK-CF-O-002 expenses → MK-NW-F-115 liveRent → MK-NW-F-116 rentedIdsOf
8. MK-CF-F-191 ym → MK-CF-F-150 debtPaymentsCountedAsExpenses → MK-CF-O-002 expenses → MK-NW-F-115 liveRent → MK-NW-F-116 rentedIdsOf
9. … and 5 more paths</t>
        </is>
      </c>
      <c r="S341" s="3" t="inlineStr">
        <is>
          <t>—</t>
        </is>
      </c>
      <c r="T341" s="3" t="inlineStr">
        <is>
          <t>—</t>
        </is>
      </c>
      <c r="U341" s="3" t="inlineStr">
        <is>
          <t>ACTIVE</t>
        </is>
      </c>
      <c r="V341" s="3" t="inlineStr">
        <is>
          <t>2026-10-07</t>
        </is>
      </c>
      <c r="W341" s="3" t="n"/>
      <c r="X341" s="3" t="n"/>
      <c r="Y341" s="3" t="inlineStr">
        <is>
          <t>NOTHING OPEN</t>
        </is>
      </c>
    </row>
    <row r="342" ht="60" customHeight="1">
      <c r="A342" s="3" t="inlineStr">
        <is>
          <t>MK-NW-F-117</t>
        </is>
      </c>
      <c r="B342" s="3" t="inlineStr">
        <is>
          <t>propertyUseMap</t>
        </is>
      </c>
      <c r="C342" s="3" t="inlineStr">
        <is>
          <t>src/domain/assets/index.ts</t>
        </is>
      </c>
      <c r="D342" s="3" t="n">
        <v>902</v>
      </c>
      <c r="E342" s="3" t="inlineStr">
        <is>
          <t>3 · DEPENDENT</t>
        </is>
      </c>
      <c r="F342" s="3" t="inlineStr">
        <is>
          <t>What each property is for — the home lived in, a rental, or a second home — by his rule DEC-1926: a rental only when a rent entry on the Income screen names it; the one marked as the home is the home; with none marked and no use stated on any, the one entered first; every other property is a second home.</t>
        </is>
      </c>
      <c r="G342" s="11" t="inlineStr">
        <is>
          <t>told = array.is array(rentals)
properties = accounts (or none when missing) where asset class of(each) = 'real_estate'
named = rented ids of(rentals)
out = new map&lt;string, 'home' | 'rental' | 'second'&gt;()
rest = properties where !out.has(string(asset id))
marked = rest.find((a) =&gt; re use = 'primary')
candidates = rest where re use ! = 'rental'
other use stated = rest.some((a) =&gt; re use ≠ nothing and re use ! = 'rental')
home = marked (or undefined   if other use stated
candidates[candidates.length − 1]   otherwise when missing)
others = rest where each ! = home
[LOOP — the answer is found inside a loop the extractor cannot render; the steps above are the ones before it. Read by hand.]
… the first steps only — the rest of the body needs reading by hand.</t>
        </is>
      </c>
      <c r="H342" s="3" t="inlineStr">
        <is>
          <t>Told is array.is array(rentals). Properties is accounts (or none — when missing) where asset class of(each) = 'real_estate'. Named is rented ids of(rentals). Out is new map&lt;string, 'home' | 'rental' | 'second'&gt;(). Rest is properties where !out.has(string(asset id)). Marked is rest.find((a) =&gt; re use = 'primary'). Candidates is rest where re use ! = 'rental'. Other use stated is rest.some((a) =&gt; re use is not no answer and re use ! = 'rental'). Home is marked (or undefined — when other use stated; candidates[candidates.length minus 1] — otherwise — when missing). Others is rest where each ! = home. The answer is out. The answer is found inside a loop that cannot be rendered here; read the code by hand. Only the first steps are shown; the rest of the body needs reading by hand.</t>
        </is>
      </c>
      <c r="I342" s="3" t="inlineStr">
        <is>
          <t>PARTLY READ — the body has a loop the extractor cannot render; the steps shown are the ones before it. Needs a hand pass (G23).</t>
        </is>
      </c>
      <c r="J342" s="3" t="inlineStr">
        <is>
          <t>1. accounts: AssetAccount[]
2. rentals?: RentEntry[] | null</t>
        </is>
      </c>
      <c r="K342" s="3" t="inlineStr">
        <is>
          <t>Map&lt;string, 'home' | 'rental' | 'second'&gt;</t>
        </is>
      </c>
      <c r="L342" s="3" t="inlineStr">
        <is>
          <t>—</t>
        </is>
      </c>
      <c r="M342" s="3" t="inlineStr">
        <is>
          <t>None found in this function — anything it assumes comes from the functions it depends on.</t>
        </is>
      </c>
      <c r="N342" s="3" t="inlineStr">
        <is>
          <t>Yes</t>
        </is>
      </c>
      <c r="O342" s="3" t="inlineStr">
        <is>
          <t>1. MK-NW-F-011 assetClassOf
2. MK-ST-F-056 has
3. MK-NW-F-116 rentedIdsOf</t>
        </is>
      </c>
      <c r="P342" s="3" t="n">
        <v>30</v>
      </c>
      <c r="Q342" s="3" t="inlineStr">
        <is>
          <t>1. MK-NW-F-011 assetClassOf
2. MK-ST-F-056 has
3. MK-NW-F-116 rentedIdsOf
4. MK-NW-F-120 classEvidenceOf
5. MK-NW-F-115 liveRent
6. MK-CF-F-132 map
7. MK-CF-F-155 cash
8. MK-NW-F-008 incomeBearingClassOf
9. MK-NW-F-009 maturityClass
10. MK-CF-O-002 expenses
11. MK-NW-F-114 rentAmount
12. MK-XS-F-122 n
13. MK-ST-F-010 nameEvidence
14. MK-NW-F-068 prettyDay
15. MK-CF-F-151 actualSpending
16. MK-CF-F-150 debtPaymentsCountedAsExpenses
17. MK-CF-F-153 radar
18. MK-CF-F-149 recurringDebtPayments
19. MK-ST-F-085 rentFigure
20. MK-XS-F-147 call
21. MK-CF-F-148 inMonth
22. MK-ST-F-052 toNum
23. MK-CF-F-191 ym
24. MK-CF-F-022 paymentShape
25. MK-CF-F-152 isRadarItem
26. MK-CF-F-023 requiredPayment
27. MK-ST-F-027 accountId
28. MK-XS-F-064 currentIdToken
29. MK-XS-F-112 relayUrl
30. MK-CF-F-021 defaultPaymentType</t>
        </is>
      </c>
      <c r="R342" s="3" t="inlineStr">
        <is>
          <t>1. MK-XS-F-122 n → MK-CF-F-155 cash → MK-NW-F-120 classEvidenceOf → MK-NW-F-011 assetClassOf → MK-NW-F-117 propertyUseMap
2. MK-XS-F-122 n → MK-CF-F-155 cash → MK-NW-F-008 incomeBearingClassOf → MK-NW-F-120 classEvidenceOf → MK-NW-F-011 assetClassOf → MK-NW-F-117 propertyUseMap
3. MK-XS-F-147 call → MK-ST-F-010 nameEvidence → MK-NW-F-008 incomeBearingClassOf → MK-NW-F-120 classEvidenceOf → MK-NW-F-011 assetClassOf → MK-NW-F-117 propertyUseMap
4. MK-ST-F-056 has → MK-ST-F-010 nameEvidence → MK-NW-F-008 incomeBearingClassOf → MK-NW-F-120 classEvidenceOf → MK-NW-F-011 assetClassOf → MK-NW-F-117 propertyUseMap
5. MK-CF-F-132 map → MK-ST-F-010 nameEvidence → MK-NW-F-008 incomeBearingClassOf → MK-NW-F-120 classEvidenceOf → MK-NW-F-011 assetClassOf → MK-NW-F-117 propertyUseMap
6. assetClassOf (already above — a loop) → MK-NW-F-009 maturityClass → MK-NW-F-120 classEvidenceOf → MK-NW-F-011 assetClassOf → MK-NW-F-117 propertyUseMap
7. MK-CF-F-132 map → MK-NW-F-068 prettyDay → MK-NW-F-009 maturityClass → MK-NW-F-120 classEvidenceOf → MK-NW-F-011 assetClassOf → MK-NW-F-117 propertyUseMap
8. MK-ST-F-056 has → MK-NW-F-117 propertyUseMap
9. … and 4 more paths</t>
        </is>
      </c>
      <c r="S342" s="3" t="inlineStr">
        <is>
          <t>—</t>
        </is>
      </c>
      <c r="T342" s="3" t="inlineStr">
        <is>
          <t>—</t>
        </is>
      </c>
      <c r="U342" s="3" t="inlineStr">
        <is>
          <t>ACTIVE</t>
        </is>
      </c>
      <c r="V342" s="3" t="inlineStr">
        <is>
          <t>2026-10-10</t>
        </is>
      </c>
      <c r="W342" s="3" t="n"/>
      <c r="X342" s="3" t="n"/>
      <c r="Y342" s="3" t="inlineStr">
        <is>
          <t>NOTHING OPEN</t>
        </is>
      </c>
    </row>
    <row r="343" ht="60" customHeight="1">
      <c r="A343" s="3" t="inlineStr">
        <is>
          <t>MK-NW-F-118</t>
        </is>
      </c>
      <c r="B343" s="3" t="inlineStr">
        <is>
          <t>itemizeMissingCount</t>
        </is>
      </c>
      <c r="C343" s="3" t="inlineStr">
        <is>
          <t>src/domain/assets/itemize.ts</t>
        </is>
      </c>
      <c r="D343" s="3" t="n">
        <v>77</v>
      </c>
      <c r="E343" s="3" t="inlineStr">
        <is>
          <t>1 · ACTION</t>
        </is>
      </c>
      <c r="F343" s="3" t="inlineStr">
        <is>
          <t>How many listed holdings have no value — so a remainder is said to be not final, never presented as complete.</t>
        </is>
      </c>
      <c r="G343" s="11" t="inlineStr">
        <is>
          <t>NOT READ YET — the body is not a shape this can render faithfully, so nothing is claimed rather than something being guessed. It needs reading by hand.</t>
        </is>
      </c>
      <c r="H343" s="3" t="inlineStr">
        <is>
          <t>NOT READ YET — the body is not a shape this can render faithfully, so nothing is claimed rather than something being guessed. It needs reading by hand.</t>
        </is>
      </c>
      <c r="I343" s="3" t="inlineStr">
        <is>
          <t>NOT READ — nothing is claimed rather than something guessed</t>
        </is>
      </c>
      <c r="J343" s="3" t="inlineStr">
        <is>
          <t>items: ItemHolding[]</t>
        </is>
      </c>
      <c r="K343" s="3" t="inlineStr">
        <is>
          <t>number</t>
        </is>
      </c>
      <c r="L343" s="3" t="inlineStr">
        <is>
          <t>—</t>
        </is>
      </c>
      <c r="M343" s="3" t="inlineStr">
        <is>
          <t>None found in this function — anything it assumes comes from the functions it depends on.</t>
        </is>
      </c>
      <c r="N343" s="3" t="inlineStr">
        <is>
          <t>Yes</t>
        </is>
      </c>
      <c r="O343" s="3" t="inlineStr">
        <is>
          <t>—</t>
        </is>
      </c>
      <c r="P343" s="3" t="n">
        <v>0</v>
      </c>
      <c r="Q343" s="3" t="inlineStr">
        <is>
          <t>None — no dependent function stands behind it</t>
        </is>
      </c>
      <c r="R343" s="3" t="inlineStr">
        <is>
          <t>No dependent function — it reads its inputs and answers</t>
        </is>
      </c>
      <c r="S343" s="3" t="inlineStr">
        <is>
          <t>—</t>
        </is>
      </c>
      <c r="T343" s="3" t="inlineStr">
        <is>
          <t>—</t>
        </is>
      </c>
      <c r="U343" s="3" t="inlineStr">
        <is>
          <t>ACTIVE</t>
        </is>
      </c>
      <c r="V343" s="3" t="inlineStr">
        <is>
          <t>2026-10-08</t>
        </is>
      </c>
      <c r="W343" s="3" t="n"/>
      <c r="X343" s="3" t="n"/>
      <c r="Y343" s="3" t="inlineStr">
        <is>
          <t>NOTHING OPEN</t>
        </is>
      </c>
    </row>
    <row r="344" ht="60" customHeight="1">
      <c r="A344" s="3" t="inlineStr">
        <is>
          <t>MK-NW-F-119</t>
        </is>
      </c>
      <c r="B344" s="3" t="inlineStr">
        <is>
          <t>estimatedAccrued</t>
        </is>
      </c>
      <c r="C344" s="3" t="inlineStr">
        <is>
          <t>src/domain/bonds/index.ts</t>
        </is>
      </c>
      <c r="D344" s="3" t="n">
        <v>551</v>
      </c>
      <c r="E344" s="3" t="inlineStr">
        <is>
          <t>3 · DEPENDENT</t>
        </is>
      </c>
      <c r="F344" s="3" t="inlineStr">
        <is>
          <t>The interest a bond has earned since its last yearly coupon, estimated from the coupon schedule — face × rate × days since the last coupon ÷ days in that coupon year; nothing for a bank CD, a matured or undated bond, or one with no face or rate.</t>
        </is>
      </c>
      <c r="G344" s="11" t="inlineStr">
        <is>
          <t>nothing   when !priced like bond(b) (or face = nothing (or not (coupon rate ≠ nothing and coupon rate &gt; 0) (or maturity is missing when missing or zero) when missing or zero) when missing or zero)
parts = maturity parts(maturity)
nothing   when parts = nothing
today = date.UTC(now.get full year(), now.get month(), now.get date())
at = (yy: number) =&gt; date.UTC(yy, (m or 1) − 1, d or 1)
nothing   when at(y) ≤ today
n = 0
next = at(y − n), last = at(y − n − 1)
nothing   when next = today
days = round((today − last) ÷ 86400000)
year days = round((next − last) ÷ 86400000)
[LOOP — the answer is found inside a loop the extractor cannot render; the steps above are the ones before it. Read by hand.]
… the first steps only — the rest of the body needs reading by hand.</t>
        </is>
      </c>
      <c r="H344" s="3" t="inlineStr">
        <is>
          <t>When !priced like bond(b) (or face is missing (or not (coupon rate is not no answer and coupon rate &gt; 0) (or maturity is missing — when missing or zero) — when missing or zero) — when missing or zero), it answers no answer. Parts is maturity parts(maturity). When parts is missing, it answers no answer. Today is date.UTC(now.get full year(), now.get month(), now.get date()). At is (yy: number) =&gt; date.UTC(yy, (m or 1) minus 1, d or 1). When at(y) is at most today, it answers no answer. N is 0. Next is at(y minus n), last = at(y minus n minus 1). When next = today, it answers no answer. Days is (today minus last, to a whole number divided by 86400000). Year days is (next minus last, to a whole number divided by 86400000). The answer is found inside a loop that cannot be rendered here; read the code by hand. Only the first steps are shown; the rest of the body needs reading by hand.</t>
        </is>
      </c>
      <c r="I344" s="3" t="inlineStr">
        <is>
          <t>PARTLY READ — the body has a loop the extractor cannot render; the steps shown are the ones before it. Needs a hand pass (G23).</t>
        </is>
      </c>
      <c r="J344" s="3" t="inlineStr">
        <is>
          <t>1. b: BondInfo
2. now: Date = new Date()</t>
        </is>
      </c>
      <c r="K344" s="3" t="inlineStr">
        <is>
          <t>NOT DECLARED — the code does not say what it gives back</t>
        </is>
      </c>
      <c r="L344" s="3" t="inlineStr">
        <is>
          <t>—</t>
        </is>
      </c>
      <c r="M344" s="3" t="inlineStr">
        <is>
          <t>1. Uses today's date from the device clock, so the answer changes by itself overnight.
2. Rounds the answer to a whole number.</t>
        </is>
      </c>
      <c r="N344" s="3" t="inlineStr">
        <is>
          <t>Yes</t>
        </is>
      </c>
      <c r="O344" s="3" t="inlineStr">
        <is>
          <t>1. MK-NW-F-124 maturityParts
2. MK-XS-F-122 n
3. MK-NW-F-131 pricedLikeBond</t>
        </is>
      </c>
      <c r="P344" s="3" t="n">
        <v>4</v>
      </c>
      <c r="Q344" s="3" t="inlineStr">
        <is>
          <t>1. MK-NW-F-124 maturityParts
2. MK-XS-F-122 n
3. MK-NW-F-131 pricedLikeBond
4. MK-CF-F-155 cash</t>
        </is>
      </c>
      <c r="R344" s="3" t="inlineStr">
        <is>
          <t>1. MK-NW-F-124 maturityParts → MK-NW-F-119 estimatedAccrued
2. MK-XS-F-122 n → MK-NW-F-119 estimatedAccrued
3. MK-XS-F-122 n → MK-CF-F-155 cash → MK-NW-F-131 pricedLikeBond → MK-NW-F-119 estimatedAccrued</t>
        </is>
      </c>
      <c r="S344" s="3" t="inlineStr">
        <is>
          <t>—</t>
        </is>
      </c>
      <c r="T344" s="3" t="inlineStr">
        <is>
          <t>—</t>
        </is>
      </c>
      <c r="U344" s="3" t="inlineStr">
        <is>
          <t>ACTIVE</t>
        </is>
      </c>
      <c r="V344" s="3" t="inlineStr">
        <is>
          <t>2026-10-10</t>
        </is>
      </c>
      <c r="W344" s="3" t="n"/>
      <c r="X344" s="3" t="n"/>
      <c r="Y344" s="3" t="inlineStr">
        <is>
          <t>NOTHING OPEN</t>
        </is>
      </c>
    </row>
    <row r="345" ht="60" customHeight="1">
      <c r="A345" s="3" t="inlineStr">
        <is>
          <t>MK-NW-F-120</t>
        </is>
      </c>
      <c r="B345" s="3" t="inlineStr">
        <is>
          <t>classEvidenceOf</t>
        </is>
      </c>
      <c r="C345" s="3" t="inlineStr">
        <is>
          <t>src/domain/assets/index.ts</t>
        </is>
      </c>
      <c r="D345" s="3" t="n">
        <v>532</v>
      </c>
      <c r="E345" s="3" t="inlineStr">
        <is>
          <t>3 · DEPENDENT</t>
        </is>
      </c>
      <c r="F345" s="3" t="inlineStr">
        <is>
          <t>What an account's own facts say its class is, before its kind is read: a maturity date first, then its name — never a property's name.</t>
        </is>
      </c>
      <c r="G345" s="11" t="inlineStr">
        <is>
          <t>'bonds'   when maturity class(maturity date) = 'bonds'
is property = tax bucket = 'PROPERTY' (or kind = 'home' (or kind = 'real_estate' (or kind = 'vehicle' when missing or zero) when missing or zero) when missing or zero)
the answer:
nothing   if is property
income bearing class of(label)   otherwise</t>
        </is>
      </c>
      <c r="H345" s="3" t="inlineStr">
        <is>
          <t>When maturity class(maturity date) = 'bonds', it answers 'bonds'. Is property is tax bucket = 'PROPERTY' (or kind = 'home' (or kind = 'real_estate' (or kind = 'vehicle' — when missing or zero) — when missing or zero) — when missing or zero). The answer is no answer — when is property; income bearing class of(label) — otherwise.</t>
        </is>
      </c>
      <c r="I345" s="3" t="inlineStr">
        <is>
          <t>READ FROM THE CODE — rendered from the expressions the function runs</t>
        </is>
      </c>
      <c r="J345" s="3" t="inlineStr">
        <is>
          <t>a: AssetAccount</t>
        </is>
      </c>
      <c r="K345" s="3" t="inlineStr">
        <is>
          <t>AssetClass | null</t>
        </is>
      </c>
      <c r="L345" s="3" t="inlineStr">
        <is>
          <t>—</t>
        </is>
      </c>
      <c r="M345" s="3" t="inlineStr">
        <is>
          <t>None found in this function — anything it assumes comes from the functions it depends on.</t>
        </is>
      </c>
      <c r="N345" s="3" t="inlineStr">
        <is>
          <t>Yes</t>
        </is>
      </c>
      <c r="O345" s="3" t="inlineStr">
        <is>
          <t>1. MK-CF-F-155 cash
2. MK-NW-F-008 incomeBearingClassOf
3. MK-NW-F-009 maturityClass</t>
        </is>
      </c>
      <c r="P345" s="3" t="n">
        <v>13</v>
      </c>
      <c r="Q345" s="3" t="inlineStr">
        <is>
          <t>1. MK-CF-F-155 cash
2. MK-NW-F-008 incomeBearingClassOf
3. MK-NW-F-009 maturityClass
4. MK-XS-F-122 n
5. MK-ST-F-010 nameEvidence
6. MK-NW-F-011 assetClassOf
7. MK-NW-F-068 prettyDay
8. MK-XS-F-147 call
9. MK-ST-F-056 has
10. MK-CF-F-132 map
11. MK-ST-F-027 accountId
12. MK-XS-F-064 currentIdToken
13. MK-XS-F-112 relayUrl</t>
        </is>
      </c>
      <c r="R345" s="3" t="inlineStr">
        <is>
          <t>1. MK-XS-F-122 n → MK-CF-F-155 cash → MK-NW-F-120 classEvidenceOf
2. MK-XS-F-122 n → MK-CF-F-155 cash → MK-NW-F-008 incomeBearingClassOf → MK-NW-F-120 classEvidenceOf
3. MK-ST-F-027 accountId → MK-XS-F-147 call → MK-ST-F-010 nameEvidence → MK-NW-F-008 incomeBearingClassOf → MK-NW-F-120 classEvidenceOf
4. MK-XS-F-064 currentIdToken → MK-XS-F-147 call → MK-ST-F-010 nameEvidence → MK-NW-F-008 incomeBearingClassOf → MK-NW-F-120 classEvidenceOf
5. MK-XS-F-112 relayUrl → MK-XS-F-147 call → MK-ST-F-010 nameEvidence → MK-NW-F-008 incomeBearingClassOf → MK-NW-F-120 classEvidenceOf
6. MK-ST-F-056 has → MK-ST-F-010 nameEvidence → MK-NW-F-008 incomeBearingClassOf → MK-NW-F-120 classEvidenceOf
7. MK-CF-F-132 map → MK-ST-F-010 nameEvidence → MK-NW-F-008 incomeBearingClassOf → MK-NW-F-120 classEvidenceOf
8. classEvidenceOf (already above — a loop) → MK-NW-F-011 assetClassOf → MK-NW-F-009 maturityClass → MK-NW-F-120 classEvidenceOf
9. … and 1 more paths</t>
        </is>
      </c>
      <c r="S345" s="3" t="inlineStr">
        <is>
          <t>—</t>
        </is>
      </c>
      <c r="T345" s="3" t="inlineStr">
        <is>
          <t>—</t>
        </is>
      </c>
      <c r="U345" s="3" t="inlineStr">
        <is>
          <t>ACTIVE</t>
        </is>
      </c>
      <c r="V345" s="3" t="inlineStr">
        <is>
          <t>2026-10-10</t>
        </is>
      </c>
      <c r="W345" s="3" t="n"/>
      <c r="X345" s="3" t="n"/>
      <c r="Y345" s="3" t="inlineStr">
        <is>
          <t>NOTHING OPEN</t>
        </is>
      </c>
    </row>
    <row r="346" ht="60" customHeight="1">
      <c r="A346" s="3" t="inlineStr">
        <is>
          <t>MK-NW-F-121</t>
        </is>
      </c>
      <c r="B346" s="3" t="inlineStr">
        <is>
          <t>holdingTagClass</t>
        </is>
      </c>
      <c r="C346" s="3" t="inlineStr">
        <is>
          <t>src/domain/assets/index.ts</t>
        </is>
      </c>
      <c r="D346" s="3" t="n">
        <v>1602</v>
      </c>
      <c r="E346" s="3" t="inlineStr">
        <is>
          <t>3 · DEPENDENT</t>
        </is>
      </c>
      <c r="F346" s="3" t="inlineStr">
        <is>
          <t>The class a holding's stored tag stands for — 'bond' Bonds &amp; CDs, 'other' Alternatives, 'cash' Cash, any other tag Stocks / Funds — or null when nothing is stored.</t>
        </is>
      </c>
      <c r="G346" s="11" t="inlineStr">
        <is>
          <t>'bonds'   if tag = 'bond'
'alternatives'   if tag = 'other'
'cash'   if tag = 'cash'
'stocks_etf'   if tag
nothing   otherwise   otherwise   otherwise   otherwise</t>
        </is>
      </c>
      <c r="H346" s="3" t="inlineStr">
        <is>
          <t>'bonds' — when tag = 'bond'; 'alternatives' — when tag = 'other'; 'cash' — when tag = 'cash'; 'stocks_etf' — when tag; no answer — otherwise — otherwise — otherwise — otherwise.</t>
        </is>
      </c>
      <c r="I346" s="3" t="inlineStr">
        <is>
          <t>READ FROM THE CODE — rendered from the expressions the function runs</t>
        </is>
      </c>
      <c r="J346" s="3" t="inlineStr">
        <is>
          <t>tag?: string | null</t>
        </is>
      </c>
      <c r="K346" s="3" t="inlineStr">
        <is>
          <t>AssetClass | null</t>
        </is>
      </c>
      <c r="L346" s="3" t="inlineStr">
        <is>
          <t>—</t>
        </is>
      </c>
      <c r="M346" s="3" t="inlineStr">
        <is>
          <t>None found in this function — anything it assumes comes from the functions it depends on.</t>
        </is>
      </c>
      <c r="N346" s="3" t="inlineStr">
        <is>
          <t>Yes</t>
        </is>
      </c>
      <c r="O346" s="3" t="inlineStr">
        <is>
          <t>—</t>
        </is>
      </c>
      <c r="P346" s="3" t="n">
        <v>0</v>
      </c>
      <c r="Q346" s="3" t="inlineStr">
        <is>
          <t>None — no dependent function stands behind it</t>
        </is>
      </c>
      <c r="R346" s="3" t="inlineStr">
        <is>
          <t>No dependent function — it reads its inputs and answers</t>
        </is>
      </c>
      <c r="S346" s="3" t="inlineStr">
        <is>
          <t>—</t>
        </is>
      </c>
      <c r="T346" s="3" t="inlineStr">
        <is>
          <t>—</t>
        </is>
      </c>
      <c r="U346" s="3" t="inlineStr">
        <is>
          <t>ACTIVE</t>
        </is>
      </c>
      <c r="V346" s="3" t="inlineStr">
        <is>
          <t>2026-10-09</t>
        </is>
      </c>
      <c r="W346" s="3" t="n"/>
      <c r="X346" s="3" t="n"/>
      <c r="Y346" s="3" t="inlineStr">
        <is>
          <t>NOTHING OPEN</t>
        </is>
      </c>
    </row>
    <row r="347" ht="60" customHeight="1">
      <c r="A347" s="3" t="inlineStr">
        <is>
          <t>MK-NW-F-122</t>
        </is>
      </c>
      <c r="B347" s="3" t="inlineStr">
        <is>
          <t>holdingTagFor</t>
        </is>
      </c>
      <c r="C347" s="3" t="inlineStr">
        <is>
          <t>src/domain/assets/index.ts</t>
        </is>
      </c>
      <c r="D347" s="3" t="n">
        <v>1638</v>
      </c>
      <c r="E347" s="3" t="inlineStr">
        <is>
          <t>3 · DEPENDENT</t>
        </is>
      </c>
      <c r="F347" s="3" t="inlineStr">
        <is>
          <t>The tag a holding is stored under for a class — the reverse of holdingTagClass.</t>
        </is>
      </c>
      <c r="G347" s="11" t="inlineStr">
        <is>
          <t>'bond'   if cls = 'bonds'
'other'   if cls = 'alternatives'
'cash'   if cls = 'cash'
'stock_etf'   if cls = 'stocks_etf'
nothing   otherwise   otherwise   otherwise   otherwise</t>
        </is>
      </c>
      <c r="H347" s="3" t="inlineStr">
        <is>
          <t>'bond' — when cls = 'bonds'; 'other' — when cls = 'alternatives'; 'cash' — when cls = 'cash'; 'stock_etf' — when cls = 'stocks_etf'; no answer — otherwise — otherwise — otherwise — otherwise.</t>
        </is>
      </c>
      <c r="I347" s="3" t="inlineStr">
        <is>
          <t>READ FROM THE CODE — rendered from the expressions the function runs</t>
        </is>
      </c>
      <c r="J347" s="3" t="inlineStr">
        <is>
          <t>cls: AssetClass</t>
        </is>
      </c>
      <c r="K347" s="3" t="inlineStr">
        <is>
          <t>'bond' | 'other' | 'cash' | 'stock_etf' | null</t>
        </is>
      </c>
      <c r="L347" s="3" t="inlineStr">
        <is>
          <t>—</t>
        </is>
      </c>
      <c r="M347" s="3" t="inlineStr">
        <is>
          <t>None found in this function — anything it assumes comes from the functions it depends on.</t>
        </is>
      </c>
      <c r="N347" s="3" t="inlineStr">
        <is>
          <t>Yes</t>
        </is>
      </c>
      <c r="O347" s="3" t="inlineStr">
        <is>
          <t>—</t>
        </is>
      </c>
      <c r="P347" s="3" t="n">
        <v>0</v>
      </c>
      <c r="Q347" s="3" t="inlineStr">
        <is>
          <t>None — no dependent function stands behind it</t>
        </is>
      </c>
      <c r="R347" s="3" t="inlineStr">
        <is>
          <t>No dependent function — it reads its inputs and answers</t>
        </is>
      </c>
      <c r="S347" s="3" t="inlineStr">
        <is>
          <t>—</t>
        </is>
      </c>
      <c r="T347" s="3" t="inlineStr">
        <is>
          <t>—</t>
        </is>
      </c>
      <c r="U347" s="3" t="inlineStr">
        <is>
          <t>ACTIVE</t>
        </is>
      </c>
      <c r="V347" s="3" t="inlineStr">
        <is>
          <t>2026-10-09</t>
        </is>
      </c>
      <c r="W347" s="3" t="n"/>
      <c r="X347" s="3" t="n"/>
      <c r="Y347" s="3" t="inlineStr">
        <is>
          <t>NOTHING OPEN</t>
        </is>
      </c>
    </row>
    <row r="348" ht="60" customHeight="1">
      <c r="A348" s="3" t="inlineStr">
        <is>
          <t>MK-NW-F-123</t>
        </is>
      </c>
      <c r="B348" s="3" t="inlineStr">
        <is>
          <t>holdingNameEvidence</t>
        </is>
      </c>
      <c r="C348" s="3" t="inlineStr">
        <is>
          <t>src/domain/assets/index.ts</t>
        </is>
      </c>
      <c r="D348" s="3" t="n">
        <v>1670</v>
      </c>
      <c r="E348" s="3" t="inlineStr">
        <is>
          <t>3 · DEPENDENT</t>
        </is>
      </c>
      <c r="F348" s="3" t="inlineStr">
        <is>
          <t>What a holding's name (ticker and description together) is evidence for, or null.</t>
        </is>
      </c>
      <c r="G348" s="11" t="inlineStr">
        <is>
          <t>income bearing class of(`${ticker ?? ''} ${name ?? description ?? label ?? ''}`)</t>
        </is>
      </c>
      <c r="H348" s="3" t="inlineStr">
        <is>
          <t>income bearing class of(`${ticker ?? ''} ${name ?? description ?? label ?? ''}`).</t>
        </is>
      </c>
      <c r="I348" s="3" t="inlineStr">
        <is>
          <t>PARTLY READ — some of the code is still showing through; needs a hand pass</t>
        </is>
      </c>
      <c r="J348" s="3" t="inlineStr">
        <is>
          <t>p: any</t>
        </is>
      </c>
      <c r="K348" s="3" t="inlineStr">
        <is>
          <t>AssetClass | null</t>
        </is>
      </c>
      <c r="L348" s="3" t="inlineStr">
        <is>
          <t>—</t>
        </is>
      </c>
      <c r="M348" s="3" t="inlineStr">
        <is>
          <t>None found in this function — anything it assumes comes from the functions it depends on.</t>
        </is>
      </c>
      <c r="N348" s="3" t="inlineStr">
        <is>
          <t>Yes</t>
        </is>
      </c>
      <c r="O348" s="3" t="inlineStr">
        <is>
          <t>1. MK-CF-F-155 cash
2. MK-NW-F-008 incomeBearingClassOf</t>
        </is>
      </c>
      <c r="P348" s="3" t="n">
        <v>10</v>
      </c>
      <c r="Q348" s="3" t="inlineStr">
        <is>
          <t>1. MK-CF-F-155 cash
2. MK-NW-F-008 incomeBearingClassOf
3. MK-XS-F-122 n
4. MK-ST-F-010 nameEvidence
5. MK-XS-F-147 call
6. MK-ST-F-056 has
7. MK-CF-F-132 map
8. MK-ST-F-027 accountId
9. MK-XS-F-064 currentIdToken
10. MK-XS-F-112 relayUrl</t>
        </is>
      </c>
      <c r="R348" s="3" t="inlineStr">
        <is>
          <t>1. MK-XS-F-122 n → MK-CF-F-155 cash → MK-NW-F-123 holdingNameEvidence
2. MK-XS-F-122 n → MK-CF-F-155 cash → MK-NW-F-008 incomeBearingClassOf → MK-NW-F-123 holdingNameEvidence
3. MK-ST-F-027 accountId → MK-XS-F-147 call → MK-ST-F-010 nameEvidence → MK-NW-F-008 incomeBearingClassOf → MK-NW-F-123 holdingNameEvidence
4. MK-XS-F-064 currentIdToken → MK-XS-F-147 call → MK-ST-F-010 nameEvidence → MK-NW-F-008 incomeBearingClassOf → MK-NW-F-123 holdingNameEvidence
5. MK-XS-F-112 relayUrl → MK-XS-F-147 call → MK-ST-F-010 nameEvidence → MK-NW-F-008 incomeBearingClassOf → MK-NW-F-123 holdingNameEvidence
6. MK-ST-F-056 has → MK-ST-F-010 nameEvidence → MK-NW-F-008 incomeBearingClassOf → MK-NW-F-123 holdingNameEvidence
7. MK-CF-F-132 map → MK-ST-F-010 nameEvidence → MK-NW-F-008 incomeBearingClassOf → MK-NW-F-123 holdingNameEvidence</t>
        </is>
      </c>
      <c r="S348" s="3" t="inlineStr">
        <is>
          <t>—</t>
        </is>
      </c>
      <c r="T348" s="3" t="inlineStr">
        <is>
          <t>—</t>
        </is>
      </c>
      <c r="U348" s="3" t="inlineStr">
        <is>
          <t>ACTIVE</t>
        </is>
      </c>
      <c r="V348" s="3" t="inlineStr">
        <is>
          <t>2026-10-09</t>
        </is>
      </c>
      <c r="W348" s="3" t="n"/>
      <c r="X348" s="3" t="n"/>
      <c r="Y348" s="3" t="inlineStr">
        <is>
          <t>NOTHING OPEN</t>
        </is>
      </c>
    </row>
    <row r="349" ht="60" customHeight="1">
      <c r="A349" s="3" t="inlineStr">
        <is>
          <t>MK-NW-F-124</t>
        </is>
      </c>
      <c r="B349" s="3" t="inlineStr">
        <is>
          <t>maturityParts</t>
        </is>
      </c>
      <c r="C349" s="3" t="inlineStr">
        <is>
          <t>src/domain/bonds/index.ts</t>
        </is>
      </c>
      <c r="D349" s="3" t="n">
        <v>263</v>
      </c>
      <c r="E349" s="3" t="inlineStr">
        <is>
          <t>3 · DEPENDENT</t>
        </is>
      </c>
      <c r="F349" s="3" t="inlineStr">
        <is>
          <t>A maturity date read as a real calendar day (year, month, day), or nothing when it is missing or impossible.</t>
        </is>
      </c>
      <c r="G349" s="11" t="inlineStr">
        <is>
          <t>m = ÷ ^\s × (\d{4}) − (\d{1,2}) − (\d{1,2})(?!\d) ÷ .exec(string(maturity ?? ''))
nothing   when m is missing
y = m[1]), mo = number(m[2]), d = number(m[3] read as a number
t = the date date.UTC(y, mo − 1, d)
nothing   when get utcfull year() ! = y (or get utcmonth() ! = mo − 1 (or get utcdate() ! = d when missing or zero) when missing or zero)
the answer = [y, mo, d]</t>
        </is>
      </c>
      <c r="H349" s="3" t="inlineStr">
        <is>
          <t>M is ÷ ^\s times (\d{4}) minus (\d{1,2}) minus (\d{1,2})(?!\d) divided by .exec(string(maturity ?? '')). When m is missing, it answers no answer. Y is m[1]), mo = number(m[2]), d = number(m[3] read as a number. T: the date date.UTC(y, mo minus 1, d). When get utcfull year() ! = y (or get utcmonth() ! = mo minus 1 (or get utcdate() ! = d — when missing or zero) — when missing or zero), it answers no answer. The answer is [y, mo, d].</t>
        </is>
      </c>
      <c r="I349" s="3" t="inlineStr">
        <is>
          <t>PARTLY READ — some of the code is still showing through; needs a hand pass</t>
        </is>
      </c>
      <c r="J349" s="3" t="inlineStr">
        <is>
          <t>maturity: string</t>
        </is>
      </c>
      <c r="K349" s="3" t="inlineStr">
        <is>
          <t>[number, number, number] | null</t>
        </is>
      </c>
      <c r="L349" s="3" t="inlineStr">
        <is>
          <t>—</t>
        </is>
      </c>
      <c r="M349" s="3" t="inlineStr">
        <is>
          <t>None found in this function — anything it assumes comes from the functions it depends on.</t>
        </is>
      </c>
      <c r="N349" s="3" t="inlineStr">
        <is>
          <t>Yes</t>
        </is>
      </c>
      <c r="O349" s="3" t="inlineStr">
        <is>
          <t>—</t>
        </is>
      </c>
      <c r="P349" s="3" t="n">
        <v>0</v>
      </c>
      <c r="Q349" s="3" t="inlineStr">
        <is>
          <t>None — no dependent function stands behind it</t>
        </is>
      </c>
      <c r="R349" s="3" t="inlineStr">
        <is>
          <t>No dependent function — it reads its inputs and answers</t>
        </is>
      </c>
      <c r="S349" s="3" t="inlineStr">
        <is>
          <t>—</t>
        </is>
      </c>
      <c r="T349" s="3" t="inlineStr">
        <is>
          <t>—</t>
        </is>
      </c>
      <c r="U349" s="3" t="inlineStr">
        <is>
          <t>ACTIVE</t>
        </is>
      </c>
      <c r="V349" s="3" t="inlineStr">
        <is>
          <t>2026-10-09</t>
        </is>
      </c>
      <c r="W349" s="3" t="n"/>
      <c r="X349" s="3" t="n"/>
      <c r="Y349" s="3" t="inlineStr">
        <is>
          <t>NOTHING OPEN</t>
        </is>
      </c>
    </row>
    <row r="350" ht="60" customHeight="1">
      <c r="A350" s="3" t="inlineStr">
        <is>
          <t>MK-NW-F-125</t>
        </is>
      </c>
      <c r="B350" s="3" t="inlineStr">
        <is>
          <t>isPastMaturity</t>
        </is>
      </c>
      <c r="C350" s="3" t="inlineStr">
        <is>
          <t>src/domain/bonds/index.ts</t>
        </is>
      </c>
      <c r="D350" s="3" t="n">
        <v>309</v>
      </c>
      <c r="E350" s="3" t="inlineStr">
        <is>
          <t>3 · DEPENDENT</t>
        </is>
      </c>
      <c r="F350" s="3" t="inlineStr">
        <is>
          <t>Whether a bond or CD is past its maturity date — the day after it, by the calendar.</t>
        </is>
      </c>
      <c r="G350" s="11" t="inlineStr">
        <is>
          <t>p = maturity parts(maturity)
false   when p = nothing
iso = `${p[0]}-${string(p[1]).pad start(2, '0')}-${string(p[2]).pad start(2, '0')}`
the answer = iso &lt; iso local date(now)</t>
        </is>
      </c>
      <c r="H350" s="3" t="inlineStr">
        <is>
          <t>P is maturity parts(maturity). When p is missing, it answers false. Iso is `${p[0]}-${string(p[1]).pad start(2, '0')}-${string(p[2]).pad start(2, '0')}`. The answer is iso &lt; iso local date(now).</t>
        </is>
      </c>
      <c r="I350" s="3" t="inlineStr">
        <is>
          <t>PARTLY READ — some of the code is still showing through; needs a hand pass</t>
        </is>
      </c>
      <c r="J350" s="3" t="inlineStr">
        <is>
          <t>1. maturity: string
2. now: Date = new Date()</t>
        </is>
      </c>
      <c r="K350" s="3" t="inlineStr">
        <is>
          <t>boolean</t>
        </is>
      </c>
      <c r="L350" s="3" t="inlineStr">
        <is>
          <t>—</t>
        </is>
      </c>
      <c r="M350" s="3" t="inlineStr">
        <is>
          <t>· Uses today's date from the device clock, so the answer changes by itself overnight.</t>
        </is>
      </c>
      <c r="N350" s="3" t="inlineStr">
        <is>
          <t>Yes</t>
        </is>
      </c>
      <c r="O350" s="3" t="inlineStr">
        <is>
          <t>1. MK-ST-F-065 isoLocalDate
2. MK-NW-F-124 maturityParts</t>
        </is>
      </c>
      <c r="P350" s="3" t="n">
        <v>2</v>
      </c>
      <c r="Q350" s="3" t="inlineStr">
        <is>
          <t>1. MK-ST-F-065 isoLocalDate
2. MK-NW-F-124 maturityParts</t>
        </is>
      </c>
      <c r="R350" s="3" t="inlineStr">
        <is>
          <t>1. MK-ST-F-065 isoLocalDate → MK-NW-F-125 isPastMaturity
2. MK-NW-F-124 maturityParts → MK-NW-F-125 isPastMaturity</t>
        </is>
      </c>
      <c r="S350" s="3" t="inlineStr">
        <is>
          <t>—</t>
        </is>
      </c>
      <c r="T350" s="3" t="inlineStr">
        <is>
          <t>—</t>
        </is>
      </c>
      <c r="U350" s="3" t="inlineStr">
        <is>
          <t>ACTIVE</t>
        </is>
      </c>
      <c r="V350" s="3" t="inlineStr">
        <is>
          <t>2026-10-09</t>
        </is>
      </c>
      <c r="W350" s="3" t="n"/>
      <c r="X350" s="3" t="n"/>
      <c r="Y350" s="3" t="inlineStr">
        <is>
          <t>NOTHING OPEN</t>
        </is>
      </c>
    </row>
    <row r="351" ht="60" customHeight="1">
      <c r="A351" s="3" t="inlineStr">
        <is>
          <t>MK-NW-F-126</t>
        </is>
      </c>
      <c r="B351" s="3" t="inlineStr">
        <is>
          <t>yearlyInterestNow</t>
        </is>
      </c>
      <c r="C351" s="3" t="inlineStr">
        <is>
          <t>src/domain/bonds/index.ts</t>
        </is>
      </c>
      <c r="D351" s="3" t="n">
        <v>352</v>
      </c>
      <c r="E351" s="3" t="inlineStr">
        <is>
          <t>3 · DEPENDENT</t>
        </is>
      </c>
      <c r="F351" s="3" t="inlineStr">
        <is>
          <t>A year's interest from one bond or CD as it pays today: its yearly interest, and $0 once it is past its maturity date.</t>
        </is>
      </c>
      <c r="G351" s="11" t="inlineStr">
        <is>
          <t>0   if is past maturity(maturity, now)
yearly interest(b)   otherwise</t>
        </is>
      </c>
      <c r="H351" s="3" t="inlineStr">
        <is>
          <t>0 — when is past maturity(maturity, now); yearly interest(b) — otherwise.</t>
        </is>
      </c>
      <c r="I351" s="3" t="inlineStr">
        <is>
          <t>READ FROM THE CODE — rendered from the expressions the function runs</t>
        </is>
      </c>
      <c r="J351" s="3" t="inlineStr">
        <is>
          <t>1. b: BondInfo
2. now: Date = new Date()</t>
        </is>
      </c>
      <c r="K351" s="3" t="inlineStr">
        <is>
          <t>number | null</t>
        </is>
      </c>
      <c r="L351" s="3" t="inlineStr">
        <is>
          <t>—</t>
        </is>
      </c>
      <c r="M351" s="3" t="inlineStr">
        <is>
          <t>· Uses today's date from the device clock, so the answer changes by itself overnight.</t>
        </is>
      </c>
      <c r="N351" s="3" t="inlineStr">
        <is>
          <t>Yes</t>
        </is>
      </c>
      <c r="O351" s="3" t="inlineStr">
        <is>
          <t>1. MK-NW-F-125 isPastMaturity
2. MK-NW-F-112 yearlyInterest</t>
        </is>
      </c>
      <c r="P351" s="3" t="n">
        <v>4</v>
      </c>
      <c r="Q351" s="3" t="inlineStr">
        <is>
          <t>1. MK-NW-F-125 isPastMaturity
2. MK-NW-F-112 yearlyInterest
3. MK-ST-F-065 isoLocalDate
4. MK-NW-F-124 maturityParts</t>
        </is>
      </c>
      <c r="R351" s="3" t="inlineStr">
        <is>
          <t>1. MK-ST-F-065 isoLocalDate → MK-NW-F-125 isPastMaturity → MK-NW-F-126 yearlyInterestNow
2. MK-NW-F-124 maturityParts → MK-NW-F-125 isPastMaturity → MK-NW-F-126 yearlyInterestNow
3. MK-NW-F-112 yearlyInterest → MK-NW-F-126 yearlyInterestNow</t>
        </is>
      </c>
      <c r="S351" s="3" t="inlineStr">
        <is>
          <t>—</t>
        </is>
      </c>
      <c r="T351" s="3" t="inlineStr">
        <is>
          <t>—</t>
        </is>
      </c>
      <c r="U351" s="3" t="inlineStr">
        <is>
          <t>ACTIVE</t>
        </is>
      </c>
      <c r="V351" s="3" t="inlineStr">
        <is>
          <t>2026-10-09</t>
        </is>
      </c>
      <c r="W351" s="3" t="n"/>
      <c r="X351" s="3" t="n"/>
      <c r="Y351" s="3" t="inlineStr">
        <is>
          <t>NOTHING OPEN</t>
        </is>
      </c>
    </row>
    <row r="352" ht="60" customHeight="1">
      <c r="A352" s="3" t="inlineStr">
        <is>
          <t>MK-NW-F-127</t>
        </is>
      </c>
      <c r="B352" s="3" t="inlineStr">
        <is>
          <t>gainOfRow</t>
        </is>
      </c>
      <c r="C352" s="3" t="inlineStr">
        <is>
          <t>MoneyKeel/functions/networth-and-performance/performance.ts</t>
        </is>
      </c>
      <c r="D352" s="3" t="n">
        <v>264</v>
      </c>
      <c r="E352" s="3" t="inlineStr">
        <is>
          <t>3 · DEPENDENT</t>
        </is>
      </c>
      <c r="F352" s="3" t="inlineStr">
        <is>
          <t>THE ONE RULE FOR WHAT A HOLDING GAINED OVER THE WINDOW (DEC-3656, 2026-10-09), or null when it cannot be known.</t>
        </is>
      </c>
      <c r="G352" s="11" t="inlineStr">
        <is>
          <t>gain (or 0 when missing)   when capped since
mv = market value (or 0 when missing)
pr = period return
mv × (1 − 1 ÷ (1 + pr))   if mv &gt; 0
0   otherwise   when pr ≠ nothing
mv × (1 − 1 ÷ math.pow(1 + coupon rate, years))   if mv &gt; 0
0   otherwise   when coupon rate ≠ nothing and coupon rate &gt; 0
the answer:
nothing   if held value of(r) &gt; 0
0   otherwise</t>
        </is>
      </c>
      <c r="H352" s="3" t="inlineStr">
        <is>
          <t>When capped since, it answers gain (or 0 — when missing). Mv is market value (or 0 — when missing). Pr is period return. When pr is not no answer, it answers mv times (1 minus 1 divided by (1 plus pr)) — when mv &gt; 0; 0 — otherwise. When coupon rate is not no answer and coupon rate &gt; 0, it answers mv times (1 minus 1 divided by math.pow(1 plus coupon rate, years)) — when mv &gt; 0; 0 — otherwise. The answer is no answer — when held value of(r) &gt; 0; 0 — otherwise.</t>
        </is>
      </c>
      <c r="I352" s="3" t="inlineStr">
        <is>
          <t>PARTLY READ — some of the code is still showing through; needs a hand pass</t>
        </is>
      </c>
      <c r="J352" s="3" t="inlineStr">
        <is>
          <t>1. r: GainRow
2. years: number</t>
        </is>
      </c>
      <c r="K352" s="3" t="inlineStr">
        <is>
          <t>number | null</t>
        </is>
      </c>
      <c r="L352" s="3" t="inlineStr">
        <is>
          <t>—</t>
        </is>
      </c>
      <c r="M352" s="3" t="inlineStr">
        <is>
          <t>1. If gain is missing it uses 0.
2. If market value is missing it uses 0.</t>
        </is>
      </c>
      <c r="N352" s="3" t="inlineStr">
        <is>
          <t>Yes</t>
        </is>
      </c>
      <c r="O352" s="3" t="inlineStr">
        <is>
          <t>MK-NW-F-128 heldValueOf</t>
        </is>
      </c>
      <c r="P352" s="3" t="n">
        <v>1</v>
      </c>
      <c r="Q352" s="3" t="inlineStr">
        <is>
          <t>MK-NW-F-128 heldValueOf</t>
        </is>
      </c>
      <c r="R352" s="3" t="inlineStr">
        <is>
          <t>MK-NW-F-128 heldValueOf → MK-NW-F-127 gainOfRow</t>
        </is>
      </c>
      <c r="S352" s="3" t="inlineStr">
        <is>
          <t>—</t>
        </is>
      </c>
      <c r="T352" s="3" t="inlineStr">
        <is>
          <t>—</t>
        </is>
      </c>
      <c r="U352" s="3" t="inlineStr">
        <is>
          <t>ACTIVE</t>
        </is>
      </c>
      <c r="V352" s="3" t="inlineStr">
        <is>
          <t>2026-10-09</t>
        </is>
      </c>
      <c r="W352" s="3" t="n"/>
      <c r="X352" s="3" t="n"/>
      <c r="Y352" s="3" t="inlineStr">
        <is>
          <t>NOTHING OPEN</t>
        </is>
      </c>
    </row>
    <row r="353" ht="60" customHeight="1">
      <c r="A353" s="3" t="inlineStr">
        <is>
          <t>MK-NW-F-128</t>
        </is>
      </c>
      <c r="B353" s="3" t="inlineStr">
        <is>
          <t>heldValueOf</t>
        </is>
      </c>
      <c r="C353" s="3" t="inlineStr">
        <is>
          <t>MoneyKeel/functions/networth-and-performance/performance.ts</t>
        </is>
      </c>
      <c r="D353" s="3" t="n">
        <v>309</v>
      </c>
      <c r="E353" s="3" t="inlineStr">
        <is>
          <t>3 · DEPENDENT</t>
        </is>
      </c>
      <c r="F353" s="3" t="inlineStr">
        <is>
          <t>What a holding is worth when no price series prices it: the broker's last mark × shares, or the value it was built at by hand.</t>
        </is>
      </c>
      <c r="G353" s="11" t="inlineStr">
        <is>
          <t>market value as number   when (market value ?? 0) &gt; 0
p = position
0   when p is missing
shares = Σ over lots (or none when missing) of (shares (or 0 when missing or zero))
the answer:
shares × last price   if last price ≠ nothing
value now (or 0 when missing)   otherwise</t>
        </is>
      </c>
      <c r="H353" s="3" t="inlineStr">
        <is>
          <t>When (market value ?? 0) &gt; 0, it answers market value as number. P is position. When p is missing, it answers 0. Shares: the shares (or 0 — when missing or zero) added up across lots (or none — when missing). The answer is shares times last price — when last price is not no answer; value now (or 0 — when missing) — otherwise.</t>
        </is>
      </c>
      <c r="I353" s="3" t="inlineStr">
        <is>
          <t>PARTLY READ — some of the code is still showing through; needs a hand pass</t>
        </is>
      </c>
      <c r="J353" s="3" t="inlineStr">
        <is>
          <t>r: GainRow</t>
        </is>
      </c>
      <c r="K353" s="3" t="inlineStr">
        <is>
          <t>number</t>
        </is>
      </c>
      <c r="L353" s="3" t="inlineStr">
        <is>
          <t>—</t>
        </is>
      </c>
      <c r="M353" s="3" t="inlineStr">
        <is>
          <t>1. If market value is missing it uses 0.
2. If value now is missing it uses 0.
3. If shares is missing it counts as zero, so nothing recorded and a real zero look the same.</t>
        </is>
      </c>
      <c r="N353" s="3" t="inlineStr">
        <is>
          <t>Yes</t>
        </is>
      </c>
      <c r="O353" s="3" t="inlineStr">
        <is>
          <t>—</t>
        </is>
      </c>
      <c r="P353" s="3" t="n">
        <v>0</v>
      </c>
      <c r="Q353" s="3" t="inlineStr">
        <is>
          <t>None — no dependent function stands behind it</t>
        </is>
      </c>
      <c r="R353" s="3" t="inlineStr">
        <is>
          <t>No dependent function — it reads its inputs and answers</t>
        </is>
      </c>
      <c r="S353" s="3" t="inlineStr">
        <is>
          <t>—</t>
        </is>
      </c>
      <c r="T353" s="3" t="inlineStr">
        <is>
          <t>—</t>
        </is>
      </c>
      <c r="U353" s="3" t="inlineStr">
        <is>
          <t>ACTIVE</t>
        </is>
      </c>
      <c r="V353" s="3" t="inlineStr">
        <is>
          <t>2026-10-09</t>
        </is>
      </c>
      <c r="W353" s="3" t="n"/>
      <c r="X353" s="3" t="n"/>
      <c r="Y353" s="3" t="inlineStr">
        <is>
          <t>NOTHING OPEN</t>
        </is>
      </c>
    </row>
    <row r="354" ht="60" customHeight="1">
      <c r="A354" s="3" t="inlineStr">
        <is>
          <t>MK-NW-F-129</t>
        </is>
      </c>
      <c r="B354" s="3" t="inlineStr">
        <is>
          <t>gainRowName</t>
        </is>
      </c>
      <c r="C354" s="3" t="inlineStr">
        <is>
          <t>MoneyKeel/functions/networth-and-performance/performance.ts</t>
        </is>
      </c>
      <c r="D354" s="3" t="n">
        <v>344</v>
      </c>
      <c r="E354" s="3" t="inlineStr">
        <is>
          <t>3 · DEPENDENT (feeds an action only)</t>
        </is>
      </c>
      <c r="F354" s="3" t="inlineStr">
        <is>
          <t>What the refusal sentence calls a holding: its own name, else its ticker — a CUSIP-shaped ticker gives way to the security's name.</t>
        </is>
      </c>
      <c r="G354" s="11" t="inlineStr">
        <is>
          <t>name   when name
t = (position.ticker ?? '').trim()
nm = (position.label ?? position.name ?? '').trim()
the answer:
nm   if ÷ ^[0 − 9A − Z]{9}$ ÷ .test(t) and ÷ \d ÷ .test(t) and nm
t (or nm (or 'a holding' when missing or zero) when missing or zero)   otherwise</t>
        </is>
      </c>
      <c r="H354" s="3" t="inlineStr">
        <is>
          <t>When name, it answers name. T is (position.ticker ?? '').trim(). Nm is (position.label ?? position.name ?? '').trim(). The answer is nm — when divided by ^[0 minus 9A minus Z]{9}$ divided by .test(t) and divided by \d divided by .test(t) and nm; t (or nm (or 'a holding' — when missing or zero) — when missing or zero) — otherwise.</t>
        </is>
      </c>
      <c r="I354" s="3" t="inlineStr">
        <is>
          <t>PARTLY READ — some of the code is still showing through; needs a hand pass</t>
        </is>
      </c>
      <c r="J354" s="3" t="inlineStr">
        <is>
          <t>r: GainRow</t>
        </is>
      </c>
      <c r="K354" s="3" t="inlineStr">
        <is>
          <t>string</t>
        </is>
      </c>
      <c r="L354" s="3" t="inlineStr">
        <is>
          <t>—</t>
        </is>
      </c>
      <c r="M354" s="3" t="inlineStr">
        <is>
          <t>None found in this function — anything it assumes comes from the functions it depends on.</t>
        </is>
      </c>
      <c r="N354" s="3" t="inlineStr">
        <is>
          <t>No</t>
        </is>
      </c>
      <c r="O354" s="3" t="inlineStr">
        <is>
          <t>—</t>
        </is>
      </c>
      <c r="P354" s="3" t="n">
        <v>0</v>
      </c>
      <c r="Q354" s="3" t="inlineStr">
        <is>
          <t>None — no dependent function stands behind it</t>
        </is>
      </c>
      <c r="R354" s="3" t="inlineStr">
        <is>
          <t>No dependent function — it reads its inputs and answers</t>
        </is>
      </c>
      <c r="S354" s="3" t="inlineStr">
        <is>
          <t>—</t>
        </is>
      </c>
      <c r="T354" s="3" t="inlineStr">
        <is>
          <t>—</t>
        </is>
      </c>
      <c r="U354" s="3" t="inlineStr">
        <is>
          <t>ACTIVE</t>
        </is>
      </c>
      <c r="V354" s="3" t="inlineStr">
        <is>
          <t>2026-10-09</t>
        </is>
      </c>
      <c r="W354" s="3" t="n"/>
      <c r="X354" s="3" t="n"/>
      <c r="Y354" s="3" t="inlineStr">
        <is>
          <t>NOTHING OPEN</t>
        </is>
      </c>
    </row>
    <row r="355" ht="45" customHeight="1">
      <c r="A355" s="3" t="inlineStr">
        <is>
          <t>MK-NW-F-130</t>
        </is>
      </c>
      <c r="B355" s="3" t="inlineStr">
        <is>
          <t>cannotWorkBackSentence</t>
        </is>
      </c>
      <c r="C355" s="3" t="inlineStr">
        <is>
          <t>MoneyKeel/functions/networth-and-performance/performance.ts</t>
        </is>
      </c>
      <c r="D355" s="3" t="n">
        <v>372</v>
      </c>
      <c r="E355" s="3" t="inlineStr">
        <is>
          <t>3 · DEPENDENT</t>
        </is>
      </c>
      <c r="F355" s="3" t="inlineStr">
        <is>
          <t>THE SENTENCE where the beginning cannot be worked back (DEC-3656, 2026-10-09, his wording).</t>
        </is>
      </c>
      <c r="G355" s="11" t="inlineStr">
        <is>
          <t>`the beginning can't be worked back: ${list} ${names.length &gt; 1 ? 'have' : 'has'} no price history.`</t>
        </is>
      </c>
      <c r="H355" s="3" t="inlineStr">
        <is>
          <t>`the beginning can't be worked back: ${list} ${names.length &gt; 1 ? 'have' : 'has'} no price history.`.</t>
        </is>
      </c>
      <c r="I355" s="3" t="inlineStr">
        <is>
          <t>PARTLY READ — some of the code is still showing through; needs a hand pass</t>
        </is>
      </c>
      <c r="J355" s="3" t="inlineStr">
        <is>
          <t>names: string[]</t>
        </is>
      </c>
      <c r="K355" s="3" t="inlineStr">
        <is>
          <t>string</t>
        </is>
      </c>
      <c r="L355" s="3" t="inlineStr">
        <is>
          <t>—</t>
        </is>
      </c>
      <c r="M355" s="3" t="inlineStr">
        <is>
          <t>None found in this function — anything it assumes comes from the functions it depends on.</t>
        </is>
      </c>
      <c r="N355" s="3" t="inlineStr">
        <is>
          <t>Yes</t>
        </is>
      </c>
      <c r="O355" s="3" t="inlineStr">
        <is>
          <t>—</t>
        </is>
      </c>
      <c r="P355" s="3" t="n">
        <v>0</v>
      </c>
      <c r="Q355" s="3" t="inlineStr">
        <is>
          <t>None — no dependent function stands behind it</t>
        </is>
      </c>
      <c r="R355" s="3" t="inlineStr">
        <is>
          <t>No dependent function — it reads its inputs and answers</t>
        </is>
      </c>
      <c r="S355" s="3" t="inlineStr">
        <is>
          <t>—</t>
        </is>
      </c>
      <c r="T355" s="3" t="inlineStr">
        <is>
          <t>—</t>
        </is>
      </c>
      <c r="U355" s="3" t="inlineStr">
        <is>
          <t>ACTIVE</t>
        </is>
      </c>
      <c r="V355" s="3" t="inlineStr">
        <is>
          <t>2026-10-09</t>
        </is>
      </c>
      <c r="W355" s="3" t="n"/>
      <c r="X355" s="3" t="n"/>
      <c r="Y355" s="3" t="inlineStr">
        <is>
          <t>NOTHING OPEN</t>
        </is>
      </c>
    </row>
    <row r="356" ht="60" customHeight="1">
      <c r="A356" s="3" t="inlineStr">
        <is>
          <t>MK-NW-F-131</t>
        </is>
      </c>
      <c r="B356" s="3" t="inlineStr">
        <is>
          <t>pricedLikeBond</t>
        </is>
      </c>
      <c r="C356" s="3" t="inlineStr">
        <is>
          <t>src/domain/bonds/index.ts</t>
        </is>
      </c>
      <c r="D356" s="3" t="n">
        <v>55</v>
      </c>
      <c r="E356" s="3" t="inlineStr">
        <is>
          <t>3 · DEPENDENT</t>
        </is>
      </c>
      <c r="F356" s="3" t="inlineStr">
        <is>
          <t>(DEC-3837, 2026-10-10) THE ONE TEST of whether a holding is priced like a bond: every bond is, and a CD only when it was bought through a broker.</t>
        </is>
      </c>
      <c r="G356" s="11" t="inlineStr">
        <is>
          <t>is cd is missing (or cd bought = 'broker' when missing or zero)</t>
        </is>
      </c>
      <c r="H356" s="3" t="inlineStr">
        <is>
          <t>is cd is missing (or cd bought = 'broker' — when missing or zero).</t>
        </is>
      </c>
      <c r="I356" s="3" t="inlineStr">
        <is>
          <t>READ FROM THE CODE — rendered from the expressions the function runs</t>
        </is>
      </c>
      <c r="J356" s="3" t="inlineStr">
        <is>
          <t>b: BondInfo</t>
        </is>
      </c>
      <c r="K356" s="3" t="inlineStr">
        <is>
          <t>boolean</t>
        </is>
      </c>
      <c r="L356" s="3" t="inlineStr">
        <is>
          <t>—</t>
        </is>
      </c>
      <c r="M356" s="3" t="inlineStr">
        <is>
          <t>None found in this function — anything it assumes comes from the functions it depends on.</t>
        </is>
      </c>
      <c r="N356" s="3" t="inlineStr">
        <is>
          <t>Yes</t>
        </is>
      </c>
      <c r="O356" s="3" t="inlineStr">
        <is>
          <t>MK-CF-F-155 cash</t>
        </is>
      </c>
      <c r="P356" s="3" t="n">
        <v>2</v>
      </c>
      <c r="Q356" s="3" t="inlineStr">
        <is>
          <t>1. MK-CF-F-155 cash
2. MK-XS-F-122 n</t>
        </is>
      </c>
      <c r="R356" s="3" t="inlineStr">
        <is>
          <t>MK-XS-F-122 n → MK-CF-F-155 cash → MK-NW-F-131 pricedLikeBond</t>
        </is>
      </c>
      <c r="S356" s="3" t="inlineStr">
        <is>
          <t>—</t>
        </is>
      </c>
      <c r="T356" s="3" t="inlineStr">
        <is>
          <t>—</t>
        </is>
      </c>
      <c r="U356" s="3" t="inlineStr">
        <is>
          <t>ACTIVE</t>
        </is>
      </c>
      <c r="V356" s="3" t="inlineStr">
        <is>
          <t>2026-10-10</t>
        </is>
      </c>
      <c r="W356" s="3" t="n"/>
      <c r="X356" s="3" t="n"/>
      <c r="Y356" s="3" t="inlineStr">
        <is>
          <t>NOTHING OPEN</t>
        </is>
      </c>
    </row>
    <row r="357" ht="60" customHeight="1">
      <c r="A357" s="3" t="inlineStr">
        <is>
          <t>MK-NW-F-132</t>
        </is>
      </c>
      <c r="B357" s="3" t="inlineStr">
        <is>
          <t>notClassifiedWords</t>
        </is>
      </c>
      <c r="C357" s="3" t="inlineStr">
        <is>
          <t>MoneyKeel/functions/networth-and-performance/alternatives-outlook.ts</t>
        </is>
      </c>
      <c r="D357" s="3" t="n">
        <v>145</v>
      </c>
      <c r="E357" s="3" t="inlineStr">
        <is>
          <t>3 · DEPENDENT</t>
        </is>
      </c>
      <c r="F357" s="3" t="inlineStr">
        <is>
          <t>(DEC-4036h, 2026-10-10) His wording for money no priced holding explains: "&lt;amount&gt; asset type not classified".</t>
        </is>
      </c>
      <c r="G357" s="11" t="inlineStr">
        <is>
          <t>`${format money(amount)} asset type not classified`</t>
        </is>
      </c>
      <c r="H357" s="3" t="inlineStr">
        <is>
          <t>`${format money(amount)} asset type classified is missing`.</t>
        </is>
      </c>
      <c r="I357" s="3" t="inlineStr">
        <is>
          <t>PARTLY READ — some of the code is still showing through; needs a hand pass</t>
        </is>
      </c>
      <c r="J357" s="3" t="inlineStr">
        <is>
          <t>amount: number</t>
        </is>
      </c>
      <c r="K357" s="3" t="inlineStr">
        <is>
          <t>string</t>
        </is>
      </c>
      <c r="L357" s="3" t="inlineStr">
        <is>
          <t>—</t>
        </is>
      </c>
      <c r="M357" s="3" t="inlineStr">
        <is>
          <t>None found in this function — anything it assumes comes from the functions it depends on.</t>
        </is>
      </c>
      <c r="N357" s="3" t="inlineStr">
        <is>
          <t>Yes</t>
        </is>
      </c>
      <c r="O357" s="3" t="inlineStr">
        <is>
          <t>MK-ST-F-049 formatMoney</t>
        </is>
      </c>
      <c r="P357" s="3" t="n">
        <v>5</v>
      </c>
      <c r="Q357" s="3" t="inlineStr">
        <is>
          <t>1. MK-ST-F-049 formatMoney
2. MK-ST-F-048 currencySymbol
3. MK-XS-F-122 n
4. MK-ST-F-039 on
5. MK-ST-F-047 activeCurrency</t>
        </is>
      </c>
      <c r="R357" s="3" t="inlineStr">
        <is>
          <t>1. MK-ST-F-047 activeCurrency → MK-ST-F-048 currencySymbol → MK-ST-F-049 formatMoney → MK-NW-F-132 notClassifiedWords
2. MK-XS-F-122 n → MK-ST-F-049 formatMoney → MK-NW-F-132 notClassifiedWords
3. MK-ST-F-039 on → MK-ST-F-049 formatMoney → MK-NW-F-132 notClassifiedWords</t>
        </is>
      </c>
      <c r="S357" s="3" t="inlineStr">
        <is>
          <t>—</t>
        </is>
      </c>
      <c r="T357" s="3" t="inlineStr">
        <is>
          <t>—</t>
        </is>
      </c>
      <c r="U357" s="3" t="inlineStr">
        <is>
          <t>ACTIVE</t>
        </is>
      </c>
      <c r="V357" s="3" t="inlineStr">
        <is>
          <t>2026-10-10</t>
        </is>
      </c>
      <c r="W357" s="3" t="n"/>
      <c r="X357" s="3" t="n"/>
      <c r="Y357" s="3" t="inlineStr">
        <is>
          <t>NOTHING OPEN</t>
        </is>
      </c>
    </row>
    <row r="358" ht="45" customHeight="1">
      <c r="A358" s="3" t="inlineStr">
        <is>
          <t>MK-NW-F-133</t>
        </is>
      </c>
      <c r="B358" s="3" t="inlineStr">
        <is>
          <t>valueEntered</t>
        </is>
      </c>
      <c r="C358" s="3" t="inlineStr">
        <is>
          <t>src/domain/assets/index.ts</t>
        </is>
      </c>
      <c r="D358" s="3" t="n">
        <v>2123</v>
      </c>
      <c r="E358" s="3" t="inlineStr">
        <is>
          <t>1 · ACTION</t>
        </is>
      </c>
      <c r="F358" s="3" t="inlineStr">
        <is>
          <t>(DEC-4036j/k, 2026-10-10) Whether an account's value was entered at all — a $0 typed is entered; nothing is not.</t>
        </is>
      </c>
      <c r="G358" s="11" t="inlineStr">
        <is>
          <t>balance ≠ nothing and number.is finite(balance)</t>
        </is>
      </c>
      <c r="H358" s="3" t="inlineStr">
        <is>
          <t>balance is not no answer and number.is finite(balance)</t>
        </is>
      </c>
      <c r="I358" s="3" t="inlineStr">
        <is>
          <t>PARTLY READ — some of the code is still showing through; needs a hand pass</t>
        </is>
      </c>
      <c r="J358" s="3" t="inlineStr">
        <is>
          <t>a: AssetAccount</t>
        </is>
      </c>
      <c r="K358" s="3" t="inlineStr">
        <is>
          <t>boolean</t>
        </is>
      </c>
      <c r="L358" s="3" t="inlineStr">
        <is>
          <t>—</t>
        </is>
      </c>
      <c r="M358" s="3" t="inlineStr">
        <is>
          <t>None found in this function — anything it assumes comes from the functions it depends on.</t>
        </is>
      </c>
      <c r="N358" s="3" t="inlineStr">
        <is>
          <t>Yes</t>
        </is>
      </c>
      <c r="O358" s="3" t="inlineStr">
        <is>
          <t>—</t>
        </is>
      </c>
      <c r="P358" s="3" t="n">
        <v>0</v>
      </c>
      <c r="Q358" s="3" t="inlineStr">
        <is>
          <t>None — no dependent function stands behind it</t>
        </is>
      </c>
      <c r="R358" s="3" t="inlineStr">
        <is>
          <t>No dependent function — it reads its inputs and answers</t>
        </is>
      </c>
      <c r="S358" s="3" t="inlineStr">
        <is>
          <t>—</t>
        </is>
      </c>
      <c r="T358" s="3" t="inlineStr">
        <is>
          <t>—</t>
        </is>
      </c>
      <c r="U358" s="3" t="inlineStr">
        <is>
          <t>ACTIVE</t>
        </is>
      </c>
      <c r="V358" s="3" t="inlineStr">
        <is>
          <t>2026-10-10</t>
        </is>
      </c>
      <c r="W358" s="3" t="n"/>
      <c r="X358" s="3" t="n"/>
      <c r="Y358" s="3" t="inlineStr">
        <is>
          <t>NOTHING OPEN</t>
        </is>
      </c>
    </row>
    <row r="359" ht="60" customHeight="1">
      <c r="A359" s="3" t="inlineStr">
        <is>
          <t>MK-NW-F-134</t>
        </is>
      </c>
      <c r="B359" s="3" t="inlineStr">
        <is>
          <t>carValueNotEnteredNotes</t>
        </is>
      </c>
      <c r="C359" s="3" t="inlineStr">
        <is>
          <t>src/domain/assets/index.ts</t>
        </is>
      </c>
      <c r="D359" s="3" t="n">
        <v>2156</v>
      </c>
      <c r="E359" s="3" t="inlineStr">
        <is>
          <t>2 · DISPLAYED</t>
        </is>
      </c>
      <c r="F359" s="3" t="inlineStr">
        <is>
          <t>(DEC-4036j, 2026-10-10) The line the screen showing the car you drive adds for each vehicle whose value is not entered and that was not picked: "&lt;vehicle name&gt;'s value not entered — it may be the car you drive."</t>
        </is>
      </c>
      <c r="G359" s="11" t="inlineStr">
        <is>
          <t>car = primary car id of(accounts)</t>
        </is>
      </c>
      <c r="H359" s="3" t="inlineStr">
        <is>
          <t>Car is primary car id of(accounts).</t>
        </is>
      </c>
      <c r="I359" s="3" t="inlineStr">
        <is>
          <t>READ FROM THE CODE — rendered from the expressions the function runs</t>
        </is>
      </c>
      <c r="J359" s="3" t="inlineStr">
        <is>
          <t>1. accounts: AssetAccount[]
2. names?: Map&lt;string, string&gt;</t>
        </is>
      </c>
      <c r="K359" s="3" t="inlineStr">
        <is>
          <t>string[]</t>
        </is>
      </c>
      <c r="L359" s="3" t="inlineStr">
        <is>
          <t>"WHAT COUNTS TOWARD RETIREMENT" — on a card used on more than one screen (PlanInputs), under "WHAT COUNTS TOWARD RETIREMENT"</t>
        </is>
      </c>
      <c r="M359" s="3" t="inlineStr">
        <is>
          <t>None found in this function — anything it assumes comes from the functions it depends on.</t>
        </is>
      </c>
      <c r="N359" s="3" t="inlineStr">
        <is>
          <t>Yes</t>
        </is>
      </c>
      <c r="O359" s="3" t="inlineStr">
        <is>
          <t>1. MK-CF-F-132 map
2. MK-ST-F-053 money
3. MK-NW-F-031 primaryCarIdOf
4. MK-NW-F-033 retirementEarmarkedValue
5. MK-NW-F-133 valueEntered</t>
        </is>
      </c>
      <c r="P359" s="3" t="n">
        <v>42</v>
      </c>
      <c r="Q359" s="3" t="inlineStr">
        <is>
          <t>1. MK-CF-F-132 map
2. MK-ST-F-053 money
3. MK-NW-F-031 primaryCarIdOf
4. MK-NW-F-033 retirementEarmarkedValue
5. MK-NW-F-133 valueEntered
6. MK-ST-F-049 formatMoney
7. MK-XS-F-122 n
8. MK-NW-F-032 earmarkedAmount
9. MK-NW-F-110 primaryHomeIdOf
10. MK-ST-F-048 currencySymbol
11. MK-ST-F-039 on
12. MK-NW-F-030 earmarkDefault
13. MK-NW-F-117 propertyUseMap
14. MK-ST-F-047 activeCurrency
15. MK-NW-F-011 assetClassOf
16. MK-ST-F-056 has
17. MK-NW-F-116 rentedIdsOf
18. MK-NW-F-120 classEvidenceOf
19. MK-NW-F-115 liveRent
20. MK-CF-F-155 cash
21. MK-NW-F-008 incomeBearingClassOf
22. MK-NW-F-009 maturityClass
23. MK-CF-O-002 expenses
24. MK-NW-F-114 rentAmount
25. MK-ST-F-010 nameEvidence
26. MK-NW-F-068 prettyDay
27. MK-CF-F-151 actualSpending
28. MK-CF-F-150 debtPaymentsCountedAsExpenses
29. MK-CF-F-153 radar
30. MK-CF-F-149 recurringDebtPayments
31. MK-ST-F-085 rentFigure
32. MK-XS-F-147 call
33. MK-CF-F-148 inMonth
34. MK-ST-F-052 toNum
35. MK-CF-F-191 ym
36. MK-CF-F-022 paymentShape
37. MK-CF-F-152 isRadarItem
38. MK-CF-F-023 requiredPayment
39. MK-ST-F-027 accountId
40. MK-XS-F-064 currentIdToken
41. MK-XS-F-112 relayUrl
42. MK-CF-F-021 defaultPaymentType</t>
        </is>
      </c>
      <c r="R359" s="3" t="inlineStr">
        <is>
          <t>1. MK-CF-F-132 map → MK-NW-F-134 carValueNotEnteredNotes
2. MK-ST-F-047 activeCurrency → MK-ST-F-048 currencySymbol → MK-ST-F-049 formatMoney → MK-ST-F-053 money → MK-NW-F-134 carValueNotEnteredNotes
3. MK-XS-F-122 n → MK-ST-F-049 formatMoney → MK-ST-F-053 money → MK-NW-F-134 carValueNotEnteredNotes
4. MK-ST-F-039 on → MK-ST-F-049 formatMoney → MK-ST-F-053 money → MK-NW-F-134 carValueNotEnteredNotes
5. MK-XS-F-122 n → MK-ST-F-053 money → MK-NW-F-134 carValueNotEnteredNotes
6. carValueNotEnteredNotes (already above — a loop) → MK-NW-F-031 primaryCarIdOf → MK-NW-F-134 carValueNotEnteredNotes
7. MK-NW-F-133 valueEntered → MK-NW-F-031 primaryCarIdOf → MK-NW-F-134 carValueNotEnteredNotes
8. MK-NW-F-120 classEvidenceOf → MK-NW-F-011 assetClassOf → MK-NW-F-030 earmarkDefault → MK-NW-F-032 earmarkedAmount → MK-NW-F-033 retirementEarmarkedValue → MK-NW-F-134 carValueNotEnteredNotes
9. … and 5 more paths</t>
        </is>
      </c>
      <c r="S359" s="3" t="inlineStr">
        <is>
          <t>—</t>
        </is>
      </c>
      <c r="T359" s="3" t="inlineStr">
        <is>
          <t>—</t>
        </is>
      </c>
      <c r="U359" s="3" t="inlineStr">
        <is>
          <t>ACTIVE</t>
        </is>
      </c>
      <c r="V359" s="3" t="inlineStr">
        <is>
          <t>2026-10-10</t>
        </is>
      </c>
      <c r="W359" s="3" t="n"/>
      <c r="X359" s="3" t="n"/>
      <c r="Y359" s="3" t="inlineStr">
        <is>
          <t>NOTHING OPEN</t>
        </is>
      </c>
    </row>
    <row r="360" ht="60" customHeight="1">
      <c r="A360" s="3" t="inlineStr">
        <is>
          <t>MK-NW-F-135</t>
        </is>
      </c>
      <c r="B360" s="3" t="inlineStr">
        <is>
          <t>earmarkLeavesOut</t>
        </is>
      </c>
      <c r="C360" s="3" t="inlineStr">
        <is>
          <t>src/domain/assets/index.ts</t>
        </is>
      </c>
      <c r="D360" s="3" t="n">
        <v>2184</v>
      </c>
      <c r="E360" s="3" t="inlineStr">
        <is>
          <t>3 · DEPENDENT</t>
        </is>
      </c>
      <c r="F360" s="3" t="inlineStr">
        <is>
          <t>(DEC-4036k, 2026-10-10) The accounts the retirement money (MK-NW-F-033 retirementEarmarkedValue) leaves out because their value is not entered, though their share would count: each by its name.</t>
        </is>
      </c>
      <c r="G360" s="11" t="inlineStr">
        <is>
          <t>car = primary car id of(accounts), home = primary home id of(accounts)</t>
        </is>
      </c>
      <c r="H360" s="3" t="inlineStr">
        <is>
          <t>Car is primary car id of(accounts), home = primary home id of(accounts).</t>
        </is>
      </c>
      <c r="I360" s="3" t="inlineStr">
        <is>
          <t>READ FROM THE CODE — rendered from the expressions the function runs</t>
        </is>
      </c>
      <c r="J360" s="3" t="inlineStr">
        <is>
          <t>1. accounts: AssetAccount[]
2. names?: Map&lt;string, string&gt;</t>
        </is>
      </c>
      <c r="K360" s="3" t="inlineStr">
        <is>
          <t>string[]</t>
        </is>
      </c>
      <c r="L360" s="3" t="inlineStr">
        <is>
          <t>—</t>
        </is>
      </c>
      <c r="M360" s="3" t="inlineStr">
        <is>
          <t>None found in this function — anything it assumes comes from the functions it depends on.</t>
        </is>
      </c>
      <c r="N360" s="3" t="inlineStr">
        <is>
          <t>Yes</t>
        </is>
      </c>
      <c r="O360" s="3" t="inlineStr">
        <is>
          <t>1. MK-NW-F-030 earmarkDefault
2. MK-CF-F-132 map
3. MK-NW-F-031 primaryCarIdOf
4. MK-NW-F-110 primaryHomeIdOf
5. MK-NW-F-133 valueEntered</t>
        </is>
      </c>
      <c r="P360" s="3" t="n">
        <v>43</v>
      </c>
      <c r="Q360" s="3" t="inlineStr">
        <is>
          <t>1. MK-NW-F-030 earmarkDefault
2. MK-CF-F-132 map
3. MK-NW-F-031 primaryCarIdOf
4. MK-NW-F-110 primaryHomeIdOf
5. MK-NW-F-133 valueEntered
6. MK-NW-F-011 assetClassOf
7. MK-NW-F-134 carValueNotEnteredNotes
8. MK-NW-F-117 propertyUseMap
9. MK-NW-F-120 classEvidenceOf
10. MK-ST-F-053 money
11. MK-NW-F-033 retirementEarmarkedValue
12. MK-ST-F-056 has
13. MK-NW-F-116 rentedIdsOf
14. MK-CF-F-155 cash
15. MK-NW-F-008 incomeBearingClassOf
16. MK-NW-F-009 maturityClass
17. MK-ST-F-049 formatMoney
18. MK-XS-F-122 n
19. MK-NW-F-032 earmarkedAmount
20. MK-NW-F-115 liveRent
21. MK-ST-F-010 nameEvidence
22. MK-NW-F-068 prettyDay
23. MK-ST-F-048 currencySymbol
24. MK-ST-F-039 on
25. MK-CF-O-002 expenses
26. MK-NW-F-114 rentAmount
27. MK-XS-F-147 call
28. MK-ST-F-047 activeCurrency
29. MK-CF-F-151 actualSpending
30. MK-CF-F-150 debtPaymentsCountedAsExpenses
31. MK-CF-F-153 radar
32. MK-CF-F-149 recurringDebtPayments
33. MK-ST-F-085 rentFigure
34. MK-ST-F-027 accountId
35. MK-XS-F-064 currentIdToken
36. MK-XS-F-112 relayUrl
37. MK-CF-F-148 inMonth
38. MK-ST-F-052 toNum
39. MK-CF-F-191 ym
40. MK-CF-F-022 paymentShape
41. MK-CF-F-152 isRadarItem
42. MK-CF-F-023 requiredPayment
43. MK-CF-F-021 defaultPaymentType</t>
        </is>
      </c>
      <c r="R360" s="3" t="inlineStr">
        <is>
          <t>1. MK-XS-F-122 n → MK-CF-F-155 cash → MK-NW-F-120 classEvidenceOf → MK-NW-F-011 assetClassOf → MK-NW-F-030 earmarkDefault → MK-NW-F-135 earmarkLeavesOut
2. MK-CF-F-155 cash → MK-NW-F-008 incomeBearingClassOf → MK-NW-F-120 classEvidenceOf → MK-NW-F-011 assetClassOf → MK-NW-F-030 earmarkDefault → MK-NW-F-135 earmarkLeavesOut
3. MK-ST-F-010 nameEvidence → MK-NW-F-008 incomeBearingClassOf → MK-NW-F-120 classEvidenceOf → MK-NW-F-011 assetClassOf → MK-NW-F-030 earmarkDefault → MK-NW-F-135 earmarkLeavesOut
4. assetClassOf (already above — a loop) → MK-NW-F-009 maturityClass → MK-NW-F-120 classEvidenceOf → MK-NW-F-011 assetClassOf → MK-NW-F-030 earmarkDefault → MK-NW-F-135 earmarkLeavesOut
5. MK-NW-F-068 prettyDay → MK-NW-F-009 maturityClass → MK-NW-F-120 classEvidenceOf → MK-NW-F-011 assetClassOf → MK-NW-F-030 earmarkDefault → MK-NW-F-135 earmarkLeavesOut
6. MK-CF-F-132 map → MK-NW-F-135 earmarkLeavesOut
7. MK-CF-F-132 map → MK-NW-F-134 carValueNotEnteredNotes → MK-NW-F-031 primaryCarIdOf → MK-NW-F-135 earmarkLeavesOut
8. MK-ST-F-048 currencySymbol → MK-ST-F-049 formatMoney → MK-ST-F-053 money → MK-NW-F-134 carValueNotEnteredNotes → MK-NW-F-031 primaryCarIdOf → MK-NW-F-135 earmarkLeavesOut
9. … and 5 more paths</t>
        </is>
      </c>
      <c r="S360" s="3" t="inlineStr">
        <is>
          <t>—</t>
        </is>
      </c>
      <c r="T360" s="3" t="inlineStr">
        <is>
          <t>—</t>
        </is>
      </c>
      <c r="U360" s="3" t="inlineStr">
        <is>
          <t>ACTIVE</t>
        </is>
      </c>
      <c r="V360" s="3" t="inlineStr">
        <is>
          <t>2026-10-10</t>
        </is>
      </c>
      <c r="W360" s="3" t="n"/>
      <c r="X360" s="3" t="n"/>
      <c r="Y360" s="3" t="inlineStr">
        <is>
          <t>NOTHING OPEN</t>
        </is>
      </c>
    </row>
    <row r="361" ht="60" customHeight="1">
      <c r="A361" s="3" t="inlineStr">
        <is>
          <t>MK-NW-F-136</t>
        </is>
      </c>
      <c r="B361" s="3" t="inlineStr">
        <is>
          <t>earmarkLeavesOutWords</t>
        </is>
      </c>
      <c r="C361" s="3" t="inlineStr">
        <is>
          <t>src/domain/assets/index.ts</t>
        </is>
      </c>
      <c r="D361" s="3" t="n">
        <v>2210</v>
      </c>
      <c r="E361" s="3" t="inlineStr">
        <is>
          <t>2 · DISPLAYED</t>
        </is>
      </c>
      <c r="F361" s="3" t="inlineStr">
        <is>
          <t>(DEC-4036k, 2026-10-10) What the retirement money says under it: "leaves out &lt;account name&gt; — Value not entered" (the DEC-3657 words).</t>
        </is>
      </c>
      <c r="G361" s="11" t="inlineStr">
        <is>
          <t>out = earmark leaves out(accounts, names)
the answer:
`leaves out ${out.join(', ')} — value not entered`   if count of out
nothing   otherwise</t>
        </is>
      </c>
      <c r="H361" s="3" t="inlineStr">
        <is>
          <t>Out is earmark leaves out(accounts, names). The answer is `leaves out ${out.join(', ')} — value entered is missing` — when how many out there are; no answer — otherwise.</t>
        </is>
      </c>
      <c r="I361" s="3" t="inlineStr">
        <is>
          <t>PARTLY READ — some of the code is still showing through; needs a hand pass</t>
        </is>
      </c>
      <c r="J361" s="3" t="inlineStr">
        <is>
          <t>1. accounts: AssetAccount[]
2. names?: Map&lt;string, string&gt;</t>
        </is>
      </c>
      <c r="K361" s="3" t="inlineStr">
        <is>
          <t>string | null</t>
        </is>
      </c>
      <c r="L361" s="3" t="inlineStr">
        <is>
          <t>1. "Nest egg today" — on the Retirement cockpit screen, under "scRetired ?"
2. "WHAT COUNTS TOWARD RETIREMENT" — on a card used on more than one screen (PlanInputs), under "WHAT COUNTS TOWARD RETIREMENT"</t>
        </is>
      </c>
      <c r="M361" s="3" t="inlineStr">
        <is>
          <t>None found in this function — anything it assumes comes from the functions it depends on.</t>
        </is>
      </c>
      <c r="N361" s="3" t="inlineStr">
        <is>
          <t>Yes</t>
        </is>
      </c>
      <c r="O361" s="3" t="inlineStr">
        <is>
          <t>MK-NW-F-135 earmarkLeavesOut</t>
        </is>
      </c>
      <c r="P361" s="3" t="n">
        <v>44</v>
      </c>
      <c r="Q361" s="3" t="inlineStr">
        <is>
          <t>1. MK-NW-F-135 earmarkLeavesOut
2. MK-NW-F-030 earmarkDefault
3. MK-CF-F-132 map
4. MK-NW-F-031 primaryCarIdOf
5. MK-NW-F-110 primaryHomeIdOf
6. MK-NW-F-133 valueEntered
7. MK-NW-F-011 assetClassOf
8. MK-NW-F-134 carValueNotEnteredNotes
9. MK-NW-F-117 propertyUseMap
10. MK-NW-F-120 classEvidenceOf
11. MK-ST-F-053 money
12. MK-NW-F-033 retirementEarmarkedValue
13. MK-ST-F-056 has
14. MK-NW-F-116 rentedIdsOf
15. MK-CF-F-155 cash
16. MK-NW-F-008 incomeBearingClassOf
17. MK-NW-F-009 maturityClass
18. MK-ST-F-049 formatMoney
19. MK-XS-F-122 n
20. MK-NW-F-032 earmarkedAmount
21. MK-NW-F-115 liveRent
22. MK-ST-F-010 nameEvidence
23. MK-NW-F-068 prettyDay
24. MK-ST-F-048 currencySymbol
25. MK-ST-F-039 on
26. MK-CF-O-002 expenses
27. MK-NW-F-114 rentAmount
28. MK-XS-F-147 call
29. MK-ST-F-047 activeCurrency
30. MK-CF-F-151 actualSpending
31. MK-CF-F-150 debtPaymentsCountedAsExpenses
32. MK-CF-F-153 radar
33. MK-CF-F-149 recurringDebtPayments
34. MK-ST-F-085 rentFigure
35. MK-ST-F-027 accountId
36. MK-XS-F-064 currentIdToken
37. MK-XS-F-112 relayUrl
38. MK-CF-F-148 inMonth
39. MK-ST-F-052 toNum
40. MK-CF-F-191 ym
41. MK-CF-F-022 paymentShape
42. MK-CF-F-152 isRadarItem
43. MK-CF-F-023 requiredPayment
44. MK-CF-F-021 defaultPaymentType</t>
        </is>
      </c>
      <c r="R361" s="3" t="inlineStr">
        <is>
          <t>1. MK-CF-F-155 cash → MK-NW-F-120 classEvidenceOf → MK-NW-F-011 assetClassOf → MK-NW-F-030 earmarkDefault → MK-NW-F-135 earmarkLeavesOut → MK-NW-F-136 earmarkLeavesOutWords
2. MK-NW-F-008 incomeBearingClassOf → MK-NW-F-120 classEvidenceOf → MK-NW-F-011 assetClassOf → MK-NW-F-030 earmarkDefault → MK-NW-F-135 earmarkLeavesOut → MK-NW-F-136 earmarkLeavesOutWords
3. MK-NW-F-009 maturityClass → MK-NW-F-120 classEvidenceOf → MK-NW-F-011 assetClassOf → MK-NW-F-030 earmarkDefault → MK-NW-F-135 earmarkLeavesOut → MK-NW-F-136 earmarkLeavesOutWords
4. MK-CF-F-132 map → MK-NW-F-135 earmarkLeavesOut → MK-NW-F-136 earmarkLeavesOutWords
5. MK-CF-F-132 map → MK-NW-F-134 carValueNotEnteredNotes → MK-NW-F-031 primaryCarIdOf → MK-NW-F-135 earmarkLeavesOut → MK-NW-F-136 earmarkLeavesOutWords
6. MK-ST-F-049 formatMoney → MK-ST-F-053 money → MK-NW-F-134 carValueNotEnteredNotes → MK-NW-F-031 primaryCarIdOf → MK-NW-F-135 earmarkLeavesOut → MK-NW-F-136 earmarkLeavesOutWords
7. MK-XS-F-122 n → MK-ST-F-053 money → MK-NW-F-134 carValueNotEnteredNotes → MK-NW-F-031 primaryCarIdOf → MK-NW-F-135 earmarkLeavesOut → MK-NW-F-136 earmarkLeavesOutWords
8. primaryCarIdOf (already above — a loop) → MK-NW-F-134 carValueNotEnteredNotes → MK-NW-F-031 primaryCarIdOf → MK-NW-F-135 earmarkLeavesOut → MK-NW-F-136 earmarkLeavesOutWords
9. … and 4 more paths</t>
        </is>
      </c>
      <c r="S361" s="3" t="inlineStr">
        <is>
          <t>—</t>
        </is>
      </c>
      <c r="T361" s="3" t="inlineStr">
        <is>
          <t>—</t>
        </is>
      </c>
      <c r="U361" s="3" t="inlineStr">
        <is>
          <t>ACTIVE</t>
        </is>
      </c>
      <c r="V361" s="3" t="inlineStr">
        <is>
          <t>2026-10-10</t>
        </is>
      </c>
      <c r="W361" s="3" t="n"/>
      <c r="X361" s="3" t="n"/>
      <c r="Y361" s="3" t="inlineStr">
        <is>
          <t>NOTHING OPEN</t>
        </is>
      </c>
    </row>
    <row r="362" ht="60" customHeight="1">
      <c r="A362" s="3" t="inlineStr">
        <is>
          <t>MK-NW-F-137</t>
        </is>
      </c>
      <c r="B362" s="3" t="inlineStr">
        <is>
          <t>asksCashOrInvestments</t>
        </is>
      </c>
      <c r="C362" s="3" t="inlineStr">
        <is>
          <t>src/domain/assets/index.ts</t>
        </is>
      </c>
      <c r="D362" s="3" t="n">
        <v>2680</v>
      </c>
      <c r="E362" s="3" t="inlineStr">
        <is>
          <t>1 · ACTION</t>
        </is>
      </c>
      <c r="F362" s="3" t="inlineStr">
        <is>
          <t>(DEC-4036g, 2026-10-10) Whether an account still carries that question: marked by sign-up, and still Unclassified.</t>
        </is>
      </c>
      <c r="G362" s="11" t="inlineStr">
        <is>
          <t>class question = 'cash_or_investments' and asset class of(a) = 'mixed'</t>
        </is>
      </c>
      <c r="H362" s="3" t="inlineStr">
        <is>
          <t>class question = 'cash_or_investments' and asset class of(a) = 'mixed'</t>
        </is>
      </c>
      <c r="I362" s="3" t="inlineStr">
        <is>
          <t>READ FROM THE CODE — rendered from the expressions the function runs</t>
        </is>
      </c>
      <c r="J362" s="3" t="inlineStr">
        <is>
          <t>a: AssetAccount</t>
        </is>
      </c>
      <c r="K362" s="3" t="inlineStr">
        <is>
          <t>boolean</t>
        </is>
      </c>
      <c r="L362" s="3" t="inlineStr">
        <is>
          <t>—</t>
        </is>
      </c>
      <c r="M362" s="3" t="inlineStr">
        <is>
          <t>None found in this function — anything it assumes comes from the functions it depends on.</t>
        </is>
      </c>
      <c r="N362" s="3" t="inlineStr">
        <is>
          <t>Yes</t>
        </is>
      </c>
      <c r="O362" s="3" t="inlineStr">
        <is>
          <t>MK-NW-F-011 assetClassOf</t>
        </is>
      </c>
      <c r="P362" s="3" t="n">
        <v>14</v>
      </c>
      <c r="Q362" s="3" t="inlineStr">
        <is>
          <t>1. MK-NW-F-011 assetClassOf
2. MK-NW-F-120 classEvidenceOf
3. MK-CF-F-155 cash
4. MK-NW-F-008 incomeBearingClassOf
5. MK-NW-F-009 maturityClass
6. MK-XS-F-122 n
7. MK-ST-F-010 nameEvidence
8. MK-NW-F-068 prettyDay
9. MK-XS-F-147 call
10. MK-ST-F-056 has
11. MK-CF-F-132 map
12. MK-ST-F-027 accountId
13. MK-XS-F-064 currentIdToken
14. MK-XS-F-112 relayUrl</t>
        </is>
      </c>
      <c r="R362" s="3" t="inlineStr">
        <is>
          <t>1. MK-XS-F-122 n → MK-CF-F-155 cash → MK-NW-F-120 classEvidenceOf → MK-NW-F-011 assetClassOf → MK-NW-F-137 asksCashOrInvestments
2. MK-XS-F-122 n → MK-CF-F-155 cash → MK-NW-F-008 incomeBearingClassOf → MK-NW-F-120 classEvidenceOf → MK-NW-F-011 assetClassOf → MK-NW-F-137 asksCashOrInvestments
3. MK-XS-F-147 call → MK-ST-F-010 nameEvidence → MK-NW-F-008 incomeBearingClassOf → MK-NW-F-120 classEvidenceOf → MK-NW-F-011 assetClassOf → MK-NW-F-137 asksCashOrInvestments
4. MK-ST-F-056 has → MK-ST-F-010 nameEvidence → MK-NW-F-008 incomeBearingClassOf → MK-NW-F-120 classEvidenceOf → MK-NW-F-011 assetClassOf → MK-NW-F-137 asksCashOrInvestments
5. MK-CF-F-132 map → MK-ST-F-010 nameEvidence → MK-NW-F-008 incomeBearingClassOf → MK-NW-F-120 classEvidenceOf → MK-NW-F-011 assetClassOf → MK-NW-F-137 asksCashOrInvestments
6. assetClassOf (already above — a loop) → MK-NW-F-009 maturityClass → MK-NW-F-120 classEvidenceOf → MK-NW-F-011 assetClassOf → MK-NW-F-137 asksCashOrInvestments
7. MK-CF-F-132 map → MK-NW-F-068 prettyDay → MK-NW-F-009 maturityClass → MK-NW-F-120 classEvidenceOf → MK-NW-F-011 assetClassOf → MK-NW-F-137 asksCashOrInvestments</t>
        </is>
      </c>
      <c r="S362" s="3" t="inlineStr">
        <is>
          <t>—</t>
        </is>
      </c>
      <c r="T362" s="3" t="inlineStr">
        <is>
          <t>—</t>
        </is>
      </c>
      <c r="U362" s="3" t="inlineStr">
        <is>
          <t>ACTIVE</t>
        </is>
      </c>
      <c r="V362" s="3" t="inlineStr">
        <is>
          <t>2026-10-10</t>
        </is>
      </c>
      <c r="W362" s="3" t="n"/>
      <c r="X362" s="3" t="n"/>
      <c r="Y362" s="3" t="inlineStr">
        <is>
          <t>NOTHING OPEN</t>
        </is>
      </c>
    </row>
    <row r="363" ht="60" customHeight="1">
      <c r="A363" s="3" t="inlineStr">
        <is>
          <t>MK-NW-O-001</t>
        </is>
      </c>
      <c r="B363" s="3" t="inlineStr">
        <is>
          <t>theBonds</t>
        </is>
      </c>
      <c r="C363" s="3" t="inlineStr">
        <is>
          <t>MoneyKeel/functions/networth-and-performance/bonds.ts</t>
        </is>
      </c>
      <c r="D363" s="3" t="n">
        <v>227</v>
      </c>
      <c r="E363" s="3" t="inlineStr">
        <is>
          <t>2 · DISPLAYED</t>
        </is>
      </c>
      <c r="F363" s="3" t="inlineStr">
        <is>
          <t>What bonds and CDs do I hold, what do they pay, and when do they mature?</t>
        </is>
      </c>
      <c r="G363" s="11" t="inlineStr">
        <is>
          <t>now = input.today (or new date() when missing)
held = input.accounts (or none when missing) where is bond
sum = bond summary(held.map(bond info), now)
one = nothing
b = bond info(opened)
row = row of(opened, now)
matured today = row.years left = 0</t>
        </is>
      </c>
      <c r="H363" s="3" t="inlineStr">
        <is>
          <t>Now is input.today (or new date() — when missing). Held is input.accounts (or none — when missing) where is bond. Sum is bond summary(held.map(bond info), now). One is no answer. B is bond info(opened). Row is row of(opened, now). Matured today is row.years left = 0.</t>
        </is>
      </c>
      <c r="I363" s="3" t="inlineStr">
        <is>
          <t>PARTLY READ — some of the code is still showing through; needs a hand pass</t>
        </is>
      </c>
      <c r="J363" s="3" t="inlineStr">
        <is>
          <t>input: BondsInput</t>
        </is>
      </c>
      <c r="K363" s="3" t="inlineStr">
        <is>
          <t>Bonds</t>
        </is>
      </c>
      <c r="L363" s="3" t="inlineStr">
        <is>
          <t>NOT FOUND — a screen calls it, but the words printed beside its answer could not be traced automatically. Needs reading.</t>
        </is>
      </c>
      <c r="M363" s="3" t="inlineStr">
        <is>
          <t>· Uses today's date from the device clock, so the answer changes by itself overnight.</t>
        </is>
      </c>
      <c r="N363" s="3" t="inlineStr">
        <is>
          <t>Yes</t>
        </is>
      </c>
      <c r="O363" s="3" t="inlineStr">
        <is>
          <t>1. MK-ST-F-027 accountId
2. MK-NW-F-057 annualCoupon
3. MK-NW-F-056 bondInfo
4. MK-NW-F-064 bondRateSensitivity
5. MK-NW-F-061 bondSummary
6. MK-NW-F-055 isBond
7. MK-CF-F-132 map
8. MK-NW-F-072 rowOf
9. MK-NW-F-112 yearlyInterest</t>
        </is>
      </c>
      <c r="P363" s="3" t="n">
        <v>33</v>
      </c>
      <c r="Q363" s="3" t="inlineStr">
        <is>
          <t>1. MK-ST-F-027 accountId
2. MK-NW-F-057 annualCoupon
3. MK-NW-F-056 bondInfo
4. MK-NW-F-064 bondRateSensitivity
5. MK-NW-F-061 bondSummary
6. MK-NW-F-055 isBond
7. MK-CF-F-132 map
8. MK-NW-F-072 rowOf
9. MK-NW-F-112 yearlyInterest
10. MK-CF-F-155 cash
11. MK-NW-F-060 approxYTM
12. MK-NW-F-069 priceAtYield
13. MK-NW-F-131 pricedLikeBond
14. MK-NW-F-125 isPastMaturity
15. MK-ST-F-065 isoLocalDate
16. MK-NW-F-126 yearlyInterestNow
17. MK-NW-F-011 assetClassOf
18. MK-NW-F-070 accruedInterestCaveat
19. MK-NW-F-059 currentYield
20. MK-NW-F-058 yearsToMaturity
21. MK-XS-F-122 n
22. MK-NW-F-119 estimatedAccrued
23. MK-NW-F-124 maturityParts
24. MK-NW-F-120 classEvidenceOf
25. MK-NW-F-067 plural
26. MK-NW-F-008 incomeBearingClassOf
27. MK-NW-F-009 maturityClass
28. MK-ST-F-010 nameEvidence
29. MK-NW-F-068 prettyDay
30. MK-XS-F-147 call
31. MK-ST-F-056 has
32. MK-XS-F-064 currentIdToken
33. MK-XS-F-112 relayUrl</t>
        </is>
      </c>
      <c r="R363" s="3" t="inlineStr">
        <is>
          <t>1. MK-ST-F-027 accountId → MK-NW-O-001 theBonds
2. MK-NW-F-057 annualCoupon → MK-NW-O-001 theBonds
3. MK-XS-F-122 n → MK-CF-F-155 cash → MK-NW-F-056 bondInfo → MK-NW-O-001 theBonds
4. MK-NW-F-124 maturityParts → MK-NW-F-119 estimatedAccrued → MK-NW-F-060 approxYTM → MK-NW-F-064 bondRateSensitivity → MK-NW-O-001 theBonds
5. MK-XS-F-122 n → MK-NW-F-119 estimatedAccrued → MK-NW-F-060 approxYTM → MK-NW-F-064 bondRateSensitivity → MK-NW-O-001 theBonds
6. MK-CF-F-155 cash → MK-NW-F-131 pricedLikeBond → MK-NW-F-119 estimatedAccrued → MK-NW-F-060 approxYTM → MK-NW-F-064 bondRateSensitivity → MK-NW-O-001 theBonds
7. MK-NW-F-057 annualCoupon → MK-NW-F-069 priceAtYield → MK-NW-F-060 approxYTM → MK-NW-F-064 bondRateSensitivity → MK-NW-O-001 theBonds
8. MK-NW-F-124 maturityParts → MK-NW-F-058 yearsToMaturity → MK-NW-F-069 priceAtYield → MK-NW-F-060 approxYTM → MK-NW-F-064 bondRateSensitivity → MK-NW-O-001 theBonds
9. … and 5 more paths</t>
        </is>
      </c>
      <c r="S363" s="3" t="inlineStr">
        <is>
          <t>MK-NW-M-023 · MK-NW-M-024 · MK-NW-M-025 · MK-NW-M-026 · MK-NW-M-027 · MK-NW-M-041 · MK-NW-M-042 · MK-NW-M-043 · MK-NW-M-044 · MK-NW-M-045 · MK-NW-M-053 · MK-NW-M-054 · MK-NW-M-055 · MK-NW-M-056 · MK-NW-M-057 · MK-NW-M-058</t>
        </is>
      </c>
      <c r="T363" s="3" t="inlineStr">
        <is>
          <t>—</t>
        </is>
      </c>
      <c r="U363" s="3" t="inlineStr">
        <is>
          <t>ACTIVE</t>
        </is>
      </c>
      <c r="V363" s="3" t="inlineStr">
        <is>
          <t>2026-10-09</t>
        </is>
      </c>
      <c r="W363" s="3" t="n"/>
      <c r="X363" s="3" t="n"/>
      <c r="Y363" s="3" t="inlineStr">
        <is>
          <t>NOTHING OPEN</t>
        </is>
      </c>
    </row>
    <row r="364" ht="60" customHeight="1">
      <c r="A364" s="3" t="inlineStr">
        <is>
          <t>MK-NW-O-002</t>
        </is>
      </c>
      <c r="B364" s="3" t="inlineStr">
        <is>
          <t>theAccount</t>
        </is>
      </c>
      <c r="C364" s="3" t="inlineStr">
        <is>
          <t>MoneyKeel/functions/networth-and-performance/account.ts</t>
        </is>
      </c>
      <c r="D364" s="3" t="n">
        <v>102</v>
      </c>
      <c r="E364" s="3" t="inlineStr">
        <is>
          <t>2 · DISPLAYED</t>
        </is>
      </c>
      <c r="F364" s="3" t="inlineStr">
        <is>
          <t>What is in this one account: what it is worth, what it holds, what each holding has paid, and its activity?</t>
        </is>
      </c>
      <c r="G364" s="11" t="inlineStr">
        <is>
          <t>id = string(account.asset id)
income = personal flow totals(ledger.filter((t) =&gt; type = 'DIVIDEND' or type = 'INTEREST'))
breakdown = account class breakdown(account)
tk = string(ticker ?? '').trim().to upper case()
f = personal flow totals(rows)
dividends = dividends.to number(2)
interest = interest.to number(2)
parts = []
the answer:
dividends = dividends
interest = interest
words = parts.join(' · ')</t>
        </is>
      </c>
      <c r="H364" s="3" t="inlineStr">
        <is>
          <t>Id is string(account.asset id). Income is personal flow totals(ledger.filter((t) =&gt; type = 'DIVIDEND' or type = 'INTEREST')). Breakdown is account class breakdown(account). Tk is string(ticker ?? '').trim().to upper case(). F is personal flow totals(rows). Dividends is dividends.to number(2). Interest is interest.to number(2). Parts is []. The answer is dividends = dividends; interest = interest; words = parts.join(' · ').</t>
        </is>
      </c>
      <c r="I364" s="3" t="inlineStr">
        <is>
          <t>PARTLY READ — some of the code is still showing through; needs a hand pass</t>
        </is>
      </c>
      <c r="J364" s="3" t="inlineStr">
        <is>
          <t>Nothing is handed to it</t>
        </is>
      </c>
      <c r="K364" s="3" t="inlineStr">
        <is>
          <t>NOT DECLARED — the code does not say what it gives back</t>
        </is>
      </c>
      <c r="L364" s="3" t="inlineStr">
        <is>
          <t>NOT FOUND — a screen calls it, but the words printed beside its answer could not be traced automatically. Needs reading.</t>
        </is>
      </c>
      <c r="M364" s="3" t="inlineStr">
        <is>
          <t>1. If balance is missing it counts as zero, so nothing recorded and a real zero look the same.
2. If amount is missing it counts as zero, so nothing recorded and a real zero look the same.
3. Rounds the answer to a whole number.</t>
        </is>
      </c>
      <c r="N364" s="3" t="inlineStr">
        <is>
          <t>Yes</t>
        </is>
      </c>
      <c r="O364" s="3" t="inlineStr">
        <is>
          <t>1. MK-NW-F-027 accountClassBreakdown
2. MK-CF-F-118 cashEffect
3. MK-CF-F-132 map
4. MK-ST-F-013 personalFlowTotals
5. MK-ST-F-030 record
6. MK-ST-F-021 toNumber</t>
        </is>
      </c>
      <c r="P364" s="3" t="n">
        <v>26</v>
      </c>
      <c r="Q364" s="3" t="inlineStr">
        <is>
          <t>1. MK-NW-F-027 accountClassBreakdown
2. MK-CF-F-118 cashEffect
3. MK-CF-F-132 map
4. MK-ST-F-013 personalFlowTotals
5. MK-ST-F-030 record
6. MK-ST-F-021 toNumber
7. MK-NW-F-011 assetClassOf
8. MK-CF-F-155 cash
9. MK-ST-F-056 has
10. MK-NW-F-109 holdingClassOf
11. MK-NW-F-067 plural
12. MK-XS-F-122 n
13. MK-NW-F-120 classEvidenceOf
14. MK-NW-F-123 holdingNameEvidence
15. MK-NW-F-121 holdingTagClass
16. MK-NW-F-054 reclassifyAccounts
17. MK-NW-F-008 incomeBearingClassOf
18. MK-NW-F-009 maturityClass
19. MK-NW-F-053 correctClassOf
20. MK-NW-F-122 holdingTagFor
21. MK-ST-F-010 nameEvidence
22. MK-NW-F-068 prettyDay
23. MK-XS-F-147 call
24. MK-ST-F-027 accountId
25. MK-XS-F-064 currentIdToken
26. MK-XS-F-112 relayUrl</t>
        </is>
      </c>
      <c r="R364" s="3" t="inlineStr">
        <is>
          <t>1. MK-XS-F-122 n → MK-CF-F-155 cash → MK-NW-F-120 classEvidenceOf → MK-NW-F-011 assetClassOf → MK-NW-F-027 accountClassBreakdown → MK-NW-O-002 theAccount
2. MK-CF-F-155 cash → MK-NW-F-008 incomeBearingClassOf → MK-NW-F-120 classEvidenceOf → MK-NW-F-011 assetClassOf → MK-NW-F-027 accountClassBreakdown → MK-NW-O-002 theAccount
3. MK-ST-F-010 nameEvidence → MK-NW-F-008 incomeBearingClassOf → MK-NW-F-120 classEvidenceOf → MK-NW-F-011 assetClassOf → MK-NW-F-027 accountClassBreakdown → MK-NW-O-002 theAccount
4. assetClassOf (already above — a loop) → MK-NW-F-009 maturityClass → MK-NW-F-120 classEvidenceOf → MK-NW-F-011 assetClassOf → MK-NW-F-027 accountClassBreakdown → MK-NW-O-002 theAccount
5. MK-NW-F-068 prettyDay → MK-NW-F-009 maturityClass → MK-NW-F-120 classEvidenceOf → MK-NW-F-011 assetClassOf → MK-NW-F-027 accountClassBreakdown → MK-NW-O-002 theAccount
6. MK-XS-F-122 n → MK-CF-F-155 cash → MK-NW-F-027 accountClassBreakdown → MK-NW-O-002 theAccount
7. MK-ST-F-056 has → MK-NW-F-027 accountClassBreakdown → MK-NW-O-002 theAccount
8. MK-XS-F-122 n → MK-CF-F-155 cash → MK-NW-F-123 holdingNameEvidence → MK-NW-F-109 holdingClassOf → MK-NW-F-027 accountClassBreakdown → MK-NW-O-002 theAccount
9. … and 5 more paths</t>
        </is>
      </c>
      <c r="S364" s="3" t="inlineStr">
        <is>
          <t>MK-NW-M-019 · MK-NW-M-020 · MK-NW-M-021 · MK-NW-M-038 · MK-NW-M-039 · MK-NW-M-040 · MK-NW-M-062</t>
        </is>
      </c>
      <c r="T364" s="3" t="inlineStr">
        <is>
          <t>—</t>
        </is>
      </c>
      <c r="U364" s="3" t="inlineStr">
        <is>
          <t>ACTIVE</t>
        </is>
      </c>
      <c r="V364" s="3" t="inlineStr">
        <is>
          <t>2026-10-07</t>
        </is>
      </c>
      <c r="W364" s="3" t="n"/>
      <c r="X364" s="3" t="n"/>
      <c r="Y364" s="3" t="inlineStr">
        <is>
          <t>NOTHING OPEN</t>
        </is>
      </c>
    </row>
    <row r="365" ht="60" customHeight="1">
      <c r="A365" s="3" t="inlineStr">
        <is>
          <t>MK-NW-O-003</t>
        </is>
      </c>
      <c r="B365" s="3" t="inlineStr">
        <is>
          <t>theNetWorth</t>
        </is>
      </c>
      <c r="C365" s="3" t="inlineStr">
        <is>
          <t>MoneyKeel/functions/networth-and-performance/net-worth.ts</t>
        </is>
      </c>
      <c r="D365" s="3" t="n">
        <v>127</v>
      </c>
      <c r="E365" s="3" t="inlineStr">
        <is>
          <t>2 · DISPLAYED</t>
        </is>
      </c>
      <c r="F365" s="3" t="inlineStr">
        <is>
          <t>What am I worth: everything I own, less everything I owe, and how each breaks down?</t>
        </is>
      </c>
      <c r="G365" s="11" t="inlineStr">
        <is>
          <t>accounts = input.accounts (or none when missing)
debts = input.debts (or none when missing)
a state = build assets state(input.uid, accounts)
d state = build debt state(input.uid, debts)
nw = build net worth(input.uid, a state.total asset value, d state.total debt balance)
by class = asset allocation(accounts)
investable = investable assets(accounts)
the answer = { unclassed, unclassed sentence }
nothing   when input.since is missing
today = input.today (or iso local date(new date()) when missing)
start = `${input.since}-01`   if input.since.length = 7
input.since   otherwise
… the first steps only — the rest of the body needs reading by hand.</t>
        </is>
      </c>
      <c r="H365" s="3" t="inlineStr">
        <is>
          <t>Accounts is input.accounts (or none — when missing). Debts is input.debts (or none — when missing). A state is build assets state(input.uid, accounts). D state is build debt state(input.uid, debts). Nw is build net worth(input.uid, a state.total asset value, d state.total debt balance). By class is asset allocation(accounts). Investable is investable assets(accounts). The answer is { unclassed, unclassed sentence }. When input.since is missing, it answers no answer. Today is input.today (or iso local date(new date()) — when missing). Start is `${input.since}-01` — when input.since.length = 7; input.since — otherwise. Only the first steps are shown; the rest of the body needs reading by hand.</t>
        </is>
      </c>
      <c r="I365" s="3" t="inlineStr">
        <is>
          <t>PARTLY READ — some of the code is still showing through; needs a hand pass</t>
        </is>
      </c>
      <c r="J365" s="3" t="inlineStr">
        <is>
          <t>Nothing is handed to it</t>
        </is>
      </c>
      <c r="K365" s="3" t="inlineStr">
        <is>
          <t>NOT DECLARED — the code does not say what it gives back</t>
        </is>
      </c>
      <c r="L365" s="3" t="inlineStr">
        <is>
          <t>1. "Monthly debt payments" — on the Net worth screen, under "💳  DEBTS"
2. "Net worth so far" — on the Net worth screen, under "EMERGENCY FUND"
3. "Net worth" — on the Home screen</t>
        </is>
      </c>
      <c r="M365" s="3" t="inlineStr">
        <is>
          <t>1. If alternatives is missing it uses 0.
2. If remaining balance is missing it counts as zero, so nothing recorded and a real zero look the same.
3. Uses today's date from the device clock, so the answer changes by itself overnight.</t>
        </is>
      </c>
      <c r="N365" s="3" t="inlineStr">
        <is>
          <t>Yes</t>
        </is>
      </c>
      <c r="O365" s="3" t="inlineStr">
        <is>
          <t>1. MK-NW-F-078 ONE
2. MK-NW-F-029 assetAllocation
3. MK-NW-F-011 assetClassOf
4. MK-NW-F-039 buildAssetsState
5. MK-ST-F-028 buildDayFromAccounts
6. MK-CF-F-036 buildDebtState
7. MK-NW-F-065 buildNetWorth
8. MK-NW-F-016 cashTotal
9. MK-NW-F-022 investableAssets
10. MK-NW-F-021 investmentsTotal
11. MK-NW-F-014 isRealAsset
12. MK-ST-F-065 isoLocalDate
13. MK-CF-F-132 map
14. MK-NW-F-106 mortgagesByProperty
15. MK-ST-F-082 movementsOf
16. MK-ST-F-039 on
17. MK-ST-F-030 record
18. MK-CF-F-023 requiredPayment
19. MK-ST-F-081 timeWeightedReturn
20. MK-XS-F-005 trendPoints
21. MK-XS-F-175 uid</t>
        </is>
      </c>
      <c r="P365" s="3" t="n">
        <v>214</v>
      </c>
      <c r="Q365" s="3" t="inlineStr">
        <is>
          <t>1. MK-NW-F-078 ONE
2. MK-NW-F-029 assetAllocation
3. MK-NW-F-011 assetClassOf
4. MK-NW-F-039 buildAssetsState
5. MK-ST-F-028 buildDayFromAccounts
6. MK-CF-F-036 buildDebtState
7. MK-NW-F-065 buildNetWorth
8. MK-NW-F-016 cashTotal
9. MK-NW-F-022 investableAssets
10. MK-NW-F-021 investmentsTotal
11. MK-NW-F-014 isRealAsset
12. MK-ST-F-065 isoLocalDate
13. MK-CF-F-132 map
14. MK-NW-F-106 mortgagesByProperty
15. MK-ST-F-082 movementsOf
16. MK-ST-F-039 on
17. MK-ST-F-030 record
18. MK-CF-F-023 requiredPayment
19. MK-ST-F-081 timeWeightedReturn
20. MK-XS-F-005 trendPoints
21. MK-XS-F-175 uid
22. MK-NW-F-077 ALL
23. MK-NW-F-059 currentYield
24. MK-XS-F-180 declareFigures
25. MK-ST-F-049 formatMoney
26. MK-ST-F-053 money
27. MK-NW-O-001 theBonds
28. MK-NW-F-027 accountClassBreakdown
29. MK-NW-F-120 classEvidenceOf
30. MK-CF-F-026 actualDebtPayment
31. MK-CF-F-204 line
32. MK-CF-F-025 minimumDebtService
33. MK-NW-F-066 sumWhere
34. MK-NW-F-015 totalAssets
35. MK-NW-F-023 wrapperWord
36. MK-CF-F-155 cash
37. MK-ST-F-056 has
38. MK-CF-F-022 paymentShape
39. MK-ST-F-027 accountId
40. MK-ST-F-083 accountValuesOn
41. MK-ST-F-080 isDay
42. MK-XS-F-009 readHistory
43. MK-CF-F-111 applyTransaction
44. MK-NW-F-040 assetsFromOnboarding
45. MK-PF-F-013 benchmarkTicker
46. MK-PF-F-034 closeOnOrBefore
47. MK-CF-F-186 convertTakeHomeMode
48. MK-ST-F-079 dailyWindowStart
49. MK-CF-F-038 debtsFromOnboarding
50. MK-XS-F-083 fetchPriceSeries
51. MK-ST-F-084 fillBetweenObservations
52. MK-PL-F-013 goalsFromOnboarding
53. MK-CF-F-116 inverseOf
54. MK-CF-F-112 makeTransaction
55. MK-XS-F-122 n
56. MK-ST-F-043 newEntityId
57. MK-XS-F-006 pruneDaily
58. MK-ST-F-073 rebuildDays
59. MK-NW-F-054 reclassifyAccounts
60. MK-XS-F-174 recomputeBalances
61. MK-CF-F-115 restoreUndo
62. MK-CF-F-109 reviewTransactions
63. MK-ST-F-044 setMoneyFormat
64. MK-CF-F-114 undoSnapshot
65. MK-CF-F-191 ym
66. MK-NW-F-112 yearlyInterest
67. MK-ST-F-048 currencySymbol
68. MK-NW-F-057 annualCoupon
69. MK-NW-F-056 bondInfo
70. MK-NW-F-064 bondRateSensitivity
71. MK-NW-F-061 bondSummary
72. MK-NW-F-055 isBond
73. MK-NW-F-072 rowOf
74. MK-NW-F-109 holdingClassOf
75. MK-NW-F-067 plural
76. MK-NW-F-008 incomeBearingClassOf
77. MK-NW-F-009 maturityClass
78. MK-CF-F-024 totalDebtMonthly
79. MK-CF-F-203 MONTH
80. MK-CF-F-021 defaultPaymentType
81. MK-XS-F-008 normalizeSnapshot
82. MK-CF-F-138 addLot
83. MK-CF-F-136 bumpCash
84. MK-CF-F-137 findPos
85. MK-CF-F-139 removeShares
86. MK-PF-F-001 totalShares
87. MK-ST-F-052 toNum
88. MK-CF-F-085 filingStatusOf
89. MK-CF-F-097 grossFromNet
90. MK-CF-F-185 needsTakeHomeConversion
91. MK-CF-F-089 over65CountOf
92. MK-CF-F-037 inferDebtType
93. MK-ST-F-069 amountOf
94. MK-CF-F-133 cashOf
95. MK-ST-F-066 isDayKey
96. MK-ST-F-070 isOpening
97. MK-ST-F-071 rebuildableFrom
98. MK-ST-F-068 stepDay
99. MK-ST-F-072 undo
100. MK-NW-F-053 correctClassOf
101. MK-NW-F-123 holdingNameEvidence
102. MK-NW-F-121 holdingTagClass
103. MK-NW-F-122 holdingTagFor
104. MK-PF-F-002 costBasis
105. MK-PF-F-009 latestClose
106. MK-PF-F-004 marketValue
107. MK-XS-F-024 resolveLens
108. MK-ST-F-055 round2
109. MK-CF-F-162 daysApart
110. MK-CF-F-108 isMoneyOut
111. MK-PL-F-074 median
112. MK-CF-F-131 normPayee
113. MK-CF-F-113 affectedAccountIds
114. MK-ST-F-047 activeCurrency
115. MK-NW-F-060 approxYTM
116. MK-NW-F-069 priceAtYield
117. MK-NW-F-131 pricedLikeBond
118. MK-NW-F-125 isPastMaturity
119. MK-NW-F-126 yearlyInterestNow
120. MK-NW-F-070 accruedInterestCaveat
121. MK-NW-F-058 yearsToMaturity
122. MK-ST-F-010 nameEvidence
123. MK-NW-F-068 prettyDay
124. MK-CF-F-201 INCOME
125. MK-CF-O-010 theMonth
126. MK-XS-F-121 isYm
127. MK-CF-F-134 usesSleeve
128. MK-CF-F-101 taxOwedFor
129. MK-ST-F-067 utcOfDay
130. MK-ST-F-035 covers
131. MK-PF-F-031 contractMultiplier
132. MK-CF-F-072 currentRetirementIncomeMonthly
133. MK-NW-F-119 estimatedAccrued
134. MK-NW-F-124 maturityParts
135. MK-XS-F-147 call
136. MK-CF-F-207 SOURCE
137. MK-CF-O-004 incomeSummary
138. MK-CF-O-002 expenses
139. MK-CF-O-003 thisMonth
140. MK-CF-F-100 taxableIncomeFor
141. MK-ST-F-034 firstDate
142. MK-CF-F-075 retirementIncomeMonthly
143. MK-XS-F-064 currentIdToken
144. MK-XS-F-112 relayUrl
145. MK-CF-O-016 incomeSources
146. MK-CF-O-001 basePay
147. MK-CF-F-069 benefitActiveMonths
148. MK-CF-F-173 earnerWages
149. MK-CF-F-179 entryFromWage
150. MK-CF-F-071 extraIncome
151. MK-CF-F-092 incomeMonthlyGrid
152. MK-CF-F-192 inflowLabel
153. MK-CF-F-103 marginalBracketFor
154. MK-CF-F-181 rateInForce
155. MK-CF-F-068 rentalNetAnnual
156. MK-CF-F-082 salaryAnnual
157. MK-CF-F-060 salaryGrossByMonth
158. MK-CF-F-084 taxableAnnual
159. MK-CF-F-151 actualSpending
160. MK-CF-F-150 debtPaymentsCountedAsExpenses
161. MK-CF-F-153 radar
162. MK-CF-F-149 recurringDebtPayments
163. MK-CF-F-005 actualMonthFlow
164. MK-CF-F-156 plannedMonthFlow
165. MK-CF-F-099 deductionFor
166. MK-CF-F-066 rsuAnnual
167. MK-CF-F-171 earnerPay
168. MK-HM-F-006 money0
169. MK-CF-F-198 payrollTaxWithheld
170. MK-CF-F-172 hasWage
171. MK-CF-F-165 salaryMonths
172. MK-CF-F-070 benefitAnnual
173. MK-CF-F-065 equityVestWeights
174. MK-CF-F-206 householdK401ByMonth
175. MK-CF-F-087 monthlyTaxRates
176. MK-CF-F-073 otherIncomeMonth
177. MK-CF-F-077 scholarshipByCalendarMonth
178. MK-CF-F-088 taxableByCalendarMonth
179. MK-CF-F-177 wageGrossByMonth
180. MK-PL-F-012 waterfall
181. MK-CF-F-193 inflowSourceWord
182. MK-CF-F-180 enteredLandsAnnual
183. MK-CF-F-086 stateRateOf
184. MK-CF-F-067 rentalList
185. MK-CF-F-176 sumMonthsOverEarners
186. MK-CF-F-074 tipsAnnual
187. MK-CF-F-148 inMonth
188. MK-CF-F-152 isRadarItem
189. MK-CF-F-157 debtPaymentsByDebt
190. MK-XS-F-027 takeHomeMonthly
191. MK-CF-F-187 seniorDeductionFor
192. MK-CF-F-062 equityRowValue
193. MK-CF-F-063 rowVestYear
194. MK-CF-F-143 annualisedGross
195. MK-CF-F-145 deductionsFromPay
196. MK-CF-F-128 grossByMonth
197. MK-CF-F-146 payFiguresAgree
198. MK-CF-F-144 takeHomeAsEntered
199. MK-HM-F-005 pctTxt
200. MK-CF-F-090 effectiveRate
201. MK-CF-F-130 enteredMonthlyRaw
202. MK-CF-F-166 hasMonthlySalaryTable
203. MK-ST-F-036 reconcile
204. MK-CF-F-167 salaryCalendarYear
205. MK-ST-F-085 rentFigure
206. MK-CF-F-081 salaryActiveMonths
207. MK-CF-F-011 savingsByMonth
208. MK-CF-F-142 monthsOf
209. MK-CF-F-141 perMonth
210. MK-CF-F-008 spendByMonth
211. MK-CF-F-140 periodsAYear
212. MK-CF-F-120 pctBaseMonthly
213. MK-CF-F-004 spendBuckets
214. MK-CF-F-003 categoryMonthly</t>
        </is>
      </c>
      <c r="R365" s="3" t="inlineStr">
        <is>
          <t>1. MK-ST-F-027 accountId → MK-NW-O-001 theBonds → MK-NW-F-077 ALL → MK-NW-F-078 ONE → MK-NW-O-003 theNetWorth
2. MK-NW-F-057 annualCoupon → MK-NW-O-001 theBonds → MK-NW-F-077 ALL → MK-NW-F-078 ONE → MK-NW-O-003 theNetWorth
3. MK-CF-F-155 cash → MK-NW-F-056 bondInfo → MK-NW-O-001 theBonds → MK-NW-F-077 ALL → MK-NW-F-078 ONE → MK-NW-O-003 theNetWorth
4. MK-NW-F-060 approxYTM → MK-NW-F-064 bondRateSensitivity → MK-NW-O-001 theBonds → MK-NW-F-077 ALL → MK-NW-F-078 ONE → MK-NW-O-003 theNetWorth
5. MK-NW-F-069 priceAtYield → MK-NW-F-064 bondRateSensitivity → MK-NW-O-001 theBonds → MK-NW-F-077 ALL → MK-NW-F-078 ONE → MK-NW-O-003 theNetWorth
6. MK-NW-F-131 pricedLikeBond → MK-NW-F-064 bondRateSensitivity → MK-NW-O-001 theBonds → MK-NW-F-077 ALL → MK-NW-F-078 ONE → MK-NW-O-003 theNetWorth
7. MK-NW-F-125 isPastMaturity → MK-NW-F-061 bondSummary → MK-NW-O-001 theBonds → MK-NW-F-077 ALL → MK-NW-F-078 ONE → MK-NW-O-003 theNetWorth
8. MK-ST-F-065 isoLocalDate → MK-NW-F-061 bondSummary → MK-NW-O-001 theBonds → MK-NW-F-077 ALL → MK-NW-F-078 ONE → MK-NW-O-003 theNetWorth
9. … and 5 more paths</t>
        </is>
      </c>
      <c r="S365" s="3" t="inlineStr">
        <is>
          <t>MK-MN-M-016 · MK-NW-M-001 · MK-NW-M-002 · MK-NW-M-003 · MK-NW-M-004 · MK-NW-M-005 · MK-NW-M-006 · MK-NW-M-007 · MK-NW-M-008 · MK-NW-M-009 · MK-NW-M-011 · MK-NW-M-015 · MK-NW-M-016 · MK-NW-M-017 · MK-NW-M-049 · MK-NW-M-063 · MK-XS-M-001 · MK-XS-M-003</t>
        </is>
      </c>
      <c r="T365" s="3" t="inlineStr">
        <is>
          <t>—</t>
        </is>
      </c>
      <c r="U365" s="3" t="inlineStr">
        <is>
          <t>ACTIVE</t>
        </is>
      </c>
      <c r="V365" s="3" t="inlineStr">
        <is>
          <t>2026-10-05</t>
        </is>
      </c>
      <c r="W365" s="3" t="n"/>
      <c r="X365" s="3" t="n"/>
      <c r="Y365" s="3" t="inlineStr">
        <is>
          <t>NOTHING OPEN</t>
        </is>
      </c>
    </row>
    <row r="366" ht="60" customHeight="1">
      <c r="A366" s="3" t="inlineStr">
        <is>
          <t>MK-NW-O-004</t>
        </is>
      </c>
      <c r="B366" s="3" t="inlineStr">
        <is>
          <t>theEmergencyFund</t>
        </is>
      </c>
      <c r="C366" s="3" t="inlineStr">
        <is>
          <t>MoneyKeel/functions/networth-and-performance/emergency-fund.ts</t>
        </is>
      </c>
      <c r="D366" s="3" t="n">
        <v>118</v>
      </c>
      <c r="E366" s="3" t="inlineStr">
        <is>
          <t>2 · DISPLAYED</t>
        </is>
      </c>
      <c r="F366" s="3" t="inlineStr">
        <is>
          <t>How many months of essential expenses would my cash cover?</t>
        </is>
      </c>
      <c r="G366" s="11" t="inlineStr">
        <is>
          <t>cash = input.cash override   if input.cash override ≠ nothing
cash total(input.accounts ?? [])   otherwise
debts = input.debts (or none when missing)
budget = the budget counted({ profile: input.profile, accounts: input.accounts ?? [], debts })
profile = budget.profile
minimum of = (d: any) =&gt; (payment shape(d) = 'due_in_full' ? 0 : math.max(0, number(minimum monthly payment) or 0))
debt minimums = debts.reduce((t: number, d: any) =&gt; t + minimum of(d), 0)
named = a list with no repeats of for each of debts: string(label)
ess = essentials monthly(counted, monthly essentials(profile))
planned = planned monthly spend(profile) + debt minimums
rent = max(0, income summary(input.profile ?? {}).lands.rent monthly)
from cash = max(0, monthly − rent)
… the first steps only — the rest of the body needs reading by hand.</t>
        </is>
      </c>
      <c r="H366" s="3" t="inlineStr">
        <is>
          <t>Cash is input.cash override — when input.cash override is not no answer; cash total(input.accounts ?? []) — otherwise. Debts is input.debts (or none — when missing). Budget: the budget counted({ profile: input.profile, accounts: input.accounts ?? [], debts }). Profile is budget.profile. Minimum of is (d: any) =&gt; (payment shape(d) = 'due_in_full' ? 0 : math.number(minimum monthly payment, never below zero or 0)). Debt minimums is debts.reduce((t: number, d: any) =&gt; t plus minimum of(d), 0). Named is a list with no repeats of for each of debts: string(label). Ess is essentials monthly(counted, monthly essentials(profile)). Planned is planned monthly spend(profile) plus debt minimums. Rent is income summary(input.profile ?? {}, never below zero.lands.rent monthly). From cash is monthly minus rent, never below zero. Only the first steps are shown; the rest of the body needs reading by hand.</t>
        </is>
      </c>
      <c r="I366" s="3" t="inlineStr">
        <is>
          <t>PARTLY READ — some of the code is still showing through; needs a hand pass</t>
        </is>
      </c>
      <c r="J366" s="3" t="inlineStr">
        <is>
          <t>Nothing is handed to it</t>
        </is>
      </c>
      <c r="K366" s="3" t="inlineStr">
        <is>
          <t>NOT DECLARED — the code does not say what it gives back</t>
        </is>
      </c>
      <c r="L366" s="3" t="inlineStr">
        <is>
          <t>1. "Enter rent to include." — on the Job safety screen, under "covered ?"
2. "Enter rent to include." — on the Stress test screen</t>
        </is>
      </c>
      <c r="M366" s="3" t="inlineStr">
        <is>
          <t>1. If monthly is missing it uses 0.
2. Never lets cash after fall below 0.</t>
        </is>
      </c>
      <c r="N366" s="3" t="inlineStr">
        <is>
          <t>Yes</t>
        </is>
      </c>
      <c r="O366" s="3" t="inlineStr">
        <is>
          <t>1. MK-CF-F-155 cash
2. MK-NW-F-016 cashTotal
3. MK-CF-F-010 emergencyTest
4. MK-CF-F-190 essentialsMonthly
5. MK-ST-F-056 has
6. MK-CF-O-004 incomeSummary
7. MK-CF-F-132 map
8. MK-CF-F-009 monthlyEssentials
9. MK-CF-F-022 paymentShape
10. MK-CF-F-002 plannedMonthlySpend
11. MK-NW-F-117 propertyUseMap
12. MK-ST-F-085 rentFigure
13. MK-CF-O-020 theBudgetCounted</t>
        </is>
      </c>
      <c r="P366" s="3" t="n">
        <v>151</v>
      </c>
      <c r="Q366" s="3" t="inlineStr">
        <is>
          <t>1. MK-CF-F-155 cash
2. MK-NW-F-016 cashTotal
3. MK-CF-F-010 emergencyTest
4. MK-CF-F-190 essentialsMonthly
5. MK-ST-F-056 has
6. MK-CF-O-004 incomeSummary
7. MK-CF-F-132 map
8. MK-CF-F-009 monthlyEssentials
9. MK-CF-F-022 paymentShape
10. MK-CF-F-002 plannedMonthlySpend
11. MK-NW-F-117 propertyUseMap
12. MK-ST-F-085 rentFigure
13. MK-CF-O-020 theBudgetCounted
14. MK-XS-F-122 n
15. MK-NW-F-027 accountClassBreakdown
16. MK-NW-F-029 assetAllocation
17. MK-NW-F-011 assetClassOf
18. MK-CF-F-189 essentialsFromLoggedSpending
19. MK-CF-O-002 expenses
20. MK-CF-F-203 MONTH
21. MK-CF-O-001 basePay
22. MK-CF-F-069 benefitActiveMonths
23. MK-CF-F-072 currentRetirementIncomeMonthly
24. MK-CF-F-173 earnerWages
25. MK-CF-F-179 entryFromWage
26. MK-CF-F-071 extraIncome
27. MK-CF-F-085 filingStatusOf
28. MK-CF-F-092 incomeMonthlyGrid
29. MK-CF-F-192 inflowLabel
30. MK-CF-F-103 marginalBracketFor
31. MK-CF-F-089 over65CountOf
32. MK-CF-F-181 rateInForce
33. MK-CF-F-068 rentalNetAnnual
34. MK-CF-F-082 salaryAnnual
35. MK-CF-F-060 salaryGrossByMonth
36. MK-CF-F-084 taxableAnnual
37. MK-ST-F-052 toNum
38. MK-CF-F-120 pctBaseMonthly
39. MK-CF-F-004 spendBuckets
40. MK-CF-F-021 defaultPaymentType
41. MK-XS-F-027 takeHomeMonthly
42. MK-NW-F-116 rentedIdsOf
43. MK-NW-F-106 mortgagesByProperty
44. MK-NW-F-107 propertyUses
45. MK-NW-F-109 holdingClassOf
46. MK-NW-F-067 plural
47. MK-NW-F-120 classEvidenceOf
48. MK-CF-F-191 ym
49. MK-CF-F-151 actualSpending
50. MK-CF-F-150 debtPaymentsCountedAsExpenses
51. MK-CF-F-153 radar
52. MK-CF-F-149 recurringDebtPayments
53. MK-CF-O-010 theMonth
54. MK-ST-F-035 covers
55. MK-CF-F-171 earnerPay
56. MK-CF-F-204 line
57. MK-ST-F-053 money
58. MK-HM-F-006 money0
59. MK-CF-F-198 payrollTaxWithheld
60. MK-CF-F-075 retirementIncomeMonthly
61. MK-CF-F-172 hasWage
62. MK-CF-F-165 salaryMonths
63. MK-CF-F-070 benefitAnnual
64. MK-ST-F-039 on
65. MK-CF-F-065 equityVestWeights
66. MK-CF-F-206 householdK401ByMonth
67. MK-CF-F-087 monthlyTaxRates
68. MK-CF-F-073 otherIncomeMonth
69. MK-CF-F-066 rsuAnnual
70. MK-CF-F-077 scholarshipByCalendarMonth
71. MK-CF-F-088 taxableByCalendarMonth
72. MK-CF-F-177 wageGrossByMonth
73. MK-PL-F-012 waterfall
74. MK-CF-F-193 inflowSourceWord
75. MK-CF-F-100 taxableIncomeFor
76. MK-CF-F-180 enteredLandsAnnual
77. MK-CF-F-086 stateRateOf
78. MK-CF-F-101 taxOwedFor
79. MK-CF-F-067 rentalList
80. MK-CF-F-176 sumMonthsOverEarners
81. MK-CF-F-074 tipsAnnual
82. MK-CF-F-003 categoryMonthly
83. MK-CF-F-011 savingsByMonth
84. MK-NW-F-115 liveRent
85. MK-CF-F-023 requiredPayment
86. MK-NW-F-123 holdingNameEvidence
87. MK-NW-F-121 holdingTagClass
88. MK-NW-F-054 reclassifyAccounts
89. MK-NW-F-008 incomeBearingClassOf
90. MK-NW-F-009 maturityClass
91. MK-CF-F-148 inMonth
92. MK-CF-F-152 isRadarItem
93. MK-CF-O-003 thisMonth
94. MK-ST-F-034 firstDate
95. MK-CF-F-143 annualisedGross
96. MK-CF-F-145 deductionsFromPay
97. MK-CF-F-128 grossByMonth
98. MK-CF-F-146 payFiguresAgree
99. MK-CF-F-144 takeHomeAsEntered
100. MK-XS-F-180 declareFigures
101. MK-ST-F-049 formatMoney
102. MK-HM-F-005 pctTxt
103. MK-CF-F-062 equityRowValue
104. MK-CF-F-090 effectiveRate
105. MK-CF-F-063 rowVestYear
106. MK-CF-F-130 enteredMonthlyRaw
107. MK-CF-F-166 hasMonthlySalaryTable
108. MK-ST-F-036 reconcile
109. MK-CF-F-167 salaryCalendarYear
110. MK-CF-F-099 deductionFor
111. MK-CF-F-081 salaryActiveMonths
112. MK-CF-F-008 spendByMonth
113. MK-NW-F-114 rentAmount
114. MK-NW-F-053 correctClassOf
115. MK-NW-F-122 holdingTagFor
116. MK-ST-F-010 nameEvidence
117. MK-NW-F-068 prettyDay
118. MK-CF-F-005 actualMonthFlow
119. MK-CF-F-156 plannedMonthFlow
120. MK-CF-F-142 monthsOf
121. MK-CF-F-141 perMonth
122. MK-ST-F-048 currencySymbol
123. MK-CF-F-187 seniorDeductionFor
124. MK-XS-F-147 call
125. MK-NW-F-078 ONE
126. MK-CF-F-157 debtPaymentsByDebt
127. MK-CF-F-140 periodsAYear
128. MK-ST-F-047 activeCurrency
129. MK-ST-F-027 accountId
130. MK-XS-F-064 currentIdToken
131. MK-XS-F-112 relayUrl
132. MK-NW-F-077 ALL
133. MK-NW-F-059 currentYield
134. MK-NW-O-001 theBonds
135. MK-NW-F-112 yearlyInterest
136. MK-NW-F-057 annualCoupon
137. MK-NW-F-056 bondInfo
138. MK-NW-F-064 bondRateSensitivity
139. MK-NW-F-061 bondSummary
140. MK-NW-F-055 isBond
141. MK-NW-F-072 rowOf
142. MK-NW-F-060 approxYTM
143. MK-NW-F-069 priceAtYield
144. MK-NW-F-131 pricedLikeBond
145. MK-NW-F-125 isPastMaturity
146. MK-ST-F-065 isoLocalDate
147. MK-NW-F-126 yearlyInterestNow
148. MK-NW-F-070 accruedInterestCaveat
149. MK-NW-F-058 yearsToMaturity
150. MK-NW-F-119 estimatedAccrued
151. MK-NW-F-124 maturityParts</t>
        </is>
      </c>
      <c r="R366" s="3" t="inlineStr">
        <is>
          <t>1. MK-XS-F-122 n → MK-CF-F-155 cash → MK-NW-O-004 theEmergencyFund
2. MK-CF-F-155 cash → MK-NW-F-120 classEvidenceOf → MK-NW-F-011 assetClassOf → MK-NW-F-027 accountClassBreakdown → MK-NW-F-016 cashTotal → MK-NW-O-004 theEmergencyFund
3. MK-NW-F-008 incomeBearingClassOf → MK-NW-F-120 classEvidenceOf → MK-NW-F-011 assetClassOf → MK-NW-F-027 accountClassBreakdown → MK-NW-F-016 cashTotal → MK-NW-O-004 theEmergencyFund
4. MK-NW-F-009 maturityClass → MK-NW-F-120 classEvidenceOf → MK-NW-F-011 assetClassOf → MK-NW-F-027 accountClassBreakdown → MK-NW-F-016 cashTotal → MK-NW-O-004 theEmergencyFund
5. MK-XS-F-122 n → MK-CF-F-155 cash → MK-NW-F-027 accountClassBreakdown → MK-NW-F-016 cashTotal → MK-NW-O-004 theEmergencyFund
6. MK-ST-F-056 has → MK-NW-F-027 accountClassBreakdown → MK-NW-F-016 cashTotal → MK-NW-O-004 theEmergencyFund
7. MK-CF-F-155 cash → MK-NW-F-123 holdingNameEvidence → MK-NW-F-109 holdingClassOf → MK-NW-F-027 accountClassBreakdown → MK-NW-F-016 cashTotal → MK-NW-O-004 theEmergencyFund
8. MK-NW-F-008 incomeBearingClassOf → MK-NW-F-123 holdingNameEvidence → MK-NW-F-109 holdingClassOf → MK-NW-F-027 accountClassBreakdown → MK-NW-F-016 cashTotal → MK-NW-O-004 theEmergencyFund
9. … and 5 more paths</t>
        </is>
      </c>
      <c r="S366" s="3" t="inlineStr">
        <is>
          <t>MK-NW-M-046 · MK-NW-M-047 · MK-NW-M-048 · MK-NW-M-064</t>
        </is>
      </c>
      <c r="T366" s="3" t="inlineStr">
        <is>
          <t>—</t>
        </is>
      </c>
      <c r="U366" s="3" t="inlineStr">
        <is>
          <t>DECOMMISSIONED 2026-09-28 — it was here and is not any more. Kept so the number is never reused and earlier work can still be traced.</t>
        </is>
      </c>
      <c r="V366" s="3" t="inlineStr">
        <is>
          <t>2026-10-05</t>
        </is>
      </c>
      <c r="W366" s="3" t="n"/>
      <c r="X366" s="3" t="n"/>
      <c r="Y366" s="3" t="inlineStr">
        <is>
          <t>NOTHING OPEN</t>
        </is>
      </c>
    </row>
    <row r="367" ht="60" customHeight="1">
      <c r="A367" s="3" t="inlineStr">
        <is>
          <t>MK-NW-O-005</t>
        </is>
      </c>
      <c r="B367" s="3" t="inlineStr">
        <is>
          <t>theAlternativesOutlook</t>
        </is>
      </c>
      <c r="C367" s="3" t="inlineStr">
        <is>
          <t>MoneyKeel/functions/networth-and-performance/alternatives-outlook.ts</t>
        </is>
      </c>
      <c r="D367" s="3" t="n">
        <v>82</v>
      </c>
      <c r="E367" s="3" t="inlineStr">
        <is>
          <t>2 · DISPLAYED</t>
        </is>
      </c>
      <c r="F367" s="3" t="inlineStr">
        <is>
          <t>What might my alternative investments earn in a year: the expected rate, and the money it comes to?</t>
        </is>
      </c>
      <c r="G367" s="11" t="inlineStr">
        <is>
          <t>accounts = input.accounts (or none when missing)
s = alternatives summary(accounts)</t>
        </is>
      </c>
      <c r="H367" s="3" t="inlineStr">
        <is>
          <t>Accounts is input.accounts (or none — when missing). S is alternatives summary(accounts).</t>
        </is>
      </c>
      <c r="I367" s="3" t="inlineStr">
        <is>
          <t>PARTLY READ — some of the code is still showing through; needs a hand pass</t>
        </is>
      </c>
      <c r="J367" s="3" t="inlineStr">
        <is>
          <t>input: { accounts: AssetAccount[] }</t>
        </is>
      </c>
      <c r="K367" s="3" t="inlineStr">
        <is>
          <t>AlternativesOutlook</t>
        </is>
      </c>
      <c r="L367" s="3" t="inlineStr">
        <is>
          <t>1. "EST. GROWTH /year" — on the Other investments screen, under "ALTERNATIVES"
2. "EXP. RETURN" — on the Other investments screen, under "ALTERNATIVES"</t>
        </is>
      </c>
      <c r="M367" s="3" t="inlineStr">
        <is>
          <t>None found in this function — anything it assumes comes from the functions it depends on.</t>
        </is>
      </c>
      <c r="N367" s="3" t="inlineStr">
        <is>
          <t>Yes</t>
        </is>
      </c>
      <c r="O367" s="3" t="inlineStr">
        <is>
          <t>1. MK-NW-F-113 altPartsOf
2. MK-NW-F-002 alternativesSummary
3. MK-NW-F-034 benchmarkReturn
4. MK-NW-F-037 blendedReturn
5. MK-NW-F-028 classPortionLabel
6. MK-NW-F-001 isAlternative
7. MK-CF-F-132 map
8. MK-NW-F-132 notClassifiedWords</t>
        </is>
      </c>
      <c r="P367" s="3" t="n">
        <v>142</v>
      </c>
      <c r="Q367" s="3" t="inlineStr">
        <is>
          <t>1. MK-NW-F-113 altPartsOf
2. MK-NW-F-002 alternativesSummary
3. MK-NW-F-034 benchmarkReturn
4. MK-NW-F-037 blendedReturn
5. MK-NW-F-028 classPortionLabel
6. MK-NW-F-001 isAlternative
7. MK-CF-F-132 map
8. MK-NW-F-132 notClassifiedWords
9. MK-NW-F-027 accountClassBreakdown
10. MK-NW-F-109 holdingClassOf
11. MK-CF-F-200 LINE
12. MK-CF-F-204 line
13. MK-NW-F-007 assetKind
14. MK-NW-F-032 earmarkedAmount
15. MK-NW-F-031 primaryCarIdOf
16. MK-NW-F-110 primaryHomeIdOf
17. MK-XS-F-120 nameOf
18. MK-NW-F-067 plural
19. MK-NW-F-011 assetClassOf
20. MK-ST-F-049 formatMoney
21. MK-CF-F-155 cash
22. MK-ST-F-056 has
23. MK-NW-F-123 holdingNameEvidence
24. MK-NW-F-121 holdingTagClass
25. MK-NW-F-054 reclassifyAccounts
26. MK-XS-F-180 declareFigures
27. MK-CF-O-006 theCreditLine
28. MK-CF-F-203 MONTH
29. MK-NW-F-030 earmarkDefault
30. MK-NW-F-134 carValueNotEnteredNotes
31. MK-NW-F-133 valueEntered
32. MK-NW-F-117 propertyUseMap
33. MK-XS-F-122 n
34. MK-NW-F-120 classEvidenceOf
35. MK-ST-F-048 currencySymbol
36. MK-ST-F-039 on
37. MK-NW-F-008 incomeBearingClassOf
38. MK-NW-F-053 correctClassOf
39. MK-NW-F-122 holdingTagFor
40. MK-CF-F-031 creditUtilization
41. MK-CF-O-010 theMonth
42. MK-ST-F-053 money
43. MK-NW-F-033 retirementEarmarkedValue
44. MK-NW-F-116 rentedIdsOf
45. MK-NW-F-009 maturityClass
46. MK-ST-F-047 activeCurrency
47. MK-ST-F-010 nameEvidence
48. MK-CF-O-002 expenses
49. MK-CF-O-003 thisMonth
50. MK-NW-F-115 liveRent
51. MK-NW-F-068 prettyDay
52. MK-XS-F-147 call
53. MK-CF-F-151 actualSpending
54. MK-CF-F-150 debtPaymentsCountedAsExpenses
55. MK-CF-F-153 radar
56. MK-CF-F-149 recurringDebtPayments
57. MK-CF-F-005 actualMonthFlow
58. MK-CF-F-156 plannedMonthFlow
59. MK-NW-F-114 rentAmount
60. MK-ST-F-027 accountId
61. MK-XS-F-064 currentIdToken
62. MK-XS-F-112 relayUrl
63. MK-CF-F-148 inMonth
64. MK-ST-F-052 toNum
65. MK-CF-F-191 ym
66. MK-CF-F-022 paymentShape
67. MK-CF-F-152 isRadarItem
68. MK-CF-F-023 requiredPayment
69. MK-NW-F-078 ONE
70. MK-CF-F-157 debtPaymentsByDebt
71. MK-CF-F-192 inflowLabel
72. MK-XS-F-027 takeHomeMonthly
73. MK-ST-F-085 rentFigure
74. MK-CF-F-021 defaultPaymentType
75. MK-NW-F-077 ALL
76. MK-NW-F-059 currentYield
77. MK-NW-O-001 theBonds
78. MK-CF-F-193 inflowSourceWord
79. MK-CF-F-092 incomeMonthlyGrid
80. MK-CF-F-011 savingsByMonth
81. MK-NW-F-112 yearlyInterest
82. MK-NW-F-057 annualCoupon
83. MK-NW-F-056 bondInfo
84. MK-NW-F-064 bondRateSensitivity
85. MK-NW-F-061 bondSummary
86. MK-NW-F-055 isBond
87. MK-NW-F-072 rowOf
88. MK-CF-F-069 benefitActiveMonths
89. MK-CF-F-072 currentRetirementIncomeMonthly
90. MK-CF-F-173 earnerWages
91. MK-CF-F-065 equityVestWeights
92. MK-CF-F-071 extraIncome
93. MK-CF-F-206 householdK401ByMonth
94. MK-CF-F-087 monthlyTaxRates
95. MK-CF-F-073 otherIncomeMonth
96. MK-CF-F-181 rateInForce
97. MK-CF-F-068 rentalNetAnnual
98. MK-CF-F-066 rsuAnnual
99. MK-CF-F-060 salaryGrossByMonth
100. MK-CF-F-077 scholarshipByCalendarMonth
101. MK-CF-F-088 taxableByCalendarMonth
102. MK-CF-F-177 wageGrossByMonth
103. MK-PL-F-012 waterfall
104. MK-CF-F-008 spendByMonth
105. MK-NW-F-060 approxYTM
106. MK-NW-F-069 priceAtYield
107. MK-NW-F-131 pricedLikeBond
108. MK-NW-F-125 isPastMaturity
109. MK-ST-F-065 isoLocalDate
110. MK-NW-F-126 yearlyInterestNow
111. MK-NW-F-070 accruedInterestCaveat
112. MK-NW-F-058 yearsToMaturity
113. MK-CF-F-075 retirementIncomeMonthly
114. MK-CF-F-172 hasWage
115. MK-CF-F-062 equityRowValue
116. MK-CF-F-070 benefitAnnual
117. MK-CF-F-176 sumMonthsOverEarners
118. MK-CF-F-090 effectiveRate
119. MK-CF-F-180 enteredLandsAnnual
120. MK-CF-F-085 filingStatusOf
121. MK-CF-F-089 over65CountOf
122. MK-CF-F-082 salaryAnnual
123. MK-CF-F-086 stateRateOf
124. MK-CF-F-101 taxOwedFor
125. MK-CF-F-084 taxableAnnual
126. MK-CF-F-067 rentalList
127. MK-CF-F-063 rowVestYear
128. MK-CF-F-130 enteredMonthlyRaw
129. MK-CF-F-166 hasMonthlySalaryTable
130. MK-ST-F-036 reconcile
131. MK-CF-F-167 salaryCalendarYear
132. MK-CF-F-120 pctBaseMonthly
133. MK-CF-F-004 spendBuckets
134. MK-NW-F-119 estimatedAccrued
135. MK-NW-F-124 maturityParts
136. MK-CF-F-100 taxableIncomeFor
137. MK-CF-F-074 tipsAnnual
138. MK-CF-F-165 salaryMonths
139. MK-CF-F-003 categoryMonthly
140. MK-CF-F-099 deductionFor
141. MK-CF-F-081 salaryActiveMonths
142. MK-CF-F-187 seniorDeductionFor</t>
        </is>
      </c>
      <c r="R367" s="3" t="inlineStr">
        <is>
          <t>1. MK-CF-F-155 cash → MK-NW-F-120 classEvidenceOf → MK-NW-F-011 assetClassOf → MK-NW-F-027 accountClassBreakdown → MK-NW-F-113 altPartsOf → MK-NW-O-005 theAlternativesOutlook
2. MK-NW-F-008 incomeBearingClassOf → MK-NW-F-120 classEvidenceOf → MK-NW-F-011 assetClassOf → MK-NW-F-027 accountClassBreakdown → MK-NW-F-113 altPartsOf → MK-NW-O-005 theAlternativesOutlook
3. MK-NW-F-009 maturityClass → MK-NW-F-120 classEvidenceOf → MK-NW-F-011 assetClassOf → MK-NW-F-027 accountClassBreakdown → MK-NW-F-113 altPartsOf → MK-NW-O-005 theAlternativesOutlook
4. MK-XS-F-122 n → MK-CF-F-155 cash → MK-NW-F-027 accountClassBreakdown → MK-NW-F-113 altPartsOf → MK-NW-O-005 theAlternativesOutlook
5. MK-ST-F-056 has → MK-NW-F-027 accountClassBreakdown → MK-NW-F-113 altPartsOf → MK-NW-O-005 theAlternativesOutlook
6. MK-CF-F-155 cash → MK-NW-F-123 holdingNameEvidence → MK-NW-F-109 holdingClassOf → MK-NW-F-027 accountClassBreakdown → MK-NW-F-113 altPartsOf → MK-NW-O-005 theAlternativesOutlook
7. MK-NW-F-008 incomeBearingClassOf → MK-NW-F-123 holdingNameEvidence → MK-NW-F-109 holdingClassOf → MK-NW-F-027 accountClassBreakdown → MK-NW-F-113 altPartsOf → MK-NW-O-005 theAlternativesOutlook
8. MK-NW-F-121 holdingTagClass → MK-NW-F-109 holdingClassOf → MK-NW-F-027 accountClassBreakdown → MK-NW-F-113 altPartsOf → MK-NW-O-005 theAlternativesOutlook
9. … and 5 more paths</t>
        </is>
      </c>
      <c r="S367" s="3" t="inlineStr">
        <is>
          <t>MK-NW-M-050 · MK-NW-M-051 · MK-NW-M-052</t>
        </is>
      </c>
      <c r="T367" s="3" t="inlineStr">
        <is>
          <t>—</t>
        </is>
      </c>
      <c r="U367" s="3" t="inlineStr">
        <is>
          <t>ACTIVE</t>
        </is>
      </c>
      <c r="V367" s="3" t="inlineStr">
        <is>
          <t>2026-10-01</t>
        </is>
      </c>
      <c r="W367" s="3" t="n"/>
      <c r="X367" s="3" t="n"/>
      <c r="Y367" s="3" t="inlineStr">
        <is>
          <t>NOTHING OPEN</t>
        </is>
      </c>
    </row>
    <row r="368" ht="60" customHeight="1">
      <c r="A368" s="3" t="inlineStr">
        <is>
          <t>MK-NW-O-006</t>
        </is>
      </c>
      <c r="B368" s="3" t="inlineStr">
        <is>
          <t>theHolding</t>
        </is>
      </c>
      <c r="C368" s="3" t="inlineStr">
        <is>
          <t>MoneyKeel/functions/networth-and-performance/holding.ts</t>
        </is>
      </c>
      <c r="D368" s="3" t="n">
        <v>108</v>
      </c>
      <c r="E368" s="3" t="inlineStr">
        <is>
          <t>2 · DISPLAYED</t>
        </is>
      </c>
      <c r="F368" s="3" t="inlineStr">
        <is>
          <t>How is this one holding doing: its value, its cost, and its gains realised and not yet realised?</t>
        </is>
      </c>
      <c r="G368" s="11" t="inlineStr">
        <is>
          <t>now = input.now (or new date() when missing)
p = input.position
ticker = string((p as any).ticker ?? '')
shares = total shares(p)
paid = cost basis(p)
priced = input.price ≠ nothing
value = market value(p, input.price as number)   if priced
paid   otherwise
a year ago = the first 10 of the date now.get time() − 365 × 24 × 3600 × 1000).to isostring(
div rows = named where type = 'DIVIDEND'
sum = Σ over (list: any[]) =&gt; list of (amount (or 0 when missing or zero))
c = input.recent closes (or none when missing)
… the first steps only — the rest of the body needs reading by hand.</t>
        </is>
      </c>
      <c r="H368" s="3" t="inlineStr">
        <is>
          <t>Now is input.now (or new date() — when missing). P is input.position. Ticker is string((p as any).ticker ?? ''). Shares is total shares(p). Paid is cost basis(p). Priced is input.price is not no answer. Value is market value(p, input.price as number) — when priced; paid — otherwise. A year ago: the first 10 of the date now.get time() minus 365 times 24 times 3600 times 1000).to isostring(. Div rows is named where type = 'DIVIDEND'. Sum: the amount (or 0 — when missing or zero) added up across (list: any[]) =&gt; list. C is input.recent closes (or none — when missing). Only the first steps are shown; the rest of the body needs reading by hand.</t>
        </is>
      </c>
      <c r="I368" s="3" t="inlineStr">
        <is>
          <t>PARTLY READ — some of the code is still showing through; needs a hand pass</t>
        </is>
      </c>
      <c r="J368" s="3" t="inlineStr">
        <is>
          <t>Nothing is handed to it</t>
        </is>
      </c>
      <c r="K368" s="3" t="inlineStr">
        <is>
          <t>NOT DECLARED — the code does not say what it gives back</t>
        </is>
      </c>
      <c r="L368" s="3" t="inlineStr">
        <is>
          <t>NOT FOUND — a screen calls it, but the words printed beside its answer could not be traced automatically. Needs reading.</t>
        </is>
      </c>
      <c r="M368" s="3" t="inlineStr">
        <is>
          <t>1. If amount is missing it counts as zero, so nothing recorded and a real zero look the same.
2. If shares is missing it counts as zero, so nothing recorded and a real zero look the same.
3. If cost per share is missing it counts as zero, so nothing recorded and a real zero look the same.
4. Uses today's date from the device clock, so the answer changes by itself overnight.</t>
        </is>
      </c>
      <c r="N368" s="3" t="inlineStr">
        <is>
          <t>Yes</t>
        </is>
      </c>
      <c r="O368" s="3" t="inlineStr">
        <is>
          <t>1. MK-PF-F-006 capGains
2. MK-PF-F-031 contractMultiplier
3. MK-PF-F-002 costBasis
4. MK-CF-F-132 map
5. MK-PF-F-004 marketValue
6. MK-PF-F-028 realizedFromLedger
7. MK-PF-F-001 totalShares</t>
        </is>
      </c>
      <c r="P368" s="3" t="n">
        <v>8</v>
      </c>
      <c r="Q368" s="3" t="inlineStr">
        <is>
          <t>1. MK-PF-F-006 capGains
2. MK-PF-F-031 contractMultiplier
3. MK-PF-F-002 costBasis
4. MK-CF-F-132 map
5. MK-PF-F-004 marketValue
6. MK-PF-F-028 realizedFromLedger
7. MK-PF-F-001 totalShares
8. MK-XS-F-122 n</t>
        </is>
      </c>
      <c r="R368" s="3" t="inlineStr">
        <is>
          <t>1. MK-PF-F-031 contractMultiplier → MK-PF-F-006 capGains → MK-NW-O-006 theHolding
2. MK-XS-F-122 n → MK-PF-F-006 capGains → MK-NW-O-006 theHolding
3. MK-PF-F-031 contractMultiplier → MK-NW-O-006 theHolding
4. MK-PF-F-031 contractMultiplier → MK-PF-F-002 costBasis → MK-NW-O-006 theHolding
5. MK-CF-F-132 map → MK-NW-O-006 theHolding
6. MK-PF-F-031 contractMultiplier → MK-PF-F-004 marketValue → MK-NW-O-006 theHolding
7. MK-PF-F-001 totalShares → MK-PF-F-004 marketValue → MK-NW-O-006 theHolding
8. MK-PF-F-028 realizedFromLedger → MK-NW-O-006 theHolding
9. … and 1 more paths</t>
        </is>
      </c>
      <c r="S368" s="3" t="inlineStr">
        <is>
          <t>MK-NW-M-029 · MK-NW-M-030 · MK-NW-M-031 · MK-NW-M-033 · MK-NW-M-034 · MK-NW-M-035 · MK-NW-M-036 · MK-NW-M-037 · MK-NW-M-059 · MK-NW-M-060 · MK-NW-M-061</t>
        </is>
      </c>
      <c r="T368" s="3" t="inlineStr">
        <is>
          <t>—</t>
        </is>
      </c>
      <c r="U368" s="3" t="inlineStr">
        <is>
          <t>ACTIVE</t>
        </is>
      </c>
      <c r="V368" s="3" t="inlineStr">
        <is>
          <t>2026-10-01</t>
        </is>
      </c>
      <c r="W368" s="3" t="n"/>
      <c r="X368" s="3" t="n"/>
      <c r="Y368" s="3" t="inlineStr">
        <is>
          <t>NOTHING OPEN</t>
        </is>
      </c>
    </row>
    <row r="369" ht="45" customHeight="1">
      <c r="A369" s="3" t="inlineStr">
        <is>
          <t>MK-NW-O-007</t>
        </is>
      </c>
      <c r="B369" s="3" t="inlineStr">
        <is>
          <t>theLookBack</t>
        </is>
      </c>
      <c r="C369" s="3" t="inlineStr">
        <is>
          <t>MoneyKeel/functions/networth-and-performance/look-back.ts</t>
        </is>
      </c>
      <c r="D369" s="3" t="n">
        <v>44</v>
      </c>
      <c r="E369" s="3" t="inlineStr">
        <is>
          <t>2 · DISPLAYED</t>
        </is>
      </c>
      <c r="F369" s="3" t="inlineStr">
        <is>
          <t>What would this holding be worth today had I put the same money into something else on the same days?</t>
        </is>
      </c>
      <c r="G369" s="11" t="inlineStr">
        <is>
          <t>look back(input.amount, input.from series, input.to series, input.months, input.now ?? new date())</t>
        </is>
      </c>
      <c r="H369" s="3" t="inlineStr">
        <is>
          <t>look back(input.amount, input.from series, input.to series, input.months, input.now ?? new date()).</t>
        </is>
      </c>
      <c r="I369" s="3" t="inlineStr">
        <is>
          <t>PARTLY READ — some of the code is still showing through; needs a hand pass</t>
        </is>
      </c>
      <c r="J369" s="3" t="inlineStr">
        <is>
          <t>Nothing is handed to it</t>
        </is>
      </c>
      <c r="K369" s="3" t="inlineStr">
        <is>
          <t>NOT DECLARED — the code does not say what it gives back</t>
        </is>
      </c>
      <c r="L369" s="3" t="inlineStr">
        <is>
          <t>NOT FOUND — a screen calls it, but the words printed beside its answer could not be traced automatically. Needs reading.</t>
        </is>
      </c>
      <c r="M369" s="3" t="inlineStr">
        <is>
          <t>· Uses today's date from the device clock, so the answer changes by itself overnight.</t>
        </is>
      </c>
      <c r="N369" s="3" t="inlineStr">
        <is>
          <t>Yes</t>
        </is>
      </c>
      <c r="O369" s="3" t="inlineStr">
        <is>
          <t>MK-PF-F-023 lookBack</t>
        </is>
      </c>
      <c r="P369" s="3" t="n">
        <v>3</v>
      </c>
      <c r="Q369" s="3" t="inlineStr">
        <is>
          <t>1. MK-PF-F-023 lookBack
2. MK-PF-F-022 factorOverMonths
3. MK-ST-F-065 isoLocalDate</t>
        </is>
      </c>
      <c r="R369" s="3" t="inlineStr">
        <is>
          <t>MK-ST-F-065 isoLocalDate → MK-PF-F-022 factorOverMonths → MK-PF-F-023 lookBack → MK-NW-O-007 theLookBack</t>
        </is>
      </c>
      <c r="S369" s="3" t="inlineStr">
        <is>
          <t>MK-PF-M-010 · MK-PF-M-011 · MK-PF-M-012</t>
        </is>
      </c>
      <c r="T369" s="3" t="inlineStr">
        <is>
          <t>—</t>
        </is>
      </c>
      <c r="U369" s="3" t="inlineStr">
        <is>
          <t>ACTIVE</t>
        </is>
      </c>
      <c r="V369" s="3" t="inlineStr">
        <is>
          <t>2026-09-28</t>
        </is>
      </c>
      <c r="W369" s="3" t="n"/>
      <c r="X369" s="3" t="n"/>
      <c r="Y369" s="3" t="inlineStr">
        <is>
          <t>NOTHING OPEN</t>
        </is>
      </c>
    </row>
    <row r="370" ht="60" customHeight="1">
      <c r="A370" s="3" t="inlineStr">
        <is>
          <t>MK-NW-O-008</t>
        </is>
      </c>
      <c r="B370" s="3" t="inlineStr">
        <is>
          <t>thePerformance</t>
        </is>
      </c>
      <c r="C370" s="3" t="inlineStr">
        <is>
          <t>MoneyKeel/functions/networth-and-performance/performance.ts</t>
        </is>
      </c>
      <c r="D370" s="3" t="n">
        <v>541</v>
      </c>
      <c r="E370" s="3" t="inlineStr">
        <is>
          <t>2 · DISPLAYED</t>
        </is>
      </c>
      <c r="F370" s="3" t="inlineStr">
        <is>
          <t>How are my investments doing over a period: where they started, what I put in and took out, what they made, where they ended, and the return?</t>
        </is>
      </c>
      <c r="G370" s="11" t="inlineStr">
        <is>
          <t>bounds = window bounds(window start, today)   if window start
nothing   otherwise
days = input.snapshot days (or none when missing)
joined = new map&lt;string, { date: string; value: number }&gt;()
seen = new set&lt;string&gt;()
j = joined.get(string(account id ?? ''))
the answer = the first 10) ≤ date of not (j and string(date ?? '')
flows = personal flow totals(counted)
transferred in = 0, transferred out = 0
net = Σ over movements of([t], input.investment account ids).flows of (amount)
joined value = Σ over [...joined.values()] of (value)
contributions = flows.contributions.to number(2) + transferred in + joined value
… the first steps only — the rest of the body needs reading by hand.</t>
        </is>
      </c>
      <c r="H370" s="3" t="inlineStr">
        <is>
          <t>Bounds is window bounds(window start, today) — when window start; no answer — otherwise. Days is input.snapshot days (or none — when missing). Joined is new map&lt;string, { date: string; value: number }&gt;(). Seen is new set&lt;string&gt;(). J is joined.get(string(account id ?? '')). The answer: the first 10) is at most date of not (j and string(date ?? ''). Flows is personal flow totals(counted). Transferred in is 0, transferred out = 0. Net: the amount added up across movements of([t], input.investment account ids).flows. Joined value: the value added up across [...joined.values()]. Contributions is flows.contributions.to number(2) plus transferred in plus joined value. Only the first steps are shown; the rest of the body needs reading by hand.</t>
        </is>
      </c>
      <c r="I370" s="3" t="inlineStr">
        <is>
          <t>PARTLY READ — some of the code is still showing through; needs a hand pass</t>
        </is>
      </c>
      <c r="J370" s="3" t="inlineStr">
        <is>
          <t>Nothing is handed to it</t>
        </is>
      </c>
      <c r="K370" s="3" t="inlineStr">
        <is>
          <t>NOT DECLARED — the code does not say what it gives back</t>
        </is>
      </c>
      <c r="L370" s="3" t="inlineStr">
        <is>
          <t>1. "Return" — on the Performance screen
2. "Wealth generated" — on the Performance screen, under "SUMMARY
3. $"</t>
        </is>
      </c>
      <c r="M370" s="3" t="inlineStr">
        <is>
          <t>1. If ending is missing it uses 0.
2. If coupon rate is missing it uses 0.
3. If g is missing it uses 0.
4. If priced gain is missing it uses 0.
5. If balance is missing it counts as zero, so nothing recorded and a real zero look the same.
6. Treats a year as 365 days.</t>
        </is>
      </c>
      <c r="N370" s="3" t="inlineStr">
        <is>
          <t>Yes</t>
        </is>
      </c>
      <c r="O370" s="3" t="inlineStr">
        <is>
          <t>1. MK-NW-F-026 accountDisplayNames
2. MK-ST-F-083 accountValuesOn
3. MK-XS-F-011 buildChangeWalk
4. MK-ST-F-028 buildDayFromAccounts
5. MK-PF-F-014 buildPerformance
6. MK-NW-F-130 cannotWorkBackSentence
7. MK-CF-F-155 cash
8. MK-NW-F-104 closedWith
9. MK-ST-F-078 dateShown
10. MK-NW-F-129 gainRowName
11. MK-ST-F-056 has
12. MK-NW-F-071 isCertificateOfDeposit
13. MK-CF-F-132 map
14. MK-ST-F-082 movementsOf
15. MK-ST-F-013 personalFlowTotals
16. MK-NW-F-091 pricedGainOf
17. MK-ST-F-030 record
18. MK-ST-F-081 timeWeightedReturn
19. MK-ST-F-021 toNumber
20. MK-ST-F-031 valueOn
21. MK-ST-F-060 verdict
22. MK-NW-F-105 whyNoReturn
23. MK-ST-F-038 windowBounds</t>
        </is>
      </c>
      <c r="P370" s="3" t="n">
        <v>156</v>
      </c>
      <c r="Q370" s="3" t="inlineStr">
        <is>
          <t>1. MK-NW-F-026 accountDisplayNames
2. MK-ST-F-083 accountValuesOn
3. MK-XS-F-011 buildChangeWalk
4. MK-ST-F-028 buildDayFromAccounts
5. MK-PF-F-014 buildPerformance
6. MK-NW-F-130 cannotWorkBackSentence
7. MK-CF-F-155 cash
8. MK-NW-F-104 closedWith
9. MK-ST-F-078 dateShown
10. MK-NW-F-129 gainRowName
11. MK-ST-F-056 has
12. MK-NW-F-071 isCertificateOfDeposit
13. MK-CF-F-132 map
14. MK-ST-F-082 movementsOf
15. MK-ST-F-013 personalFlowTotals
16. MK-NW-F-091 pricedGainOf
17. MK-ST-F-030 record
18. MK-ST-F-081 timeWeightedReturn
19. MK-ST-F-021 toNumber
20. MK-ST-F-031 valueOn
21. MK-ST-F-060 verdict
22. MK-NW-F-105 whyNoReturn
23. MK-ST-F-038 windowBounds
24. MK-NW-F-025 accountDisplayName
25. MK-XS-F-122 n
26. MK-ST-F-027 accountId
27. MK-PF-F-013 benchmarkTicker
28. MK-PF-F-002 costBasis
29. MK-PF-F-012 earliestPurchaseDate
30. MK-PF-F-009 latestClose
31. MK-PF-F-004 marketValue
32. MK-ST-F-053 money
33. MK-PF-F-010 periodReturn
34. MK-PF-F-011 periodReturnSince
35. MK-PF-F-008 startDateFor
36. MK-PF-F-007 totalROI
37. MK-PF-F-005 unrealizedGain
38. MK-NW-F-056 bondInfo
39. MK-NW-F-127 gainOfRow
40. MK-ST-F-080 isDay
41. MK-CF-F-204 line
42. MK-ST-F-039 on
43. MK-ST-F-033 onOrBefore
44. MK-ST-F-063 shiftDay
45. MK-ST-F-062 toUtc
46. MK-NW-F-024 accountLastFour
47. MK-NW-F-012 taxTreatmentOf
48. MK-NW-F-023 wrapperWord
49. MK-PF-F-031 contractMultiplier
50. MK-PF-F-001 totalShares
51. MK-ST-F-049 formatMoney
52. MK-PF-F-029 closeAsOf
53. MK-NW-F-128 heldValueOf
54. MK-CF-F-203 MONTH
55. MK-XS-F-180 declareFigures
56. MK-NW-F-007 assetKind
57. MK-ST-F-048 currencySymbol
58. MK-CF-O-010 theMonth
59. MK-NW-F-011 assetClassOf
60. MK-ST-F-047 activeCurrency
61. MK-CF-O-002 expenses
62. MK-CF-O-003 thisMonth
63. MK-NW-F-120 classEvidenceOf
64. MK-CF-F-151 actualSpending
65. MK-CF-F-150 debtPaymentsCountedAsExpenses
66. MK-CF-F-153 radar
67. MK-CF-F-149 recurringDebtPayments
68. MK-CF-F-005 actualMonthFlow
69. MK-CF-F-156 plannedMonthFlow
70. MK-NW-F-008 incomeBearingClassOf
71. MK-NW-F-009 maturityClass
72. MK-CF-F-148 inMonth
73. MK-ST-F-052 toNum
74. MK-CF-F-191 ym
75. MK-CF-F-022 paymentShape
76. MK-CF-F-152 isRadarItem
77. MK-CF-F-023 requiredPayment
78. MK-NW-F-078 ONE
79. MK-CF-F-157 debtPaymentsByDebt
80. MK-CF-F-192 inflowLabel
81. MK-XS-F-027 takeHomeMonthly
82. MK-ST-F-010 nameEvidence
83. MK-NW-F-068 prettyDay
84. MK-CF-F-021 defaultPaymentType
85. MK-NW-F-077 ALL
86. MK-NW-F-059 currentYield
87. MK-NW-O-001 theBonds
88. MK-CF-F-193 inflowSourceWord
89. MK-CF-F-092 incomeMonthlyGrid
90. MK-CF-F-011 savingsByMonth
91. MK-XS-F-147 call
92. MK-NW-F-112 yearlyInterest
93. MK-NW-F-057 annualCoupon
94. MK-NW-F-064 bondRateSensitivity
95. MK-NW-F-061 bondSummary
96. MK-NW-F-055 isBond
97. MK-NW-F-072 rowOf
98. MK-CF-F-069 benefitActiveMonths
99. MK-CF-F-072 currentRetirementIncomeMonthly
100. MK-CF-F-173 earnerWages
101. MK-CF-F-065 equityVestWeights
102. MK-CF-F-071 extraIncome
103. MK-CF-F-206 householdK401ByMonth
104. MK-CF-F-087 monthlyTaxRates
105. MK-CF-F-073 otherIncomeMonth
106. MK-CF-F-181 rateInForce
107. MK-CF-F-068 rentalNetAnnual
108. MK-CF-F-066 rsuAnnual
109. MK-CF-F-060 salaryGrossByMonth
110. MK-CF-F-077 scholarshipByCalendarMonth
111. MK-CF-F-088 taxableByCalendarMonth
112. MK-CF-F-177 wageGrossByMonth
113. MK-PL-F-012 waterfall
114. MK-CF-F-008 spendByMonth
115. MK-XS-F-064 currentIdToken
116. MK-XS-F-112 relayUrl
117. MK-NW-F-060 approxYTM
118. MK-NW-F-069 priceAtYield
119. MK-NW-F-131 pricedLikeBond
120. MK-NW-F-125 isPastMaturity
121. MK-ST-F-065 isoLocalDate
122. MK-NW-F-126 yearlyInterestNow
123. MK-NW-F-070 accruedInterestCaveat
124. MK-NW-F-058 yearsToMaturity
125. MK-CF-F-075 retirementIncomeMonthly
126. MK-CF-F-172 hasWage
127. MK-CF-F-062 equityRowValue
128. MK-CF-F-070 benefitAnnual
129. MK-CF-F-176 sumMonthsOverEarners
130. MK-CF-F-090 effectiveRate
131. MK-CF-F-180 enteredLandsAnnual
132. MK-CF-F-085 filingStatusOf
133. MK-CF-F-089 over65CountOf
134. MK-CF-F-082 salaryAnnual
135. MK-CF-F-086 stateRateOf
136. MK-CF-F-101 taxOwedFor
137. MK-CF-F-084 taxableAnnual
138. MK-CF-F-067 rentalList
139. MK-CF-F-063 rowVestYear
140. MK-CF-F-130 enteredMonthlyRaw
141. MK-CF-F-166 hasMonthlySalaryTable
142. MK-ST-F-036 reconcile
143. MK-CF-F-167 salaryCalendarYear
144. MK-CF-F-120 pctBaseMonthly
145. MK-CF-F-004 spendBuckets
146. MK-NW-F-119 estimatedAccrued
147. MK-NW-F-124 maturityParts
148. MK-NW-F-067 plural
149. MK-CF-F-100 taxableIncomeFor
150. MK-CF-F-074 tipsAnnual
151. MK-ST-F-085 rentFigure
152. MK-CF-F-165 salaryMonths
153. MK-CF-F-003 categoryMonthly
154. MK-CF-F-099 deductionFor
155. MK-CF-F-081 salaryActiveMonths
156. MK-CF-F-187 seniorDeductionFor</t>
        </is>
      </c>
      <c r="R370" s="3" t="inlineStr">
        <is>
          <t>1. accountDisplayNames (already above — a loop) → MK-NW-F-025 accountDisplayName → MK-NW-F-026 accountDisplayNames → MK-NW-O-008 thePerformance
2. MK-NW-F-024 accountLastFour → MK-NW-F-025 accountDisplayName → MK-NW-F-026 accountDisplayNames → MK-NW-O-008 thePerformance
3. MK-ST-F-039 on → MK-NW-F-025 accountDisplayName → MK-NW-F-026 accountDisplayNames → MK-NW-O-008 thePerformance
4. MK-NW-F-011 assetClassOf → MK-NW-F-007 assetKind → MK-NW-F-012 taxTreatmentOf → MK-NW-F-025 accountDisplayName → MK-NW-F-026 accountDisplayNames → MK-NW-O-008 thePerformance
5. MK-CF-F-155 cash → MK-NW-F-007 assetKind → MK-NW-F-012 taxTreatmentOf → MK-NW-F-025 accountDisplayName → MK-NW-F-026 accountDisplayNames → MK-NW-O-008 thePerformance
6. MK-NW-F-023 wrapperWord → MK-NW-F-025 accountDisplayName → MK-NW-F-026 accountDisplayNames → MK-NW-O-008 thePerformance
7. MK-ST-F-056 has → MK-NW-F-026 accountDisplayNames → MK-NW-O-008 thePerformance
8. MK-CF-F-132 map → MK-NW-F-026 accountDisplayNames → MK-NW-O-008 thePerformance
9. … and 5 more paths</t>
        </is>
      </c>
      <c r="S370" s="3" t="inlineStr">
        <is>
          <t>MK-PF-M-002 · MK-PF-M-003 · MK-PF-M-005 · MK-PF-M-006 · MK-PF-M-007 · MK-PF-M-008 · MK-PF-M-013 · MK-PF-M-014 · MK-PF-M-015 · MK-PF-M-016 · MK-PF-M-017 · MK-PF-M-018 · MK-PF-M-019 · MK-PF-M-020 · MK-XS-M-004</t>
        </is>
      </c>
      <c r="T370" s="3" t="inlineStr">
        <is>
          <t>—</t>
        </is>
      </c>
      <c r="U370" s="3" t="inlineStr">
        <is>
          <t>ACTIVE</t>
        </is>
      </c>
      <c r="V370" s="3" t="inlineStr">
        <is>
          <t>2026-10-04</t>
        </is>
      </c>
      <c r="W370" s="3" t="n"/>
      <c r="X370" s="3" t="n"/>
      <c r="Y370" s="3" t="inlineStr">
        <is>
          <t>NOTHING OPEN</t>
        </is>
      </c>
    </row>
    <row r="371" ht="45" customHeight="1">
      <c r="A371" s="3" t="inlineStr">
        <is>
          <t>MK-PF-F-001</t>
        </is>
      </c>
      <c r="B371" s="3" t="inlineStr">
        <is>
          <t>totalShares</t>
        </is>
      </c>
      <c r="C371" s="3" t="inlineStr">
        <is>
          <t>src/domain/performance/index.ts</t>
        </is>
      </c>
      <c r="D371" s="3" t="n">
        <v>190</v>
      </c>
      <c r="E371" s="3" t="inlineStr">
        <is>
          <t>2 · DISPLAYED</t>
        </is>
      </c>
      <c r="F371" s="3" t="inlineStr">
        <is>
          <t>How many shares of a holding are held, added up across every purchase.</t>
        </is>
      </c>
      <c r="G371" s="11" t="inlineStr">
        <is>
          <t>total shares(holding) = Σ over every lot of (shares, or 0 when missing)</t>
        </is>
      </c>
      <c r="H371" s="3" t="inlineStr">
        <is>
          <t>Adds the share count of every lot. A lot with no share count counts as zero, so "nothing recorded" and "a real zero" give the same answer.</t>
        </is>
      </c>
      <c r="I371" s="3" t="inlineStr">
        <is>
          <t>READ BY HAND 2026-08-26 — checked line by line against the code</t>
        </is>
      </c>
      <c r="J371" s="3" t="inlineStr">
        <is>
          <t>p: Position</t>
        </is>
      </c>
      <c r="K371" s="3" t="inlineStr">
        <is>
          <t>number</t>
        </is>
      </c>
      <c r="L371" s="3" t="inlineStr">
        <is>
          <t>NOT FOUND — a screen calls it, but the words printed beside its answer could not be traced automatically. Needs reading.</t>
        </is>
      </c>
      <c r="M371" s="3" t="inlineStr">
        <is>
          <t>· If shares is missing it counts as zero, so nothing recorded and a real zero look the same.</t>
        </is>
      </c>
      <c r="N371" s="3" t="inlineStr">
        <is>
          <t>Yes</t>
        </is>
      </c>
      <c r="O371" s="3" t="inlineStr">
        <is>
          <t>—</t>
        </is>
      </c>
      <c r="P371" s="3" t="n">
        <v>0</v>
      </c>
      <c r="Q371" s="3" t="inlineStr">
        <is>
          <t>None — no dependent function stands behind it</t>
        </is>
      </c>
      <c r="R371" s="3" t="inlineStr">
        <is>
          <t>No dependent function — it reads its inputs and answers</t>
        </is>
      </c>
      <c r="S371" s="3" t="inlineStr">
        <is>
          <t>—</t>
        </is>
      </c>
      <c r="T371" s="3" t="inlineStr">
        <is>
          <t>HOLDING_SHARES</t>
        </is>
      </c>
      <c r="U371" s="3" t="inlineStr">
        <is>
          <t>ACTIVE</t>
        </is>
      </c>
      <c r="V371" s="3" t="inlineStr">
        <is>
          <t>2026-08-27</t>
        </is>
      </c>
      <c r="W371" s="3" t="inlineStr">
        <is>
          <t>[from MK-NW-M-031, typed Q07/Q09] 8 decimals for coins; always capture units.</t>
        </is>
      </c>
      <c r="X371" s="6" t="inlineStr">
        <is>
          <t>Sums raw numbers with no unit and no rounding. Fix: a unit on the position; coin quantities to 8 decimals — see MK-NW-M-031.</t>
        </is>
      </c>
      <c r="Y371" s="6" t="inlineStr">
        <is>
          <t>WAITING ON YOU — answer to read</t>
        </is>
      </c>
    </row>
    <row r="372" ht="60" customHeight="1">
      <c r="A372" s="3" t="inlineStr">
        <is>
          <t>MK-PF-F-002</t>
        </is>
      </c>
      <c r="B372" s="3" t="inlineStr">
        <is>
          <t>costBasis</t>
        </is>
      </c>
      <c r="C372" s="3" t="inlineStr">
        <is>
          <t>src/domain/performance/index.ts</t>
        </is>
      </c>
      <c r="D372" s="3" t="n">
        <v>230</v>
      </c>
      <c r="E372" s="3" t="inlineStr">
        <is>
          <t>2 · DISPLAYED</t>
        </is>
      </c>
      <c r="F372" s="3" t="inlineStr">
        <is>
          <t>What did I pay for this in total?</t>
        </is>
      </c>
      <c r="G372" s="11" t="inlineStr">
        <is>
          <t>cost basis(holding) = Σ over every lot of (shares × cost per share)</t>
        </is>
      </c>
      <c r="H372" s="3" t="inlineStr">
        <is>
          <t>What was paid, added across the lots. A lot with no cost per share contributes nothing, so a holding with neither a price nor a cost lands at $0 and quietly leaves net worth.</t>
        </is>
      </c>
      <c r="I372" s="3" t="inlineStr">
        <is>
          <t>READ BY HAND 2026-08-26 — checked line by line against the code</t>
        </is>
      </c>
      <c r="J372" s="3" t="inlineStr">
        <is>
          <t>p: Position</t>
        </is>
      </c>
      <c r="K372" s="3" t="inlineStr">
        <is>
          <t>number</t>
        </is>
      </c>
      <c r="L372" s="3" t="inlineStr">
        <is>
          <t>NOT FOUND — a screen calls it, but the words printed beside its answer could not be traced automatically. Needs reading.</t>
        </is>
      </c>
      <c r="M372" s="3" t="inlineStr">
        <is>
          <t>1. If shares is missing it counts as zero, so nothing recorded and a real zero look the same.
2. If cost per share is missing it counts as zero, so nothing recorded and a real zero look the same.</t>
        </is>
      </c>
      <c r="N372" s="3" t="inlineStr">
        <is>
          <t>Yes</t>
        </is>
      </c>
      <c r="O372" s="3" t="inlineStr">
        <is>
          <t>MK-PF-F-031 contractMultiplier</t>
        </is>
      </c>
      <c r="P372" s="3" t="n">
        <v>1</v>
      </c>
      <c r="Q372" s="3" t="inlineStr">
        <is>
          <t>MK-PF-F-031 contractMultiplier</t>
        </is>
      </c>
      <c r="R372" s="3" t="inlineStr">
        <is>
          <t>MK-PF-F-031 contractMultiplier → MK-PF-F-002 costBasis</t>
        </is>
      </c>
      <c r="S372" s="3" t="inlineStr">
        <is>
          <t>—</t>
        </is>
      </c>
      <c r="T372" s="3" t="inlineStr">
        <is>
          <t>HOLDING_COST_BASIS</t>
        </is>
      </c>
      <c r="U372" s="3" t="inlineStr">
        <is>
          <t>ACTIVE</t>
        </is>
      </c>
      <c r="V372" s="3" t="inlineStr">
        <is>
          <t>2026-09-09</t>
        </is>
      </c>
      <c r="W372" s="3" t="inlineStr">
        <is>
          <t>[from MK-NW-M-032 / M-033] Average price must not divide by shares whose cost is missing or zero; Total paid vs Price paid (average) — two things or one?</t>
        </is>
      </c>
      <c r="X372"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372" s="6" t="inlineStr">
        <is>
          <t>WAITING ON YOU — answer to read · TESTED, NOT VERIFIED (Q06)</t>
        </is>
      </c>
    </row>
    <row r="373" ht="60" customHeight="1">
      <c r="A373" s="3" t="inlineStr">
        <is>
          <t>MK-PF-F-003</t>
        </is>
      </c>
      <c r="B373" s="3" t="inlineStr">
        <is>
          <t>avgCost</t>
        </is>
      </c>
      <c r="C373" s="3" t="inlineStr">
        <is>
          <t>src/domain/performance/index.ts</t>
        </is>
      </c>
      <c r="D373" s="3" t="n">
        <v>259</v>
      </c>
      <c r="E373" s="3" t="inlineStr">
        <is>
          <t>2 · DISPLAYED</t>
        </is>
      </c>
      <c r="F373" s="3" t="inlineStr">
        <is>
          <t>The average price paid per share of a holding: its total cost divided by the shares held, or zero when no shares are held.</t>
        </is>
      </c>
      <c r="G373" s="11" t="inlineStr">
        <is>
          <t>sh = total shares(p)
the answer:
cost basis(p) ÷ (sh × contract multiplier(p))   if sh &gt; 0
0   otherwise</t>
        </is>
      </c>
      <c r="H373" s="3" t="inlineStr">
        <is>
          <t>Sh is total shares(p). The answer is cost basis(p) divided by (sh times contract multiplier(p)) — when sh &gt; 0; 0 — otherwise.</t>
        </is>
      </c>
      <c r="I373" s="3" t="inlineStr">
        <is>
          <t>READ FROM THE CODE — rendered from the expressions the function runs</t>
        </is>
      </c>
      <c r="J373" s="3" t="inlineStr">
        <is>
          <t>p: Position</t>
        </is>
      </c>
      <c r="K373" s="3" t="inlineStr">
        <is>
          <t>number</t>
        </is>
      </c>
      <c r="L373" s="3" t="inlineStr">
        <is>
          <t>NOT FOUND — a screen calls it, but the words printed beside its answer could not be traced automatically. Needs reading.</t>
        </is>
      </c>
      <c r="M373" s="3" t="inlineStr">
        <is>
          <t>None found in this function — anything it assumes comes from the functions it depends on.</t>
        </is>
      </c>
      <c r="N373" s="3" t="inlineStr">
        <is>
          <t>Yes</t>
        </is>
      </c>
      <c r="O373" s="3" t="inlineStr">
        <is>
          <t>1. MK-PF-F-031 contractMultiplier
2. MK-PF-F-002 costBasis
3. MK-PF-F-001 totalShares</t>
        </is>
      </c>
      <c r="P373" s="3" t="n">
        <v>3</v>
      </c>
      <c r="Q373" s="3" t="inlineStr">
        <is>
          <t>1. MK-PF-F-031 contractMultiplier
2. MK-PF-F-002 costBasis
3. MK-PF-F-001 totalShares</t>
        </is>
      </c>
      <c r="R373" s="3" t="inlineStr">
        <is>
          <t>1. MK-PF-F-031 contractMultiplier → MK-PF-F-003 avgCost
2. MK-PF-F-031 contractMultiplier → MK-PF-F-002 costBasis → MK-PF-F-003 avgCost
3. MK-PF-F-001 totalShares → MK-PF-F-003 avgCost</t>
        </is>
      </c>
      <c r="S373" s="3" t="inlineStr">
        <is>
          <t>MK-NW-M-032</t>
        </is>
      </c>
      <c r="T373" s="3" t="inlineStr">
        <is>
          <t>—</t>
        </is>
      </c>
      <c r="U373" s="3" t="inlineStr">
        <is>
          <t>ACTIVE</t>
        </is>
      </c>
      <c r="V373" s="3" t="inlineStr">
        <is>
          <t>2026-10-04</t>
        </is>
      </c>
      <c r="W373" s="3" t="inlineStr">
        <is>
          <t>[from MK-NW-M-032 / M-033] see MK-PF-F-002</t>
        </is>
      </c>
      <c r="X373" s="6" t="inlineStr">
        <is>
          <t>Unused by any screen (it clips to cents; the screen wants 3 decimals) and it divides by ALL shares. Retire it or make it the averagePricePaid of JJ-1 (cost &gt; 0 lots only, no cents clipping).</t>
        </is>
      </c>
      <c r="Y373" s="6" t="inlineStr">
        <is>
          <t>WAITING ON YOU — answer to read</t>
        </is>
      </c>
    </row>
    <row r="374" ht="60" customHeight="1">
      <c r="A374" s="3" t="inlineStr">
        <is>
          <t>MK-PF-F-004</t>
        </is>
      </c>
      <c r="B374" s="3" t="inlineStr">
        <is>
          <t>marketValue</t>
        </is>
      </c>
      <c r="C374" s="3" t="inlineStr">
        <is>
          <t>src/domain/performance/index.ts</t>
        </is>
      </c>
      <c r="D374" s="3" t="n">
        <v>298</v>
      </c>
      <c r="E374" s="3" t="inlineStr">
        <is>
          <t>3 · DEPENDENT</t>
        </is>
      </c>
      <c r="F374" s="3" t="inlineStr">
        <is>
          <t>What is this holding worth right now?</t>
        </is>
      </c>
      <c r="G374" s="11" t="inlineStr">
        <is>
          <t>market value(holding) = round(total shares × price, 2 dp)
                      = 0   when no price came back</t>
        </is>
      </c>
      <c r="H374"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374" s="3" t="inlineStr">
        <is>
          <t>READ BY HAND 2026-08-26 — checked line by line against the code</t>
        </is>
      </c>
      <c r="J374" s="3" t="inlineStr">
        <is>
          <t>1. p: Position
2. price: number | null | undefined</t>
        </is>
      </c>
      <c r="K374" s="3" t="inlineStr">
        <is>
          <t>number</t>
        </is>
      </c>
      <c r="L374" s="3" t="inlineStr">
        <is>
          <t>—</t>
        </is>
      </c>
      <c r="M374" s="3" t="inlineStr">
        <is>
          <t>None found in this function — anything it assumes comes from the functions it depends on.</t>
        </is>
      </c>
      <c r="N374" s="3" t="inlineStr">
        <is>
          <t>Yes</t>
        </is>
      </c>
      <c r="O374" s="3" t="inlineStr">
        <is>
          <t>1. MK-PF-F-031 contractMultiplier
2. MK-PF-F-001 totalShares</t>
        </is>
      </c>
      <c r="P374" s="3" t="n">
        <v>2</v>
      </c>
      <c r="Q374" s="3" t="inlineStr">
        <is>
          <t>1. MK-PF-F-031 contractMultiplier
2. MK-PF-F-001 totalShares</t>
        </is>
      </c>
      <c r="R374" s="3" t="inlineStr">
        <is>
          <t>1. MK-PF-F-031 contractMultiplier → MK-PF-F-004 marketValue
2. MK-PF-F-001 totalShares → MK-PF-F-004 marketValue</t>
        </is>
      </c>
      <c r="S374" s="3" t="inlineStr">
        <is>
          <t>—</t>
        </is>
      </c>
      <c r="T374" s="3" t="inlineStr">
        <is>
          <t>HOLDING_MARKET_VALUE</t>
        </is>
      </c>
      <c r="U374" s="3" t="inlineStr">
        <is>
          <t>ACTIVE</t>
        </is>
      </c>
      <c r="V374" s="3" t="inlineStr">
        <is>
          <t>2026-08-27</t>
        </is>
      </c>
      <c r="W374" s="3" t="inlineStr">
        <is>
          <t>[from MK-NW-M-030, typed Q06] value is contracts * 100 * price unless stated otherwise by broker or user.</t>
        </is>
      </c>
      <c r="X374" s="6" t="inlineStr">
        <is>
          <t>NOT APPLIED here: market value = units × price, no multiplier. Fix: multiply by the position's multiplier (100 for a contract unless the feed or the person states another) — Q42 on MK-NW-M-030.</t>
        </is>
      </c>
      <c r="Y374" s="6" t="inlineStr">
        <is>
          <t>WAITING ON YOU — answer to read · TESTED, NOT VERIFIED (Q06)</t>
        </is>
      </c>
    </row>
    <row r="375" ht="60" customHeight="1">
      <c r="A375" s="3" t="inlineStr">
        <is>
          <t>MK-PF-F-005</t>
        </is>
      </c>
      <c r="B375" s="3" t="inlineStr">
        <is>
          <t>unrealizedGain</t>
        </is>
      </c>
      <c r="C375" s="3" t="inlineStr">
        <is>
          <t>src/domain/performance/index.ts</t>
        </is>
      </c>
      <c r="D375" s="3" t="n">
        <v>325</v>
      </c>
      <c r="E375" s="3" t="inlineStr">
        <is>
          <t>3 · DEPENDENT</t>
        </is>
      </c>
      <c r="F375" s="3" t="inlineStr">
        <is>
          <t>Unrealized gain = market value − cost basis (null price → 0).</t>
        </is>
      </c>
      <c r="G375" s="11" t="inlineStr">
        <is>
          <t>0   if price = nothing
market value(p, price) − cost basis(p)   otherwise</t>
        </is>
      </c>
      <c r="H375" s="3" t="inlineStr">
        <is>
          <t>0 — when price is missing; market value(p, price) minus cost basis(p) — otherwise.</t>
        </is>
      </c>
      <c r="I375" s="3" t="inlineStr">
        <is>
          <t>READ FROM THE CODE — rendered from the expressions the function runs</t>
        </is>
      </c>
      <c r="J375" s="3" t="inlineStr">
        <is>
          <t>1. p: Position
2. price: number | null | undefined</t>
        </is>
      </c>
      <c r="K375" s="3" t="inlineStr">
        <is>
          <t>number</t>
        </is>
      </c>
      <c r="L375" s="3" t="inlineStr">
        <is>
          <t>—</t>
        </is>
      </c>
      <c r="M375" s="3" t="inlineStr">
        <is>
          <t>None found in this function — anything it assumes comes from the functions it depends on.</t>
        </is>
      </c>
      <c r="N375" s="3" t="inlineStr">
        <is>
          <t>Yes</t>
        </is>
      </c>
      <c r="O375" s="3" t="inlineStr">
        <is>
          <t>1. MK-PF-F-002 costBasis
2. MK-CF-F-204 line
3. MK-PF-F-004 marketValue</t>
        </is>
      </c>
      <c r="P375" s="3" t="n">
        <v>116</v>
      </c>
      <c r="Q375" s="3" t="inlineStr">
        <is>
          <t>1. MK-PF-F-002 costBasis
2. MK-CF-F-204 line
3. MK-PF-F-004 marketValue
4. MK-PF-F-031 contractMultiplier
5. MK-CF-F-203 MONTH
6. MK-XS-F-180 declareFigures
7. MK-PF-F-001 totalShares
8. MK-CF-O-010 theMonth
9. MK-CF-F-155 cash
10. MK-CF-O-002 expenses
11. MK-CF-O-003 thisMonth
12. MK-XS-F-122 n
13. MK-CF-F-151 actualSpending
14. MK-CF-F-150 debtPaymentsCountedAsExpenses
15. MK-CF-F-153 radar
16. MK-CF-F-149 recurringDebtPayments
17. MK-CF-F-005 actualMonthFlow
18. MK-CF-F-156 plannedMonthFlow
19. MK-CF-F-148 inMonth
20. MK-ST-F-052 toNum
21. MK-CF-F-191 ym
22. MK-ST-F-056 has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MK-ST-F-039 on
43. MK-ST-F-027 accountId
44. MK-NW-F-057 annualCoupon
45. MK-NW-F-056 bondInfo
46. MK-NW-F-064 bondRateSensitivity
47. MK-NW-F-061 bondSummary
48. MK-NW-F-055 isBond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MK-NW-F-131 pricedLikeBond
71. MK-NW-F-125 isPastMaturity
72. MK-ST-F-065 isoLocalDate
73. MK-NW-F-126 yearlyInterestNow
74. MK-NW-F-011 assetClassOf
75. MK-NW-F-070 accruedInterestCaveat
76. MK-NW-F-058 yearsToMaturity
77. MK-CF-F-075 retirementIncomeMonthly
78. MK-CF-F-172 hasWage
79. MK-CF-F-062 equityRowValue
80. MK-CF-F-070 benefitAnnual
81. MK-CF-F-176 sumMonthsOverEarners
82. MK-CF-F-090 effectiveRate
83. MK-CF-F-180 enteredLandsAnnual
84. MK-CF-F-085 filingStatusOf
85. MK-CF-F-089 over65CountOf
86. MK-CF-F-082 salaryAnnual
87. MK-CF-F-086 stateRateOf
88. MK-CF-F-101 taxOwedFor
89. MK-CF-F-084 taxableAnnual
90. MK-CF-F-067 rentalList
91. MK-CF-F-063 rowVestYear
92. MK-CF-F-130 enteredMonthlyRaw
93. MK-CF-F-166 hasMonthlySalaryTable
94. MK-ST-F-036 reconcile
95. MK-CF-F-167 salaryCalendarYear
96. MK-CF-F-120 pctBaseMonthly
97. MK-CF-F-004 spendBuckets
98. MK-NW-F-119 estimatedAccrued
99. MK-NW-F-124 maturityParts
100. MK-NW-F-120 classEvidenceOf
101. MK-NW-F-067 plural
102. MK-CF-F-100 taxableIncomeFor
103. MK-CF-F-074 tipsAnnual
104. MK-ST-F-085 rentFigure
105. MK-CF-F-165 salaryMonths
106. MK-CF-F-003 categoryMonthly
107. MK-NW-F-008 incomeBearingClassOf
108. MK-NW-F-009 maturityClass
109. MK-CF-F-099 deductionFor
110. MK-CF-F-081 salaryActiveMonths
111. MK-ST-F-010 nameEvidence
112. MK-NW-F-068 prettyDay
113. MK-CF-F-187 seniorDeductionFor
114. MK-XS-F-147 call
115. MK-XS-F-064 currentIdToken
116. MK-XS-F-112 relayUrl</t>
        </is>
      </c>
      <c r="R375" s="3" t="inlineStr">
        <is>
          <t>1. MK-PF-F-031 contractMultiplier → MK-PF-F-002 costBasis → MK-PF-F-005 unrealizedGain
2. MONTH (already above — a loop) → MK-CF-O-010 theMonth → MK-CF-F-203 MONTH → MK-CF-F-204 line → MK-PF-F-005 unrealizedGain
3. MK-XS-F-122 n → MK-CF-F-155 cash → MK-CF-O-010 theMonth → MK-CF-F-203 MONTH → MK-CF-F-204 line → MK-PF-F-005 unrealizedGain
4. MK-CF-F-151 actualSpending → MK-CF-O-002 expenses → MK-CF-O-010 theMonth → MK-CF-F-203 MONTH → MK-CF-F-204 line → MK-PF-F-005 unrealizedGain
5. MK-CF-F-150 debtPaymentsCountedAsExpenses → MK-CF-O-002 expenses → MK-CF-O-010 theMonth → MK-CF-F-203 MONTH → MK-CF-F-204 line → MK-PF-F-005 unrealizedGain
6. MK-CF-F-153 radar → MK-CF-O-002 expenses → MK-CF-O-010 theMonth → MK-CF-F-203 MONTH → MK-CF-F-204 line → MK-PF-F-005 unrealizedGain
7. MK-CF-F-149 recurringDebtPayments → MK-CF-O-002 expenses → MK-CF-O-010 theMonth → MK-CF-F-203 MONTH → MK-CF-F-204 line → MK-PF-F-005 unrealizedGain
8. MK-CF-F-005 actualMonthFlow → MK-CF-O-003 thisMonth → MK-CF-O-010 theMonth → MK-CF-F-203 MONTH → MK-CF-F-204 line → MK-PF-F-005 unrealizedGain
9. … and 4 more paths</t>
        </is>
      </c>
      <c r="S375" s="3" t="inlineStr">
        <is>
          <t>—</t>
        </is>
      </c>
      <c r="T375" s="3" t="inlineStr">
        <is>
          <t>HOLDING_UNREALISED_GAIN</t>
        </is>
      </c>
      <c r="U375" s="3" t="inlineStr">
        <is>
          <t>ACTIVE</t>
        </is>
      </c>
      <c r="V375" s="3" t="inlineStr">
        <is>
          <t>2026-09-09</t>
        </is>
      </c>
      <c r="W375" s="3" t="n"/>
      <c r="X375" s="3" t="n"/>
      <c r="Y375" s="3" t="inlineStr">
        <is>
          <t>NOTHING OPEN</t>
        </is>
      </c>
    </row>
    <row r="376" ht="60" customHeight="1">
      <c r="A376" s="3" t="inlineStr">
        <is>
          <t>MK-PF-F-006</t>
        </is>
      </c>
      <c r="B376" s="3" t="inlineStr">
        <is>
          <t>capGains</t>
        </is>
      </c>
      <c r="C376" s="3" t="inlineStr">
        <is>
          <t>src/domain/performance/index.ts</t>
        </is>
      </c>
      <c r="D376" s="3" t="n">
        <v>363</v>
      </c>
      <c r="E376" s="3" t="inlineStr">
        <is>
          <t>3 · DEPENDENT</t>
        </is>
      </c>
      <c r="F376" s="3" t="inlineStr">
        <is>
          <t>If I sold this today, how much of the gain is long-term and how much short-term?</t>
        </is>
      </c>
      <c r="G376" s="11" t="inlineStr">
        <is>
          <t>per lot:  gain = shares × (price − cost per share)
long-term when today is LATER than the first anniversary of the purchase
short-term otherwise, and a lot with no cost recorded is skipped entirely</t>
        </is>
      </c>
      <c r="H376"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376" s="3" t="inlineStr">
        <is>
          <t>READ BY HAND 2026-08-26 — checked line by line against the code</t>
        </is>
      </c>
      <c r="J376" s="3" t="inlineStr">
        <is>
          <t>1. p: Position
2. price: number | null | undefined
3. now: Date = new Date()</t>
        </is>
      </c>
      <c r="K376" s="3" t="inlineStr">
        <is>
          <t>CapGains</t>
        </is>
      </c>
      <c r="L376" s="3" t="inlineStr">
        <is>
          <t>—</t>
        </is>
      </c>
      <c r="M376" s="3" t="inlineStr">
        <is>
          <t>· Uses today's date from the device clock, so the answer changes by itself overnight.</t>
        </is>
      </c>
      <c r="N376" s="3" t="inlineStr">
        <is>
          <t>Yes</t>
        </is>
      </c>
      <c r="O376" s="3" t="inlineStr">
        <is>
          <t>1. MK-PF-F-031 contractMultiplier
2. MK-XS-F-122 n</t>
        </is>
      </c>
      <c r="P376" s="3" t="n">
        <v>2</v>
      </c>
      <c r="Q376" s="3" t="inlineStr">
        <is>
          <t>1. MK-PF-F-031 contractMultiplier
2. MK-XS-F-122 n</t>
        </is>
      </c>
      <c r="R376" s="3" t="inlineStr">
        <is>
          <t>1. MK-PF-F-031 contractMultiplier → MK-PF-F-006 capGains
2. MK-XS-F-122 n → MK-PF-F-006 capGains</t>
        </is>
      </c>
      <c r="S376" s="3" t="inlineStr">
        <is>
          <t>—</t>
        </is>
      </c>
      <c r="T376" s="3" t="inlineStr">
        <is>
          <t>HOLDING_CAP_GAINS</t>
        </is>
      </c>
      <c r="U376" s="3" t="inlineStr">
        <is>
          <t>ACTIVE</t>
        </is>
      </c>
      <c r="V376" s="3" t="inlineStr">
        <is>
          <t>2026-09-28</t>
        </is>
      </c>
      <c r="W376" s="3" t="n"/>
      <c r="X376" s="3" t="n"/>
      <c r="Y376" s="6" t="inlineStr">
        <is>
          <t>TESTED, NOT VERIFIED (G2)</t>
        </is>
      </c>
    </row>
    <row r="377" ht="60" customHeight="1">
      <c r="A377" s="3" t="inlineStr">
        <is>
          <t>MK-PF-F-007</t>
        </is>
      </c>
      <c r="B377" s="3" t="inlineStr">
        <is>
          <t>totalROI</t>
        </is>
      </c>
      <c r="C377" s="3" t="inlineStr">
        <is>
          <t>src/domain/performance/index.ts</t>
        </is>
      </c>
      <c r="D377" s="3" t="n">
        <v>417</v>
      </c>
      <c r="E377" s="3" t="inlineStr">
        <is>
          <t>3 · DEPENDENT</t>
        </is>
      </c>
      <c r="F377" s="3" t="inlineStr">
        <is>
          <t>Total return since purchase = gain / cost basis (decimal).</t>
        </is>
      </c>
      <c r="G377" s="11" t="inlineStr">
        <is>
          <t>basis = cost basis(p)
nothing   when price = nothing (or basis ≤ 0 when missing or zero)
the answer = unrealized gain(p, price) ÷ basis</t>
        </is>
      </c>
      <c r="H377" s="3" t="inlineStr">
        <is>
          <t>Basis is cost basis(p). When price is missing (or basis is at most 0 — when missing or zero), it answers no answer. The answer is unrealized gain(p, price) divided by basis.</t>
        </is>
      </c>
      <c r="I377" s="3" t="inlineStr">
        <is>
          <t>READ FROM THE CODE — rendered from the expressions the function runs</t>
        </is>
      </c>
      <c r="J377" s="3" t="inlineStr">
        <is>
          <t>1. p: Position
2. price: number | null | undefined</t>
        </is>
      </c>
      <c r="K377" s="3" t="inlineStr">
        <is>
          <t>number | null</t>
        </is>
      </c>
      <c r="L377" s="3" t="inlineStr">
        <is>
          <t>—</t>
        </is>
      </c>
      <c r="M377" s="3" t="inlineStr">
        <is>
          <t>None found in this function — anything it assumes comes from the functions it depends on.</t>
        </is>
      </c>
      <c r="N377" s="3" t="inlineStr">
        <is>
          <t>Yes</t>
        </is>
      </c>
      <c r="O377" s="3" t="inlineStr">
        <is>
          <t>1. MK-PF-F-002 costBasis
2. MK-PF-F-005 unrealizedGain</t>
        </is>
      </c>
      <c r="P377" s="3" t="n">
        <v>117</v>
      </c>
      <c r="Q377" s="3" t="inlineStr">
        <is>
          <t>1. MK-PF-F-002 costBasis
2. MK-PF-F-005 unrealizedGain
3. MK-PF-F-031 contractMultiplier
4. MK-CF-F-204 line
5. MK-PF-F-004 marketValue
6. MK-CF-F-203 MONTH
7. MK-XS-F-180 declareFigures
8. MK-PF-F-001 totalShares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MK-ST-F-056 has
24. MK-CF-F-022 paymentShape
25. MK-CF-F-152 isRadarItem
26. MK-CF-F-023 requiredPayment
27. MK-CF-F-132 map
28. MK-NW-F-078 ONE
29. MK-CF-F-157 debtPaymentsByDebt
30. MK-CF-F-192 inflowLabel
31. MK-XS-F-027 takeHomeMonthly
32. MK-CF-F-021 defaultPaymentType
33. MK-NW-F-077 ALL
34. MK-NW-F-059 currentYield
35. MK-ST-F-049 formatMoney
36. MK-ST-F-053 money
37. MK-NW-O-001 theBonds
38. MK-CF-F-193 inflowSourceWord
39. MK-CF-F-092 incomeMonthlyGrid
40. MK-CF-F-011 savingsByMonth
41. MK-NW-F-112 yearlyInterest
42. MK-ST-F-048 currencySymbol
43. MK-ST-F-039 on
44. MK-ST-F-027 accountId
45. MK-NW-F-057 annualCoupon
46. MK-NW-F-056 bondInfo
47. MK-NW-F-064 bondRateSensitivity
48. MK-NW-F-061 bondSummary
49. MK-NW-F-055 isBond
50. MK-NW-F-072 rowOf
51. MK-CF-F-069 benefitActiveMonths
52. MK-CF-F-072 currentRetirementIncomeMonthly
53. MK-CF-F-173 earnerWages
54. MK-CF-F-065 equityVestWeights
55. MK-CF-F-071 extraIncome
56. MK-CF-F-206 householdK401ByMonth
57. MK-CF-F-087 monthlyTaxRates
58. MK-CF-F-073 otherIncomeMonth
59. MK-CF-F-181 rateInForce
60. MK-CF-F-068 rentalNetAnnual
61. MK-CF-F-066 rsuAnnual
62. MK-CF-F-060 salaryGrossByMonth
63. MK-CF-F-077 scholarshipByCalendarMonth
64. MK-CF-F-088 taxableByCalendarMonth
65. MK-CF-F-177 wageGrossByMonth
66. MK-PL-F-012 waterfall
67. MK-CF-F-008 spendByMonth
68. MK-ST-F-047 activeCurrency
69. MK-NW-F-060 approxYTM
70. MK-NW-F-069 priceAtYield
71. MK-NW-F-131 pricedLikeBond
72. MK-NW-F-125 isPastMaturity
73. MK-ST-F-065 isoLocalDate
74. MK-NW-F-126 yearlyInterestNow
75. MK-NW-F-011 assetClassOf
76. MK-NW-F-070 accruedInterestCaveat
77. MK-NW-F-058 yearsToMaturity
78. MK-CF-F-075 retirementIncomeMonthly
79. MK-CF-F-172 hasWage
80. MK-CF-F-062 equityRowValue
81. MK-CF-F-070 benefitAnnual
82. MK-CF-F-176 sumMonthsOverEarners
83. MK-CF-F-090 effectiveRate
84. MK-CF-F-180 enteredLandsAnnual
85. MK-CF-F-085 filingStatusOf
86. MK-CF-F-089 over65CountOf
87. MK-CF-F-082 salaryAnnual
88. MK-CF-F-086 stateRateOf
89. MK-CF-F-101 taxOwedFor
90. MK-CF-F-084 taxableAnnual
91. MK-CF-F-067 rentalList
92. MK-CF-F-063 rowVestYear
93. MK-CF-F-130 enteredMonthlyRaw
94. MK-CF-F-166 hasMonthlySalaryTable
95. MK-ST-F-036 reconcile
96. MK-CF-F-167 salaryCalendarYear
97. MK-CF-F-120 pctBaseMonthly
98. MK-CF-F-004 spendBuckets
99. MK-NW-F-119 estimatedAccrued
100. MK-NW-F-124 maturityParts
101. MK-NW-F-120 classEvidenceOf
102. MK-NW-F-067 plural
103. MK-CF-F-100 taxableIncomeFor
104. MK-CF-F-074 tipsAnnual
105. MK-ST-F-085 rentFigure
106. MK-CF-F-165 salaryMonths
107. MK-CF-F-003 categoryMonthly
108. MK-NW-F-008 incomeBearingClassOf
109. MK-NW-F-009 maturityClass
110. MK-CF-F-099 deductionFor
111. MK-CF-F-081 salaryActiveMonths
112. MK-ST-F-010 nameEvidence
113. MK-NW-F-068 prettyDay
114. MK-CF-F-187 seniorDeductionFor
115. MK-XS-F-147 call
116. MK-XS-F-064 currentIdToken
117. MK-XS-F-112 relayUrl</t>
        </is>
      </c>
      <c r="R377" s="3" t="inlineStr">
        <is>
          <t>1. MK-PF-F-031 contractMultiplier → MK-PF-F-002 costBasis → MK-PF-F-007 totalROI
2. MK-PF-F-031 contractMultiplier → MK-PF-F-002 costBasis → MK-PF-F-005 unrealizedGain → MK-PF-F-007 totalROI
3. MONTH (already above — a loop) → MK-CF-O-010 theMonth → MK-CF-F-203 MONTH → MK-CF-F-204 line → MK-PF-F-005 unrealizedGain → MK-PF-F-007 totalROI
4. MK-CF-F-155 cash → MK-CF-O-010 theMonth → MK-CF-F-203 MONTH → MK-CF-F-204 line → MK-PF-F-005 unrealizedGain → MK-PF-F-007 totalROI
5. MK-CF-O-002 expenses → MK-CF-O-010 theMonth → MK-CF-F-203 MONTH → MK-CF-F-204 line → MK-PF-F-005 unrealizedGain → MK-PF-F-007 totalROI
6. MK-CF-O-003 thisMonth → MK-CF-O-010 theMonth → MK-CF-F-203 MONTH → MK-CF-F-204 line → MK-PF-F-005 unrealizedGain → MK-PF-F-007 totalROI
7. MK-XS-F-180 declareFigures → MK-CF-F-204 line → MK-PF-F-005 unrealizedGain → MK-PF-F-007 totalROI
8. MK-PF-F-031 contractMultiplier → MK-PF-F-004 marketValue → MK-PF-F-005 unrealizedGain → MK-PF-F-007 totalROI
9. … and 1 more paths</t>
        </is>
      </c>
      <c r="S377" s="3" t="inlineStr">
        <is>
          <t>—</t>
        </is>
      </c>
      <c r="T377" s="3" t="inlineStr">
        <is>
          <t>HOLDING_TOTAL_ROI</t>
        </is>
      </c>
      <c r="U377" s="3" t="inlineStr">
        <is>
          <t>ACTIVE</t>
        </is>
      </c>
      <c r="V377" s="3" t="inlineStr">
        <is>
          <t>2026-09-09</t>
        </is>
      </c>
      <c r="W377" s="3" t="n"/>
      <c r="X377" s="3" t="n"/>
      <c r="Y377" s="3" t="inlineStr">
        <is>
          <t>NOTHING OPEN</t>
        </is>
      </c>
    </row>
    <row r="378" ht="60" customHeight="1">
      <c r="A378" s="3" t="inlineStr">
        <is>
          <t>MK-PF-F-008</t>
        </is>
      </c>
      <c r="B378" s="3" t="inlineStr">
        <is>
          <t>startDateFor</t>
        </is>
      </c>
      <c r="C378" s="3" t="inlineStr">
        <is>
          <t>src/domain/performance/index.ts</t>
        </is>
      </c>
      <c r="D378" s="3" t="n">
        <v>459</v>
      </c>
      <c r="E378" s="3" t="inlineStr">
        <is>
          <t>2 · DISPLAYED</t>
        </is>
      </c>
      <c r="F378" s="3" t="inlineStr">
        <is>
          <t>The date a period starts from, counted back from today: one, three or six months, the start of this year, one year or two years.</t>
        </is>
      </c>
      <c r="G378" s="11" t="inlineStr">
        <is>
          <t>the date now.get full year(), 0, 1   when period = 'YTD'
back = '1 m': 1 = '1 m': 1
'3 m': 3 = '3 m': 3
'6 m': 6 = '6 m': 6
'1 y': 12 = '1 y': 12
'2 y': 24 = '2 y': 24
the date now   when back[period] = nothing
m = now.get month() − back[period]
last day = the date now.get full year(), m + 1, 0).get date(
d = the date now
the answer = d</t>
        </is>
      </c>
      <c r="H378" s="3" t="inlineStr">
        <is>
          <t>When period = 'YTD', it answers the date now.get full year(), 0, 1. Back is '1 m': 1 = '1 m': 1; '3 m': 3 = '3 m': 3; '6 m': 6 = '6 m': 6; '1 y': 12 = '1 y': 12; '2 y': 24 = '2 y': 24. When back[period] is missing, it answers the date now. M is now.get month() minus back[period]. Last day: the date now.get full year(), m plus 1, 0).get date(. D: the date now. The answer is d.</t>
        </is>
      </c>
      <c r="I378" s="3" t="inlineStr">
        <is>
          <t>PARTLY READ — some of the code is still showing through; needs a hand pass</t>
        </is>
      </c>
      <c r="J378" s="3" t="inlineStr">
        <is>
          <t>1. period: Period
2. now: Date</t>
        </is>
      </c>
      <c r="K378" s="3" t="inlineStr">
        <is>
          <t>Date</t>
        </is>
      </c>
      <c r="L378" s="3" t="inlineStr">
        <is>
          <t>NOT FOUND — a screen calls it, but the words printed beside its answer could not be traced automatically. Needs reading.</t>
        </is>
      </c>
      <c r="M378" s="3" t="inlineStr">
        <is>
          <t>None found in this function — anything it assumes comes from the functions it depends on.</t>
        </is>
      </c>
      <c r="N378" s="3" t="inlineStr">
        <is>
          <t>Yes</t>
        </is>
      </c>
      <c r="O378" s="3" t="inlineStr">
        <is>
          <t>—</t>
        </is>
      </c>
      <c r="P378" s="3" t="n">
        <v>0</v>
      </c>
      <c r="Q378" s="3" t="inlineStr">
        <is>
          <t>None — no dependent function stands behind it</t>
        </is>
      </c>
      <c r="R378" s="3" t="inlineStr">
        <is>
          <t>No dependent function — it reads its inputs and answers</t>
        </is>
      </c>
      <c r="S378" s="3" t="inlineStr">
        <is>
          <t>—</t>
        </is>
      </c>
      <c r="T378" s="3" t="inlineStr">
        <is>
          <t>PERIOD_START_DATE</t>
        </is>
      </c>
      <c r="U378" s="3" t="inlineStr">
        <is>
          <t>ACTIVE</t>
        </is>
      </c>
      <c r="V378" s="3" t="inlineStr">
        <is>
          <t>2026-10-10</t>
        </is>
      </c>
      <c r="W378" s="3" t="n"/>
      <c r="X378" s="3" t="n"/>
      <c r="Y378" s="3" t="inlineStr">
        <is>
          <t>NOTHING OPEN</t>
        </is>
      </c>
    </row>
    <row r="379" ht="60" customHeight="1">
      <c r="A379" s="3" t="inlineStr">
        <is>
          <t>MK-PF-F-009</t>
        </is>
      </c>
      <c r="B379" s="3" t="inlineStr">
        <is>
          <t>latestClose</t>
        </is>
      </c>
      <c r="C379" s="3" t="inlineStr">
        <is>
          <t>src/domain/performance/index.ts</t>
        </is>
      </c>
      <c r="D379" s="3" t="n">
        <v>582</v>
      </c>
      <c r="E379" s="3" t="inlineStr">
        <is>
          <t>2 · DISPLAYED</t>
        </is>
      </c>
      <c r="F379" s="3" t="inlineStr">
        <is>
          <t>What is the most recent price we hold for this?</t>
        </is>
      </c>
      <c r="G379" s="11" t="inlineStr">
        <is>
          <t>latest close = the last point in the price series
             = nothing   when the series is empty</t>
        </is>
      </c>
      <c r="H379" s="3" t="inlineStr">
        <is>
          <t>The most recent closing price held for a ticker. It carries no date with it, so nothing downstream can tell a price from this morning from one three weeks old.</t>
        </is>
      </c>
      <c r="I379" s="3" t="inlineStr">
        <is>
          <t>READ BY HAND 2026-08-26 — checked line by line against the code</t>
        </is>
      </c>
      <c r="J379" s="3" t="inlineStr">
        <is>
          <t>series: PriceSeries | null | undefined</t>
        </is>
      </c>
      <c r="K379" s="3" t="inlineStr">
        <is>
          <t>number | null</t>
        </is>
      </c>
      <c r="L379" s="3" t="inlineStr">
        <is>
          <t>NOT FOUND — a screen calls it, but the words printed beside its answer could not be traced automatically. Needs reading.</t>
        </is>
      </c>
      <c r="M379" s="3" t="inlineStr">
        <is>
          <t>None found in this function — anything it assumes comes from the functions it depends on.</t>
        </is>
      </c>
      <c r="N379" s="3" t="inlineStr">
        <is>
          <t>Yes</t>
        </is>
      </c>
      <c r="O379" s="3" t="inlineStr">
        <is>
          <t>—</t>
        </is>
      </c>
      <c r="P379" s="3" t="n">
        <v>0</v>
      </c>
      <c r="Q379" s="3" t="inlineStr">
        <is>
          <t>None — no dependent function stands behind it</t>
        </is>
      </c>
      <c r="R379" s="3" t="inlineStr">
        <is>
          <t>No dependent function — it reads its inputs and answers</t>
        </is>
      </c>
      <c r="S379" s="3" t="inlineStr">
        <is>
          <t>—</t>
        </is>
      </c>
      <c r="T379" s="3" t="inlineStr">
        <is>
          <t>PRICE_LATEST</t>
        </is>
      </c>
      <c r="U379" s="3" t="inlineStr">
        <is>
          <t>ACTIVE</t>
        </is>
      </c>
      <c r="V379" s="3" t="inlineStr">
        <is>
          <t>2026-09-08</t>
        </is>
      </c>
      <c r="W379" s="3" t="n"/>
      <c r="X379" s="3" t="n"/>
      <c r="Y379" s="3" t="inlineStr">
        <is>
          <t>NOTHING OPEN</t>
        </is>
      </c>
    </row>
    <row r="380" ht="60" customHeight="1">
      <c r="A380" s="3" t="inlineStr">
        <is>
          <t>MK-PF-F-010</t>
        </is>
      </c>
      <c r="B380" s="3" t="inlineStr">
        <is>
          <t>periodReturn</t>
        </is>
      </c>
      <c r="C380" s="3" t="inlineStr">
        <is>
          <t>src/domain/performance/index.ts</t>
        </is>
      </c>
      <c r="D380" s="3" t="n">
        <v>623</v>
      </c>
      <c r="E380" s="3" t="inlineStr">
        <is>
          <t>3 · DEPENDENT</t>
        </is>
      </c>
      <c r="F380" s="3" t="inlineStr">
        <is>
          <t>Price return of a ticker over a period (decimal).</t>
        </is>
      </c>
      <c r="G380" s="11" t="inlineStr">
        <is>
          <t>nothing   when series is missing (or not (count of series.points) when missing or zero)
end = latest close(series)
start = close as of(series, start date for(period, now))
nothing   when end = nothing (or start = nothing (or start ≤ 0 when missing or zero) when missing or zero)
raw = end ÷ start − 1
first = the date series.points[0].date), last = new date(series.points[series.points.length − 1].date
reaches = first.get time() ≤ start date for(period, now).get time()
years = 2   if reaches
(last.get time() − first.get time()) ÷ (365.25 × 86400000)   otherwise
the answer:
(end ÷ start)^(1 ÷ years) − 1   if years &gt; 1
raw   otherwise</t>
        </is>
      </c>
      <c r="H380" s="3" t="inlineStr">
        <is>
          <t>When series is missing (or not (how many series.points) — when missing or zero) there are, it answers no answer. End is latest close(series). Start is close as of(series, start date for(period, now)). When end is missing (or start is missing (or start is at most 0 — when missing or zero) — when missing or zero), it answers no answer. Raw is end divided by start minus 1. First: the date series.points[0].date), last = new date(series.points[series.points.length minus 1].date. Reaches is first.get time() is at most start date for(period, now).get time(). Years is 2 — when reaches; (last.get time() minus first.get time()) divided by (365.25 times 86400000) — otherwise. The answer is (end divided by start)^(1 divided by years) minus 1 — when years &gt; 1; raw — otherwise.</t>
        </is>
      </c>
      <c r="I380" s="3" t="inlineStr">
        <is>
          <t>PARTLY READ — some of the code is still showing through; needs a hand pass</t>
        </is>
      </c>
      <c r="J380" s="3" t="inlineStr">
        <is>
          <t>1. series: PriceSeries | null | undefined
2. period: Period
3. now = new Date()</t>
        </is>
      </c>
      <c r="K380" s="3" t="inlineStr">
        <is>
          <t>number | null</t>
        </is>
      </c>
      <c r="L380" s="3" t="inlineStr">
        <is>
          <t>—</t>
        </is>
      </c>
      <c r="M380" s="3" t="inlineStr">
        <is>
          <t>· Uses today's date from the device clock, so the answer changes by itself overnight.</t>
        </is>
      </c>
      <c r="N380" s="3" t="inlineStr">
        <is>
          <t>Yes</t>
        </is>
      </c>
      <c r="O380" s="3" t="inlineStr">
        <is>
          <t>1. MK-PF-F-029 closeAsOf
2. MK-PF-F-009 latestClose
3. MK-ST-F-030 record
4. MK-PF-F-008 startDateFor</t>
        </is>
      </c>
      <c r="P380" s="3" t="n">
        <v>4</v>
      </c>
      <c r="Q380" s="3" t="inlineStr">
        <is>
          <t>1. MK-PF-F-029 closeAsOf
2. MK-PF-F-009 latestClose
3. MK-ST-F-030 record
4. MK-PF-F-008 startDateFor</t>
        </is>
      </c>
      <c r="R380" s="3" t="inlineStr">
        <is>
          <t>1. MK-PF-F-029 closeAsOf → MK-PF-F-010 periodReturn
2. MK-PF-F-009 latestClose → MK-PF-F-010 periodReturn
3. MK-ST-F-030 record → MK-PF-F-010 periodReturn
4. MK-PF-F-008 startDateFor → MK-PF-F-010 periodReturn</t>
        </is>
      </c>
      <c r="S380" s="3" t="inlineStr">
        <is>
          <t>—</t>
        </is>
      </c>
      <c r="T380" s="3" t="inlineStr">
        <is>
          <t>PERIOD_RETURN</t>
        </is>
      </c>
      <c r="U380" s="3" t="inlineStr">
        <is>
          <t>ACTIVE</t>
        </is>
      </c>
      <c r="V380" s="3" t="inlineStr">
        <is>
          <t>2026-10-04</t>
        </is>
      </c>
      <c r="W380" s="3" t="n"/>
      <c r="X380" s="3" t="n"/>
      <c r="Y380" s="3" t="inlineStr">
        <is>
          <t>NOTHING OPEN</t>
        </is>
      </c>
    </row>
    <row r="381" ht="60" customHeight="1">
      <c r="A381" s="3" t="inlineStr">
        <is>
          <t>MK-PF-F-011</t>
        </is>
      </c>
      <c r="B381" s="3" t="inlineStr">
        <is>
          <t>periodReturnSince</t>
        </is>
      </c>
      <c r="C381" s="3" t="inlineStr">
        <is>
          <t>src/domain/performance/index.ts</t>
        </is>
      </c>
      <c r="D381" s="3" t="n">
        <v>677</v>
      </c>
      <c r="E381" s="3" t="inlineStr">
        <is>
          <t>2 · DISPLAYED</t>
        </is>
      </c>
      <c r="F381" s="3" t="inlineStr">
        <is>
          <t>Price return from an explicit start DATE to now (for purchase-capped windows).</t>
        </is>
      </c>
      <c r="G381" s="11"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381"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381" s="3" t="inlineStr">
        <is>
          <t>PARTLY READ — some of the code is still showing through; needs a hand pass</t>
        </is>
      </c>
      <c r="J381" s="3" t="inlineStr">
        <is>
          <t>1. series: PriceSeries | null | undefined
2. sinceISO: string
3. now = new Date()</t>
        </is>
      </c>
      <c r="K381" s="3" t="inlineStr">
        <is>
          <t>number | null</t>
        </is>
      </c>
      <c r="L381" s="3" t="inlineStr">
        <is>
          <t>NOT FOUND — a screen calls it, but the words printed beside its answer could not be traced automatically. Needs reading.</t>
        </is>
      </c>
      <c r="M381" s="3" t="inlineStr">
        <is>
          <t>· Uses today's date from the device clock, so the answer changes by itself overnight.</t>
        </is>
      </c>
      <c r="N381" s="3" t="inlineStr">
        <is>
          <t>Yes</t>
        </is>
      </c>
      <c r="O381" s="3" t="inlineStr">
        <is>
          <t>1. MK-PF-F-029 closeAsOf
2. MK-PF-F-009 latestClose</t>
        </is>
      </c>
      <c r="P381" s="3" t="n">
        <v>2</v>
      </c>
      <c r="Q381" s="3" t="inlineStr">
        <is>
          <t>1. MK-PF-F-029 closeAsOf
2. MK-PF-F-009 latestClose</t>
        </is>
      </c>
      <c r="R381" s="3" t="inlineStr">
        <is>
          <t>1. MK-PF-F-029 closeAsOf → MK-PF-F-011 periodReturnSince
2. MK-PF-F-009 latestClose → MK-PF-F-011 periodReturnSince</t>
        </is>
      </c>
      <c r="S381" s="3" t="inlineStr">
        <is>
          <t>—</t>
        </is>
      </c>
      <c r="T381" s="3" t="inlineStr">
        <is>
          <t>RETURN_SINCE_A_DATE</t>
        </is>
      </c>
      <c r="U381" s="3" t="inlineStr">
        <is>
          <t>ACTIVE</t>
        </is>
      </c>
      <c r="V381" s="3" t="inlineStr">
        <is>
          <t>2026-09-26</t>
        </is>
      </c>
      <c r="W381" s="3" t="n"/>
      <c r="X381" s="3" t="n"/>
      <c r="Y381" s="3" t="inlineStr">
        <is>
          <t>NOTHING OPEN</t>
        </is>
      </c>
    </row>
    <row r="382" ht="60" customHeight="1">
      <c r="A382" s="3" t="inlineStr">
        <is>
          <t>MK-PF-F-012</t>
        </is>
      </c>
      <c r="B382" s="3" t="inlineStr">
        <is>
          <t>earliestPurchaseDate</t>
        </is>
      </c>
      <c r="C382" s="3" t="inlineStr">
        <is>
          <t>src/domain/performance/index.ts</t>
        </is>
      </c>
      <c r="D382" s="3" t="n">
        <v>710</v>
      </c>
      <c r="E382" s="3" t="inlineStr">
        <is>
          <t>3 · DEPENDENT</t>
        </is>
      </c>
      <c r="F382" s="3" t="inlineStr">
        <is>
          <t>Earliest dated lot — the day this holding became YOUR money.</t>
        </is>
      </c>
      <c r="G382" s="11" t="inlineStr">
        <is>
          <t>dates = for each of lots (or none when missing): purchase date where ÷ ^\each{4}-\each{2}-\each{2} ÷ .test(each ?? '')
the answer:
the first 10 of dates.sort()[0]!   if count of dates
nothing   otherwise</t>
        </is>
      </c>
      <c r="H382" s="3" t="inlineStr">
        <is>
          <t>Dates is for each of lots (or none — when missing): purchase date where divided by ^\each{4}-\each{2}-\each{2} divided by .test(each ?? ''). The answer: the first 10 of dates.sort()[0]! — when how many dates there are; no answer — otherwise.</t>
        </is>
      </c>
      <c r="I382" s="3" t="inlineStr">
        <is>
          <t>PARTLY READ — some of the code is still showing through; needs a hand pass</t>
        </is>
      </c>
      <c r="J382" s="3" t="inlineStr">
        <is>
          <t>p: Position</t>
        </is>
      </c>
      <c r="K382" s="3" t="inlineStr">
        <is>
          <t>string | null</t>
        </is>
      </c>
      <c r="L382" s="3" t="inlineStr">
        <is>
          <t>—</t>
        </is>
      </c>
      <c r="M382" s="3" t="inlineStr">
        <is>
          <t>None found in this function — anything it assumes comes from the functions it depends on.</t>
        </is>
      </c>
      <c r="N382" s="3" t="inlineStr">
        <is>
          <t>Yes</t>
        </is>
      </c>
      <c r="O382" s="3" t="inlineStr">
        <is>
          <t>MK-CF-F-132 map</t>
        </is>
      </c>
      <c r="P382" s="3" t="n">
        <v>1</v>
      </c>
      <c r="Q382" s="3" t="inlineStr">
        <is>
          <t>MK-CF-F-132 map</t>
        </is>
      </c>
      <c r="R382" s="3" t="inlineStr">
        <is>
          <t>MK-CF-F-132 map → MK-PF-F-012 earliestPurchaseDate</t>
        </is>
      </c>
      <c r="S382" s="3" t="inlineStr">
        <is>
          <t>—</t>
        </is>
      </c>
      <c r="T382" s="3" t="inlineStr">
        <is>
          <t>HOLDING_FIRST_BOUGHT</t>
        </is>
      </c>
      <c r="U382" s="3" t="inlineStr">
        <is>
          <t>ACTIVE</t>
        </is>
      </c>
      <c r="V382" s="3" t="inlineStr">
        <is>
          <t>2026-08-27</t>
        </is>
      </c>
      <c r="W382" s="3" t="n"/>
      <c r="X382" s="3" t="n"/>
      <c r="Y382" s="3" t="inlineStr">
        <is>
          <t>NOTHING OPEN</t>
        </is>
      </c>
    </row>
    <row r="383" ht="60" customHeight="1">
      <c r="A383" s="3" t="inlineStr">
        <is>
          <t>MK-PF-F-013</t>
        </is>
      </c>
      <c r="B383" s="3" t="inlineStr">
        <is>
          <t>benchmarkTicker</t>
        </is>
      </c>
      <c r="C383" s="3" t="inlineStr">
        <is>
          <t>src/domain/performance/index.ts</t>
        </is>
      </c>
      <c r="D383" s="3" t="n">
        <v>760</v>
      </c>
      <c r="E383" s="3" t="inlineStr">
        <is>
          <t>2 · DISPLAYED</t>
        </is>
      </c>
      <c r="F383" s="3" t="inlineStr">
        <is>
          <t>What should this holding be compared against?</t>
        </is>
      </c>
      <c r="G383" s="11" t="inlineStr">
        <is>
          <t>BENCHMARK_TICKER[kind ?? ''] (or 'SPY' when missing)</t>
        </is>
      </c>
      <c r="H383" s="3" t="inlineStr">
        <is>
          <t>BENCHMARK_TICKER[kind ?? ''] (or 'SPY' — when missing).</t>
        </is>
      </c>
      <c r="I383" s="3" t="inlineStr">
        <is>
          <t>PARTLY READ — some of the code is still showing through; needs a hand pass</t>
        </is>
      </c>
      <c r="J383" s="3" t="inlineStr">
        <is>
          <t>kind?: string</t>
        </is>
      </c>
      <c r="K383" s="3" t="inlineStr">
        <is>
          <t>string</t>
        </is>
      </c>
      <c r="L383" s="3" t="inlineStr">
        <is>
          <t>1. "Name (optional)" — on the Performance screen
2. "You are" — on the Holding detail screen, under "VS THE STOCK MARKET
3. SAME DATES"</t>
        </is>
      </c>
      <c r="M383" s="3" t="inlineStr">
        <is>
          <t>None found in this function — anything it assumes comes from the functions it depends on.</t>
        </is>
      </c>
      <c r="N383" s="3" t="inlineStr">
        <is>
          <t>Yes</t>
        </is>
      </c>
      <c r="O383" s="3" t="inlineStr">
        <is>
          <t>MK-ST-F-053 money</t>
        </is>
      </c>
      <c r="P383" s="3" t="n">
        <v>6</v>
      </c>
      <c r="Q383" s="3" t="inlineStr">
        <is>
          <t>1. MK-ST-F-053 money
2. MK-ST-F-049 formatMoney
3. MK-XS-F-122 n
4. MK-ST-F-048 currencySymbol
5. MK-ST-F-039 on
6. MK-ST-F-047 activeCurrency</t>
        </is>
      </c>
      <c r="R383"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is>
      </c>
      <c r="S383" s="3" t="inlineStr">
        <is>
          <t>—</t>
        </is>
      </c>
      <c r="T383" s="3" t="inlineStr">
        <is>
          <t>BENCHMARK_FOR_KIND</t>
        </is>
      </c>
      <c r="U383" s="3" t="inlineStr">
        <is>
          <t>ACTIVE</t>
        </is>
      </c>
      <c r="V383" s="3" t="inlineStr">
        <is>
          <t>2026-08-27</t>
        </is>
      </c>
      <c r="W383" s="3" t="n"/>
      <c r="X383" s="3" t="n"/>
      <c r="Y383" s="3" t="inlineStr">
        <is>
          <t>NOTHING OPEN</t>
        </is>
      </c>
    </row>
    <row r="384" ht="60" customHeight="1">
      <c r="A384" s="3" t="inlineStr">
        <is>
          <t>MK-PF-F-014</t>
        </is>
      </c>
      <c r="B384" s="3" t="inlineStr">
        <is>
          <t>buildPerformance</t>
        </is>
      </c>
      <c r="C384" s="3" t="inlineStr">
        <is>
          <t>src/domain/performance/index.ts</t>
        </is>
      </c>
      <c r="D384" s="3" t="n">
        <v>817</v>
      </c>
      <c r="E384" s="3" t="inlineStr">
        <is>
          <t>2 · DISPLAYED</t>
        </is>
      </c>
      <c r="F384" s="3" t="inlineStr">
        <is>
          <t>Build the per-holding rows for a period from positions + a price-series lookup.</t>
        </is>
      </c>
      <c r="G384" s="11" t="inlineStr">
        <is>
          <t>period start = the first 10 of start date for(period, now).to isostring()
series = price of(ticker)
price = latest close(series)
bought = earliest purchase date(p) (or purchase date of.(p) (or nothing when missing) when missing)
capped = bought ≠ nothing and bought &gt; period start
pr = total roi(p, price)   if capped
period return(series, period, now)   otherwise
bench ticker = benchmark ticker(kind)</t>
        </is>
      </c>
      <c r="H384" s="3" t="inlineStr">
        <is>
          <t>Period start: the first 10 of start date for(period, now).to isostring(). Series is price of(ticker). Price is latest close(series). Bought is earliest purchase date(p) (or purchase date of.(p) (or no answer — when missing) — when missing). Capped is bought is not no answer and bought &gt; period start. Pr is total roi(p, price) — when capped; period return(series, period, now) — otherwise. Bench ticker is benchmark ticker(kind).</t>
        </is>
      </c>
      <c r="I384" s="3" t="inlineStr">
        <is>
          <t>PARTLY READ — some of the code is still showing through; needs a hand pass</t>
        </is>
      </c>
      <c r="J384" s="3" t="inlineStr">
        <is>
          <t>Nothing is handed to it</t>
        </is>
      </c>
      <c r="K384" s="3" t="inlineStr">
        <is>
          <t>NOT DECLARED — the code does not say what it gives back</t>
        </is>
      </c>
      <c r="L384" s="3" t="inlineStr">
        <is>
          <t>NOT FOUND — a screen calls it, but the words printed beside its answer could not be traced automatically. Needs reading.</t>
        </is>
      </c>
      <c r="M384" s="3" t="inlineStr">
        <is>
          <t>· Uses today's date from the device clock, so the answer changes by itself overnight.</t>
        </is>
      </c>
      <c r="N384" s="3" t="inlineStr">
        <is>
          <t>Yes</t>
        </is>
      </c>
      <c r="O384"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t>
        </is>
      </c>
      <c r="P384" s="3" t="n">
        <v>126</v>
      </c>
      <c r="Q384"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
13. MK-PF-F-031 contractMultiplier
14. MK-PF-F-001 totalShares
15. MK-ST-F-049 formatMoney
16. MK-XS-F-122 n
17. MK-PF-F-029 closeAsOf
18. MK-ST-F-030 record
19. MK-CF-F-204 line
20. MK-ST-F-048 currencySymbol
21. MK-ST-F-039 on
22. MK-CF-F-203 MONTH
23. MK-XS-F-180 declareFigures
24. MK-ST-F-047 activeCurrency
25. MK-CF-O-010 theMonth
26. MK-CF-F-155 cash
27. MK-CF-O-002 expenses
28. MK-CF-O-003 thisMonth
29. MK-CF-F-151 actualSpending
30. MK-CF-F-150 debtPaymentsCountedAsExpenses
31. MK-CF-F-153 radar
32. MK-CF-F-149 recurringDebtPayments
33. MK-CF-F-005 actualMonthFlow
34. MK-CF-F-156 plannedMonthFlow
35. MK-CF-F-148 inMonth
36. MK-ST-F-052 toNum
37. MK-CF-F-191 ym
38. MK-ST-F-056 has
39. MK-CF-F-022 paymentShape
40. MK-CF-F-152 isRadarItem
41. MK-CF-F-023 requiredPayment
42. MK-NW-F-078 ONE
43. MK-CF-F-157 debtPaymentsByDebt
44. MK-CF-F-192 inflowLabel
45. MK-XS-F-027 takeHomeMonthly
46. MK-CF-F-021 defaultPaymentType
47. MK-NW-F-077 ALL
48. MK-NW-F-059 currentYield
49. MK-NW-O-001 theBonds
50. MK-CF-F-193 inflowSourceWord
51. MK-CF-F-092 incomeMonthlyGrid
52. MK-CF-F-011 savingsByMonth
53. MK-NW-F-112 yearlyInterest
54. MK-ST-F-027 accountId
55. MK-NW-F-057 annualCoupon
56. MK-NW-F-056 bondInfo
57. MK-NW-F-064 bondRateSensitivity
58. MK-NW-F-061 bondSummary
59. MK-NW-F-055 isBond
60. MK-NW-F-072 rowOf
61. MK-CF-F-069 benefitActiveMonths
62. MK-CF-F-072 currentRetirementIncomeMonthly
63. MK-CF-F-173 earnerWages
64. MK-CF-F-065 equityVestWeights
65. MK-CF-F-071 extraIncome
66. MK-CF-F-206 householdK401ByMonth
67. MK-CF-F-087 monthlyTaxRates
68. MK-CF-F-073 otherIncomeMonth
69. MK-CF-F-181 rateInForce
70. MK-CF-F-068 rentalNetAnnual
71. MK-CF-F-066 rsuAnnual
72. MK-CF-F-060 salaryGrossByMonth
73. MK-CF-F-077 scholarshipByCalendarMonth
74. MK-CF-F-088 taxableByCalendarMonth
75. MK-CF-F-177 wageGrossByMonth
76. MK-PL-F-012 waterfall
77. MK-CF-F-008 spendByMonth
78. MK-NW-F-060 approxYTM
79. MK-NW-F-069 priceAtYield
80. MK-NW-F-131 pricedLikeBond
81. MK-NW-F-125 isPastMaturity
82. MK-ST-F-065 isoLocalDate
83. MK-NW-F-126 yearlyInterestNow
84. MK-NW-F-011 assetClassOf
85. MK-NW-F-070 accruedInterestCaveat
86. MK-NW-F-058 yearsToMaturity
87. MK-CF-F-075 retirementIncomeMonthly
88. MK-CF-F-172 hasWage
89. MK-CF-F-062 equityRowValue
90. MK-CF-F-070 benefitAnnual
91. MK-CF-F-176 sumMonthsOverEarners
92. MK-CF-F-090 effectiveRate
93. MK-CF-F-180 enteredLandsAnnual
94. MK-CF-F-085 filingStatusOf
95. MK-CF-F-089 over65CountOf
96. MK-CF-F-082 salaryAnnual
97. MK-CF-F-086 stateRateOf
98. MK-CF-F-101 taxOwedFor
99. MK-CF-F-084 taxableAnnual
100. MK-CF-F-067 rentalList
101. MK-CF-F-063 rowVestYear
102. MK-CF-F-130 enteredMonthlyRaw
103. MK-CF-F-166 hasMonthlySalaryTable
104. MK-ST-F-036 reconcile
105. MK-CF-F-167 salaryCalendarYear
106. MK-CF-F-120 pctBaseMonthly
107. MK-CF-F-004 spendBuckets
108. MK-NW-F-119 estimatedAccrued
109. MK-NW-F-124 maturityParts
110. MK-NW-F-120 classEvidenceOf
111. MK-NW-F-067 plural
112. MK-CF-F-100 taxableIncomeFor
113. MK-CF-F-074 tipsAnnual
114. MK-ST-F-085 rentFigure
115. MK-CF-F-165 salaryMonths
116. MK-CF-F-003 categoryMonthly
117. MK-NW-F-008 incomeBearingClassOf
118. MK-NW-F-009 maturityClass
119. MK-CF-F-099 deductionFor
120. MK-CF-F-081 salaryActiveMonths
121. MK-ST-F-010 nameEvidence
122. MK-NW-F-068 prettyDay
123. MK-CF-F-187 seniorDeductionFor
124. MK-XS-F-147 call
125. MK-XS-F-064 currentIdToken
126. MK-XS-F-112 relayUrl</t>
        </is>
      </c>
      <c r="R384"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MK-CF-F-132 map → MK-PF-F-012 earliestPurchaseDate → MK-PF-F-014 buildPerformance
7. MK-PF-F-009 latestClose → MK-PF-F-014 buildPerformance
8. MK-CF-F-132 map → MK-PF-F-014 buildPerformance
9. … and 5 more paths</t>
        </is>
      </c>
      <c r="S384" s="3" t="inlineStr">
        <is>
          <t>—</t>
        </is>
      </c>
      <c r="T384" s="3" t="inlineStr">
        <is>
          <t>PERFORMANCE_TABLE</t>
        </is>
      </c>
      <c r="U384" s="3" t="inlineStr">
        <is>
          <t>ACTIVE</t>
        </is>
      </c>
      <c r="V384" s="3" t="inlineStr">
        <is>
          <t>2026-08-27</t>
        </is>
      </c>
      <c r="W384" s="3" t="n"/>
      <c r="X384" s="3" t="n"/>
      <c r="Y384" s="3" t="inlineStr">
        <is>
          <t>NOTHING OPEN</t>
        </is>
      </c>
    </row>
    <row r="385" ht="60" customHeight="1">
      <c r="A385" s="3" t="inlineStr">
        <is>
          <t>MK-PF-F-015</t>
        </is>
      </c>
      <c r="B385" s="3" t="inlineStr">
        <is>
          <t>topHoldingConcentration</t>
        </is>
      </c>
      <c r="C385" s="3" t="inlineStr">
        <is>
          <t>src/domain/performance/index.ts</t>
        </is>
      </c>
      <c r="D385" s="3" t="n">
        <v>875</v>
      </c>
      <c r="E385" s="3" t="inlineStr">
        <is>
          <t>2 · DISPLAYED</t>
        </is>
      </c>
      <c r="F385" s="3" t="inlineStr">
        <is>
          <t>The holding-concentration FACT (Invest main + the insights function share this one rule): the largest single holding as a % of invested money, reported only at 25%+ with 2+ holdings — below that it isn't a fact worth a card.</t>
        </is>
      </c>
      <c r="G385" s="11" t="inlineStr">
        <is>
          <t>invested = Σ over rows of (market value)
nothing   when invested ≤ 0 (or rows.length &lt; 2 when missing or zero)
top = rows.reduce((m, r) =&gt; (market value &gt; market value ? r : m), rows[0])
pct = round((top.market value ÷ invested) × 100)
the answer:
ticker = top.position.ticker
pct = pct
value = round(top.market value)   if pct ≥ 25
nothing   otherwise</t>
        </is>
      </c>
      <c r="H385" s="3" t="inlineStr">
        <is>
          <t>Invested: the market value added up across rows. When invested is at most 0 (or rows.length &lt; 2 — when missing or zero), it answers no answer. Top is rows.reduce((m, r) =&gt; (market value &gt; market value ? r : m), rows[0]). Pct is (top.market value divided by invested, to a whole number times 100). The answer is ticker = top.position.ticker; pct = pct; value = top.market value, to a whole number — when pct is at least 25; no answer — otherwise.</t>
        </is>
      </c>
      <c r="I385" s="3" t="inlineStr">
        <is>
          <t>PARTLY READ — some of the code is still showing through; needs a hand pass</t>
        </is>
      </c>
      <c r="J385" s="3" t="inlineStr">
        <is>
          <t>rows: PerformanceRow[]</t>
        </is>
      </c>
      <c r="K385" s="3" t="inlineStr">
        <is>
          <t>NOT DECLARED — the code does not say what it gives back</t>
        </is>
      </c>
      <c r="L385" s="3" t="inlineStr">
        <is>
          <t>NOT FOUND — a screen calls it, but the words printed beside its answer could not be traced automatically. Needs reading.</t>
        </is>
      </c>
      <c r="M385" s="3" t="inlineStr">
        <is>
          <t>· Rounds the answer to a whole number.</t>
        </is>
      </c>
      <c r="N385" s="3" t="inlineStr">
        <is>
          <t>Yes</t>
        </is>
      </c>
      <c r="O385" s="3" t="inlineStr">
        <is>
          <t>MK-PF-F-004 marketValue</t>
        </is>
      </c>
      <c r="P385" s="3" t="n">
        <v>3</v>
      </c>
      <c r="Q385" s="3" t="inlineStr">
        <is>
          <t>1. MK-PF-F-004 marketValue
2. MK-PF-F-031 contractMultiplier
3. MK-PF-F-001 totalShares</t>
        </is>
      </c>
      <c r="R385" s="3" t="inlineStr">
        <is>
          <t>1. MK-PF-F-031 contractMultiplier → MK-PF-F-004 marketValue → MK-PF-F-015 topHoldingConcentration
2. MK-PF-F-001 totalShares → MK-PF-F-004 marketValue → MK-PF-F-015 topHoldingConcentration</t>
        </is>
      </c>
      <c r="S385" s="3" t="inlineStr">
        <is>
          <t>—</t>
        </is>
      </c>
      <c r="T385" s="3" t="inlineStr">
        <is>
          <t>CONCENTRATION</t>
        </is>
      </c>
      <c r="U385" s="3" t="inlineStr">
        <is>
          <t>ACTIVE</t>
        </is>
      </c>
      <c r="V385" s="3" t="inlineStr">
        <is>
          <t>2026-08-27</t>
        </is>
      </c>
      <c r="W385" s="3" t="n"/>
      <c r="X385" s="3" t="n"/>
      <c r="Y385" s="3" t="inlineStr">
        <is>
          <t>NOTHING OPEN</t>
        </is>
      </c>
    </row>
    <row r="386" ht="60" customHeight="1">
      <c r="A386" s="3" t="inlineStr">
        <is>
          <t>MK-PF-F-016</t>
        </is>
      </c>
      <c r="B386" s="3" t="inlineStr">
        <is>
          <t>attribution</t>
        </is>
      </c>
      <c r="C386" s="3" t="inlineStr">
        <is>
          <t>src/domain/performance/index.ts</t>
        </is>
      </c>
      <c r="D386" s="3" t="n">
        <v>901</v>
      </c>
      <c r="E386" s="3" t="inlineStr">
        <is>
          <t>3 · DEPENDENT (feeds an action only)</t>
        </is>
      </c>
      <c r="F386" s="3" t="inlineStr">
        <is>
          <t>Per-holding contribution to the portfolio's period return = weight × the holding's return (pts).</t>
        </is>
      </c>
      <c r="G386" s="11" t="inlineStr">
        <is>
          <t>total = Σ over rows of (market value)
[]   when total ≤ 0</t>
        </is>
      </c>
      <c r="H386" s="3" t="inlineStr">
        <is>
          <t>Total: the market value added up across rows. When total is at most 0, it answers [].</t>
        </is>
      </c>
      <c r="I386" s="3" t="inlineStr">
        <is>
          <t>READ FROM THE CODE — rendered from the expressions the function runs</t>
        </is>
      </c>
      <c r="J386" s="3" t="inlineStr">
        <is>
          <t>rows: PerformanceRow[]</t>
        </is>
      </c>
      <c r="K386" s="3" t="inlineStr">
        <is>
          <t>NOT DECLARED — the code does not say what it gives back</t>
        </is>
      </c>
      <c r="L386" s="3" t="inlineStr">
        <is>
          <t>—</t>
        </is>
      </c>
      <c r="M386" s="3" t="inlineStr">
        <is>
          <t>None found in this function — anything it assumes comes from the functions it depends on.</t>
        </is>
      </c>
      <c r="N386" s="3" t="inlineStr">
        <is>
          <t>No</t>
        </is>
      </c>
      <c r="O386" s="3" t="inlineStr">
        <is>
          <t>1. MK-CF-F-132 map
2. MK-PF-F-004 marketValue</t>
        </is>
      </c>
      <c r="P386" s="3" t="n">
        <v>4</v>
      </c>
      <c r="Q386" s="3" t="inlineStr">
        <is>
          <t>1. MK-CF-F-132 map
2. MK-PF-F-004 marketValue
3. MK-PF-F-031 contractMultiplier
4. MK-PF-F-001 totalShares</t>
        </is>
      </c>
      <c r="R386" s="3" t="inlineStr">
        <is>
          <t>1. MK-CF-F-132 map → MK-PF-F-016 attribution
2. MK-PF-F-031 contractMultiplier → MK-PF-F-004 marketValue → MK-PF-F-016 attribution
3. MK-PF-F-001 totalShares → MK-PF-F-004 marketValue → MK-PF-F-016 attribution</t>
        </is>
      </c>
      <c r="S386" s="3" t="inlineStr">
        <is>
          <t>—</t>
        </is>
      </c>
      <c r="T386" s="3" t="inlineStr">
        <is>
          <t>WHAT_DROVE_THE_RETURN</t>
        </is>
      </c>
      <c r="U386" s="3" t="inlineStr">
        <is>
          <t>ACTIVE</t>
        </is>
      </c>
      <c r="V386" s="3" t="inlineStr">
        <is>
          <t>2026-09-25</t>
        </is>
      </c>
      <c r="W386" s="3" t="n"/>
      <c r="X386" s="3" t="n"/>
      <c r="Y386" s="3" t="inlineStr">
        <is>
          <t>NOTHING OPEN</t>
        </is>
      </c>
    </row>
    <row r="387" ht="60" customHeight="1">
      <c r="A387" s="3" t="inlineStr">
        <is>
          <t>MK-PF-F-017</t>
        </is>
      </c>
      <c r="B387" s="3" t="inlineStr">
        <is>
          <t>allocation</t>
        </is>
      </c>
      <c r="C387" s="3" t="inlineStr">
        <is>
          <t>src/domain/performance/index.ts</t>
        </is>
      </c>
      <c r="D387" s="3" t="n">
        <v>937</v>
      </c>
      <c r="E387" s="3" t="inlineStr">
        <is>
          <t>3 · DEPENDENT (feeds an action only)</t>
        </is>
      </c>
      <c r="F387" s="3" t="inlineStr">
        <is>
          <t>How is my invested money spread?</t>
        </is>
      </c>
      <c r="G387" s="11" t="inlineStr">
        <is>
          <t>by kind = {}
total = Σ over object.values(by kind) of (each)+ max(0, cash)
[]   when total ≤ 0
slices = for each of object.entries(by kind): [key, v]) =&gt; ({ key, value: (v), pct: math.round((v ÷ total) × 1000) ÷ 10 }
the answer = slices.sort((a, b) =&gt; value − value)</t>
        </is>
      </c>
      <c r="H387" s="3" t="inlineStr">
        <is>
          <t>By kind is {}. Total: the each)+ cash added up across object.values(by kind, never below zero. When total is at most 0, it answers []. Slices is for each of object.entries(by kind): [key, v]) =&gt; ({ key, value: (v), pct: math.(v divided by total, to a whole number times 1000) divided by 10 }. The answer is slices.sort((a, b) =&gt; value minus value).</t>
        </is>
      </c>
      <c r="I387" s="3" t="inlineStr">
        <is>
          <t>PARTLY READ — some of the code is still showing through; needs a hand pass</t>
        </is>
      </c>
      <c r="J387" s="3" t="inlineStr">
        <is>
          <t>1. rows: PerformanceRow[]
2. cash = 0</t>
        </is>
      </c>
      <c r="K387" s="3" t="inlineStr">
        <is>
          <t>AllocSlice[]</t>
        </is>
      </c>
      <c r="L387" s="3" t="inlineStr">
        <is>
          <t>—</t>
        </is>
      </c>
      <c r="M387" s="3" t="inlineStr">
        <is>
          <t>1. If by kind[k] is missing it counts as zero, so nothing recorded and a real zero look the same.
2. Never lets cash fall below 0.</t>
        </is>
      </c>
      <c r="N387" s="3" t="inlineStr">
        <is>
          <t>No</t>
        </is>
      </c>
      <c r="O387" s="3" t="inlineStr">
        <is>
          <t>1. MK-CF-F-155 cash
2. MK-CF-F-132 map</t>
        </is>
      </c>
      <c r="P387" s="3" t="n">
        <v>3</v>
      </c>
      <c r="Q387" s="3" t="inlineStr">
        <is>
          <t>1. MK-CF-F-155 cash
2. MK-CF-F-132 map
3. MK-XS-F-122 n</t>
        </is>
      </c>
      <c r="R387" s="3" t="inlineStr">
        <is>
          <t>1. MK-XS-F-122 n → MK-CF-F-155 cash → MK-PF-F-017 allocation
2. MK-CF-F-132 map → MK-PF-F-017 allocation</t>
        </is>
      </c>
      <c r="S387" s="3" t="inlineStr">
        <is>
          <t>—</t>
        </is>
      </c>
      <c r="T387" s="3" t="inlineStr">
        <is>
          <t>ALLOCATION_BY_HOLDING_KIND</t>
        </is>
      </c>
      <c r="U387" s="3" t="inlineStr">
        <is>
          <t>ACTIVE</t>
        </is>
      </c>
      <c r="V387" s="3" t="inlineStr">
        <is>
          <t>2026-09-25</t>
        </is>
      </c>
      <c r="W387" s="3" t="n"/>
      <c r="X387" s="3" t="n"/>
      <c r="Y387" s="3" t="inlineStr">
        <is>
          <t>NOTHING OPEN</t>
        </is>
      </c>
    </row>
    <row r="388" ht="60" customHeight="1">
      <c r="A388" s="3" t="inlineStr">
        <is>
          <t>MK-PF-F-018</t>
        </is>
      </c>
      <c r="B388" s="3" t="inlineStr">
        <is>
          <t>portfolioTrend</t>
        </is>
      </c>
      <c r="C388" s="3" t="inlineStr">
        <is>
          <t>src/domain/performance/index.ts</t>
        </is>
      </c>
      <c r="D388" s="3" t="n">
        <v>982</v>
      </c>
      <c r="E388" s="3" t="inlineStr">
        <is>
          <t>3 · DEPENDENT (feeds an action only)</t>
        </is>
      </c>
      <c r="F388" s="3" t="inlineStr">
        <is>
          <t>How has my portfolio moved over the period, against its benchmark?</t>
        </is>
      </c>
      <c r="G388" s="11" t="inlineStr">
        <is>
          <t>[]   when count of !positions?
start = start date for(period, now)
span = now.get time() − start.get time()
[]   when span ≤ 0
n = 12
dates = array.from({ length: N + 1 }, (_, i) =&gt; new date(start.get time() + (span × i) ÷ N))
bench series = price of(bench ticker sym)
value at = (d: date) =&gt; positions.reduce((t, p) =&gt; { const c = close as of(price of(ticker), d); return t + (c = nothing ? 0 : total shares(p) × c); }, 0)
v0 = value at(dates[0])
b0 = close as of(bench series, dates[0])
value = value at(d)
… the first steps only — the rest of the body needs reading by hand.</t>
        </is>
      </c>
      <c r="H388" s="3" t="inlineStr">
        <is>
          <t>When how many !positions? there are, it answers []. Start is start date for(period, now). Span is now.get time() minus start.get time(). When span is at most 0, it answers []. N is 12. Dates is array.from({ length: N plus 1 }, (_, i) =&gt; new date(start.get time() plus (span times i) divided by N)). Bench series is price of(bench ticker sym). Value at is (d: date) =&gt; positions.reduce((t, p) =&gt; { const c = close as of(price of(ticker), d); return t plus (c is missing ? 0 : total shares(p) times c); }, 0). V0 is value at(dates[0]). B0 is close as of(bench series, dates[0]). Value is value at(d). Only the first steps are shown; the rest of the body needs reading by hand.</t>
        </is>
      </c>
      <c r="I388" s="3" t="inlineStr">
        <is>
          <t>PARTLY READ — some of the code is still showing through; needs a hand pass</t>
        </is>
      </c>
      <c r="J388" s="3" t="inlineStr">
        <is>
          <t>Nothing is handed to it</t>
        </is>
      </c>
      <c r="K388" s="3" t="inlineStr">
        <is>
          <t>NOT DECLARED — the code does not say what it gives back</t>
        </is>
      </c>
      <c r="L388" s="3" t="inlineStr">
        <is>
          <t>—</t>
        </is>
      </c>
      <c r="M388" s="3" t="inlineStr">
        <is>
          <t>1. Uses a built-in n of 12.
2. Uses today's date from the device clock, so the answer changes by itself overnight.</t>
        </is>
      </c>
      <c r="N388" s="3" t="inlineStr">
        <is>
          <t>No</t>
        </is>
      </c>
      <c r="O388" s="3" t="inlineStr">
        <is>
          <t>1. MK-PF-F-029 closeAsOf
2. MK-CF-F-132 map
3. MK-PF-F-008 startDateFor
4. MK-PF-F-001 totalShares</t>
        </is>
      </c>
      <c r="P388" s="3" t="n">
        <v>4</v>
      </c>
      <c r="Q388" s="3" t="inlineStr">
        <is>
          <t>1. MK-PF-F-029 closeAsOf
2. MK-CF-F-132 map
3. MK-PF-F-008 startDateFor
4. MK-PF-F-001 totalShares</t>
        </is>
      </c>
      <c r="R388" s="3" t="inlineStr">
        <is>
          <t>1. MK-PF-F-029 closeAsOf → MK-PF-F-018 portfolioTrend
2. MK-CF-F-132 map → MK-PF-F-018 portfolioTrend
3. MK-PF-F-008 startDateFor → MK-PF-F-018 portfolioTrend
4. MK-PF-F-001 totalShares → MK-PF-F-018 portfolioTrend</t>
        </is>
      </c>
      <c r="S388" s="3" t="inlineStr">
        <is>
          <t>—</t>
        </is>
      </c>
      <c r="T388" s="3" t="inlineStr">
        <is>
          <t>PORTFOLIO_TREND_LINE</t>
        </is>
      </c>
      <c r="U388" s="3" t="inlineStr">
        <is>
          <t>ACTIVE</t>
        </is>
      </c>
      <c r="V388" s="3" t="inlineStr">
        <is>
          <t>2026-09-25</t>
        </is>
      </c>
      <c r="W388" s="3" t="n"/>
      <c r="X388" s="3" t="n"/>
      <c r="Y388" s="3" t="inlineStr">
        <is>
          <t>NOTHING OPEN</t>
        </is>
      </c>
    </row>
    <row r="389" ht="60" customHeight="1">
      <c r="A389" s="3" t="inlineStr">
        <is>
          <t>MK-PF-F-019</t>
        </is>
      </c>
      <c r="B389" s="3" t="inlineStr">
        <is>
          <t>portfolioPeriodReturn</t>
        </is>
      </c>
      <c r="C389" s="3" t="inlineStr">
        <is>
          <t>src/domain/performance/index.ts</t>
        </is>
      </c>
      <c r="D389" s="3" t="n">
        <v>1029</v>
      </c>
      <c r="E389" s="3" t="inlineStr">
        <is>
          <t>3 · DEPENDENT (feeds an action only)</t>
        </is>
      </c>
      <c r="F389" s="3" t="inlineStr">
        <is>
          <t>Value-weighted portfolio period return across holdings that have one (decimal), or null.</t>
        </is>
      </c>
      <c r="G389" s="11" t="inlineStr">
        <is>
          <t>usable = rows where period return ≠ nothing and market value &gt; 0
total = Σ over usable of (market value)
nothing   when total ≤ 0
the answer = Σ over usable of ((period return as number) × market value)÷ total</t>
        </is>
      </c>
      <c r="H389" s="3" t="inlineStr">
        <is>
          <t>Usable is rows where period return is not no answer and market value &gt; 0. Total: the market value added up across usable. When total is at most 0, it answers no answer. The answer: the (period return as number added up across usable times market value)÷ total.</t>
        </is>
      </c>
      <c r="I389" s="3" t="inlineStr">
        <is>
          <t>READ FROM THE CODE — rendered from the expressions the function runs</t>
        </is>
      </c>
      <c r="J389" s="3" t="inlineStr">
        <is>
          <t>rows: PerformanceRow[]</t>
        </is>
      </c>
      <c r="K389" s="3" t="inlineStr">
        <is>
          <t>number | null</t>
        </is>
      </c>
      <c r="L389" s="3" t="inlineStr">
        <is>
          <t>—</t>
        </is>
      </c>
      <c r="M389" s="3" t="inlineStr">
        <is>
          <t>· Second verification G18, 2026-09-08: this is the value-weighted average of holding returns, not a Dietz return.</t>
        </is>
      </c>
      <c r="N389" s="3" t="inlineStr">
        <is>
          <t>No</t>
        </is>
      </c>
      <c r="O389" s="3" t="inlineStr">
        <is>
          <t>MK-PF-F-004 marketValue</t>
        </is>
      </c>
      <c r="P389" s="3" t="n">
        <v>3</v>
      </c>
      <c r="Q389" s="3" t="inlineStr">
        <is>
          <t>1. MK-PF-F-004 marketValue
2. MK-PF-F-031 contractMultiplier
3. MK-PF-F-001 totalShares</t>
        </is>
      </c>
      <c r="R389" s="3" t="inlineStr">
        <is>
          <t>1. MK-PF-F-031 contractMultiplier → MK-PF-F-004 marketValue → MK-PF-F-019 portfolioPeriodReturn
2. MK-PF-F-001 totalShares → MK-PF-F-004 marketValue → MK-PF-F-019 portfolioPeriodReturn</t>
        </is>
      </c>
      <c r="S389" s="3" t="inlineStr">
        <is>
          <t>—</t>
        </is>
      </c>
      <c r="T389" s="3" t="inlineStr">
        <is>
          <t>VALUE_WEIGHTED_RETURN</t>
        </is>
      </c>
      <c r="U389" s="3" t="inlineStr">
        <is>
          <t>ACTIVE</t>
        </is>
      </c>
      <c r="V389" s="3" t="inlineStr">
        <is>
          <t>2026-09-30</t>
        </is>
      </c>
      <c r="W389" s="3" t="n"/>
      <c r="X389" s="3" t="n"/>
      <c r="Y389" s="6" t="inlineStr">
        <is>
          <t>TESTED, NOT VERIFIED (C1, G18)</t>
        </is>
      </c>
    </row>
    <row r="390" ht="60" customHeight="1">
      <c r="A390" s="3" t="inlineStr">
        <is>
          <t>MK-PF-F-020</t>
        </is>
      </c>
      <c r="B390" s="3" t="inlineStr">
        <is>
          <t>portfolioBenchReturn</t>
        </is>
      </c>
      <c r="C390" s="3" t="inlineStr">
        <is>
          <t>src/domain/performance/index.ts</t>
        </is>
      </c>
      <c r="D390" s="3" t="n">
        <v>1060</v>
      </c>
      <c r="E390" s="3" t="inlineStr">
        <is>
          <t>2 · DISPLAYED</t>
        </is>
      </c>
      <c r="F390" s="3" t="inlineStr">
        <is>
          <t>Value-weighted benchmark ("the market, matched to your mix") return across holdings that have one (decimal), or null.</t>
        </is>
      </c>
      <c r="G390" s="11" t="inlineStr">
        <is>
          <t>usable = rows where bench return ≠ nothing and market value &gt; 0
total = Σ over usable of (market value)
nothing   when total ≤ 0
the answer = Σ over usable of ((bench return as number) × market value)÷ total</t>
        </is>
      </c>
      <c r="H390" s="3" t="inlineStr">
        <is>
          <t>Usable is rows where bench return is not no answer and market value &gt; 0. Total: the market value added up across usable. When total is at most 0, it answers no answer. The answer: the (bench return as number added up across usable times market value)÷ total.</t>
        </is>
      </c>
      <c r="I390" s="3" t="inlineStr">
        <is>
          <t>READ FROM THE CODE — rendered from the expressions the function runs</t>
        </is>
      </c>
      <c r="J390" s="3" t="inlineStr">
        <is>
          <t>rows: PerformanceRow[]</t>
        </is>
      </c>
      <c r="K390" s="3" t="inlineStr">
        <is>
          <t>number | null</t>
        </is>
      </c>
      <c r="L390" s="3" t="inlineStr">
        <is>
          <t>NOT FOUND — a screen calls it, but the words printed beside its answer could not be traced automatically. Needs reading.</t>
        </is>
      </c>
      <c r="M390" s="3" t="inlineStr">
        <is>
          <t>None found in this function — anything it assumes comes from the functions it depends on.</t>
        </is>
      </c>
      <c r="N390" s="3" t="inlineStr">
        <is>
          <t>Yes</t>
        </is>
      </c>
      <c r="O390" s="3" t="inlineStr">
        <is>
          <t>MK-PF-F-004 marketValue</t>
        </is>
      </c>
      <c r="P390" s="3" t="n">
        <v>3</v>
      </c>
      <c r="Q390" s="3" t="inlineStr">
        <is>
          <t>1. MK-PF-F-004 marketValue
2. MK-PF-F-031 contractMultiplier
3. MK-PF-F-001 totalShares</t>
        </is>
      </c>
      <c r="R390" s="3" t="inlineStr">
        <is>
          <t>1. MK-PF-F-031 contractMultiplier → MK-PF-F-004 marketValue → MK-PF-F-020 portfolioBenchReturn
2. MK-PF-F-001 totalShares → MK-PF-F-004 marketValue → MK-PF-F-020 portfolioBenchReturn</t>
        </is>
      </c>
      <c r="S390" s="3" t="inlineStr">
        <is>
          <t>—</t>
        </is>
      </c>
      <c r="T390" s="3" t="inlineStr">
        <is>
          <t>BENCHMARK_RETURN_BLENDED</t>
        </is>
      </c>
      <c r="U390" s="3" t="inlineStr">
        <is>
          <t>ACTIVE</t>
        </is>
      </c>
      <c r="V390" s="3" t="inlineStr">
        <is>
          <t>2026-08-27</t>
        </is>
      </c>
      <c r="W390" s="3" t="n"/>
      <c r="X390" s="3" t="n"/>
      <c r="Y390" s="3" t="inlineStr">
        <is>
          <t>NOTHING OPEN</t>
        </is>
      </c>
    </row>
    <row r="391" ht="60" customHeight="1">
      <c r="A391" s="3" t="inlineStr">
        <is>
          <t>MK-PF-F-021</t>
        </is>
      </c>
      <c r="B391" s="3" t="inlineStr">
        <is>
          <t>periodDollarDelta</t>
        </is>
      </c>
      <c r="C391" s="3" t="inlineStr">
        <is>
          <t>src/domain/performance/index.ts</t>
        </is>
      </c>
      <c r="D391" s="3" t="n">
        <v>1090</v>
      </c>
      <c r="E391" s="3" t="inlineStr">
        <is>
          <t>3 · DEPENDENT (feeds an action only)</t>
        </is>
      </c>
      <c r="F391" s="3" t="inlineStr">
        <is>
          <t>The DOLLAR change implied by a period return on today's total — the approved Home hero shows "up $11,200 (1.4%) this month": dollars AND percent from the SAME measured return, so the two figures can never disagree (one concept, one source).</t>
        </is>
      </c>
      <c r="G391" s="11" t="inlineStr">
        <is>
          <t>0   when !number.is finite(current total) (or !number.is finite(period return) (or period return ≤ -1 when missing or zero) when missing or zero)
round(current total × period return ÷ (1 + period return))</t>
        </is>
      </c>
      <c r="H391" s="3" t="inlineStr">
        <is>
          <t>When !number.is finite(current total) (or !number.is finite(period return) (or period return is at most -1 — when missing or zero) — when missing or zero), it answers 0. current total times period return divided by (1 plus period return, to a whole number).</t>
        </is>
      </c>
      <c r="I391" s="3" t="inlineStr">
        <is>
          <t>PARTLY READ — some of the code is still showing through; needs a hand pass</t>
        </is>
      </c>
      <c r="J391" s="3" t="inlineStr">
        <is>
          <t>1. currentTotal: number
2. periodReturn: number</t>
        </is>
      </c>
      <c r="K391" s="3" t="inlineStr">
        <is>
          <t>number</t>
        </is>
      </c>
      <c r="L391" s="3" t="inlineStr">
        <is>
          <t>—</t>
        </is>
      </c>
      <c r="M391" s="3" t="inlineStr">
        <is>
          <t>· Rounds the answer to a whole number.</t>
        </is>
      </c>
      <c r="N391" s="3" t="inlineStr">
        <is>
          <t>No</t>
        </is>
      </c>
      <c r="O391" s="3" t="inlineStr">
        <is>
          <t>MK-PF-F-010 periodReturn</t>
        </is>
      </c>
      <c r="P391" s="3" t="n">
        <v>5</v>
      </c>
      <c r="Q391" s="3" t="inlineStr">
        <is>
          <t>1. MK-PF-F-010 periodReturn
2. MK-PF-F-029 closeAsOf
3. MK-PF-F-009 latestClose
4. MK-ST-F-030 record
5. MK-PF-F-008 startDateFor</t>
        </is>
      </c>
      <c r="R391" s="3" t="inlineStr">
        <is>
          <t>1. MK-PF-F-029 closeAsOf → MK-PF-F-010 periodReturn → MK-PF-F-021 periodDollarDelta
2. MK-PF-F-009 latestClose → MK-PF-F-010 periodReturn → MK-PF-F-021 periodDollarDelta
3. MK-ST-F-030 record → MK-PF-F-010 periodReturn → MK-PF-F-021 periodDollarDelta
4. MK-PF-F-008 startDateFor → MK-PF-F-010 periodReturn → MK-PF-F-021 periodDollarDelta</t>
        </is>
      </c>
      <c r="S391" s="3" t="inlineStr">
        <is>
          <t>—</t>
        </is>
      </c>
      <c r="T391" s="3" t="inlineStr">
        <is>
          <t>—</t>
        </is>
      </c>
      <c r="U391" s="3" t="inlineStr">
        <is>
          <t>ACTIVE</t>
        </is>
      </c>
      <c r="V391" s="3" t="inlineStr">
        <is>
          <t>2026-09-30</t>
        </is>
      </c>
      <c r="W391" s="3" t="n"/>
      <c r="X391" s="3" t="n"/>
      <c r="Y391" s="3" t="inlineStr">
        <is>
          <t>NOTHING OPEN</t>
        </is>
      </c>
    </row>
    <row r="392" ht="60" customHeight="1">
      <c r="A392" s="3" t="inlineStr">
        <is>
          <t>MK-PF-F-022</t>
        </is>
      </c>
      <c r="B392" s="3" t="inlineStr">
        <is>
          <t>factorOverMonths</t>
        </is>
      </c>
      <c r="C392" s="3" t="inlineStr">
        <is>
          <t>src/domain/performance/lookBack.ts</t>
        </is>
      </c>
      <c r="D392" s="3" t="n">
        <v>49</v>
      </c>
      <c r="E392" s="3" t="inlineStr">
        <is>
          <t>3 · DEPENDENT</t>
        </is>
      </c>
      <c r="F392" s="3" t="inlineStr">
        <is>
          <t>Price factor over the trailing window: last close ÷ the close at (now − months).</t>
        </is>
      </c>
      <c r="G392" s="11"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392"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392" s="3" t="inlineStr">
        <is>
          <t>READ BY HAND 2026-08-26 — checked line by line against the code</t>
        </is>
      </c>
      <c r="J392" s="3" t="inlineStr">
        <is>
          <t>1. series: PriceSeries | null | undefined
2. months: number
3. now: Date = new Date()</t>
        </is>
      </c>
      <c r="K392" s="3" t="inlineStr">
        <is>
          <t>number | null</t>
        </is>
      </c>
      <c r="L392" s="3" t="inlineStr">
        <is>
          <t>—</t>
        </is>
      </c>
      <c r="M392" s="3" t="inlineStr">
        <is>
          <t>1. Uses today's date from the device clock, so the answer changes by itself overnight.
2. The window boundary is a LOCAL calendar date (the person's own day), so the answer is the same in every timezone (TZ-1, 2026-09-08).</t>
        </is>
      </c>
      <c r="N392" s="3" t="inlineStr">
        <is>
          <t>Yes</t>
        </is>
      </c>
      <c r="O392" s="3" t="inlineStr">
        <is>
          <t>MK-ST-F-065 isoLocalDate</t>
        </is>
      </c>
      <c r="P392" s="3" t="n">
        <v>1</v>
      </c>
      <c r="Q392" s="3" t="inlineStr">
        <is>
          <t>MK-ST-F-065 isoLocalDate</t>
        </is>
      </c>
      <c r="R392" s="3" t="inlineStr">
        <is>
          <t>MK-ST-F-065 isoLocalDate → MK-PF-F-022 factorOverMonths</t>
        </is>
      </c>
      <c r="S392" s="3" t="inlineStr">
        <is>
          <t>—</t>
        </is>
      </c>
      <c r="T392" s="3" t="inlineStr">
        <is>
          <t>PRICE_FACTOR_OVER_WINDOW</t>
        </is>
      </c>
      <c r="U392" s="3" t="inlineStr">
        <is>
          <t>ACTIVE</t>
        </is>
      </c>
      <c r="V392" s="3" t="inlineStr">
        <is>
          <t>2026-09-08</t>
        </is>
      </c>
      <c r="W392" s="3" t="n"/>
      <c r="X392" s="3" t="n"/>
      <c r="Y392" s="6" t="inlineStr">
        <is>
          <t>TESTED, NOT VERIFIED (TZ-1)</t>
        </is>
      </c>
    </row>
    <row r="393" ht="60" customHeight="1">
      <c r="A393" s="3" t="inlineStr">
        <is>
          <t>MK-PF-F-023</t>
        </is>
      </c>
      <c r="B393" s="3" t="inlineStr">
        <is>
          <t>lookBack</t>
        </is>
      </c>
      <c r="C393" s="3" t="inlineStr">
        <is>
          <t>src/domain/performance/lookBack.ts</t>
        </is>
      </c>
      <c r="D393" s="3" t="n">
        <v>97</v>
      </c>
      <c r="E393" s="3" t="inlineStr">
        <is>
          <t>3 · DEPENDENT</t>
        </is>
      </c>
      <c r="F393" s="3" t="inlineStr">
        <is>
          <t>What if I had moved this money?</t>
        </is>
      </c>
      <c r="G393" s="11"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393"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393" s="3" t="inlineStr">
        <is>
          <t>READ FROM THE CODE — rendered from the expressions the function runs</t>
        </is>
      </c>
      <c r="J393" s="3" t="inlineStr">
        <is>
          <t>1. amount: number
2. fromSeries: PriceSeries | null | undefined
3. toSeries: PriceSeries | null | undefined
4. months: number
5. now: Date = new Date()</t>
        </is>
      </c>
      <c r="K393" s="3" t="inlineStr">
        <is>
          <t>LookBackResult | null</t>
        </is>
      </c>
      <c r="L393" s="3" t="inlineStr">
        <is>
          <t>—</t>
        </is>
      </c>
      <c r="M393" s="3" t="inlineStr">
        <is>
          <t>· Uses today's date from the device clock, so the answer changes by itself overnight.</t>
        </is>
      </c>
      <c r="N393" s="3" t="inlineStr">
        <is>
          <t>Yes</t>
        </is>
      </c>
      <c r="O393" s="3" t="inlineStr">
        <is>
          <t>MK-PF-F-022 factorOverMonths</t>
        </is>
      </c>
      <c r="P393" s="3" t="n">
        <v>2</v>
      </c>
      <c r="Q393" s="3" t="inlineStr">
        <is>
          <t>1. MK-PF-F-022 factorOverMonths
2. MK-ST-F-065 isoLocalDate</t>
        </is>
      </c>
      <c r="R393" s="3" t="inlineStr">
        <is>
          <t>MK-ST-F-065 isoLocalDate → MK-PF-F-022 factorOverMonths → MK-PF-F-023 lookBack</t>
        </is>
      </c>
      <c r="S393" s="3" t="inlineStr">
        <is>
          <t>—</t>
        </is>
      </c>
      <c r="T393" s="3" t="inlineStr">
        <is>
          <t>LOOK_BACK</t>
        </is>
      </c>
      <c r="U393" s="3" t="inlineStr">
        <is>
          <t>ACTIVE</t>
        </is>
      </c>
      <c r="V393" s="3" t="inlineStr">
        <is>
          <t>2026-09-28</t>
        </is>
      </c>
      <c r="W393" s="3" t="n"/>
      <c r="X393" s="3" t="n"/>
      <c r="Y393" s="3" t="inlineStr">
        <is>
          <t>NOTHING OPEN</t>
        </is>
      </c>
    </row>
    <row r="394" ht="60" customHeight="1">
      <c r="A394" s="3" t="inlineStr">
        <is>
          <t>MK-PF-F-028</t>
        </is>
      </c>
      <c r="B394" s="3" t="inlineStr">
        <is>
          <t>realizedFromLedger</t>
        </is>
      </c>
      <c r="C394" s="3" t="inlineStr">
        <is>
          <t>src/domain/performance/realized.ts</t>
        </is>
      </c>
      <c r="D394" s="3" t="n">
        <v>44</v>
      </c>
      <c r="E394" s="3" t="inlineStr">
        <is>
          <t>3 · DEPENDENT</t>
        </is>
      </c>
      <c r="F394" s="3" t="inlineStr">
        <is>
          <t>How much profit have I actually taken?</t>
        </is>
      </c>
      <c r="G394" s="11"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394"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394" s="3" t="inlineStr">
        <is>
          <t>READ BY HAND 2026-08-26 — checked line by line against the code</t>
        </is>
      </c>
      <c r="J394" s="3" t="inlineStr">
        <is>
          <t>Nothing is handed to it</t>
        </is>
      </c>
      <c r="K394" s="3" t="inlineStr">
        <is>
          <t>NOT DECLARED — the code does not say what it gives back</t>
        </is>
      </c>
      <c r="L394" s="3" t="inlineStr">
        <is>
          <t>—</t>
        </is>
      </c>
      <c r="M394" s="3" t="inlineStr">
        <is>
          <t>1. If shares is missing it uses 0.
2. Uses today's date from the device clock, so the answer changes by itself overnight.
3. Sales dated in the current calendar year make the this-year total; the device clock decides which year that is.</t>
        </is>
      </c>
      <c r="N394" s="3" t="inlineStr">
        <is>
          <t>Yes</t>
        </is>
      </c>
      <c r="O394" s="3" t="inlineStr">
        <is>
          <t>—</t>
        </is>
      </c>
      <c r="P394" s="3" t="n">
        <v>0</v>
      </c>
      <c r="Q394" s="3" t="inlineStr">
        <is>
          <t>None — no dependent function stands behind it</t>
        </is>
      </c>
      <c r="R394" s="3" t="inlineStr">
        <is>
          <t>No dependent function — it reads its inputs and answers</t>
        </is>
      </c>
      <c r="S394" s="3" t="inlineStr">
        <is>
          <t>—</t>
        </is>
      </c>
      <c r="T394" s="3" t="inlineStr">
        <is>
          <t>REALISED_GAIN</t>
        </is>
      </c>
      <c r="U394" s="3" t="inlineStr">
        <is>
          <t>ACTIVE</t>
        </is>
      </c>
      <c r="V394" s="3" t="inlineStr">
        <is>
          <t>2026-09-28</t>
        </is>
      </c>
      <c r="W394" s="3"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394"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394" s="6" t="inlineStr">
        <is>
          <t>WAITING ON YOU — answer to read</t>
        </is>
      </c>
    </row>
    <row r="395" ht="60" customHeight="1">
      <c r="A395" s="3" t="inlineStr">
        <is>
          <t>MK-PF-F-029</t>
        </is>
      </c>
      <c r="B395" s="3" t="inlineStr">
        <is>
          <t>closeAsOf</t>
        </is>
      </c>
      <c r="C395" s="3" t="inlineStr">
        <is>
          <t>src/domain/performance/index.ts</t>
        </is>
      </c>
      <c r="D395" s="3" t="n">
        <v>500</v>
      </c>
      <c r="E395" s="3" t="inlineStr">
        <is>
          <t>3 · DEPENDENT</t>
        </is>
      </c>
      <c r="F395" s="3" t="inlineStr">
        <is>
          <t>Close on/just-before a target date (series oldest→newest).</t>
        </is>
      </c>
      <c r="G395" s="11" t="inlineStr">
        <is>
          <t>pts = series.points (or none when missing)
nothing   when count of pts is missing
t = target.get time()
chosen = nothing
the answer = chosen (or pts[0].close when missing)</t>
        </is>
      </c>
      <c r="H395" s="3" t="inlineStr">
        <is>
          <t>Pts is series.points (or none — when missing). When how many pts is missing there are, it answers no answer. T is target.get time(). Chosen is no answer. The answer is chosen (or pts[0].close — when missing).</t>
        </is>
      </c>
      <c r="I395" s="3" t="inlineStr">
        <is>
          <t>PARTLY READ — some of the code is still showing through; needs a hand pass</t>
        </is>
      </c>
      <c r="J395" s="3" t="inlineStr">
        <is>
          <t>1. series: PriceSeries | null | undefined
2. target: Date</t>
        </is>
      </c>
      <c r="K395" s="3" t="inlineStr">
        <is>
          <t>number | null</t>
        </is>
      </c>
      <c r="L395" s="3" t="inlineStr">
        <is>
          <t>—</t>
        </is>
      </c>
      <c r="M395" s="3" t="inlineStr">
        <is>
          <t>None found in this function — anything it assumes comes from the functions it depends on.</t>
        </is>
      </c>
      <c r="N395" s="3" t="inlineStr">
        <is>
          <t>Yes</t>
        </is>
      </c>
      <c r="O395" s="3" t="inlineStr">
        <is>
          <t>—</t>
        </is>
      </c>
      <c r="P395" s="3" t="n">
        <v>0</v>
      </c>
      <c r="Q395" s="3" t="inlineStr">
        <is>
          <t>None — no dependent function stands behind it</t>
        </is>
      </c>
      <c r="R395" s="3" t="inlineStr">
        <is>
          <t>No dependent function — it reads its inputs and answers</t>
        </is>
      </c>
      <c r="S395" s="3" t="inlineStr">
        <is>
          <t>—</t>
        </is>
      </c>
      <c r="T395" s="3" t="inlineStr">
        <is>
          <t>—</t>
        </is>
      </c>
      <c r="U395" s="3" t="inlineStr">
        <is>
          <t>ACTIVE</t>
        </is>
      </c>
      <c r="V395" s="3" t="inlineStr">
        <is>
          <t>2026-08-27</t>
        </is>
      </c>
      <c r="W395" s="3" t="n"/>
      <c r="X395" s="3" t="n"/>
      <c r="Y395" s="3" t="inlineStr">
        <is>
          <t>NOTHING OPEN</t>
        </is>
      </c>
    </row>
    <row r="396" ht="60" customHeight="1">
      <c r="A396" s="3" t="inlineStr">
        <is>
          <t>MK-PF-F-031</t>
        </is>
      </c>
      <c r="B396" s="3" t="inlineStr">
        <is>
          <t>contractMultiplier</t>
        </is>
      </c>
      <c r="C396" s="3" t="inlineStr">
        <is>
          <t>src/domain/performance/index.ts</t>
        </is>
      </c>
      <c r="D396" s="3" t="n">
        <v>79</v>
      </c>
      <c r="E396" s="3" t="inlineStr">
        <is>
          <t>3 · DEPENDENT</t>
        </is>
      </c>
      <c r="F396" s="3" t="inlineStr">
        <is>
          <t>How many units one contract stands for: 100 for an option unless the holding states its own figure, and 1 for everything else.</t>
        </is>
      </c>
      <c r="G396" s="11" t="inlineStr">
        <is>
          <t>multiplier   when multiplier ≠ nothing and multiplier &gt; 0
OPTION_CONTRACT_MULTIPLIER   if kind = 'options'
1   otherwise</t>
        </is>
      </c>
      <c r="H396" s="3" t="inlineStr">
        <is>
          <t>When multiplier is not no answer and multiplier &gt; 0, it answers multiplier. OPTION_CONTRACT_MULTIPLIER — when kind = 'options'; 1 — otherwise.</t>
        </is>
      </c>
      <c r="I396" s="3" t="inlineStr">
        <is>
          <t>READ FROM THE CODE — rendered from the expressions the function runs</t>
        </is>
      </c>
      <c r="J396" s="3" t="inlineStr">
        <is>
          <t>p: Pick&lt;Position, 'kind' | 'multiplier'&gt;</t>
        </is>
      </c>
      <c r="K396" s="3" t="inlineStr">
        <is>
          <t>number</t>
        </is>
      </c>
      <c r="L396" s="3" t="inlineStr">
        <is>
          <t>—</t>
        </is>
      </c>
      <c r="M396" s="3" t="inlineStr">
        <is>
          <t>None found in this function — anything it assumes comes from the functions it depends on.</t>
        </is>
      </c>
      <c r="N396" s="3" t="inlineStr">
        <is>
          <t>Yes</t>
        </is>
      </c>
      <c r="O396" s="3" t="inlineStr">
        <is>
          <t>—</t>
        </is>
      </c>
      <c r="P396" s="3" t="n">
        <v>0</v>
      </c>
      <c r="Q396" s="3" t="inlineStr">
        <is>
          <t>None — no dependent function stands behind it</t>
        </is>
      </c>
      <c r="R396" s="3" t="inlineStr">
        <is>
          <t>No dependent function — it reads its inputs and answers</t>
        </is>
      </c>
      <c r="S396" s="3" t="inlineStr">
        <is>
          <t>—</t>
        </is>
      </c>
      <c r="T396" s="3" t="inlineStr">
        <is>
          <t>—</t>
        </is>
      </c>
      <c r="U396" s="3" t="inlineStr">
        <is>
          <t>ACTIVE</t>
        </is>
      </c>
      <c r="V396" s="3" t="inlineStr">
        <is>
          <t>2026-09-11</t>
        </is>
      </c>
      <c r="W396" s="3" t="n"/>
      <c r="X396" s="3" t="n"/>
      <c r="Y396" s="6" t="inlineStr">
        <is>
          <t>TESTED, NOT VERIFIED (Q06)</t>
        </is>
      </c>
    </row>
    <row r="397" ht="60" customHeight="1">
      <c r="A397" s="3" t="inlineStr">
        <is>
          <t>MK-PF-F-032</t>
        </is>
      </c>
      <c r="B397" s="3" t="inlineStr">
        <is>
          <t>quantityUnit</t>
        </is>
      </c>
      <c r="C397" s="3" t="inlineStr">
        <is>
          <t>src/domain/performance/index.ts</t>
        </is>
      </c>
      <c r="D397" s="3" t="n">
        <v>115</v>
      </c>
      <c r="E397" s="3" t="inlineStr">
        <is>
          <t>3 · DEPENDENT</t>
        </is>
      </c>
      <c r="F397" s="3" t="inlineStr">
        <is>
          <t>The unit written beside a quantity: the person's own where they entered one, otherwise coins for crypto, contracts for options, ounces for commodities and shares for everything else.</t>
        </is>
      </c>
      <c r="G397" s="11" t="inlineStr">
        <is>
          <t>unit   when unit
'coins'   when kind = 'crypto'
'contracts'   when kind = 'options'
'ounces'   when kind = 'commodities'
'shares'</t>
        </is>
      </c>
      <c r="H397" s="3" t="inlineStr">
        <is>
          <t>When unit, it answers unit. When kind = 'crypto', it answers 'coins'. When kind = 'options', it answers 'contracts'. When kind = 'commodities', it answers 'ounces'. 'shares'.</t>
        </is>
      </c>
      <c r="I397" s="3" t="inlineStr">
        <is>
          <t>READ FROM THE CODE — rendered from the expressions the function runs</t>
        </is>
      </c>
      <c r="J397" s="3" t="inlineStr">
        <is>
          <t>p: Pick&lt;Position, 'kind' | 'unit'&gt;</t>
        </is>
      </c>
      <c r="K397" s="3" t="inlineStr">
        <is>
          <t>QuantityUnit</t>
        </is>
      </c>
      <c r="L397" s="3" t="inlineStr">
        <is>
          <t>—</t>
        </is>
      </c>
      <c r="M397" s="3" t="inlineStr">
        <is>
          <t>None found in this function — anything it assumes comes from the functions it depends on.</t>
        </is>
      </c>
      <c r="N397" s="3" t="inlineStr">
        <is>
          <t>Yes</t>
        </is>
      </c>
      <c r="O397" s="3" t="inlineStr">
        <is>
          <t>—</t>
        </is>
      </c>
      <c r="P397" s="3" t="n">
        <v>0</v>
      </c>
      <c r="Q397" s="3" t="inlineStr">
        <is>
          <t>None — no dependent function stands behind it</t>
        </is>
      </c>
      <c r="R397" s="3" t="inlineStr">
        <is>
          <t>No dependent function — it reads its inputs and answers</t>
        </is>
      </c>
      <c r="S397" s="3" t="inlineStr">
        <is>
          <t>—</t>
        </is>
      </c>
      <c r="T397" s="3" t="inlineStr">
        <is>
          <t>—</t>
        </is>
      </c>
      <c r="U397" s="3" t="inlineStr">
        <is>
          <t>ACTIVE</t>
        </is>
      </c>
      <c r="V397" s="3" t="inlineStr">
        <is>
          <t>2026-09-11</t>
        </is>
      </c>
      <c r="W397" s="3" t="n"/>
      <c r="X397" s="3" t="n"/>
      <c r="Y397" s="6" t="inlineStr">
        <is>
          <t>TESTED, NOT VERIFIED (Q09)</t>
        </is>
      </c>
    </row>
    <row r="398" ht="60" customHeight="1">
      <c r="A398" s="3" t="inlineStr">
        <is>
          <t>MK-PF-F-033</t>
        </is>
      </c>
      <c r="B398" s="3" t="inlineStr">
        <is>
          <t>quantityWithUnit</t>
        </is>
      </c>
      <c r="C398" s="3" t="inlineStr">
        <is>
          <t>src/domain/performance/index.ts</t>
        </is>
      </c>
      <c r="D398" s="3" t="n">
        <v>143</v>
      </c>
      <c r="E398" s="3" t="inlineStr">
        <is>
          <t>2 · DISPLAYED</t>
        </is>
      </c>
      <c r="F398" s="3" t="inlineStr">
        <is>
          <t>"3 shares", "1 coin", "2 contracts" — the quantity printed with its unit, singular when it is one.</t>
        </is>
      </c>
      <c r="G398" s="11" t="inlineStr">
        <is>
          <t>unit = quantity unit(p)
the answer = `${format(qty)} ${qty = 1 ? unit.replace( ÷ s$ ÷ , '') : unit}`</t>
        </is>
      </c>
      <c r="H398" s="3" t="inlineStr">
        <is>
          <t>Unit is quantity unit(p). The answer is `${format(qty)} ${qty = 1 ? unit.replace( divided by s$ divided by , '') : unit}`.</t>
        </is>
      </c>
      <c r="I398" s="3" t="inlineStr">
        <is>
          <t>PARTLY READ — some of the code is still showing through; needs a hand pass</t>
        </is>
      </c>
      <c r="J398" s="3" t="inlineStr">
        <is>
          <t>1. p: Pick&lt;Position, 'kind' | 'unit'&gt;
2. qty: number
3. format: (n: number) =&gt; string = String</t>
        </is>
      </c>
      <c r="K398" s="3" t="inlineStr">
        <is>
          <t>string</t>
        </is>
      </c>
      <c r="L398" s="3" t="inlineStr">
        <is>
          <t>"Quantity" — on the Holding detail screen, under "CURRENT PRICE$"</t>
        </is>
      </c>
      <c r="M398" s="3" t="inlineStr">
        <is>
          <t>None found in this function — anything it assumes comes from the functions it depends on.</t>
        </is>
      </c>
      <c r="N398" s="3" t="inlineStr">
        <is>
          <t>Yes</t>
        </is>
      </c>
      <c r="O398" s="3" t="inlineStr">
        <is>
          <t>MK-PF-F-032 quantityUnit</t>
        </is>
      </c>
      <c r="P398" s="3" t="n">
        <v>1</v>
      </c>
      <c r="Q398" s="3" t="inlineStr">
        <is>
          <t>MK-PF-F-032 quantityUnit</t>
        </is>
      </c>
      <c r="R398" s="3" t="inlineStr">
        <is>
          <t>MK-PF-F-032 quantityUnit → MK-PF-F-033 quantityWithUnit</t>
        </is>
      </c>
      <c r="S398" s="3" t="inlineStr">
        <is>
          <t>—</t>
        </is>
      </c>
      <c r="T398" s="3" t="inlineStr">
        <is>
          <t>—</t>
        </is>
      </c>
      <c r="U398" s="3" t="inlineStr">
        <is>
          <t>ACTIVE</t>
        </is>
      </c>
      <c r="V398" s="3" t="inlineStr">
        <is>
          <t>2026-09-11</t>
        </is>
      </c>
      <c r="W398" s="3" t="n"/>
      <c r="X398" s="3" t="n"/>
      <c r="Y398" s="6" t="inlineStr">
        <is>
          <t>TESTED, NOT VERIFIED (Q09)</t>
        </is>
      </c>
    </row>
    <row r="399" ht="60" customHeight="1">
      <c r="A399" s="3" t="inlineStr">
        <is>
          <t>MK-PF-F-034</t>
        </is>
      </c>
      <c r="B399" s="3" t="inlineStr">
        <is>
          <t>closeOnOrBefore</t>
        </is>
      </c>
      <c r="C399" s="3" t="inlineStr">
        <is>
          <t>src/domain/performance/index.ts</t>
        </is>
      </c>
      <c r="D399" s="3" t="n">
        <v>545</v>
      </c>
      <c r="E399" s="3" t="inlineStr">
        <is>
          <t>3 · DEPENDENT</t>
        </is>
      </c>
      <c r="F399" s="3" t="inlineStr">
        <is>
          <t>The close ON OR BEFORE a day, with NO fallback.</t>
        </is>
      </c>
      <c r="G399" s="11" t="inlineStr">
        <is>
          <t>pts = series.points (or none when missing)
nothing   when count of pts is missing (or ! ÷ ^\d{4}-\d{2}-\d{2}$ ÷ .test(iso date) when missing or zero)
chosen = nothing
the answer = chosen</t>
        </is>
      </c>
      <c r="H399" s="3" t="inlineStr">
        <is>
          <t>Pts is series.points (or none — when missing). When how many pts is missing (or ! divided by ^\d{4}-\d{2}-\d{2}$ divided by .test(iso date) — when missing or zero) there are, it answers no answer. Chosen is no answer. The answer is chosen.</t>
        </is>
      </c>
      <c r="I399" s="3" t="inlineStr">
        <is>
          <t>PARTLY READ — some of the code is still showing through; needs a hand pass</t>
        </is>
      </c>
      <c r="J399" s="3" t="inlineStr">
        <is>
          <t>1. series: PriceSeries | null | undefined
2. isoDate: string</t>
        </is>
      </c>
      <c r="K399" s="3" t="inlineStr">
        <is>
          <t>number | null</t>
        </is>
      </c>
      <c r="L399" s="3" t="inlineStr">
        <is>
          <t>—</t>
        </is>
      </c>
      <c r="M399" s="3" t="inlineStr">
        <is>
          <t>None found in this function — anything it assumes comes from the functions it depends on.</t>
        </is>
      </c>
      <c r="N399" s="3" t="inlineStr">
        <is>
          <t>Yes</t>
        </is>
      </c>
      <c r="O399" s="3" t="inlineStr">
        <is>
          <t>—</t>
        </is>
      </c>
      <c r="P399" s="3" t="n">
        <v>0</v>
      </c>
      <c r="Q399" s="3" t="inlineStr">
        <is>
          <t>None — no dependent function stands behind it</t>
        </is>
      </c>
      <c r="R399" s="3" t="inlineStr">
        <is>
          <t>No dependent function — it reads its inputs and answers</t>
        </is>
      </c>
      <c r="S399" s="3" t="inlineStr">
        <is>
          <t>—</t>
        </is>
      </c>
      <c r="T399" s="3" t="inlineStr">
        <is>
          <t>—</t>
        </is>
      </c>
      <c r="U399" s="3" t="inlineStr">
        <is>
          <t>ACTIVE</t>
        </is>
      </c>
      <c r="V399" s="3" t="inlineStr">
        <is>
          <t>2026-09-25</t>
        </is>
      </c>
      <c r="W399" s="3" t="n"/>
      <c r="X399" s="3" t="n"/>
      <c r="Y399" s="3" t="inlineStr">
        <is>
          <t>NOTHING OPEN</t>
        </is>
      </c>
    </row>
    <row r="400" ht="60" customHeight="1">
      <c r="A400" s="3" t="inlineStr">
        <is>
          <t>MK-PL-F-001</t>
        </is>
      </c>
      <c r="B400" s="3" t="inlineStr">
        <is>
          <t>taxBucketSplit</t>
        </is>
      </c>
      <c r="C400" s="3" t="inlineStr">
        <is>
          <t>src/domain/decumulation/index.ts</t>
        </is>
      </c>
      <c r="D400" s="3" t="n">
        <v>114</v>
      </c>
      <c r="E400" s="3" t="inlineStr">
        <is>
          <t>2 · DISPLAYED</t>
        </is>
      </c>
      <c r="F400" s="3" t="inlineStr">
        <is>
          <t>How is the retirement money split by the tax that will be owed on it?</t>
        </is>
      </c>
      <c r="G400" s="11" t="inlineStr">
        <is>
          <t>s = taxable = 0
pre tax = 0
roth = 0
cash = 0
total = 0
counted taxable not stated = []
car = primary car id of(accounts ?? []), home = primary home id of(accounts ?? [])
names = account display names(accounts ?? [])
bucket = split bucket of(a)
v = earmarked amount(a, car, home)
the answer = s</t>
        </is>
      </c>
      <c r="H400" s="3" t="inlineStr">
        <is>
          <t>S is taxable = 0; pre tax = 0; roth = 0; cash = 0; total = 0; counted taxable stated is missing = []. Car is primary car id of(accounts ?? []), home = primary home id of(accounts ?? []). Names is account display names(accounts ?? []). Bucket is split bucket of(a). V is earmarked amount(a, car, home). The answer is s.</t>
        </is>
      </c>
      <c r="I400" s="3" t="inlineStr">
        <is>
          <t>PARTLY READ — some of the code is still showing through; needs a hand pass</t>
        </is>
      </c>
      <c r="J400" s="3" t="inlineStr">
        <is>
          <t>accounts: AssetAccount[]</t>
        </is>
      </c>
      <c r="K400" s="3" t="inlineStr">
        <is>
          <t>TaxSplit</t>
        </is>
      </c>
      <c r="L400"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400" s="3" t="inlineStr">
        <is>
          <t>None found in this function — anything it assumes comes from the functions it depends on.</t>
        </is>
      </c>
      <c r="N400" s="3" t="inlineStr">
        <is>
          <t>Yes</t>
        </is>
      </c>
      <c r="O400" s="3" t="inlineStr">
        <is>
          <t>1. MK-NW-F-026 accountDisplayNames
2. MK-NW-F-032 earmarkedAmount
3. MK-NW-F-031 primaryCarIdOf
4. MK-NW-F-110 primaryHomeIdOf
5. MK-PL-F-086 splitBucketOf
6. MK-PL-F-087 taxTypeNotStated</t>
        </is>
      </c>
      <c r="P400" s="3" t="n">
        <v>51</v>
      </c>
      <c r="Q400" s="3" t="inlineStr">
        <is>
          <t>1. MK-NW-F-026 accountDisplayNames
2. MK-NW-F-032 earmarkedAmount
3. MK-NW-F-031 primaryCarIdOf
4. MK-NW-F-110 primaryHomeIdOf
5. MK-PL-F-086 splitBucketOf
6. MK-PL-F-087 taxTypeNotStated
7. MK-NW-F-025 accountDisplayName
8. MK-ST-F-056 has
9. MK-CF-F-132 map
10. MK-XS-F-122 n
11. MK-NW-F-030 earmarkDefault
12. MK-NW-F-134 carValueNotEnteredNotes
13. MK-NW-F-133 valueEntered
14. MK-NW-F-117 propertyUseMap
15. MK-NW-F-007 assetKind
16. MK-NW-F-012 taxTreatmentOf
17. MK-NW-F-024 accountLastFour
18. MK-ST-F-039 on
19. MK-NW-F-023 wrapperWord
20. MK-NW-F-011 assetClassOf
21. MK-ST-F-053 money
22. MK-NW-F-033 retirementEarmarkedValue
23. MK-NW-F-116 rentedIdsOf
24. MK-CF-F-155 cash
25. MK-NW-F-120 classEvidenceOf
26. MK-ST-F-049 formatMoney
27. MK-NW-F-115 liveRent
28. MK-NW-F-008 incomeBearingClassOf
29. MK-NW-F-009 maturityClass
30. MK-ST-F-048 currencySymbol
31. MK-CF-O-002 expenses
32. MK-NW-F-114 rentAmount
33. MK-ST-F-010 nameEvidence
34. MK-NW-F-068 prettyDay
35. MK-ST-F-047 activeCurrency
36. MK-CF-F-151 actualSpending
37. MK-CF-F-150 debtPaymentsCountedAsExpenses
38. MK-CF-F-153 radar
39. MK-CF-F-149 recurringDebtPayments
40. MK-ST-F-085 rentFigure
41. MK-XS-F-147 call
42. MK-CF-F-148 inMonth
43. MK-ST-F-052 toNum
44. MK-CF-F-191 ym
45. MK-CF-F-022 paymentShape
46. MK-CF-F-152 isRadarItem
47. MK-CF-F-023 requiredPayment
48. MK-ST-F-027 accountId
49. MK-XS-F-064 currentIdToken
50. MK-XS-F-112 relayUrl
51. MK-CF-F-021 defaultPaymentType</t>
        </is>
      </c>
      <c r="R400" s="3" t="inlineStr">
        <is>
          <t>1. accountDisplayNames (already above — a loop) → MK-NW-F-025 accountDisplayName → MK-NW-F-026 accountDisplayNames → MK-PL-F-001 taxBucketSplit
2. MK-NW-F-024 accountLastFour → MK-NW-F-025 accountDisplayName → MK-NW-F-026 accountDisplayNames → MK-PL-F-001 taxBucketSplit
3. MK-ST-F-039 on → MK-NW-F-025 accountDisplayName → MK-NW-F-026 accountDisplayNames → MK-PL-F-001 taxBucketSplit
4. MK-NW-F-011 assetClassOf → MK-NW-F-007 assetKind → MK-NW-F-012 taxTreatmentOf → MK-NW-F-025 accountDisplayName → MK-NW-F-026 accountDisplayNames → MK-PL-F-001 taxBucketSplit
5. MK-CF-F-155 cash → MK-NW-F-007 assetKind → MK-NW-F-012 taxTreatmentOf → MK-NW-F-025 accountDisplayName → MK-NW-F-026 accountDisplayNames → MK-PL-F-001 taxBucketSplit
6. MK-NW-F-023 wrapperWord → MK-NW-F-025 accountDisplayName → MK-NW-F-026 accountDisplayNames → MK-PL-F-001 taxBucketSplit
7. MK-ST-F-056 has → MK-NW-F-026 accountDisplayNames → MK-PL-F-001 taxBucketSplit
8. MK-CF-F-132 map → MK-NW-F-026 accountDisplayNames → MK-PL-F-001 taxBucketSplit
9. … and 5 more paths</t>
        </is>
      </c>
      <c r="S400" s="3" t="inlineStr">
        <is>
          <t>—</t>
        </is>
      </c>
      <c r="T400" s="3" t="inlineStr">
        <is>
          <t>SPLIT_BY_HOW_IT_IS_TAXED</t>
        </is>
      </c>
      <c r="U400" s="3" t="inlineStr">
        <is>
          <t>ACTIVE</t>
        </is>
      </c>
      <c r="V400" s="3" t="inlineStr">
        <is>
          <t>2026-10-10</t>
        </is>
      </c>
      <c r="W400" s="3" t="n"/>
      <c r="X400" s="3" t="n"/>
      <c r="Y400" s="3" t="inlineStr">
        <is>
          <t>NOTHING OPEN</t>
        </is>
      </c>
    </row>
    <row r="401" ht="60" customHeight="1">
      <c r="A401" s="3" t="inlineStr">
        <is>
          <t>MK-PL-F-002</t>
        </is>
      </c>
      <c r="B401" s="3" t="inlineStr">
        <is>
          <t>withdrawalPlan</t>
        </is>
      </c>
      <c r="C401" s="3" t="inlineStr">
        <is>
          <t>src/domain/decumulation/index.ts</t>
        </is>
      </c>
      <c r="D401" s="3" t="n">
        <v>223</v>
      </c>
      <c r="E401" s="3" t="inlineStr">
        <is>
          <t>2 · DISPLAYED</t>
        </is>
      </c>
      <c r="F401" s="3" t="inlineStr">
        <is>
          <t>NOT DETERMINED — the code carries no note saying what this is for, and it has no row in the old inventory. Needs reading.</t>
        </is>
      </c>
      <c r="G401" s="11"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401"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401" s="3" t="inlineStr">
        <is>
          <t>READ FROM THE CODE — rendered from the expressions the function runs</t>
        </is>
      </c>
      <c r="J401" s="3" t="inlineStr">
        <is>
          <t>1. spendMonthly: number
2. guaranteedMonthly: number
3. nestEgg: number</t>
        </is>
      </c>
      <c r="K401" s="3" t="inlineStr">
        <is>
          <t>WithdrawalPlan</t>
        </is>
      </c>
      <c r="L401" s="3" t="inlineStr">
        <is>
          <t>1. "From your portfolio" — on the Retirement cockpit screen
2. "WILL YOUR MONEY LAST?" — on the Retirement cockpit screen, under "RETIREMENT
3. WHERE YOU STAND"
4. "You plan to spend" — on the Retirement cockpit screen</t>
        </is>
      </c>
      <c r="M401" s="3" t="inlineStr">
        <is>
          <t>· Turns a monthly figure into a year by multiplying by twelve.</t>
        </is>
      </c>
      <c r="N401" s="3" t="inlineStr">
        <is>
          <t>Yes</t>
        </is>
      </c>
      <c r="O401" s="3" t="inlineStr">
        <is>
          <t>—</t>
        </is>
      </c>
      <c r="P401" s="3" t="n">
        <v>0</v>
      </c>
      <c r="Q401" s="3" t="inlineStr">
        <is>
          <t>None — no dependent function stands behind it</t>
        </is>
      </c>
      <c r="R401" s="3" t="inlineStr">
        <is>
          <t>No dependent function — it reads its inputs and answers</t>
        </is>
      </c>
      <c r="S401" s="3" t="inlineStr">
        <is>
          <t>—</t>
        </is>
      </c>
      <c r="T401" s="3" t="inlineStr">
        <is>
          <t>—</t>
        </is>
      </c>
      <c r="U401" s="3" t="inlineStr">
        <is>
          <t>ACTIVE</t>
        </is>
      </c>
      <c r="V401" s="3" t="inlineStr">
        <is>
          <t>2026-09-09</t>
        </is>
      </c>
      <c r="W401" s="3" t="n"/>
      <c r="X401" s="3" t="n"/>
      <c r="Y401" s="3" t="inlineStr">
        <is>
          <t>NOTHING OPEN</t>
        </is>
      </c>
    </row>
    <row r="402" ht="60" customHeight="1">
      <c r="A402" s="3" t="inlineStr">
        <is>
          <t>MK-PL-F-003</t>
        </is>
      </c>
      <c r="B402" s="3" t="inlineStr">
        <is>
          <t>depletionAge</t>
        </is>
      </c>
      <c r="C402" s="3" t="inlineStr">
        <is>
          <t>src/domain/decumulation/index.ts</t>
        </is>
      </c>
      <c r="D402" s="3" t="n">
        <v>266</v>
      </c>
      <c r="E402" s="3" t="inlineStr">
        <is>
          <t>2 · DISPLAYED</t>
        </is>
      </c>
      <c r="F402" s="3" t="inlineStr">
        <is>
          <t>---- deterministic depletion ---- Age the portfolio runs out (deterministic), or null if it lasts to the horizon.</t>
        </is>
      </c>
      <c r="G402" s="11" t="inlineStr">
        <is>
          <t>bal = nest egg
net = net withdrawal now
rmd on = (pre tax share ?? 0) &gt; 0
pre tax bal = bal × min(1, max(0, pre tax share!))   if rmd on
0   otherwise
rate = min(0.6, max(0, rmd tax rate (or 0.22 when missing)))
growth = 1 + return rate
a + 1   when bal ≤ 0
the answer = nothing</t>
        </is>
      </c>
      <c r="H402"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402" s="3" t="inlineStr">
        <is>
          <t>PARTLY READ — some of the code is still showing through; needs a hand pass</t>
        </is>
      </c>
      <c r="J402" s="3" t="inlineStr">
        <is>
          <t>o: { age: number; horizon: number; nestEgg: number; netWithdrawalNow: number; returnRate: number; inflation: number; preTaxShare?: number; rmdTaxRate?: number }</t>
        </is>
      </c>
      <c r="K402" s="3" t="inlineStr">
        <is>
          <t>number | null</t>
        </is>
      </c>
      <c r="L402" s="3" t="inlineStr">
        <is>
          <t>NOT FOUND — a screen calls it, but the words printed beside its answer could not be traced automatically. Needs reading.</t>
        </is>
      </c>
      <c r="M402" s="3" t="inlineStr">
        <is>
          <t>1. If pre tax share is missing it uses 0.
2. If required withdrawal tax rate is missing it uses 22%.</t>
        </is>
      </c>
      <c r="N402" s="3" t="inlineStr">
        <is>
          <t>Yes</t>
        </is>
      </c>
      <c r="O402" s="3" t="inlineStr">
        <is>
          <t>1. MK-PL-F-007 rmdAtAge
2. MK-PL-F-005 rmdStartAgeFor</t>
        </is>
      </c>
      <c r="P402" s="3" t="n">
        <v>6</v>
      </c>
      <c r="Q402" s="3" t="inlineStr">
        <is>
          <t>1. MK-PL-F-007 rmdAtAge
2. MK-PL-F-005 rmdStartAgeFor
3. MK-PL-F-078 rmdDivisorAtAge
4. MK-ST-F-025 rmdStartAgeFromAge
5. MK-ST-F-024 rmdStartAge
6. MK-ST-F-056 has</t>
        </is>
      </c>
      <c r="R402" s="3" t="inlineStr">
        <is>
          <t>1. MK-PL-F-078 rmdDivisorAtAge → MK-PL-F-007 rmdAtAge → MK-PL-F-003 depletionAge
2. MK-ST-F-056 has → MK-ST-F-024 rmdStartAge → MK-ST-F-025 rmdStartAgeFromAge → MK-PL-F-005 rmdStartAgeFor → MK-PL-F-003 depletionAge</t>
        </is>
      </c>
      <c r="S402" s="3" t="inlineStr">
        <is>
          <t>—</t>
        </is>
      </c>
      <c r="T402" s="3" t="inlineStr">
        <is>
          <t>—</t>
        </is>
      </c>
      <c r="U402" s="3" t="inlineStr">
        <is>
          <t>ACTIVE</t>
        </is>
      </c>
      <c r="V402" s="3" t="inlineStr">
        <is>
          <t>2026-08-27</t>
        </is>
      </c>
      <c r="W402" s="3" t="n"/>
      <c r="X402" s="3" t="n"/>
      <c r="Y402" s="3" t="inlineStr">
        <is>
          <t>NOTHING OPEN</t>
        </is>
      </c>
    </row>
    <row r="403" ht="60" customHeight="1">
      <c r="A403" s="3" t="inlineStr">
        <is>
          <t>MK-PL-F-004</t>
        </is>
      </c>
      <c r="B403" s="3" t="inlineStr">
        <is>
          <t>withdrawalOrder</t>
        </is>
      </c>
      <c r="C403" s="3" t="inlineStr">
        <is>
          <t>src/domain/decumulation/index.ts</t>
        </is>
      </c>
      <c r="D403" s="3" t="n">
        <v>320</v>
      </c>
      <c r="E403" s="3" t="inlineStr">
        <is>
          <t>2 · DISPLAYED</t>
        </is>
      </c>
      <c r="F403" s="3" t="inlineStr">
        <is>
          <t>NOT DETERMINED — the code carries no note saying what this is for, and it has no row in the old inventory. Needs reading.</t>
        </is>
      </c>
      <c r="G403" s="11" t="inlineStr">
        <is>
          <t>steps = seq where split[bucket] &gt; 0for each of : ...each = ...each
amount = split[bucket]
pre = steps.find((s) =&gt; bucket = 'preTax')
the answer = steps</t>
        </is>
      </c>
      <c r="H403" s="3" t="inlineStr">
        <is>
          <t>Steps is seq where split[bucket] &gt; 0for each of : ...each = ...each; amount = split[bucket]. Pre is steps.find((s) =&gt; bucket = 'preTax'). The answer is steps.</t>
        </is>
      </c>
      <c r="I403" s="3" t="inlineStr">
        <is>
          <t>PARTLY READ — some of the code is still showing through; needs a hand pass</t>
        </is>
      </c>
      <c r="J403" s="3" t="inlineStr">
        <is>
          <t>1. split: BucketSplit
2. age = 0
3. userOrder?: DrawBucket[] | null</t>
        </is>
      </c>
      <c r="K403" s="3" t="inlineStr">
        <is>
          <t>OrderStep[]</t>
        </is>
      </c>
      <c r="L403" s="3" t="inlineStr">
        <is>
          <t>1. "Why this order?" — on the Cash flow screen
2. "Why? ›" — on the Cash flow screen</t>
        </is>
      </c>
      <c r="M403" s="3" t="inlineStr">
        <is>
          <t>None found in this function — anything it assumes comes from the functions it depends on.</t>
        </is>
      </c>
      <c r="N403" s="3" t="inlineStr">
        <is>
          <t>Yes</t>
        </is>
      </c>
      <c r="O403" s="3" t="inlineStr">
        <is>
          <t>1. MK-CF-F-132 map
2. MK-ST-F-039 on
3. MK-PL-F-007 rmdAtAge
4. MK-PL-F-005 rmdStartAgeFor</t>
        </is>
      </c>
      <c r="P403" s="3" t="n">
        <v>8</v>
      </c>
      <c r="Q403" s="3" t="inlineStr">
        <is>
          <t>1. MK-CF-F-132 map
2. MK-ST-F-039 on
3. MK-PL-F-007 rmdAtAge
4. MK-PL-F-005 rmdStartAgeFor
5. MK-PL-F-078 rmdDivisorAtAge
6. MK-ST-F-025 rmdStartAgeFromAge
7. MK-ST-F-024 rmdStartAge
8. MK-ST-F-056 has</t>
        </is>
      </c>
      <c r="R403"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403" s="3" t="inlineStr">
        <is>
          <t>—</t>
        </is>
      </c>
      <c r="T403" s="3" t="inlineStr">
        <is>
          <t>—</t>
        </is>
      </c>
      <c r="U403" s="3" t="inlineStr">
        <is>
          <t>ACTIVE</t>
        </is>
      </c>
      <c r="V403" s="3" t="inlineStr">
        <is>
          <t>2026-08-27</t>
        </is>
      </c>
      <c r="W403" s="3" t="n"/>
      <c r="X403" s="3" t="n"/>
      <c r="Y403" s="3" t="inlineStr">
        <is>
          <t>NOTHING OPEN</t>
        </is>
      </c>
    </row>
    <row r="404" ht="60" customHeight="1">
      <c r="A404" s="3" t="inlineStr">
        <is>
          <t>MK-PL-F-005</t>
        </is>
      </c>
      <c r="B404" s="3" t="inlineStr">
        <is>
          <t>rmdStartAgeFor</t>
        </is>
      </c>
      <c r="C404" s="3" t="inlineStr">
        <is>
          <t>src/domain/decumulation/index.ts</t>
        </is>
      </c>
      <c r="D404" s="3" t="n">
        <v>374</v>
      </c>
      <c r="E404" s="3" t="inlineStr">
        <is>
          <t>2 · DISPLAYED</t>
        </is>
      </c>
      <c r="F404" s="3" t="inlineStr">
        <is>
          <t>---- Required Minimum Distributions ---- B4 (founder brief 2026-08-20): the rule lives in ONE dated, sourced table — the Calculation Module's rmd function.</t>
        </is>
      </c>
      <c r="G404" s="11" t="inlineStr">
        <is>
          <t>73   if age = nothing
rmd start age from age(age, now year)   otherwise</t>
        </is>
      </c>
      <c r="H404" s="3" t="inlineStr">
        <is>
          <t>73 — when age is missing; rmd start age from age(age, now year) — otherwise.</t>
        </is>
      </c>
      <c r="I404" s="3" t="inlineStr">
        <is>
          <t>READ FROM THE CODE — rendered from the expressions the function runs</t>
        </is>
      </c>
      <c r="J404" s="3" t="inlineStr">
        <is>
          <t>1. age?: number | null
2. nowYear = new Date().getFullYear()</t>
        </is>
      </c>
      <c r="K404" s="3" t="inlineStr">
        <is>
          <t>number</t>
        </is>
      </c>
      <c r="L404"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404" s="3" t="inlineStr">
        <is>
          <t>· Uses today's date from the device clock, so the answer changes by itself overnight.</t>
        </is>
      </c>
      <c r="N404" s="3" t="inlineStr">
        <is>
          <t>Yes</t>
        </is>
      </c>
      <c r="O404" s="3" t="inlineStr">
        <is>
          <t>MK-ST-F-025 rmdStartAgeFromAge</t>
        </is>
      </c>
      <c r="P404" s="3" t="n">
        <v>3</v>
      </c>
      <c r="Q404" s="3" t="inlineStr">
        <is>
          <t>1. MK-ST-F-025 rmdStartAgeFromAge
2. MK-ST-F-024 rmdStartAge
3. MK-ST-F-056 has</t>
        </is>
      </c>
      <c r="R404" s="3" t="inlineStr">
        <is>
          <t>MK-ST-F-056 has → MK-ST-F-024 rmdStartAge → MK-ST-F-025 rmdStartAgeFromAge → MK-PL-F-005 rmdStartAgeFor</t>
        </is>
      </c>
      <c r="S404" s="3" t="inlineStr">
        <is>
          <t>—</t>
        </is>
      </c>
      <c r="T404" s="3" t="inlineStr">
        <is>
          <t>—</t>
        </is>
      </c>
      <c r="U404" s="3" t="inlineStr">
        <is>
          <t>ACTIVE</t>
        </is>
      </c>
      <c r="V404" s="3" t="inlineStr">
        <is>
          <t>2026-08-27</t>
        </is>
      </c>
      <c r="W404" s="3" t="n"/>
      <c r="X404" s="3" t="n"/>
      <c r="Y404" s="3" t="inlineStr">
        <is>
          <t>NOTHING OPEN</t>
        </is>
      </c>
    </row>
    <row r="405" ht="60" customHeight="1">
      <c r="A405" s="3" t="inlineStr">
        <is>
          <t>MK-PL-F-006</t>
        </is>
      </c>
      <c r="B405" s="3" t="inlineStr">
        <is>
          <t>rmdDivisor</t>
        </is>
      </c>
      <c r="C405" s="3" t="inlineStr">
        <is>
          <t>Calculation Module code/engines/rmd.ts</t>
        </is>
      </c>
      <c r="D405" s="3" t="n">
        <v>133</v>
      </c>
      <c r="E405" s="3" t="inlineStr">
        <is>
          <t>3 · DEPENDENT (feeds an action only)</t>
        </is>
      </c>
      <c r="F405" s="3" t="inlineStr">
        <is>
          <t>Divisor at an age, 0 before that person's start age.</t>
        </is>
      </c>
      <c r="G405" s="11" t="inlineStr">
        <is>
          <t>divisor(age) = 0                        when age is below the start age
               the table value at age   when the table lists that age
               straight-line between the two nearest listed ages   otherwise</t>
        </is>
      </c>
      <c r="H405"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405" s="3" t="inlineStr">
        <is>
          <t>READ BY HAND 2026-08-26 — checked line by line against the code</t>
        </is>
      </c>
      <c r="J405" s="3" t="inlineStr">
        <is>
          <t>1. age: number
2. birthYear?: number | null</t>
        </is>
      </c>
      <c r="K405" s="3" t="inlineStr">
        <is>
          <t>number</t>
        </is>
      </c>
      <c r="L405" s="3" t="inlineStr">
        <is>
          <t>—</t>
        </is>
      </c>
      <c r="M405" s="3" t="inlineStr">
        <is>
          <t>None found in this function — anything it assumes comes from the functions it depends on.</t>
        </is>
      </c>
      <c r="N405" s="3" t="inlineStr">
        <is>
          <t>No</t>
        </is>
      </c>
      <c r="O405" s="3" t="inlineStr">
        <is>
          <t>MK-ST-F-024 rmdStartAge</t>
        </is>
      </c>
      <c r="P405" s="3" t="n">
        <v>2</v>
      </c>
      <c r="Q405" s="3" t="inlineStr">
        <is>
          <t>1. MK-ST-F-024 rmdStartAge
2. MK-ST-F-056 has</t>
        </is>
      </c>
      <c r="R405" s="3" t="inlineStr">
        <is>
          <t>MK-ST-F-056 has → MK-ST-F-024 rmdStartAge → MK-PL-F-006 rmdDivisor</t>
        </is>
      </c>
      <c r="S405" s="3" t="inlineStr">
        <is>
          <t>—</t>
        </is>
      </c>
      <c r="T405" s="3" t="inlineStr">
        <is>
          <t>—</t>
        </is>
      </c>
      <c r="U405" s="3" t="inlineStr">
        <is>
          <t>ACTIVE</t>
        </is>
      </c>
      <c r="V405" s="3" t="inlineStr">
        <is>
          <t>2026-08-27</t>
        </is>
      </c>
      <c r="W405" s="3" t="n"/>
      <c r="X405" s="3" t="n"/>
      <c r="Y405" s="3" t="inlineStr">
        <is>
          <t>NOTHING OPEN</t>
        </is>
      </c>
    </row>
    <row r="406" ht="60" customHeight="1">
      <c r="A406" s="3" t="inlineStr">
        <is>
          <t>MK-PL-F-007</t>
        </is>
      </c>
      <c r="B406" s="3" t="inlineStr">
        <is>
          <t>rmdAtAge</t>
        </is>
      </c>
      <c r="C406" s="3" t="inlineStr">
        <is>
          <t>src/domain/decumulation/index.ts</t>
        </is>
      </c>
      <c r="D406" s="3" t="n">
        <v>432</v>
      </c>
      <c r="E406" s="3" t="inlineStr">
        <is>
          <t>2 · DISPLAYED</t>
        </is>
      </c>
      <c r="F406" s="3" t="inlineStr">
        <is>
          <t>Required minimum distribution from pre-tax balances at a given age (0 before the start age).</t>
        </is>
      </c>
      <c r="G406" s="11" t="inlineStr">
        <is>
          <t>required withdrawal = round(pre-tax balance ÷ divisor(age), 2 dp)
                    = 0   when the divisor is 0</t>
        </is>
      </c>
      <c r="H406"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406" s="3" t="inlineStr">
        <is>
          <t>READ BY HAND 2026-08-26 — checked line by line against the code</t>
        </is>
      </c>
      <c r="J406" s="3" t="inlineStr">
        <is>
          <t>1. preTaxBalance: number
2. age: number</t>
        </is>
      </c>
      <c r="K406" s="3" t="inlineStr">
        <is>
          <t>number</t>
        </is>
      </c>
      <c r="L406"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406"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406" s="3" t="inlineStr">
        <is>
          <t>Yes</t>
        </is>
      </c>
      <c r="O406" s="3" t="inlineStr">
        <is>
          <t>MK-PL-F-078 rmdDivisorAtAge</t>
        </is>
      </c>
      <c r="P406" s="3" t="n">
        <v>1</v>
      </c>
      <c r="Q406" s="3" t="inlineStr">
        <is>
          <t>MK-PL-F-078 rmdDivisorAtAge</t>
        </is>
      </c>
      <c r="R406" s="3" t="inlineStr">
        <is>
          <t>MK-PL-F-078 rmdDivisorAtAge → MK-PL-F-007 rmdAtAge</t>
        </is>
      </c>
      <c r="S406" s="3" t="inlineStr">
        <is>
          <t>—</t>
        </is>
      </c>
      <c r="T406" s="3" t="inlineStr">
        <is>
          <t>—</t>
        </is>
      </c>
      <c r="U406" s="3" t="inlineStr">
        <is>
          <t>ACTIVE</t>
        </is>
      </c>
      <c r="V406" s="3" t="inlineStr">
        <is>
          <t>2026-08-27</t>
        </is>
      </c>
      <c r="W406" s="3" t="n"/>
      <c r="X406" s="3" t="n"/>
      <c r="Y406" s="3" t="inlineStr">
        <is>
          <t>NOTHING OPEN</t>
        </is>
      </c>
    </row>
    <row r="407" ht="60" customHeight="1">
      <c r="A407" s="3" t="inlineStr">
        <is>
          <t>MK-PL-F-008</t>
        </is>
      </c>
      <c r="B407" s="3" t="inlineStr">
        <is>
          <t>rmdSchedule</t>
        </is>
      </c>
      <c r="C407" s="3" t="inlineStr">
        <is>
          <t>src/domain/decumulation/index.ts</t>
        </is>
      </c>
      <c r="D407" s="3" t="n">
        <v>513</v>
      </c>
      <c r="E407" s="3" t="inlineStr">
        <is>
          <t>2 · DISPLAYED</t>
        </is>
      </c>
      <c r="F407" s="3" t="inlineStr">
        <is>
          <t>Year-by-year mandated-withdrawal schedule (ESTIMATES: future balances move with returns).</t>
        </is>
      </c>
      <c r="G407" s="11" t="inlineStr">
        <is>
          <t>rows = []
rows   when pre tax now ≤ 0
start age = max(rmd start age for(age now, now year), age now)
bal = pre tax now
r = max(0, exp return (or 0 when missing or zero))
age = start age + i
amount = rmd at age(bal, age)
the answer = rows</t>
        </is>
      </c>
      <c r="H407"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407" s="3" t="inlineStr">
        <is>
          <t>READ FROM THE CODE — rendered from the expressions the function runs</t>
        </is>
      </c>
      <c r="J407" s="3" t="inlineStr">
        <is>
          <t>1. preTaxNow: number
2. ageNow: number
3. expReturn: number
4. years = 15
5. nowYear = new Date().getFullYear()</t>
        </is>
      </c>
      <c r="K407" s="3" t="inlineStr">
        <is>
          <t>RmdYearRow[]</t>
        </is>
      </c>
      <c r="L407" s="3" t="inlineStr">
        <is>
          <t>NOT FOUND — a screen calls it, but the words printed beside its answer could not be traced automatically. Needs reading.</t>
        </is>
      </c>
      <c r="M407" s="3" t="inlineStr">
        <is>
          <t>1. If exp return is missing it counts as zero, so nothing recorded and a real zero look the same.
2. Uses today's date from the device clock, so the answer changes by itself overnight.
3. Rounds the answer to a whole number.</t>
        </is>
      </c>
      <c r="N407" s="3" t="inlineStr">
        <is>
          <t>Yes</t>
        </is>
      </c>
      <c r="O407" s="3" t="inlineStr">
        <is>
          <t>1. MK-PL-F-077 clamp
2. MK-PL-F-054 growOneYear
3. MK-PL-F-007 rmdAtAge
4. MK-PL-F-078 rmdDivisorAtAge
5. MK-PL-F-005 rmdStartAgeFor</t>
        </is>
      </c>
      <c r="P407" s="3" t="n">
        <v>51</v>
      </c>
      <c r="Q407" s="3" t="inlineStr">
        <is>
          <t>1. MK-PL-F-077 clamp
2. MK-PL-F-054 growOneYear
3. MK-PL-F-007 rmdAtAge
4. MK-PL-F-078 rmdDivisorAtAge
5. MK-PL-F-005 rmdStartAgeFor
6. MK-NW-F-035 blendedVolatility
7. MK-ST-F-025 rmdStartAgeFromAge
8. MK-CF-F-155 cash
9. MK-NW-F-032 earmarkedAmount
10. MK-NW-F-031 primaryCarIdOf
11. MK-NW-F-110 primaryHomeIdOf
12. MK-ST-F-024 rmdStartAge
13. MK-XS-F-122 n
14. MK-NW-F-030 earmarkDefault
15. MK-NW-F-134 carValueNotEnteredNotes
16. MK-NW-F-133 valueEntered
17. MK-NW-F-117 propertyUseMap
18. MK-ST-F-056 has
19. MK-NW-F-011 assetClassOf
20. MK-CF-F-132 map
21. MK-ST-F-053 money
22. MK-NW-F-033 retirementEarmarkedValue
23. MK-NW-F-116 rentedIdsOf
24. MK-NW-F-120 classEvidenceOf
25. MK-ST-F-049 formatMoney
26. MK-NW-F-115 liveRent
27. MK-NW-F-008 incomeBearingClassOf
28. MK-NW-F-009 maturityClass
29. MK-ST-F-048 currencySymbol
30. MK-ST-F-039 on
31. MK-CF-O-002 expenses
32. MK-NW-F-114 rentAmount
33. MK-ST-F-010 nameEvidence
34. MK-NW-F-068 prettyDay
35. MK-ST-F-047 activeCurrency
36. MK-CF-F-151 actualSpending
37. MK-CF-F-150 debtPaymentsCountedAsExpenses
38. MK-CF-F-153 radar
39. MK-CF-F-149 recurringDebtPayments
40. MK-ST-F-085 rentFigure
41. MK-XS-F-147 call
42. MK-CF-F-148 inMonth
43. MK-ST-F-052 toNum
44. MK-CF-F-191 ym
45. MK-CF-F-022 paymentShape
46. MK-CF-F-152 isRadarItem
47. MK-CF-F-023 requiredPayment
48. MK-ST-F-027 accountId
49. MK-XS-F-064 currentIdToken
50. MK-XS-F-112 relayUrl
51. MK-CF-F-021 defaultPaymentType</t>
        </is>
      </c>
      <c r="R407" s="3" t="inlineStr">
        <is>
          <t>1. MK-XS-F-122 n → MK-CF-F-155 cash → MK-NW-F-035 blendedVolatility → MK-PL-F-077 clamp → MK-PL-F-008 rmdSchedule
2. MK-NW-F-011 assetClassOf → MK-NW-F-030 earmarkDefault → MK-NW-F-032 earmarkedAmount → MK-NW-F-035 blendedVolatility → MK-PL-F-077 clamp → MK-PL-F-008 rmdSchedule
3. MK-CF-F-132 map → MK-NW-F-134 carValueNotEnteredNotes → MK-NW-F-031 primaryCarIdOf → MK-NW-F-035 blendedVolatility → MK-PL-F-077 clamp → MK-PL-F-008 rmdSchedule
4. MK-ST-F-053 money → MK-NW-F-134 carValueNotEnteredNotes → MK-NW-F-031 primaryCarIdOf → MK-NW-F-035 blendedVolatility → MK-PL-F-077 clamp → MK-PL-F-008 rmdSchedule
5. primaryCarIdOf (already above — a loop) → MK-NW-F-134 carValueNotEnteredNotes → MK-NW-F-031 primaryCarIdOf → MK-NW-F-035 blendedVolatility → MK-PL-F-077 clamp → MK-PL-F-008 rmdSchedule
6. MK-NW-F-033 retirementEarmarkedValue → MK-NW-F-134 carValueNotEnteredNotes → MK-NW-F-031 primaryCarIdOf → MK-NW-F-035 blendedVolatility → MK-PL-F-077 clamp → MK-PL-F-008 rmdSchedule
7. MK-NW-F-133 valueEntered → MK-NW-F-134 carValueNotEnteredNotes → MK-NW-F-031 primaryCarIdOf → MK-NW-F-035 blendedVolatility → MK-PL-F-077 clamp → MK-PL-F-008 rmdSchedule
8. MK-NW-F-133 valueEntered → MK-NW-F-031 primaryCarIdOf → MK-NW-F-035 blendedVolatility → MK-PL-F-077 clamp → MK-PL-F-008 rmdSchedule
9. … and 5 more paths</t>
        </is>
      </c>
      <c r="S407" s="3" t="inlineStr">
        <is>
          <t>—</t>
        </is>
      </c>
      <c r="T407" s="3" t="inlineStr">
        <is>
          <t>—</t>
        </is>
      </c>
      <c r="U407" s="3" t="inlineStr">
        <is>
          <t>ACTIVE</t>
        </is>
      </c>
      <c r="V407" s="3" t="inlineStr">
        <is>
          <t>2026-08-27</t>
        </is>
      </c>
      <c r="W407" s="3" t="n"/>
      <c r="X407" s="3" t="n"/>
      <c r="Y407" s="3" t="inlineStr">
        <is>
          <t>NOTHING OPEN</t>
        </is>
      </c>
    </row>
    <row r="408" ht="60" customHeight="1">
      <c r="A408" s="3" t="inlineStr">
        <is>
          <t>MK-PL-F-009</t>
        </is>
      </c>
      <c r="B408" s="3" t="inlineStr">
        <is>
          <t>rmdTakenThisYear</t>
        </is>
      </c>
      <c r="C408" s="3" t="inlineStr">
        <is>
          <t>src/domain/decumulation/index.ts</t>
        </is>
      </c>
      <c r="D408" s="3" t="n">
        <v>558</v>
      </c>
      <c r="E408" s="3" t="inlineStr">
        <is>
          <t>2 · DISPLAYED</t>
        </is>
      </c>
      <c r="F408" s="3" t="inlineStr">
        <is>
          <t>Withdrawals already taken THIS year from the pre-tax accounts (the one ledger — no side lists).</t>
        </is>
      </c>
      <c r="G408" s="11" t="inlineStr">
        <is>
          <t>ids = a list with no repeats of for each of pre tax account ids: string</t>
        </is>
      </c>
      <c r="H408" s="3" t="inlineStr">
        <is>
          <t>Ids is a list with no repeats of for each of pre tax account ids: string.</t>
        </is>
      </c>
      <c r="I408" s="3" t="inlineStr">
        <is>
          <t>READ FROM THE CODE — rendered from the expressions the function runs</t>
        </is>
      </c>
      <c r="J408" s="3" t="inlineStr">
        <is>
          <t>1. transactions: { type?: string; account_id?: string; amount?: number; date?: string }[]
2. preTaxAccountIds: string[]
3. nowYear = new Date().getFullYear()</t>
        </is>
      </c>
      <c r="K408" s="3" t="inlineStr">
        <is>
          <t>number</t>
        </is>
      </c>
      <c r="L408" s="3" t="inlineStr">
        <is>
          <t>NOT FOUND — a screen calls it, but the words printed beside its answer could not be traced automatically. Needs reading.</t>
        </is>
      </c>
      <c r="M408" s="3" t="inlineStr">
        <is>
          <t>1. If amount is missing it counts as zero, so nothing recorded and a real zero look the same.
2. Uses today's date from the device clock, so the answer changes by itself overnight.</t>
        </is>
      </c>
      <c r="N408" s="3" t="inlineStr">
        <is>
          <t>Yes</t>
        </is>
      </c>
      <c r="O408" s="3" t="inlineStr">
        <is>
          <t>1. MK-ST-F-056 has
2. MK-CF-F-132 map</t>
        </is>
      </c>
      <c r="P408" s="3" t="n">
        <v>2</v>
      </c>
      <c r="Q408" s="3" t="inlineStr">
        <is>
          <t>1. MK-ST-F-056 has
2. MK-CF-F-132 map</t>
        </is>
      </c>
      <c r="R408" s="3" t="inlineStr">
        <is>
          <t>1. MK-ST-F-056 has → MK-PL-F-009 rmdTakenThisYear
2. MK-CF-F-132 map → MK-PL-F-009 rmdTakenThisYear</t>
        </is>
      </c>
      <c r="S408" s="3" t="inlineStr">
        <is>
          <t>—</t>
        </is>
      </c>
      <c r="T408" s="3" t="inlineStr">
        <is>
          <t>—</t>
        </is>
      </c>
      <c r="U408" s="3" t="inlineStr">
        <is>
          <t>ACTIVE</t>
        </is>
      </c>
      <c r="V408" s="3" t="inlineStr">
        <is>
          <t>2026-08-27</t>
        </is>
      </c>
      <c r="W408" s="3" t="n"/>
      <c r="X408" s="3" t="n"/>
      <c r="Y408" s="3" t="inlineStr">
        <is>
          <t>NOTHING OPEN</t>
        </is>
      </c>
    </row>
    <row r="409" ht="60" customHeight="1">
      <c r="A409" s="3" t="inlineStr">
        <is>
          <t>MK-PL-F-010</t>
        </is>
      </c>
      <c r="B409" s="3" t="inlineStr">
        <is>
          <t>drawOrderOutcome</t>
        </is>
      </c>
      <c r="C409" s="3" t="inlineStr">
        <is>
          <t>src/domain/decumulation/index.ts</t>
        </is>
      </c>
      <c r="D409" s="3" t="n">
        <v>607</v>
      </c>
      <c r="E409" s="3" t="inlineStr">
        <is>
          <t>2 · DISPLAYED</t>
        </is>
      </c>
      <c r="F409" s="3" t="inlineStr">
        <is>
          <t>If the draw came from the accounts in this order, how long would the money last and what tax would it cost?</t>
        </is>
      </c>
      <c r="G409" s="11"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409"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409" s="3" t="inlineStr">
        <is>
          <t>READ BY HAND 2026-08-26 — checked line by line against the code</t>
        </is>
      </c>
      <c r="J409" s="3" t="inlineStr">
        <is>
          <t>Nothing is handed to it</t>
        </is>
      </c>
      <c r="K409" s="3" t="inlineStr">
        <is>
          <t>NOT DECLARED — the code does not say what it gives back</t>
        </is>
      </c>
      <c r="L409" s="3" t="inlineStr">
        <is>
          <t>NOT FOUND — a screen calls it, but the words printed beside its answer could not be traced automatically. Needs reading.</t>
        </is>
      </c>
      <c r="M409"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409" s="3" t="inlineStr">
        <is>
          <t>Yes</t>
        </is>
      </c>
      <c r="O409" s="3" t="inlineStr">
        <is>
          <t>1. MK-CF-F-155 cash
2. MK-PL-F-007 rmdAtAge
3. MK-PL-F-005 rmdStartAgeFor</t>
        </is>
      </c>
      <c r="P409" s="3" t="n">
        <v>8</v>
      </c>
      <c r="Q409" s="3" t="inlineStr">
        <is>
          <t>1. MK-CF-F-155 cash
2. MK-PL-F-007 rmdAtAge
3. MK-PL-F-005 rmdStartAgeFor
4. MK-XS-F-122 n
5. MK-PL-F-078 rmdDivisorAtAge
6. MK-ST-F-025 rmdStartAgeFromAge
7. MK-ST-F-024 rmdStartAge
8. MK-ST-F-056 has</t>
        </is>
      </c>
      <c r="R409" s="3" t="inlineStr">
        <is>
          <t>1. MK-XS-F-122 n → MK-CF-F-155 cash → MK-PL-F-010 drawOrderOutcome
2. MK-PL-F-078 rmdDivisorAtAge → MK-PL-F-007 rmdAtAge → MK-PL-F-010 drawOrderOutcome
3. MK-ST-F-056 has → MK-ST-F-024 rmdStartAge → MK-ST-F-025 rmdStartAgeFromAge → MK-PL-F-005 rmdStartAgeFor → MK-PL-F-010 drawOrderOutcome</t>
        </is>
      </c>
      <c r="S409" s="3" t="inlineStr">
        <is>
          <t>—</t>
        </is>
      </c>
      <c r="T409" s="3" t="inlineStr">
        <is>
          <t>—</t>
        </is>
      </c>
      <c r="U409" s="3" t="inlineStr">
        <is>
          <t>ACTIVE</t>
        </is>
      </c>
      <c r="V409" s="3" t="inlineStr">
        <is>
          <t>2026-09-12</t>
        </is>
      </c>
      <c r="W409" s="3" t="n"/>
      <c r="X409" s="3" t="n"/>
      <c r="Y409" s="6" t="inlineStr">
        <is>
          <t>TESTED, NOT VERIFIED (G6)</t>
        </is>
      </c>
    </row>
    <row r="410" ht="60" customHeight="1">
      <c r="A410" s="3" t="inlineStr">
        <is>
          <t>MK-PL-F-011</t>
        </is>
      </c>
      <c r="B410" s="3" t="inlineStr">
        <is>
          <t>buildGoalsState</t>
        </is>
      </c>
      <c r="C410" s="3" t="inlineStr">
        <is>
          <t>src/domain/goals/index.ts</t>
        </is>
      </c>
      <c r="D410" s="3" t="n">
        <v>45</v>
      </c>
      <c r="E410" s="3" t="inlineStr">
        <is>
          <t>3 · DEPENDENT</t>
        </is>
      </c>
      <c r="F410" s="3" t="inlineStr">
        <is>
          <t>Months to reach each goal at the given monthly savings capacity.</t>
        </is>
      </c>
      <c r="G410" s="11" t="inlineStr">
        <is>
          <t>user id = uid
goals = progress
monthly capacity = monthly capacity</t>
        </is>
      </c>
      <c r="H410" s="3" t="inlineStr">
        <is>
          <t>user id = uid; goals = progress; monthly capacity = monthly capacity.</t>
        </is>
      </c>
      <c r="I410" s="3" t="inlineStr">
        <is>
          <t>READ FROM THE CODE — rendered from the expressions the function runs</t>
        </is>
      </c>
      <c r="J410" s="3" t="inlineStr">
        <is>
          <t>1. uid: UserId
2. goals: Goal[]
3. monthlyCapacity: number</t>
        </is>
      </c>
      <c r="K410" s="3" t="inlineStr">
        <is>
          <t>GoalsState</t>
        </is>
      </c>
      <c r="L410" s="3" t="inlineStr">
        <is>
          <t>—</t>
        </is>
      </c>
      <c r="M410" s="3" t="inlineStr">
        <is>
          <t>None found in this function — anything it assumes comes from the functions it depends on.</t>
        </is>
      </c>
      <c r="N410" s="3" t="inlineStr">
        <is>
          <t>Yes</t>
        </is>
      </c>
      <c r="O410" s="3" t="inlineStr">
        <is>
          <t>1. MK-CF-F-132 map
2. MK-XS-F-175 uid
3. MK-PL-F-012 waterfall</t>
        </is>
      </c>
      <c r="P410" s="3" t="n">
        <v>89</v>
      </c>
      <c r="Q410" s="3" t="inlineStr">
        <is>
          <t>1. MK-CF-F-132 map
2. MK-XS-F-175 uid
3. MK-PL-F-012 waterfall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410" s="3" t="inlineStr">
        <is>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is>
      </c>
      <c r="S410" s="3" t="inlineStr">
        <is>
          <t>—</t>
        </is>
      </c>
      <c r="T410" s="3" t="inlineStr">
        <is>
          <t>—</t>
        </is>
      </c>
      <c r="U410" s="3" t="inlineStr">
        <is>
          <t>ACTIVE</t>
        </is>
      </c>
      <c r="V410" s="3" t="inlineStr">
        <is>
          <t>2026-09-09</t>
        </is>
      </c>
      <c r="W410" s="3" t="n"/>
      <c r="X410" s="3" t="n"/>
      <c r="Y410" s="3" t="inlineStr">
        <is>
          <t>NOTHING OPEN</t>
        </is>
      </c>
    </row>
    <row r="411" ht="60" customHeight="1">
      <c r="A411" s="3" t="inlineStr">
        <is>
          <t>MK-PL-F-012</t>
        </is>
      </c>
      <c r="B411" s="3" t="inlineStr">
        <is>
          <t>waterfall</t>
        </is>
      </c>
      <c r="C411" s="3" t="inlineStr">
        <is>
          <t>src/domain/goals/index.ts</t>
        </is>
      </c>
      <c r="D411" s="3" t="n">
        <v>94</v>
      </c>
      <c r="E411" s="3" t="inlineStr">
        <is>
          <t>3 · DEPENDENT</t>
        </is>
      </c>
      <c r="F411" s="3" t="inlineStr">
        <is>
          <t>NOT DETERMINED — the code carries no note saying what this is for, and it has no row in the old inventory. Needs reading.</t>
        </is>
      </c>
      <c r="G411" s="11" t="inlineStr">
        <is>
          <t>left = max(0, surplus)
steps = []
a = min(left, max(0, need)); left -= a; steps.push({ name, allocated: (a) })
the answer = steps</t>
        </is>
      </c>
      <c r="H411" s="3" t="inlineStr">
        <is>
          <t>Left is surplus, never below zero. Steps is []. A: the smaller of left and need, never below zero; left -= a; steps.push({ name, allocated: (a) }). The answer is steps.</t>
        </is>
      </c>
      <c r="I411" s="3" t="inlineStr">
        <is>
          <t>PARTLY READ — some of the code is still showing through; needs a hand pass</t>
        </is>
      </c>
      <c r="J411" s="3" t="inlineStr">
        <is>
          <t>Nothing is handed to it</t>
        </is>
      </c>
      <c r="K411" s="3" t="inlineStr">
        <is>
          <t>NOT DECLARED — the code does not say what it gives back</t>
        </is>
      </c>
      <c r="L411" s="3" t="inlineStr">
        <is>
          <t>—</t>
        </is>
      </c>
      <c r="M411" s="3" t="inlineStr">
        <is>
          <t>1. If emergency gap is missing it uses 0.
2. If toxic debt is missing it uses 0.
3. If employer match monthly is missing it uses 0.
4. Never lets surplus fall below 0.
5. Never lets need fall below 0.</t>
        </is>
      </c>
      <c r="N411" s="3" t="inlineStr">
        <is>
          <t>Yes</t>
        </is>
      </c>
      <c r="O411" s="3" t="inlineStr">
        <is>
          <t>—</t>
        </is>
      </c>
      <c r="P411" s="3" t="n">
        <v>0</v>
      </c>
      <c r="Q411" s="3" t="inlineStr">
        <is>
          <t>None — no dependent function stands behind it</t>
        </is>
      </c>
      <c r="R411" s="3" t="inlineStr">
        <is>
          <t>No dependent function — it reads its inputs and answers</t>
        </is>
      </c>
      <c r="S411" s="3" t="inlineStr">
        <is>
          <t>—</t>
        </is>
      </c>
      <c r="T411" s="3" t="inlineStr">
        <is>
          <t>—</t>
        </is>
      </c>
      <c r="U411" s="3" t="inlineStr">
        <is>
          <t>ACTIVE</t>
        </is>
      </c>
      <c r="V411" s="3" t="inlineStr">
        <is>
          <t>2026-09-09</t>
        </is>
      </c>
      <c r="W411" s="3" t="n"/>
      <c r="X411" s="3" t="n"/>
      <c r="Y411" s="3" t="inlineStr">
        <is>
          <t>NOTHING OPEN</t>
        </is>
      </c>
    </row>
    <row r="412" ht="60" customHeight="1">
      <c r="A412" s="3" t="inlineStr">
        <is>
          <t>MK-PL-F-013</t>
        </is>
      </c>
      <c r="B412" s="3" t="inlineStr">
        <is>
          <t>goalsFromOnboarding</t>
        </is>
      </c>
      <c r="C412" s="3" t="inlineStr">
        <is>
          <t>src/domain/goals/index.ts</t>
        </is>
      </c>
      <c r="D412" s="3" t="n">
        <v>143</v>
      </c>
      <c r="E412" s="3" t="inlineStr">
        <is>
          <t>3 · DEPENDENT</t>
        </is>
      </c>
      <c r="F412" s="3" t="inlineStr">
        <is>
          <t>NOT DETERMINED — the code carries no note saying what this is for, and it has no row in the old inventory. Needs reading.</t>
        </is>
      </c>
      <c r="G412" s="11" t="inlineStr">
        <is>
          <t>a = op (or none when missing)
raw = goals   if array.is array(goals)
[]   otherwise
the answer:
user id = uid
goals = goals</t>
        </is>
      </c>
      <c r="H412" s="3" t="inlineStr">
        <is>
          <t>A is op (or none — when missing). Raw is goals — when array.is array(goals); [] — otherwise. The answer is user id = uid; goals = goals.</t>
        </is>
      </c>
      <c r="I412" s="3" t="inlineStr">
        <is>
          <t>PARTLY READ — some of the code is still showing through; needs a hand pass</t>
        </is>
      </c>
      <c r="J412" s="3" t="inlineStr">
        <is>
          <t>1. uid: UserId
2. op: Record&lt;string, any&gt; | null</t>
        </is>
      </c>
      <c r="K412" s="3" t="inlineStr">
        <is>
          <t>GoalsDoc</t>
        </is>
      </c>
      <c r="L412" s="3" t="inlineStr">
        <is>
          <t>—</t>
        </is>
      </c>
      <c r="M412" s="3" t="inlineStr">
        <is>
          <t>None found in this function — anything it assumes comes from the functions it depends on.</t>
        </is>
      </c>
      <c r="N412" s="3" t="inlineStr">
        <is>
          <t>Yes</t>
        </is>
      </c>
      <c r="O412" s="3" t="inlineStr">
        <is>
          <t>1. MK-CF-F-132 map
2. MK-ST-F-043 newEntityId
3. MK-ST-F-052 toNum
4. MK-XS-F-175 uid</t>
        </is>
      </c>
      <c r="P412" s="3" t="n">
        <v>87</v>
      </c>
      <c r="Q412"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MK-ST-F-056 has
18. MK-CF-F-116 inverseOf
19. MK-ST-F-065 isoLocalDate
20. MK-CF-F-112 makeTransaction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MK-NW-F-123 holdingNameEvidence
51. MK-NW-F-121 holdingTagClass
52. MK-NW-F-122 holdingTagFor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MK-NW-F-120 classEvidenceOf
71. MK-NW-F-008 incomeBearingClassOf
72. MK-PF-F-031 contractMultiplier
73. MK-CF-F-072 currentRetirementIncomeMonthly
74. MK-ST-F-048 currencySymbol
75. MK-CF-F-100 taxableIncomeFor
76. MK-ST-F-034 firstDate
77. MK-NW-F-009 maturityClass
78. MK-ST-F-010 nameEvidence
79. MK-CF-F-075 retirementIncomeMonthly
80. MK-ST-F-047 activeCurrency
81. MK-CF-F-099 deductionFor
82. MK-NW-F-011 assetClassOf
83. MK-NW-F-068 prettyDay
84. MK-XS-F-147 call
85. MK-CF-F-187 seniorDeductionFor
86. MK-XS-F-064 currentIdToken
87. MK-XS-F-112 relayUrl</t>
        </is>
      </c>
      <c r="R412" s="3" t="inlineStr">
        <is>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is>
      </c>
      <c r="S412" s="3" t="inlineStr">
        <is>
          <t>—</t>
        </is>
      </c>
      <c r="T412" s="3" t="inlineStr">
        <is>
          <t>—</t>
        </is>
      </c>
      <c r="U412" s="3" t="inlineStr">
        <is>
          <t>ACTIVE</t>
        </is>
      </c>
      <c r="V412" s="3" t="inlineStr">
        <is>
          <t>2026-08-27</t>
        </is>
      </c>
      <c r="W412" s="3" t="n"/>
      <c r="X412" s="3" t="n"/>
      <c r="Y412" s="3" t="inlineStr">
        <is>
          <t>NOTHING OPEN</t>
        </is>
      </c>
    </row>
    <row r="413" ht="60" customHeight="1">
      <c r="A413" s="3" t="inlineStr">
        <is>
          <t>MK-PL-F-014</t>
        </is>
      </c>
      <c r="B413" s="3" t="inlineStr">
        <is>
          <t>loadGoals</t>
        </is>
      </c>
      <c r="C413" s="3" t="inlineStr">
        <is>
          <t>src/domain/goals/index.ts</t>
        </is>
      </c>
      <c r="D413" s="3" t="n">
        <v>171</v>
      </c>
      <c r="E413" s="3" t="inlineStr">
        <is>
          <t>3 · DEPENDENT (feeds an action only)</t>
        </is>
      </c>
      <c r="F413" s="3" t="inlineStr">
        <is>
          <t>NOT DETERMINED — the code carries no note saying what this is for, and it has no row in the old inventory. Needs reading.</t>
        </is>
      </c>
      <c r="G413" s="11" t="inlineStr">
        <is>
          <t>It reaches outside the app for data and hands back what came back — no arithmetic of its own.</t>
        </is>
      </c>
      <c r="H413" s="3" t="inlineStr">
        <is>
          <t>It reaches outside the app for data and hands back what came back — no arithmetic of its own.</t>
        </is>
      </c>
      <c r="I413" s="3" t="inlineStr">
        <is>
          <t>NO ARITHMETIC — there is no formula to state</t>
        </is>
      </c>
      <c r="J413" s="3" t="inlineStr">
        <is>
          <t>uid: UserId</t>
        </is>
      </c>
      <c r="K413" s="3" t="inlineStr">
        <is>
          <t>NOT DECLARED — the code does not say what it gives back</t>
        </is>
      </c>
      <c r="L413" s="3" t="inlineStr">
        <is>
          <t>—</t>
        </is>
      </c>
      <c r="M413" s="3" t="inlineStr">
        <is>
          <t>None found in this function — anything it assumes comes from the functions it depends on.</t>
        </is>
      </c>
      <c r="N413" s="3" t="inlineStr">
        <is>
          <t>No</t>
        </is>
      </c>
      <c r="O413" s="3" t="inlineStr">
        <is>
          <t>MK-XS-F-175 uid</t>
        </is>
      </c>
      <c r="P413" s="3" t="n">
        <v>88</v>
      </c>
      <c r="Q41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MK-NW-F-009 maturityClass
79. MK-ST-F-010 nameEvidence
80. MK-CF-F-075 retirementIncomeMonthly
81. MK-ST-F-047 activeCurrency
82. MK-CF-F-099 deductionFor
83. MK-NW-F-011 assetClassOf
84. MK-NW-F-068 prettyDay
85. MK-XS-F-147 call
86. MK-CF-F-187 seniorDeductionFor
87. MK-XS-F-064 currentIdToken
88. MK-XS-F-112 relayUrl</t>
        </is>
      </c>
      <c r="R413" s="3" t="inlineStr">
        <is>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is>
      </c>
      <c r="S413" s="3" t="inlineStr">
        <is>
          <t>—</t>
        </is>
      </c>
      <c r="T413" s="3" t="inlineStr">
        <is>
          <t>—</t>
        </is>
      </c>
      <c r="U413" s="3" t="inlineStr">
        <is>
          <t>ACTIVE</t>
        </is>
      </c>
      <c r="V413" s="3" t="inlineStr">
        <is>
          <t>2026-08-27</t>
        </is>
      </c>
      <c r="W413" s="3" t="n"/>
      <c r="X413" s="3" t="n"/>
      <c r="Y413" s="3" t="inlineStr">
        <is>
          <t>NOTHING OPEN</t>
        </is>
      </c>
    </row>
    <row r="414" ht="60" customHeight="1">
      <c r="A414" s="3" t="inlineStr">
        <is>
          <t>MK-PL-F-015</t>
        </is>
      </c>
      <c r="B414" s="3" t="inlineStr">
        <is>
          <t>saveGoals</t>
        </is>
      </c>
      <c r="C414" s="3" t="inlineStr">
        <is>
          <t>src/domain/goals/index.ts</t>
        </is>
      </c>
      <c r="D414" s="3" t="n">
        <v>187</v>
      </c>
      <c r="E414" s="3" t="inlineStr">
        <is>
          <t>1 · ACTION</t>
        </is>
      </c>
      <c r="F414" s="3" t="inlineStr">
        <is>
          <t>NOT DETERMINED — the code carries no note saying what this is for, and it has no row in the old inventory. Needs reading.</t>
        </is>
      </c>
      <c r="G414" s="11" t="inlineStr">
        <is>
          <t>It records or announces something and returns no figure — no arithmetic of its own.</t>
        </is>
      </c>
      <c r="H414" s="3" t="inlineStr">
        <is>
          <t>It records or announces something and returns no figure — no arithmetic of its own.</t>
        </is>
      </c>
      <c r="I414" s="3" t="inlineStr">
        <is>
          <t>NO ARITHMETIC — there is no formula to state</t>
        </is>
      </c>
      <c r="J414" s="3" t="inlineStr">
        <is>
          <t>d: GoalsDoc</t>
        </is>
      </c>
      <c r="K414" s="3" t="inlineStr">
        <is>
          <t>NOT DECLARED — the code does not say what it gives back</t>
        </is>
      </c>
      <c r="L414" s="3" t="inlineStr">
        <is>
          <t>—</t>
        </is>
      </c>
      <c r="M414" s="3" t="inlineStr">
        <is>
          <t>None found in this function — anything it assumes comes from the functions it depends on.</t>
        </is>
      </c>
      <c r="N414" s="3" t="inlineStr">
        <is>
          <t>No</t>
        </is>
      </c>
      <c r="O414" s="3" t="inlineStr">
        <is>
          <t>MK-ST-F-042 setUserDoc</t>
        </is>
      </c>
      <c r="P414" s="3" t="n">
        <v>89</v>
      </c>
      <c r="Q414"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414" s="3" t="inlineStr">
        <is>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is>
      </c>
      <c r="S414" s="3" t="inlineStr">
        <is>
          <t>—</t>
        </is>
      </c>
      <c r="T414" s="3" t="inlineStr">
        <is>
          <t>—</t>
        </is>
      </c>
      <c r="U414" s="3" t="inlineStr">
        <is>
          <t>ACTIVE</t>
        </is>
      </c>
      <c r="V414" s="3" t="inlineStr">
        <is>
          <t>2026-08-27</t>
        </is>
      </c>
      <c r="W414" s="3" t="n"/>
      <c r="X414" s="3" t="n"/>
      <c r="Y414" s="3" t="inlineStr">
        <is>
          <t>NOTHING OPEN</t>
        </is>
      </c>
    </row>
    <row r="415" ht="60" customHeight="1">
      <c r="A415" s="3" t="inlineStr">
        <is>
          <t>MK-PL-F-016</t>
        </is>
      </c>
      <c r="B415" s="3" t="inlineStr">
        <is>
          <t>availableToSaveSummary</t>
        </is>
      </c>
      <c r="C415" s="3" t="inlineStr">
        <is>
          <t>src/domain/goals/index.ts</t>
        </is>
      </c>
      <c r="D415" s="3" t="n">
        <v>222</v>
      </c>
      <c r="E415" s="3" t="inlineStr">
        <is>
          <t>2 · DISPLAYED</t>
        </is>
      </c>
      <c r="F415" s="3" t="inlineStr">
        <is>
          <t>Summarize per-month available-to-save from a 12-month cash-flow grid.</t>
        </is>
      </c>
      <c r="G415" s="11" t="inlineStr">
        <is>
          <t>amts = for each of grid (or none when missing): amount
avg = 0
min = 0
max = 0
lumpy = false   when count of amts is missing
avg = Σ over amts of (each)count of ÷ amts
min = min(...amts)
max = max(...amts)
the answer:
avg = avg
min = min
max = max
lumpy = max − min &gt; max(50, avg × 0.25)</t>
        </is>
      </c>
      <c r="H415"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415" s="3" t="inlineStr">
        <is>
          <t>READ FROM THE CODE — rendered from the expressions the function runs</t>
        </is>
      </c>
      <c r="J415" s="3" t="inlineStr">
        <is>
          <t>grid: { label: string; amount: number }[]</t>
        </is>
      </c>
      <c r="K415" s="3" t="inlineStr">
        <is>
          <t>SaveCapacity</t>
        </is>
      </c>
      <c r="L415" s="3" t="inlineStr">
        <is>
          <t>"Plan" — on the Goals screen</t>
        </is>
      </c>
      <c r="M415" s="3" t="inlineStr">
        <is>
          <t>· Applies a built-in rate of 25% to avg.</t>
        </is>
      </c>
      <c r="N415" s="3" t="inlineStr">
        <is>
          <t>Yes</t>
        </is>
      </c>
      <c r="O415" s="3" t="inlineStr">
        <is>
          <t>MK-CF-F-132 map</t>
        </is>
      </c>
      <c r="P415" s="3" t="n">
        <v>1</v>
      </c>
      <c r="Q415" s="3" t="inlineStr">
        <is>
          <t>MK-CF-F-132 map</t>
        </is>
      </c>
      <c r="R415" s="3" t="inlineStr">
        <is>
          <t>MK-CF-F-132 map → MK-PL-F-016 availableToSaveSummary</t>
        </is>
      </c>
      <c r="S415" s="3" t="inlineStr">
        <is>
          <t>—</t>
        </is>
      </c>
      <c r="T415" s="3" t="inlineStr">
        <is>
          <t>—</t>
        </is>
      </c>
      <c r="U415" s="3" t="inlineStr">
        <is>
          <t>ACTIVE</t>
        </is>
      </c>
      <c r="V415" s="3" t="inlineStr">
        <is>
          <t>2026-09-09</t>
        </is>
      </c>
      <c r="W415" s="3" t="n"/>
      <c r="X415" s="3" t="n"/>
      <c r="Y415" s="3" t="inlineStr">
        <is>
          <t>NOTHING OPEN</t>
        </is>
      </c>
    </row>
    <row r="416" ht="60" customHeight="1">
      <c r="A416" s="3" t="inlineStr">
        <is>
          <t>MK-PL-F-017</t>
        </is>
      </c>
      <c r="B416" s="3" t="inlineStr">
        <is>
          <t>sinkingFund</t>
        </is>
      </c>
      <c r="C416" s="3" t="inlineStr">
        <is>
          <t>src/domain/goals/index.ts</t>
        </is>
      </c>
      <c r="D416" s="3" t="n">
        <v>256</v>
      </c>
      <c r="E416" s="3" t="inlineStr">
        <is>
          <t>2 · DISPLAYED</t>
        </is>
      </c>
      <c r="F416" s="3" t="inlineStr">
        <is>
          <t>NOT DETERMINED — the code carries no note saying what this is for, and it has no row in the old inventory. Needs reading.</t>
        </is>
      </c>
      <c r="G416" s="11" t="inlineStr">
        <is>
          <t>monthly = max(0, monthly non monthly)
the answer:
annual = monthly × 12
monthly = monthly</t>
        </is>
      </c>
      <c r="H416" s="3" t="inlineStr">
        <is>
          <t>Monthly is monthly non monthly, never below zero. The answer is annual = monthly times 12; monthly = monthly.</t>
        </is>
      </c>
      <c r="I416" s="3" t="inlineStr">
        <is>
          <t>READ FROM THE CODE — rendered from the expressions the function runs</t>
        </is>
      </c>
      <c r="J416" s="3" t="inlineStr">
        <is>
          <t>monthlyNonMonthly: number</t>
        </is>
      </c>
      <c r="K416" s="3" t="inlineStr">
        <is>
          <t>SinkingFund</t>
        </is>
      </c>
      <c r="L416" s="3" t="inlineStr">
        <is>
          <t>NOT FOUND — a screen calls it, but the words printed beside its answer could not be traced automatically. Needs reading.</t>
        </is>
      </c>
      <c r="M416" s="3" t="inlineStr">
        <is>
          <t>1. Turns a monthly figure into a year by multiplying by twelve.
2. Never lets monthly non monthly fall below 0.</t>
        </is>
      </c>
      <c r="N416" s="3" t="inlineStr">
        <is>
          <t>Yes</t>
        </is>
      </c>
      <c r="O416" s="3" t="inlineStr">
        <is>
          <t>—</t>
        </is>
      </c>
      <c r="P416" s="3" t="n">
        <v>0</v>
      </c>
      <c r="Q416" s="3" t="inlineStr">
        <is>
          <t>None — no dependent function stands behind it</t>
        </is>
      </c>
      <c r="R416" s="3" t="inlineStr">
        <is>
          <t>No dependent function — it reads its inputs and answers</t>
        </is>
      </c>
      <c r="S416" s="3" t="inlineStr">
        <is>
          <t>—</t>
        </is>
      </c>
      <c r="T416" s="3" t="inlineStr">
        <is>
          <t>—</t>
        </is>
      </c>
      <c r="U416" s="3" t="inlineStr">
        <is>
          <t>ACTIVE</t>
        </is>
      </c>
      <c r="V416" s="3" t="inlineStr">
        <is>
          <t>2026-09-09</t>
        </is>
      </c>
      <c r="W416" s="3" t="n"/>
      <c r="X416" s="3" t="n"/>
      <c r="Y416" s="3" t="inlineStr">
        <is>
          <t>NOTHING OPEN</t>
        </is>
      </c>
    </row>
    <row r="417" ht="60" customHeight="1">
      <c r="A417" s="3" t="inlineStr">
        <is>
          <t>MK-PL-F-018</t>
        </is>
      </c>
      <c r="B417" s="3" t="inlineStr">
        <is>
          <t>monthsUntil</t>
        </is>
      </c>
      <c r="C417" s="3" t="inlineStr">
        <is>
          <t>src/domain/goals/index.ts</t>
        </is>
      </c>
      <c r="D417" s="3" t="n">
        <v>292</v>
      </c>
      <c r="E417" s="3" t="inlineStr">
        <is>
          <t>2 · DISPLAYED</t>
        </is>
      </c>
      <c r="F417" s="3" t="inlineStr">
        <is>
          <t>Whole months from `now` to the target month ('YYYY-MM'); &gt;=1, or null if no/!invalid date.</t>
        </is>
      </c>
      <c r="G417" s="11" t="inlineStr">
        <is>
          <t>nothing   when target date is missing
nothing   when y is missing (or m is missing when missing or zero)
max(1, (y − now.get full year()) × 12 + (m − 1 − now.get month()))</t>
        </is>
      </c>
      <c r="H417" s="3" t="inlineStr">
        <is>
          <t>When target date is missing, it answers no answer. When y is missing (or m is missing — when missing or zero), it answers no answer. the larger of 1 and (y minus now.get full year() times 12 plus (m minus 1 minus now.get month())).</t>
        </is>
      </c>
      <c r="I417" s="3" t="inlineStr">
        <is>
          <t>PARTLY READ — some of the code is still showing through; needs a hand pass</t>
        </is>
      </c>
      <c r="J417" s="3" t="inlineStr">
        <is>
          <t>1. targetDate: string | undefined
2. now: Date</t>
        </is>
      </c>
      <c r="K417" s="3" t="inlineStr">
        <is>
          <t>number | null</t>
        </is>
      </c>
      <c r="L417" s="3" t="inlineStr">
        <is>
          <t>NOT FOUND — a screen calls it, but the words printed beside its answer could not be traced automatically. Needs reading.</t>
        </is>
      </c>
      <c r="M417" s="3" t="inlineStr">
        <is>
          <t>· Turns a monthly figure into a year by multiplying by twelve.</t>
        </is>
      </c>
      <c r="N417" s="3" t="inlineStr">
        <is>
          <t>Yes</t>
        </is>
      </c>
      <c r="O417" s="3" t="inlineStr">
        <is>
          <t>MK-CF-F-132 map</t>
        </is>
      </c>
      <c r="P417" s="3" t="n">
        <v>1</v>
      </c>
      <c r="Q417" s="3" t="inlineStr">
        <is>
          <t>MK-CF-F-132 map</t>
        </is>
      </c>
      <c r="R417" s="3" t="inlineStr">
        <is>
          <t>MK-CF-F-132 map → MK-PL-F-018 monthsUntil</t>
        </is>
      </c>
      <c r="S417" s="3" t="inlineStr">
        <is>
          <t>—</t>
        </is>
      </c>
      <c r="T417" s="3" t="inlineStr">
        <is>
          <t>—</t>
        </is>
      </c>
      <c r="U417" s="3" t="inlineStr">
        <is>
          <t>ACTIVE</t>
        </is>
      </c>
      <c r="V417" s="3" t="inlineStr">
        <is>
          <t>2026-08-27</t>
        </is>
      </c>
      <c r="W417" s="3" t="n"/>
      <c r="X417" s="3" t="n"/>
      <c r="Y417" s="3" t="inlineStr">
        <is>
          <t>NOTHING OPEN</t>
        </is>
      </c>
    </row>
    <row r="418" ht="60" customHeight="1">
      <c r="A418" s="3" t="inlineStr">
        <is>
          <t>MK-PL-F-019</t>
        </is>
      </c>
      <c r="B418" s="3" t="inlineStr">
        <is>
          <t>goalMonthsRemaining</t>
        </is>
      </c>
      <c r="C418" s="3" t="inlineStr">
        <is>
          <t>src/domain/goals/index.ts</t>
        </is>
      </c>
      <c r="D418" s="3" t="n">
        <v>327</v>
      </c>
      <c r="E418" s="3" t="inlineStr">
        <is>
          <t>3 · DEPENDENT</t>
        </is>
      </c>
      <c r="F418" s="3" t="inlineStr">
        <is>
          <t>Months remaining: from the target date if set, else the goal's `duration` (months).</t>
        </is>
      </c>
      <c r="G418" s="11" t="inlineStr">
        <is>
          <t>from date = months until(target date, now)
from date   when from date ≠ nothing
d = duration read as a number
the answer:
d   if number.is finite(d) and d &gt; 0
nothing   otherwise</t>
        </is>
      </c>
      <c r="H418" s="3" t="inlineStr">
        <is>
          <t>From date is months until(target date, now). When from date is not no answer, it answers from date. D is duration read as a number. The answer is d — when number.is finite(d) and d &gt; 0; no answer — otherwise.</t>
        </is>
      </c>
      <c r="I418" s="3" t="inlineStr">
        <is>
          <t>PARTLY READ — some of the code is still showing through; needs a hand pass</t>
        </is>
      </c>
      <c r="J418" s="3" t="inlineStr">
        <is>
          <t>1. g: GoalLike
2. now: Date = new Date()</t>
        </is>
      </c>
      <c r="K418" s="3" t="inlineStr">
        <is>
          <t>number | null</t>
        </is>
      </c>
      <c r="L418" s="3" t="inlineStr">
        <is>
          <t>—</t>
        </is>
      </c>
      <c r="M418" s="3" t="inlineStr">
        <is>
          <t>· Uses today's date from the device clock, so the answer changes by itself overnight.</t>
        </is>
      </c>
      <c r="N418" s="3" t="inlineStr">
        <is>
          <t>Yes</t>
        </is>
      </c>
      <c r="O418" s="3" t="inlineStr">
        <is>
          <t>MK-PL-F-018 monthsUntil</t>
        </is>
      </c>
      <c r="P418" s="3" t="n">
        <v>2</v>
      </c>
      <c r="Q418" s="3" t="inlineStr">
        <is>
          <t>1. MK-PL-F-018 monthsUntil
2. MK-CF-F-132 map</t>
        </is>
      </c>
      <c r="R418" s="3" t="inlineStr">
        <is>
          <t>MK-CF-F-132 map → MK-PL-F-018 monthsUntil → MK-PL-F-019 goalMonthsRemaining</t>
        </is>
      </c>
      <c r="S418" s="3" t="inlineStr">
        <is>
          <t>—</t>
        </is>
      </c>
      <c r="T418" s="3" t="inlineStr">
        <is>
          <t>—</t>
        </is>
      </c>
      <c r="U418" s="3" t="inlineStr">
        <is>
          <t>ACTIVE</t>
        </is>
      </c>
      <c r="V418" s="3" t="inlineStr">
        <is>
          <t>2026-08-27</t>
        </is>
      </c>
      <c r="W418" s="3" t="n"/>
      <c r="X418" s="3" t="n"/>
      <c r="Y418" s="3" t="inlineStr">
        <is>
          <t>NOTHING OPEN</t>
        </is>
      </c>
    </row>
    <row r="419" ht="60" customHeight="1">
      <c r="A419" s="3" t="inlineStr">
        <is>
          <t>MK-PL-F-020</t>
        </is>
      </c>
      <c r="B419" s="3" t="inlineStr">
        <is>
          <t>requiredMonthly</t>
        </is>
      </c>
      <c r="C419" s="3" t="inlineStr">
        <is>
          <t>src/domain/goals/index.ts</t>
        </is>
      </c>
      <c r="D419" s="3" t="n">
        <v>364</v>
      </c>
      <c r="E419" s="3" t="inlineStr">
        <is>
          <t>2 · DISPLAYED</t>
        </is>
      </c>
      <c r="F419" s="3" t="inlineStr">
        <is>
          <t>$/month still needed to hit the target on time (0 if already funded; null if no date/duration).</t>
        </is>
      </c>
      <c r="G419" s="11" t="inlineStr">
        <is>
          <t>remaining = max(0, (target or 0) − (saved or 0))
0   when remaining = 0
months = goal months remaining(g, now)
the answer:
remaining ÷ months   if months
nothing   otherwise</t>
        </is>
      </c>
      <c r="H419" s="3" t="inlineStr">
        <is>
          <t>Remaining is (target or 0, never below zero minus (saved or 0)). When remaining = 0, it answers 0. Months is goal months remaining(g, now). The answer is remaining divided by months — when months; no answer — otherwise.</t>
        </is>
      </c>
      <c r="I419" s="3" t="inlineStr">
        <is>
          <t>READ FROM THE CODE — rendered from the expressions the function runs</t>
        </is>
      </c>
      <c r="J419" s="3" t="inlineStr">
        <is>
          <t>1. g: GoalLike
2. now: Date = new Date()</t>
        </is>
      </c>
      <c r="K419" s="3" t="inlineStr">
        <is>
          <t>number | null</t>
        </is>
      </c>
      <c r="L419" s="3" t="inlineStr">
        <is>
          <t>NOT FOUND — a screen calls it, but the words printed beside its answer could not be traced automatically. Needs reading.</t>
        </is>
      </c>
      <c r="M419"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419" s="3" t="inlineStr">
        <is>
          <t>Yes</t>
        </is>
      </c>
      <c r="O419" s="3" t="inlineStr">
        <is>
          <t>MK-PL-F-019 goalMonthsRemaining</t>
        </is>
      </c>
      <c r="P419" s="3" t="n">
        <v>3</v>
      </c>
      <c r="Q419" s="3" t="inlineStr">
        <is>
          <t>1. MK-PL-F-019 goalMonthsRemaining
2. MK-PL-F-018 monthsUntil
3. MK-CF-F-132 map</t>
        </is>
      </c>
      <c r="R419" s="3" t="inlineStr">
        <is>
          <t>MK-CF-F-132 map → MK-PL-F-018 monthsUntil → MK-PL-F-019 goalMonthsRemaining → MK-PL-F-020 requiredMonthly</t>
        </is>
      </c>
      <c r="S419" s="3" t="inlineStr">
        <is>
          <t>—</t>
        </is>
      </c>
      <c r="T419" s="3" t="inlineStr">
        <is>
          <t>—</t>
        </is>
      </c>
      <c r="U419" s="3" t="inlineStr">
        <is>
          <t>ACTIVE</t>
        </is>
      </c>
      <c r="V419" s="3" t="inlineStr">
        <is>
          <t>2026-09-09</t>
        </is>
      </c>
      <c r="W419" s="3" t="n"/>
      <c r="X419" s="3" t="n"/>
      <c r="Y419" s="3" t="inlineStr">
        <is>
          <t>NOTHING OPEN</t>
        </is>
      </c>
    </row>
    <row r="420" ht="60" customHeight="1">
      <c r="A420" s="3" t="inlineStr">
        <is>
          <t>MK-PL-F-021</t>
        </is>
      </c>
      <c r="B420" s="3" t="inlineStr">
        <is>
          <t>monthsToGoal</t>
        </is>
      </c>
      <c r="C420" s="3" t="inlineStr">
        <is>
          <t>src/domain/goals/index.ts</t>
        </is>
      </c>
      <c r="D420" s="3" t="n">
        <v>399</v>
      </c>
      <c r="E420" s="3" t="inlineStr">
        <is>
          <t>2 · DISPLAYED</t>
        </is>
      </c>
      <c r="F420" s="3" t="inlineStr">
        <is>
          <t>Months to reach the goal at a given monthly contribution (0 if funded; null if contribution &lt;= 0).</t>
        </is>
      </c>
      <c r="G420" s="11" t="inlineStr">
        <is>
          <t>remaining = max(0, (target or 0) − (saved or 0))
0   when remaining = 0
the answer:
round up(remaining ÷ monthly contribution)   if monthly contribution &gt; 0
nothing   otherwise</t>
        </is>
      </c>
      <c r="H420" s="3" t="inlineStr">
        <is>
          <t>Remaining is (target or 0, never below zero minus (saved or 0)). When remaining = 0, it answers 0. The answer is remaining divided by monthly contribution, rounded up — when monthly contribution &gt; 0; no answer — otherwise.</t>
        </is>
      </c>
      <c r="I420" s="3" t="inlineStr">
        <is>
          <t>READ FROM THE CODE — rendered from the expressions the function runs</t>
        </is>
      </c>
      <c r="J420" s="3" t="inlineStr">
        <is>
          <t>1. g: GoalLike
2. monthlyContribution: number</t>
        </is>
      </c>
      <c r="K420" s="3" t="inlineStr">
        <is>
          <t>number | null</t>
        </is>
      </c>
      <c r="L420" s="3" t="inlineStr">
        <is>
          <t>NOT FOUND — a screen calls it, but the words printed beside its answer could not be traced automatically. Needs reading.</t>
        </is>
      </c>
      <c r="M420" s="3" t="inlineStr">
        <is>
          <t>1. If target is missing it counts as zero, so nothing recorded and a real zero look the same.
2. If saved is missing it counts as zero, so nothing recorded and a real zero look the same.</t>
        </is>
      </c>
      <c r="N420" s="3" t="inlineStr">
        <is>
          <t>Yes</t>
        </is>
      </c>
      <c r="O420" s="3" t="inlineStr">
        <is>
          <t>—</t>
        </is>
      </c>
      <c r="P420" s="3" t="n">
        <v>0</v>
      </c>
      <c r="Q420" s="3" t="inlineStr">
        <is>
          <t>None — no dependent function stands behind it</t>
        </is>
      </c>
      <c r="R420" s="3" t="inlineStr">
        <is>
          <t>No dependent function — it reads its inputs and answers</t>
        </is>
      </c>
      <c r="S420" s="3" t="inlineStr">
        <is>
          <t>—</t>
        </is>
      </c>
      <c r="T420" s="3" t="inlineStr">
        <is>
          <t>—</t>
        </is>
      </c>
      <c r="U420" s="3" t="inlineStr">
        <is>
          <t>ACTIVE</t>
        </is>
      </c>
      <c r="V420" s="3" t="inlineStr">
        <is>
          <t>2026-08-27</t>
        </is>
      </c>
      <c r="W420" s="3" t="n"/>
      <c r="X420" s="3" t="n"/>
      <c r="Y420" s="3" t="inlineStr">
        <is>
          <t>NOTHING OPEN</t>
        </is>
      </c>
    </row>
    <row r="421" ht="60" customHeight="1">
      <c r="A421" s="3" t="inlineStr">
        <is>
          <t>MK-PL-F-022</t>
        </is>
      </c>
      <c r="B421" s="3" t="inlineStr">
        <is>
          <t>goalProgressPct</t>
        </is>
      </c>
      <c r="C421" s="3" t="inlineStr">
        <is>
          <t>src/domain/goals/index.ts</t>
        </is>
      </c>
      <c r="D421" s="3" t="n">
        <v>428</v>
      </c>
      <c r="E421" s="3" t="inlineStr">
        <is>
          <t>3 · DEPENDENT (feeds an action only)</t>
        </is>
      </c>
      <c r="F421" s="3" t="inlineStr">
        <is>
          <t>Funded %, clamped 0–100.</t>
        </is>
      </c>
      <c r="G421" s="11" t="inlineStr">
        <is>
          <t>0   when (target or 0) ≤ 0
min(100, max(0, round(((saved or 0) ÷ target) × 100)))</t>
        </is>
      </c>
      <c r="H421" s="3" t="inlineStr">
        <is>
          <t>When (target or 0) is at most 0, it answers 0. the smaller of 100 and ((saved or 0, to a whole number divided by target, never below zero times 100)).</t>
        </is>
      </c>
      <c r="I421" s="3" t="inlineStr">
        <is>
          <t>READ FROM THE CODE — rendered from the expressions the function runs</t>
        </is>
      </c>
      <c r="J421" s="3" t="inlineStr">
        <is>
          <t>g: GoalLike</t>
        </is>
      </c>
      <c r="K421" s="3" t="inlineStr">
        <is>
          <t>number</t>
        </is>
      </c>
      <c r="L421" s="3" t="inlineStr">
        <is>
          <t>—</t>
        </is>
      </c>
      <c r="M421" s="3" t="inlineStr">
        <is>
          <t>1. If target is missing it counts as zero, so nothing recorded and a real zero look the same.
2. If saved is missing it counts as zero, so nothing recorded and a real zero look the same.
3. Rounds the answer to a whole number.</t>
        </is>
      </c>
      <c r="N421" s="3" t="inlineStr">
        <is>
          <t>No</t>
        </is>
      </c>
      <c r="O421" s="3" t="inlineStr">
        <is>
          <t>MK-CF-F-155 cash</t>
        </is>
      </c>
      <c r="P421" s="3" t="n">
        <v>2</v>
      </c>
      <c r="Q421" s="3" t="inlineStr">
        <is>
          <t>1. MK-CF-F-155 cash
2. MK-XS-F-122 n</t>
        </is>
      </c>
      <c r="R421" s="3" t="inlineStr">
        <is>
          <t>MK-XS-F-122 n → MK-CF-F-155 cash → MK-PL-F-022 goalProgressPct</t>
        </is>
      </c>
      <c r="S421" s="3" t="inlineStr">
        <is>
          <t>—</t>
        </is>
      </c>
      <c r="T421" s="3" t="inlineStr">
        <is>
          <t>—</t>
        </is>
      </c>
      <c r="U421" s="3" t="inlineStr">
        <is>
          <t>ACTIVE</t>
        </is>
      </c>
      <c r="V421" s="3" t="inlineStr">
        <is>
          <t>2026-08-27</t>
        </is>
      </c>
      <c r="W421" s="3" t="n"/>
      <c r="X421" s="3" t="n"/>
      <c r="Y421" s="3" t="inlineStr">
        <is>
          <t>NOTHING OPEN</t>
        </is>
      </c>
    </row>
    <row r="422" ht="60" customHeight="1">
      <c r="A422" s="3" t="inlineStr">
        <is>
          <t>MK-PL-F-023</t>
        </is>
      </c>
      <c r="B422" s="3" t="inlineStr">
        <is>
          <t>goalStatus</t>
        </is>
      </c>
      <c r="C422" s="3" t="inlineStr">
        <is>
          <t>src/domain/goals/index.ts</t>
        </is>
      </c>
      <c r="D422" s="3" t="n">
        <v>469</v>
      </c>
      <c r="E422" s="3" t="inlineStr">
        <is>
          <t>2 · DISPLAYED</t>
        </is>
      </c>
      <c r="F422" s="3" t="inlineStr">
        <is>
          <t>NOT DETERMINED — the code carries no note saying what this is for, and it has no row in the old inventory. Needs reading.</t>
        </is>
      </c>
      <c r="G422" s="11" t="inlineStr">
        <is>
          <t>'fully_funded'   when (saved or 0) ≥ (target or 0) and (target or 0) &gt; 0
req = required monthly(g, now)
'no_date'   when req = nothing
'fully_funded'   when req = 0
the answer:
'on_track'   if (funded this month or 0) + 1e − 6 ≥ req
'behind'   otherwise</t>
        </is>
      </c>
      <c r="H422"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422" s="3" t="inlineStr">
        <is>
          <t>READ FROM THE CODE — rendered from the expressions the function runs</t>
        </is>
      </c>
      <c r="J422" s="3" t="inlineStr">
        <is>
          <t>1. g: GoalLike
2. fundedThisMonth: number | null | undefined
3. now: Date = new Date()</t>
        </is>
      </c>
      <c r="K422" s="3" t="inlineStr">
        <is>
          <t>GoalStatus</t>
        </is>
      </c>
      <c r="L422" s="3" t="inlineStr">
        <is>
          <t>"Complete! 🎉" — on the rewards screen</t>
        </is>
      </c>
      <c r="M422"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422" s="3" t="inlineStr">
        <is>
          <t>Yes</t>
        </is>
      </c>
      <c r="O422" s="3" t="inlineStr">
        <is>
          <t>MK-PL-F-020 requiredMonthly</t>
        </is>
      </c>
      <c r="P422" s="3" t="n">
        <v>4</v>
      </c>
      <c r="Q422" s="3" t="inlineStr">
        <is>
          <t>1. MK-PL-F-020 requiredMonthly
2. MK-PL-F-019 goalMonthsRemaining
3. MK-PL-F-018 monthsUntil
4. MK-CF-F-132 map</t>
        </is>
      </c>
      <c r="R422" s="3" t="inlineStr">
        <is>
          <t>MK-CF-F-132 map → MK-PL-F-018 monthsUntil → MK-PL-F-019 goalMonthsRemaining → MK-PL-F-020 requiredMonthly → MK-PL-F-023 goalStatus</t>
        </is>
      </c>
      <c r="S422" s="3" t="inlineStr">
        <is>
          <t>MK-MN-M-009</t>
        </is>
      </c>
      <c r="T422" s="3" t="inlineStr">
        <is>
          <t>—</t>
        </is>
      </c>
      <c r="U422" s="3" t="inlineStr">
        <is>
          <t>ACTIVE</t>
        </is>
      </c>
      <c r="V422" s="3" t="inlineStr">
        <is>
          <t>2026-08-27</t>
        </is>
      </c>
      <c r="W422" s="3" t="n"/>
      <c r="X422" s="3" t="n"/>
      <c r="Y422" s="3" t="inlineStr">
        <is>
          <t>NOTHING OPEN</t>
        </is>
      </c>
    </row>
    <row r="423" ht="60" customHeight="1">
      <c r="A423" s="3" t="inlineStr">
        <is>
          <t>MK-PL-F-024</t>
        </is>
      </c>
      <c r="B423" s="3" t="inlineStr">
        <is>
          <t>oddsLine</t>
        </is>
      </c>
      <c r="C423" s="3" t="inlineStr">
        <is>
          <t>src/domain/planning/hub.ts</t>
        </is>
      </c>
      <c r="D423" s="3" t="n">
        <v>44</v>
      </c>
      <c r="E423" s="3" t="inlineStr">
        <is>
          <t>2 · DISPLAYED</t>
        </is>
      </c>
      <c r="F423" s="3" t="inlineStr">
        <is>
          <t>How do we state the odds in words?</t>
        </is>
      </c>
      <c r="G423" s="11" t="inlineStr">
        <is>
          <t>`${chance}% ${odds tail(horizon age)}`</t>
        </is>
      </c>
      <c r="H423" s="3" t="inlineStr">
        <is>
          <t>`${chance}% ${odds tail(horizon age)}`.</t>
        </is>
      </c>
      <c r="I423" s="3" t="inlineStr">
        <is>
          <t>PARTLY READ — some of the code is still showing through; needs a hand pass</t>
        </is>
      </c>
      <c r="J423" s="3" t="inlineStr">
        <is>
          <t>1. _lens: 'retired' | string
2. chance: number
3. horizonAge: number</t>
        </is>
      </c>
      <c r="K423" s="3" t="inlineStr">
        <is>
          <t>string</t>
        </is>
      </c>
      <c r="L423" s="3" t="inlineStr">
        <is>
          <t>1. "Draw from savings" — on the Cash flow screen, under "YOUR FUTURE PAYCHECK"
2. "WILL MY MONEY LAST?" — on a card used on more than one screen (PlanOutcome)
3. "WILL MY MONEY LAST?" — on the Home screen, under "WILL MY MONEY LAST?"</t>
        </is>
      </c>
      <c r="M423" s="3" t="inlineStr">
        <is>
          <t>None found in this function — anything it assumes comes from the functions it depends on.</t>
        </is>
      </c>
      <c r="N423" s="3" t="inlineStr">
        <is>
          <t>Yes</t>
        </is>
      </c>
      <c r="O423" s="3" t="inlineStr">
        <is>
          <t>MK-PL-F-085 oddsTail</t>
        </is>
      </c>
      <c r="P423" s="3" t="n">
        <v>1</v>
      </c>
      <c r="Q423" s="3" t="inlineStr">
        <is>
          <t>MK-PL-F-085 oddsTail</t>
        </is>
      </c>
      <c r="R423" s="3" t="inlineStr">
        <is>
          <t>MK-PL-F-085 oddsTail → MK-PL-F-024 oddsLine</t>
        </is>
      </c>
      <c r="S423" s="3" t="inlineStr">
        <is>
          <t>—</t>
        </is>
      </c>
      <c r="T423" s="3" t="inlineStr">
        <is>
          <t>ODDS_SENTENCE</t>
        </is>
      </c>
      <c r="U423" s="3" t="inlineStr">
        <is>
          <t>ACTIVE</t>
        </is>
      </c>
      <c r="V423" s="3" t="inlineStr">
        <is>
          <t>2026-10-01</t>
        </is>
      </c>
      <c r="W423" s="3" t="n"/>
      <c r="X423" s="3" t="n"/>
      <c r="Y423" s="3" t="inlineStr">
        <is>
          <t>NOTHING OPEN</t>
        </is>
      </c>
    </row>
    <row r="424" ht="60" customHeight="1">
      <c r="A424" s="3" t="inlineStr">
        <is>
          <t>MK-PL-F-025</t>
        </is>
      </c>
      <c r="B424" s="3" t="inlineStr">
        <is>
          <t>sampleOddsLine</t>
        </is>
      </c>
      <c r="C424" s="3" t="inlineStr">
        <is>
          <t>src/domain/planning/hub.ts</t>
        </is>
      </c>
      <c r="D424" s="3" t="n">
        <v>87</v>
      </c>
      <c r="E424" s="3" t="inlineStr">
        <is>
          <t>2 · DISPLAYED</t>
        </is>
      </c>
      <c r="F424" s="3" t="inlineStr">
        <is>
          <t>The same sentence for the app-wide SAMPLE, always labelled as one.</t>
        </is>
      </c>
      <c r="G424" s="11" t="inlineStr">
        <is>
          <t>`sample: ${SAMPLE_CHANCE}% odds of lasting to age ${horizon age}`</t>
        </is>
      </c>
      <c r="H424" s="3" t="inlineStr">
        <is>
          <t>`sample: ${SAMPLE_CHANCE}% odds of lasting to age ${horizon age}`.</t>
        </is>
      </c>
      <c r="I424" s="3" t="inlineStr">
        <is>
          <t>PARTLY READ — some of the code is still showing through; needs a hand pass</t>
        </is>
      </c>
      <c r="J424" s="3" t="inlineStr">
        <is>
          <t>horizonAge: number = SAMPLE_HORIZON</t>
        </is>
      </c>
      <c r="K424" s="3" t="inlineStr">
        <is>
          <t>string</t>
        </is>
      </c>
      <c r="L424" s="3" t="inlineStr">
        <is>
          <t>1. "WILL MY MONEY LAST?" — on the Plan screen, under "WILL MY MONEY LAST?"
2. "YOUR RETIREMENT PLAN" — on the Net worth screen, under "YOUR RETIREMENT PLAN"</t>
        </is>
      </c>
      <c r="M424" s="3" t="inlineStr">
        <is>
          <t>None found in this function — anything it assumes comes from the functions it depends on.</t>
        </is>
      </c>
      <c r="N424" s="3" t="inlineStr">
        <is>
          <t>Yes</t>
        </is>
      </c>
      <c r="O424" s="3" t="inlineStr">
        <is>
          <t>—</t>
        </is>
      </c>
      <c r="P424" s="3" t="n">
        <v>0</v>
      </c>
      <c r="Q424" s="3" t="inlineStr">
        <is>
          <t>None — no dependent function stands behind it</t>
        </is>
      </c>
      <c r="R424" s="3" t="inlineStr">
        <is>
          <t>No dependent function — it reads its inputs and answers</t>
        </is>
      </c>
      <c r="S424" s="3" t="inlineStr">
        <is>
          <t>—</t>
        </is>
      </c>
      <c r="T424" s="3" t="inlineStr">
        <is>
          <t>SAMPLE_ODDS_SENTENCE</t>
        </is>
      </c>
      <c r="U424" s="3" t="inlineStr">
        <is>
          <t>ACTIVE</t>
        </is>
      </c>
      <c r="V424" s="3" t="inlineStr">
        <is>
          <t>2026-08-27</t>
        </is>
      </c>
      <c r="W424" s="3" t="n"/>
      <c r="X424" s="3" t="n"/>
      <c r="Y424" s="6" t="inlineStr">
        <is>
          <t>TESTED, NOT VERIFIED (Odds — exact, no rounding)</t>
        </is>
      </c>
    </row>
    <row r="425" ht="60" customHeight="1">
      <c r="A425" s="3" t="inlineStr">
        <is>
          <t>MK-PL-F-026</t>
        </is>
      </c>
      <c r="B425" s="3" t="inlineStr">
        <is>
          <t>planDoor</t>
        </is>
      </c>
      <c r="C425" s="3" t="inlineStr">
        <is>
          <t>src/domain/planning/hub.ts</t>
        </is>
      </c>
      <c r="D425" s="3" t="n">
        <v>124</v>
      </c>
      <c r="E425" s="3" t="inlineStr">
        <is>
          <t>2 · DISPLAYED</t>
        </is>
      </c>
      <c r="F425" s="3" t="inlineStr">
        <is>
          <t>Is there enough to show this person their own odds?</t>
        </is>
      </c>
      <c r="G425" s="11"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has have = earmarked &gt; 0</t>
        </is>
      </c>
      <c r="H425"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Has have is earmarked &gt; 0.</t>
        </is>
      </c>
      <c r="I425" s="3" t="inlineStr">
        <is>
          <t>PARTLY READ — some of the code is still showing through; needs a hand pass</t>
        </is>
      </c>
      <c r="J425" s="3" t="inlineStr">
        <is>
          <t>1. op: Record&lt;string, any&gt; | null
2. accounts: AssetAccount[]</t>
        </is>
      </c>
      <c r="K425" s="3" t="inlineStr">
        <is>
          <t>PlanDoor</t>
        </is>
      </c>
      <c r="L425" s="3" t="inlineStr">
        <is>
          <t>"WILL MY MONEY LAST?" — on the Plan screen, under "WILL MY MONEY LAST?"</t>
        </is>
      </c>
      <c r="M425" s="3" t="inlineStr">
        <is>
          <t>· If balance is missing it counts as zero, so nothing recorded and a real zero look the same.</t>
        </is>
      </c>
      <c r="N425" s="3" t="inlineStr">
        <is>
          <t>Yes</t>
        </is>
      </c>
      <c r="O425" s="3" t="inlineStr">
        <is>
          <t>MK-NW-F-033 retirementEarmarkedValue</t>
        </is>
      </c>
      <c r="P425" s="3" t="n">
        <v>43</v>
      </c>
      <c r="Q425" s="3" t="inlineStr">
        <is>
          <t>1. MK-NW-F-033 retirementEarmarkedValue
2. MK-NW-F-032 earmarkedAmount
3. MK-NW-F-031 primaryCarIdOf
4. MK-NW-F-110 primaryHomeIdOf
5. MK-NW-F-030 earmarkDefault
6. MK-NW-F-134 carValueNotEnteredNotes
7. MK-NW-F-133 valueEntered
8. MK-NW-F-117 propertyUseMap
9. MK-NW-F-011 assetClassOf
10. MK-CF-F-132 map
11. MK-ST-F-053 money
12. MK-ST-F-056 has
13. MK-NW-F-116 rentedIdsOf
14. MK-NW-F-120 classEvidenceOf
15. MK-ST-F-049 formatMoney
16. MK-XS-F-122 n
17. MK-NW-F-115 liveRent
18. MK-CF-F-155 cash
19. MK-NW-F-008 incomeBearingClassOf
20. MK-NW-F-009 maturityClass
21. MK-ST-F-048 currencySymbol
22. MK-ST-F-039 on
23. MK-CF-O-002 expenses
24. MK-NW-F-114 rentAmount
25. MK-ST-F-010 nameEvidence
26. MK-NW-F-068 prettyDay
27. MK-ST-F-047 activeCurrency
28. MK-CF-F-151 actualSpending
29. MK-CF-F-150 debtPaymentsCountedAsExpenses
30. MK-CF-F-153 radar
31. MK-CF-F-149 recurringDebtPayments
32. MK-ST-F-085 rentFigure
33. MK-XS-F-147 call
34. MK-CF-F-148 inMonth
35. MK-ST-F-052 toNum
36. MK-CF-F-191 ym
37. MK-CF-F-022 paymentShape
38. MK-CF-F-152 isRadarItem
39. MK-CF-F-023 requiredPayment
40. MK-ST-F-027 accountId
41. MK-XS-F-064 currentIdToken
42. MK-XS-F-112 relayUrl
43. MK-CF-F-021 defaultPaymentType</t>
        </is>
      </c>
      <c r="R425" s="3" t="inlineStr">
        <is>
          <t>1. MK-NW-F-120 classEvidenceOf → MK-NW-F-011 assetClassOf → MK-NW-F-030 earmarkDefault → MK-NW-F-032 earmarkedAmount → MK-NW-F-033 retirementEarmarkedValue → MK-PL-F-026 planDoor
2. MK-CF-F-132 map → MK-NW-F-134 carValueNotEnteredNotes → MK-NW-F-031 primaryCarIdOf → MK-NW-F-033 retirementEarmarkedValue → MK-PL-F-026 planDoor
3. MK-ST-F-049 formatMoney → MK-ST-F-053 money → MK-NW-F-134 carValueNotEnteredNotes → MK-NW-F-031 primaryCarIdOf → MK-NW-F-033 retirementEarmarkedValue → MK-PL-F-026 planDoor
4. MK-XS-F-122 n → MK-ST-F-053 money → MK-NW-F-134 carValueNotEnteredNotes → MK-NW-F-031 primaryCarIdOf → MK-NW-F-033 retirementEarmarkedValue → MK-PL-F-026 planDoor
5. primaryCarIdOf (already above — a loop) → MK-NW-F-134 carValueNotEnteredNotes → MK-NW-F-031 primaryCarIdOf → MK-NW-F-033 retirementEarmarkedValue → MK-PL-F-026 planDoor
6. retirementEarmarkedValue (already above — a loop) → MK-NW-F-134 carValueNotEnteredNotes → MK-NW-F-031 primaryCarIdOf → MK-NW-F-033 retirementEarmarkedValue → MK-PL-F-026 planDoor
7. MK-NW-F-133 valueEntered → MK-NW-F-134 carValueNotEnteredNotes → MK-NW-F-031 primaryCarIdOf → MK-NW-F-033 retirementEarmarkedValue → MK-PL-F-026 planDoor
8. MK-NW-F-133 valueEntered → MK-NW-F-031 primaryCarIdOf → MK-NW-F-033 retirementEarmarkedValue → MK-PL-F-026 planDoor
9. … and 4 more paths</t>
        </is>
      </c>
      <c r="S425" s="3" t="inlineStr">
        <is>
          <t>MK-PL-M-001 · MK-PL-M-002</t>
        </is>
      </c>
      <c r="T425" s="3" t="inlineStr">
        <is>
          <t>WHAT_THE_PLAN_STILL_NEEDS</t>
        </is>
      </c>
      <c r="U425" s="3" t="inlineStr">
        <is>
          <t>ACTIVE</t>
        </is>
      </c>
      <c r="V425" s="3" t="inlineStr">
        <is>
          <t>2026-09-12</t>
        </is>
      </c>
      <c r="W425" s="3" t="n"/>
      <c r="X425" s="3" t="n"/>
      <c r="Y425" s="3" t="inlineStr">
        <is>
          <t>NOTHING OPEN</t>
        </is>
      </c>
    </row>
    <row r="426" ht="60" customHeight="1">
      <c r="A426" s="3" t="inlineStr">
        <is>
          <t>MK-PL-F-027</t>
        </is>
      </c>
      <c r="B426" s="3" t="inlineStr">
        <is>
          <t>nextDecision</t>
        </is>
      </c>
      <c r="C426" s="3" t="inlineStr">
        <is>
          <t>src/domain/planning/hub.ts</t>
        </is>
      </c>
      <c r="D426" s="3" t="n">
        <v>188</v>
      </c>
      <c r="E426" s="3" t="inlineStr">
        <is>
          <t>2 · DISPLAYED</t>
        </is>
      </c>
      <c r="F426" s="3" t="inlineStr">
        <is>
          <t>NOT DETERMINED — the code carries no note saying what this is for, and it has no row in the old inventory. Needs reading.</t>
        </is>
      </c>
      <c r="G426" s="11"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426"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426" s="3" t="inlineStr">
        <is>
          <t>PARTLY READ — some of the code is still showing through; needs a hand pass</t>
        </is>
      </c>
      <c r="J426" s="3" t="inlineStr">
        <is>
          <t>Nothing is handed to it</t>
        </is>
      </c>
      <c r="K426" s="3" t="inlineStr">
        <is>
          <t>NOT DECLARED — the code does not say what it gives back</t>
        </is>
      </c>
      <c r="L426" s="3" t="inlineStr">
        <is>
          <t>NOT FOUND — a screen calls it, but the words printed beside its answer could not be traced automatically. Needs reading.</t>
        </is>
      </c>
      <c r="M426" s="3" t="inlineStr">
        <is>
          <t>1. Uses a built-in s a m p l e c h a n c e of 84.
2. Uses a built-in s a m p l e h o r i z o n of 90.
3. Uses today's date from the device clock, so the answer changes by itself overnight.
4. Rounds the answer to a whole number.</t>
        </is>
      </c>
      <c r="N426" s="3" t="inlineStr">
        <is>
          <t>Yes</t>
        </is>
      </c>
      <c r="O426" s="3" t="inlineStr">
        <is>
          <t>1. MK-PL-F-080 rmdRequiredThisYear
2. MK-PL-F-005 rmdStartAgeFor
3. MK-PL-F-009 rmdTakenThisYear</t>
        </is>
      </c>
      <c r="P426" s="3" t="n">
        <v>9</v>
      </c>
      <c r="Q426" s="3" t="inlineStr">
        <is>
          <t>1. MK-PL-F-080 rmdRequiredThisYear
2. MK-PL-F-005 rmdStartAgeFor
3. MK-PL-F-009 rmdTakenThisYear
4. MK-PL-F-007 rmdAtAge
5. MK-ST-F-025 rmdStartAgeFromAge
6. MK-ST-F-056 has
7. MK-CF-F-132 map
8. MK-PL-F-078 rmdDivisorAtAge
9. MK-ST-F-024 rmdStartAge</t>
        </is>
      </c>
      <c r="R426"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is>
      </c>
      <c r="S426" s="3" t="inlineStr">
        <is>
          <t>—</t>
        </is>
      </c>
      <c r="T426" s="3" t="inlineStr">
        <is>
          <t>—</t>
        </is>
      </c>
      <c r="U426" s="3" t="inlineStr">
        <is>
          <t>ACTIVE</t>
        </is>
      </c>
      <c r="V426" s="3" t="inlineStr">
        <is>
          <t>2026-09-08</t>
        </is>
      </c>
      <c r="W426" s="3" t="n"/>
      <c r="X426" s="3" t="n"/>
      <c r="Y426" s="3" t="inlineStr">
        <is>
          <t>NOTHING OPEN</t>
        </is>
      </c>
    </row>
    <row r="427" ht="60" customHeight="1">
      <c r="A427" s="3" t="inlineStr">
        <is>
          <t>MK-PL-F-028</t>
        </is>
      </c>
      <c r="B427" s="3" t="inlineStr">
        <is>
          <t>sampleAskLine</t>
        </is>
      </c>
      <c r="C427" s="3" t="inlineStr">
        <is>
          <t>src/domain/planning/hub.ts</t>
        </is>
      </c>
      <c r="D427" s="3" t="n">
        <v>284</v>
      </c>
      <c r="E427" s="3" t="inlineStr">
        <is>
          <t>2 · DISPLAYED</t>
        </is>
      </c>
      <c r="F427" s="3" t="inlineStr">
        <is>
          <t>The invitation under a sample: name the answers still missing, so a dead end becomes one tap.</t>
        </is>
      </c>
      <c r="G427" s="11"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${n} answers make it yours: ${list}`</t>
        </is>
      </c>
      <c r="H427"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${n} answers make it yours: ${list}`.</t>
        </is>
      </c>
      <c r="I427" s="3" t="inlineStr">
        <is>
          <t>PARTLY READ — some of the code is still showing through; needs a hand pass</t>
        </is>
      </c>
      <c r="J427" s="3" t="inlineStr">
        <is>
          <t>missing: string[]</t>
        </is>
      </c>
      <c r="K427" s="3" t="inlineStr">
        <is>
          <t>string</t>
        </is>
      </c>
      <c r="L427" s="3" t="inlineStr">
        <is>
          <t>NOT FOUND — a screen calls it, but the words printed beside its answer could not be traced automatically. Needs reading.</t>
        </is>
      </c>
      <c r="M427" s="3" t="inlineStr">
        <is>
          <t>None found in this function — anything it assumes comes from the functions it depends on.</t>
        </is>
      </c>
      <c r="N427" s="3" t="inlineStr">
        <is>
          <t>Yes</t>
        </is>
      </c>
      <c r="O427" s="3" t="inlineStr">
        <is>
          <t>—</t>
        </is>
      </c>
      <c r="P427" s="3" t="n">
        <v>0</v>
      </c>
      <c r="Q427" s="3" t="inlineStr">
        <is>
          <t>None — no dependent function stands behind it</t>
        </is>
      </c>
      <c r="R427" s="3" t="inlineStr">
        <is>
          <t>No dependent function — it reads its inputs and answers</t>
        </is>
      </c>
      <c r="S427" s="3" t="inlineStr">
        <is>
          <t>—</t>
        </is>
      </c>
      <c r="T427" s="3" t="inlineStr">
        <is>
          <t>SAMPLE_ASK_SENTENCE</t>
        </is>
      </c>
      <c r="U427" s="3" t="inlineStr">
        <is>
          <t>ACTIVE</t>
        </is>
      </c>
      <c r="V427" s="3" t="inlineStr">
        <is>
          <t>2026-08-27</t>
        </is>
      </c>
      <c r="W427" s="3" t="n"/>
      <c r="X427" s="3" t="n"/>
      <c r="Y427" s="3" t="inlineStr">
        <is>
          <t>NOTHING OPEN</t>
        </is>
      </c>
    </row>
    <row r="428" ht="45" customHeight="1">
      <c r="A428" s="3" t="inlineStr">
        <is>
          <t>MK-PL-F-029</t>
        </is>
      </c>
      <c r="B428" s="3" t="inlineStr">
        <is>
          <t>shortfallAgeFromBand</t>
        </is>
      </c>
      <c r="C428" s="3" t="inlineStr">
        <is>
          <t>src/domain/planning/hub.ts</t>
        </is>
      </c>
      <c r="D428" s="3" t="n">
        <v>309</v>
      </c>
      <c r="E428" s="3" t="inlineStr">
        <is>
          <t>2 · DISPLAYED</t>
        </is>
      </c>
      <c r="F428" s="3" t="inlineStr">
        <is>
          <t>The age the middle path first hits zero, from a simulation band — null while it never does.</t>
        </is>
      </c>
      <c r="G428" s="11" t="inlineStr">
        <is>
          <t>(band ?? []).find((pt) =&gt; pt.p50 ≤ 0).age (or nothing when missing)</t>
        </is>
      </c>
      <c r="H428" s="3" t="inlineStr">
        <is>
          <t>(band ?? []).find((pt) =&gt; pt.p50 is at most 0).age (or no answer — when missing).</t>
        </is>
      </c>
      <c r="I428" s="3" t="inlineStr">
        <is>
          <t>PARTLY READ — some of the code is still showing through; needs a hand pass</t>
        </is>
      </c>
      <c r="J428" s="3" t="inlineStr">
        <is>
          <t>band?: { age: number; p50: number }[] | null</t>
        </is>
      </c>
      <c r="K428" s="3" t="inlineStr">
        <is>
          <t>number | null</t>
        </is>
      </c>
      <c r="L428" s="3" t="inlineStr">
        <is>
          <t>NOT FOUND — a screen calls it, but the words printed beside its answer could not be traced automatically. Needs reading.</t>
        </is>
      </c>
      <c r="M428" s="3" t="inlineStr">
        <is>
          <t>None found in this function — anything it assumes comes from the functions it depends on.</t>
        </is>
      </c>
      <c r="N428" s="3" t="inlineStr">
        <is>
          <t>Yes</t>
        </is>
      </c>
      <c r="O428" s="3" t="inlineStr">
        <is>
          <t>—</t>
        </is>
      </c>
      <c r="P428" s="3" t="n">
        <v>0</v>
      </c>
      <c r="Q428" s="3" t="inlineStr">
        <is>
          <t>None — no dependent function stands behind it</t>
        </is>
      </c>
      <c r="R428" s="3" t="inlineStr">
        <is>
          <t>No dependent function — it reads its inputs and answers</t>
        </is>
      </c>
      <c r="S428" s="3" t="inlineStr">
        <is>
          <t>—</t>
        </is>
      </c>
      <c r="T428" s="3" t="inlineStr">
        <is>
          <t>AGE_THE_MONEY_RUNS_OUT</t>
        </is>
      </c>
      <c r="U428" s="3" t="inlineStr">
        <is>
          <t>ACTIVE</t>
        </is>
      </c>
      <c r="V428" s="3" t="inlineStr">
        <is>
          <t>2026-08-27</t>
        </is>
      </c>
      <c r="W428" s="3" t="n"/>
      <c r="X428" s="3" t="n"/>
      <c r="Y428" s="3" t="inlineStr">
        <is>
          <t>NOTHING OPEN</t>
        </is>
      </c>
    </row>
    <row r="429" ht="60" customHeight="1">
      <c r="A429" s="3" t="inlineStr">
        <is>
          <t>MK-PL-F-030</t>
        </is>
      </c>
      <c r="B429" s="3" t="inlineStr">
        <is>
          <t>onCourseSentence</t>
        </is>
      </c>
      <c r="C429" s="3" t="inlineStr">
        <is>
          <t>src/domain/planning/hub.ts</t>
        </is>
      </c>
      <c r="D429" s="3" t="n">
        <v>337</v>
      </c>
      <c r="E429" s="3" t="inlineStr">
        <is>
          <t>2 · DISPLAYED</t>
        </is>
      </c>
      <c r="F429" s="3" t="inlineStr">
        <is>
          <t>In one sentence, how is this plan doing?</t>
        </is>
      </c>
      <c r="G429" s="11"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429"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429" s="3" t="inlineStr">
        <is>
          <t>PARTLY READ — some of the code is still showing through; needs a hand pass</t>
        </is>
      </c>
      <c r="J429" s="3" t="inlineStr">
        <is>
          <t>Nothing is handed to it</t>
        </is>
      </c>
      <c r="K429" s="3" t="inlineStr">
        <is>
          <t>NOT DECLARED — the code does not say what it gives back</t>
        </is>
      </c>
      <c r="L429" s="3" t="inlineStr">
        <is>
          <t>NOT FOUND — a screen calls it, but the words printed beside its answer could not be traced automatically. Needs reading.</t>
        </is>
      </c>
      <c r="M429" s="3" t="inlineStr">
        <is>
          <t>1. If leftover at horizon is missing it uses 0.
2. Rounds the answer to a whole number.</t>
        </is>
      </c>
      <c r="N429" s="3" t="inlineStr">
        <is>
          <t>Yes</t>
        </is>
      </c>
      <c r="O429" s="3" t="inlineStr">
        <is>
          <t>MK-ST-F-053 money</t>
        </is>
      </c>
      <c r="P429" s="3" t="n">
        <v>6</v>
      </c>
      <c r="Q429" s="3" t="inlineStr">
        <is>
          <t>1. MK-ST-F-053 money
2. MK-ST-F-049 formatMoney
3. MK-XS-F-122 n
4. MK-ST-F-048 currencySymbol
5. MK-ST-F-039 on
6. MK-ST-F-047 activeCurrency</t>
        </is>
      </c>
      <c r="R429"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429" s="3" t="inlineStr">
        <is>
          <t>—</t>
        </is>
      </c>
      <c r="T429" s="3" t="inlineStr">
        <is>
          <t>ARE_YOU_ON_COURSE</t>
        </is>
      </c>
      <c r="U429" s="3" t="inlineStr">
        <is>
          <t>ACTIVE</t>
        </is>
      </c>
      <c r="V429" s="3" t="inlineStr">
        <is>
          <t>2026-08-27</t>
        </is>
      </c>
      <c r="W429" s="3" t="n"/>
      <c r="X429" s="3" t="n"/>
      <c r="Y429" s="3" t="inlineStr">
        <is>
          <t>NOTHING OPEN</t>
        </is>
      </c>
    </row>
    <row r="430" ht="60" customHeight="1">
      <c r="A430" s="3" t="inlineStr">
        <is>
          <t>MK-PL-F-031</t>
        </is>
      </c>
      <c r="B430" s="3" t="inlineStr">
        <is>
          <t>taxOrganizer</t>
        </is>
      </c>
      <c r="C430" s="3" t="inlineStr">
        <is>
          <t>src/domain/planning/index.ts</t>
        </is>
      </c>
      <c r="D430" s="3" t="n">
        <v>129</v>
      </c>
      <c r="E430" s="3" t="inlineStr">
        <is>
          <t>3 · DEPENDENT</t>
        </is>
      </c>
      <c r="F430" s="3" t="inlineStr">
        <is>
          <t>The year-end summary for the accountant: income lines, the four taxable-income steps, contributions, accounts, documents to gather.</t>
        </is>
      </c>
      <c r="G430" s="11"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430"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430" s="3" t="inlineStr">
        <is>
          <t>PARTLY READ — some of the code is still showing through; needs a hand pass</t>
        </is>
      </c>
      <c r="J430" s="3" t="inlineStr">
        <is>
          <t>1. op: OnboardingProfile | null
2. opts: { accounts?: any[]; liabilities?: any[]; actualPassive?: number; year: number }</t>
        </is>
      </c>
      <c r="K430" s="3" t="inlineStr">
        <is>
          <t>TaxOrganizer</t>
        </is>
      </c>
      <c r="L430" s="3" t="inlineStr">
        <is>
          <t>—</t>
        </is>
      </c>
      <c r="M430" s="3" t="inlineStr">
        <is>
          <t>1. If balance is missing it counts as zero, so nothing recorded and a real zero look the same.
2. Turns a monthly figure into a year by multiplying by twelve.</t>
        </is>
      </c>
      <c r="N430" s="3" t="inlineStr">
        <is>
          <t>Yes</t>
        </is>
      </c>
      <c r="O430"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430" s="3" t="n">
        <v>55</v>
      </c>
      <c r="Q430"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MK-CF-O-002 expenses
16. MK-CF-F-067 rentalList
17. MK-CF-F-062 equityRowValue
18. MK-CF-F-063 rowVestYear
19. MK-CF-F-060 salaryGrossByMonth
20. MK-CF-F-099 deductionFor
21. MK-CF-F-085 filingStatusOf
22. MK-CF-F-188 householdPreTaxContributionsAnnual
23. MK-ST-F-039 on
24. MK-CF-F-089 over65CountOf
25. MK-CF-F-187 seniorDeductionFor
26. MK-CF-F-081 salaryActiveMonths
27. MK-XS-F-122 n
28. MK-CF-F-173 earnerWages
29. MK-CF-F-180 enteredLandsAnnual
30. MK-CF-F-206 householdK401ByMonth
31. MK-CF-F-086 stateRateOf
32. MK-CF-F-101 taxOwedFor
33. MK-CF-F-084 taxableAnnual
34. MK-CF-F-151 actualSpending
35. MK-CF-F-150 debtPaymentsCountedAsExpenses
36. MK-CF-F-153 radar
37. MK-CF-F-149 recurringDebtPayments
38. MK-ST-F-085 rentFigure
39. MK-CF-F-176 sumMonthsOverEarners
40. MK-CF-F-177 wageGrossByMonth
41. MK-CF-F-175 sumOverEarners
42. MK-CF-F-172 hasWage
43. MK-CF-F-100 taxableIncomeFor
44. MK-CF-F-071 extraIncome
45. MK-CF-F-148 inMonth
46. MK-CF-F-191 ym
47. MK-CF-F-022 paymentShape
48. MK-CF-F-152 isRadarItem
49. MK-CF-F-023 requiredPayment
50. MK-CF-F-130 enteredMonthlyRaw
51. MK-CF-F-166 hasMonthlySalaryTable
52. MK-ST-F-036 reconcile
53. MK-CF-F-167 salaryCalendarYear
54. MK-CF-F-021 defaultPaymentType
55. MK-CF-F-165 salaryMonths</t>
        </is>
      </c>
      <c r="R430"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MK-CF-F-172 hasWage → MK-CF-F-173 earnerWages → MK-CF-F-180 enteredLandsAnnual → MK-CF-F-181 rateInForce → MK-CF-F-090 effectiveRate → MK-PL-F-031 taxOrganizer
6. MK-XS-F-122 n → MK-ST-F-052 toNum → MK-CF-F-180 enteredLandsAnnual → MK-CF-F-181 rateInForce → MK-CF-F-090 effectiveRate → MK-PL-F-031 taxOrganizer
7. MK-CF-F-085 filingStatusOf → MK-CF-F-181 rateInForce → MK-CF-F-090 effectiveRate → MK-PL-F-031 taxOrganizer
8. MK-CF-F-132 map → MK-CF-F-206 householdK401ByMonth → MK-CF-F-181 rateInForce → MK-CF-F-090 effectiveRate → MK-PL-F-031 taxOrganizer
9. … and 5 more paths</t>
        </is>
      </c>
      <c r="S430" s="3" t="inlineStr">
        <is>
          <t>MK-MN-M-027 · MK-MN-M-028</t>
        </is>
      </c>
      <c r="T430" s="3" t="inlineStr">
        <is>
          <t>—</t>
        </is>
      </c>
      <c r="U430" s="3" t="inlineStr">
        <is>
          <t>ACTIVE</t>
        </is>
      </c>
      <c r="V430" s="3" t="inlineStr">
        <is>
          <t>2026-09-28</t>
        </is>
      </c>
      <c r="W430" s="3" t="n"/>
      <c r="X430" s="3" t="n"/>
      <c r="Y430" s="3" t="inlineStr">
        <is>
          <t>NOTHING OPEN</t>
        </is>
      </c>
    </row>
    <row r="431" ht="60" customHeight="1">
      <c r="A431" s="3" t="inlineStr">
        <is>
          <t>MK-PL-F-032</t>
        </is>
      </c>
      <c r="B431" s="3" t="inlineStr">
        <is>
          <t>rothConversionCost</t>
        </is>
      </c>
      <c r="C431" s="3" t="inlineStr">
        <is>
          <t>src/domain/planning/index.ts</t>
        </is>
      </c>
      <c r="D431" s="3" t="n">
        <v>215</v>
      </c>
      <c r="E431" s="3" t="inlineStr">
        <is>
          <t>2 · DISPLAYED</t>
        </is>
      </c>
      <c r="F431" s="3" t="inlineStr">
        <is>
          <t>───────────────────────── Roth conversion (fill a low bracket) ───────────────────────── In a low-income year (e.g.</t>
        </is>
      </c>
      <c r="G431" s="11" t="inlineStr">
        <is>
          <t>tax owed for(gross + amount, status, state rate) − tax owed for(gross, status, state rate)</t>
        </is>
      </c>
      <c r="H431" s="3" t="inlineStr">
        <is>
          <t>tax owed for(gross plus amount, status, state rate) minus tax owed for(gross, status, state rate).</t>
        </is>
      </c>
      <c r="I431" s="3" t="inlineStr">
        <is>
          <t>READ FROM THE CODE — rendered from the expressions the function runs</t>
        </is>
      </c>
      <c r="J431" s="3" t="inlineStr">
        <is>
          <t>1. gross: number
2. amount: number
3. status: import('../income/tax').FilingStatus
4. stateRate: number</t>
        </is>
      </c>
      <c r="K431" s="3" t="inlineStr">
        <is>
          <t>number</t>
        </is>
      </c>
      <c r="L431" s="3" t="inlineStr">
        <is>
          <t>NOT FOUND — a screen calls it, but the words printed beside its answer could not be traced automatically. Needs reading.</t>
        </is>
      </c>
      <c r="M431"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431" s="3" t="inlineStr">
        <is>
          <t>Yes</t>
        </is>
      </c>
      <c r="O431" s="3" t="inlineStr">
        <is>
          <t>MK-CF-F-101 taxOwedFor</t>
        </is>
      </c>
      <c r="P431" s="3" t="n">
        <v>4</v>
      </c>
      <c r="Q431" s="3" t="inlineStr">
        <is>
          <t>1. MK-CF-F-101 taxOwedFor
2. MK-CF-F-100 taxableIncomeFor
3. MK-CF-F-099 deductionFor
4. MK-CF-F-187 seniorDeductionFor</t>
        </is>
      </c>
      <c r="R431" s="3" t="inlineStr">
        <is>
          <t>MK-CF-F-187 seniorDeductionFor → MK-CF-F-099 deductionFor → MK-CF-F-100 taxableIncomeFor → MK-CF-F-101 taxOwedFor → MK-PL-F-032 rothConversionCost</t>
        </is>
      </c>
      <c r="S431" s="3" t="inlineStr">
        <is>
          <t>—</t>
        </is>
      </c>
      <c r="T431" s="3" t="inlineStr">
        <is>
          <t>—</t>
        </is>
      </c>
      <c r="U431" s="3" t="inlineStr">
        <is>
          <t>ACTIVE</t>
        </is>
      </c>
      <c r="V431" s="3" t="inlineStr">
        <is>
          <t>2026-09-09</t>
        </is>
      </c>
      <c r="W431" s="3" t="n"/>
      <c r="X431" s="3" t="n"/>
      <c r="Y431" s="3" t="inlineStr">
        <is>
          <t>NOTHING OPEN</t>
        </is>
      </c>
    </row>
    <row r="432" ht="60" customHeight="1">
      <c r="A432" s="3" t="inlineStr">
        <is>
          <t>MK-PL-F-033</t>
        </is>
      </c>
      <c r="B432" s="3" t="inlineStr">
        <is>
          <t>educationPlan</t>
        </is>
      </c>
      <c r="C432" s="3" t="inlineStr">
        <is>
          <t>src/domain/planning/index.ts</t>
        </is>
      </c>
      <c r="D432" s="3" t="n">
        <v>266</v>
      </c>
      <c r="E432" s="3" t="inlineStr">
        <is>
          <t>2 · DISPLAYED</t>
        </is>
      </c>
      <c r="F432" s="3" t="inlineStr">
        <is>
          <t>NOT DETERMINED — the code carries no note saying what this is for, and it has no row in the old inventory. Needs reading.</t>
        </is>
      </c>
      <c r="G432" s="11"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432"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432" s="3" t="inlineStr">
        <is>
          <t>PARTLY READ — the body has a loop the extractor cannot render; the steps shown are the ones before it. Needs a hand pass (G23).</t>
        </is>
      </c>
      <c r="J432" s="3" t="inlineStr">
        <is>
          <t>inp: EduPlanInput</t>
        </is>
      </c>
      <c r="K432" s="3" t="inlineStr">
        <is>
          <t>EduPlan</t>
        </is>
      </c>
      <c r="L432" s="3" t="inlineStr">
        <is>
          <t>"Projected total cost" — on the College costs screen</t>
        </is>
      </c>
      <c r="M432" s="3" t="inlineStr">
        <is>
          <t>1. Uses a built-in future total cost of 0.
2. Turns a monthly figure into a year by multiplying by twelve.
3. Rounds the answer to a whole number.</t>
        </is>
      </c>
      <c r="N432" s="3" t="inlineStr">
        <is>
          <t>Yes</t>
        </is>
      </c>
      <c r="O432" s="3" t="inlineStr">
        <is>
          <t>MK-XS-F-122 n</t>
        </is>
      </c>
      <c r="P432" s="3" t="n">
        <v>1</v>
      </c>
      <c r="Q432" s="3" t="inlineStr">
        <is>
          <t>MK-XS-F-122 n</t>
        </is>
      </c>
      <c r="R432" s="3" t="inlineStr">
        <is>
          <t>MK-XS-F-122 n → MK-PL-F-033 educationPlan</t>
        </is>
      </c>
      <c r="S432" s="3" t="inlineStr">
        <is>
          <t>MK-PL-M-036 · MK-PL-M-037</t>
        </is>
      </c>
      <c r="T432" s="3" t="inlineStr">
        <is>
          <t>—</t>
        </is>
      </c>
      <c r="U432" s="3" t="inlineStr">
        <is>
          <t>ACTIVE</t>
        </is>
      </c>
      <c r="V432" s="3" t="inlineStr">
        <is>
          <t>2026-09-08</t>
        </is>
      </c>
      <c r="W432" s="3" t="n"/>
      <c r="X432" s="3" t="n"/>
      <c r="Y432" s="3" t="inlineStr">
        <is>
          <t>NOTHING OPEN</t>
        </is>
      </c>
    </row>
    <row r="433" ht="60" customHeight="1">
      <c r="A433" s="3" t="inlineStr">
        <is>
          <t>MK-PL-F-034</t>
        </is>
      </c>
      <c r="B433" s="3" t="inlineStr">
        <is>
          <t>lifeInsuranceNeed</t>
        </is>
      </c>
      <c r="C433" s="3" t="inlineStr">
        <is>
          <t>src/domain/planning/index.ts</t>
        </is>
      </c>
      <c r="D433" s="3" t="n">
        <v>329</v>
      </c>
      <c r="E433" s="3" t="inlineStr">
        <is>
          <t>2 · DISPLAYED</t>
        </is>
      </c>
      <c r="F433" s="3" t="inlineStr">
        <is>
          <t>NOT DETERMINED — the code carries no note saying what this is for, and it has no row in the old inventory. Needs reading.</t>
        </is>
      </c>
      <c r="G433" s="11" t="inlineStr">
        <is>
          <t>income replacement = max(0, inp.annual income) × math.max(0, inp.years to replace)
total need = income replacement + max(0, inp.debts) + max(0, inp.future goals) + max(0, inp.final expenses)
covered = max(0, inp.liquid savings) + math.max(0, inp.existing coverage)</t>
        </is>
      </c>
      <c r="H433"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433" s="3" t="inlineStr">
        <is>
          <t>PARTLY READ — some of the code is still showing through; needs a hand pass</t>
        </is>
      </c>
      <c r="J433" s="3" t="inlineStr">
        <is>
          <t>inp: InsuranceInput</t>
        </is>
      </c>
      <c r="K433" s="3" t="inlineStr">
        <is>
          <t>InsuranceNeed</t>
        </is>
      </c>
      <c r="L433" s="3" t="inlineStr">
        <is>
          <t>1. "Gap" — on the Insurance screen
2. "Total need" — on the Insurance screen</t>
        </is>
      </c>
      <c r="M433"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433" s="3" t="inlineStr">
        <is>
          <t>Yes</t>
        </is>
      </c>
      <c r="O433" s="3" t="inlineStr">
        <is>
          <t>—</t>
        </is>
      </c>
      <c r="P433" s="3" t="n">
        <v>0</v>
      </c>
      <c r="Q433" s="3" t="inlineStr">
        <is>
          <t>None — no dependent function stands behind it</t>
        </is>
      </c>
      <c r="R433" s="3" t="inlineStr">
        <is>
          <t>No dependent function — it reads its inputs and answers</t>
        </is>
      </c>
      <c r="S433" s="3" t="inlineStr">
        <is>
          <t>—</t>
        </is>
      </c>
      <c r="T433" s="3" t="inlineStr">
        <is>
          <t>—</t>
        </is>
      </c>
      <c r="U433" s="3" t="inlineStr">
        <is>
          <t>ACTIVE</t>
        </is>
      </c>
      <c r="V433" s="3" t="inlineStr">
        <is>
          <t>2026-08-27</t>
        </is>
      </c>
      <c r="W433" s="3" t="n"/>
      <c r="X433" s="3" t="n"/>
      <c r="Y433" s="3" t="inlineStr">
        <is>
          <t>NOTHING OPEN</t>
        </is>
      </c>
    </row>
    <row r="434" ht="60" customHeight="1">
      <c r="A434" s="3" t="inlineStr">
        <is>
          <t>MK-PL-F-035</t>
        </is>
      </c>
      <c r="B434" s="3" t="inlineStr">
        <is>
          <t>retireAgeWithContribution</t>
        </is>
      </c>
      <c r="C434" s="3" t="inlineStr">
        <is>
          <t>src/domain/planning/multiGoal.ts</t>
        </is>
      </c>
      <c r="D434" s="3" t="n">
        <v>67</v>
      </c>
      <c r="E434" s="3" t="inlineStr">
        <is>
          <t>2 · DISPLAYED</t>
        </is>
      </c>
      <c r="F434" s="3" t="inlineStr">
        <is>
          <t>Earliest age the projection covers the need, WITH contributions until that age (F4's before/after).</t>
        </is>
      </c>
      <c r="G434" s="11" t="inlineStr">
        <is>
          <t>p = project nest egg({ ...inp, annual contribution: monthly contribution × 12, retire age: age, guaranteed start age: inp.guaranteed start age })
age   when will have ≥ will need
the answer = nothing</t>
        </is>
      </c>
      <c r="H434" s="3" t="inlineStr">
        <is>
          <t>P is project nest egg({ ...inp, annual contribution: monthly contribution times 12, retire age: age, guaranteed start age: inp.guaranteed start age }). When will have is at least will need, it answers age. The answer is no answer.</t>
        </is>
      </c>
      <c r="I434" s="3" t="inlineStr">
        <is>
          <t>READ FROM THE CODE — rendered from the expressions the function runs</t>
        </is>
      </c>
      <c r="J434" s="3" t="inlineStr">
        <is>
          <t>1. inp: RetirementInputs
2. monthlyContribution: number
3. maxAge = 80</t>
        </is>
      </c>
      <c r="K434" s="3" t="inlineStr">
        <is>
          <t>number | null</t>
        </is>
      </c>
      <c r="L434" s="3" t="inlineStr">
        <is>
          <t>NOT FOUND — a screen calls it, but the words printed beside its answer could not be traced automatically. Needs reading.</t>
        </is>
      </c>
      <c r="M434" s="3" t="inlineStr">
        <is>
          <t>· Turns a monthly figure into a year by multiplying by twelve.</t>
        </is>
      </c>
      <c r="N434" s="3" t="inlineStr">
        <is>
          <t>Yes</t>
        </is>
      </c>
      <c r="O434" s="3" t="inlineStr">
        <is>
          <t>1. MK-PL-F-055 projectNestEgg
2. MK-PL-F-050 simulate
3. MK-PL-F-056 solveRetireAge</t>
        </is>
      </c>
      <c r="P434" s="3" t="n">
        <v>24</v>
      </c>
      <c r="Q434" s="3" t="inlineStr">
        <is>
          <t>1. MK-PL-F-055 projectNestEgg
2. MK-PL-F-050 simulate
3. MK-PL-F-056 solveRetireAge
4. MK-CF-F-132 map
5. MK-CF-O-002 expenses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34" s="3" t="inlineStr">
        <is>
          <t>1. MK-CF-F-132 map → MK-PL-F-055 projectNestEgg → MK-PL-F-035 retireAgeWithContribution
2. MK-CF-F-148 inMonth → MK-CF-F-151 actualSpending → MK-CF-O-002 expenses → MK-PL-F-050 simulate → MK-PL-F-055 projectNestEgg → MK-PL-F-035 retireAgeWithContribution
3. MK-ST-F-052 toNum → MK-CF-F-151 actualSpending → MK-CF-O-002 expenses → MK-PL-F-050 simulate → MK-PL-F-055 projectNestEgg → MK-PL-F-035 retireAgeWithContribution
4. MK-CF-F-191 ym → MK-CF-F-151 actualSpending → MK-CF-O-002 expenses → MK-PL-F-050 simulate → MK-PL-F-055 projectNestEgg → MK-PL-F-035 retireAgeWithContribution
5. MK-ST-F-056 has → MK-CF-F-150 debtPaymentsCountedAsExpenses → MK-CF-O-002 expenses → MK-PL-F-050 simulate → MK-PL-F-055 projectNestEgg → MK-PL-F-035 retireAgeWithContribution
6. MK-CF-F-148 inMonth → MK-CF-F-150 debtPaymentsCountedAsExpenses → MK-CF-O-002 expenses → MK-PL-F-050 simulate → MK-PL-F-055 projectNestEgg → MK-PL-F-035 retireAgeWithContribution
7. MK-CF-F-022 paymentShape → MK-CF-F-150 debtPaymentsCountedAsExpenses → MK-CF-O-002 expenses → MK-PL-F-050 simulate → MK-PL-F-055 projectNestEgg → MK-PL-F-035 retireAgeWithContribution
8. MK-ST-F-052 toNum → MK-CF-F-150 debtPaymentsCountedAsExpenses → MK-CF-O-002 expenses → MK-PL-F-050 simulate → MK-PL-F-055 projectNestEgg → MK-PL-F-035 retireAgeWithContribution
9. … and 5 more paths</t>
        </is>
      </c>
      <c r="S434" s="3" t="inlineStr">
        <is>
          <t>—</t>
        </is>
      </c>
      <c r="T434" s="3" t="inlineStr">
        <is>
          <t>—</t>
        </is>
      </c>
      <c r="U434" s="3" t="inlineStr">
        <is>
          <t>ACTIVE</t>
        </is>
      </c>
      <c r="V434" s="3" t="inlineStr">
        <is>
          <t>2026-08-27</t>
        </is>
      </c>
      <c r="W434" s="3" t="n"/>
      <c r="X434" s="3" t="n"/>
      <c r="Y434" s="3" t="inlineStr">
        <is>
          <t>NOTHING OPEN</t>
        </is>
      </c>
    </row>
    <row r="435" ht="60" customHeight="1">
      <c r="A435" s="3" t="inlineStr">
        <is>
          <t>MK-PL-F-036</t>
        </is>
      </c>
      <c r="B435" s="3" t="inlineStr">
        <is>
          <t>weighGoals</t>
        </is>
      </c>
      <c r="C435" s="3" t="inlineStr">
        <is>
          <t>src/domain/planning/multiGoal.ts</t>
        </is>
      </c>
      <c r="D435" s="3" t="n">
        <v>117</v>
      </c>
      <c r="E435" s="3" t="inlineStr">
        <is>
          <t>2 · DISPLAYED</t>
        </is>
      </c>
      <c r="F435" s="3" t="inlineStr">
        <is>
          <t>Run the whole combination once.</t>
        </is>
      </c>
      <c r="G435" s="11"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435"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435" s="3" t="inlineStr">
        <is>
          <t>PARTLY READ — some of the code is still showing through; needs a hand pass</t>
        </is>
      </c>
      <c r="J435" s="3" t="inlineStr">
        <is>
          <t>w: WeighInputs</t>
        </is>
      </c>
      <c r="K435" s="3" t="inlineStr">
        <is>
          <t>WeighResult</t>
        </is>
      </c>
      <c r="L435" s="3" t="inlineStr">
        <is>
          <t>NOT FOUND — a screen calls it, but the words printed beside its answer could not be traced automatically. Needs reading.</t>
        </is>
      </c>
      <c r="M435"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435" s="3" t="inlineStr">
        <is>
          <t>Yes</t>
        </is>
      </c>
      <c r="O435" s="3" t="inlineStr">
        <is>
          <t>1. MK-PL-F-021 monthsToGoal
2. MK-ST-F-039 on
3. MK-CF-F-034 payoffPlan
4. MK-PL-F-035 retireAgeWithContribution
5. MK-PL-F-050 simulate</t>
        </is>
      </c>
      <c r="P435" s="3" t="n">
        <v>28</v>
      </c>
      <c r="Q435" s="3" t="inlineStr">
        <is>
          <t>1. MK-PL-F-021 monthsToGoal
2. MK-ST-F-039 on
3. MK-CF-F-034 payoffPlan
4. MK-PL-F-035 retireAgeWithContribution
5. MK-PL-F-050 simulate
6. MK-CF-F-132 map
7. MK-CF-F-022 paymentShape
8. MK-PL-F-055 projectNestEgg
9. MK-PL-F-056 solveRetireAge
10. MK-CF-O-002 expenses
11. MK-PL-F-074 median
12. MK-PL-F-072 mulberry32
13. MK-XS-F-122 n
14. MK-PL-F-073 normal
15. MK-PL-F-075 pctOfSorted
16. MK-ST-F-025 rmdStartAgeFromAge
17. MK-CF-F-021 defaultPaymentType
18. MK-CF-F-151 actualSpending
19. MK-CF-F-150 debtPaymentsCountedAsExpenses
20. MK-CF-F-153 radar
21. MK-CF-F-149 recurringDebtPayments
22. MK-ST-F-024 rmdStartAge
23. MK-CF-F-148 inMonth
24. MK-ST-F-052 toNum
25. MK-CF-F-191 ym
26. MK-ST-F-056 has
27. MK-CF-F-152 isRadarItem
28. MK-CF-F-023 requiredPayment</t>
        </is>
      </c>
      <c r="R435"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MK-CF-F-151 actualSpending → MK-CF-O-002 expenses → MK-PL-F-050 simulate → MK-PL-F-055 projectNestEgg → MK-PL-F-035 retireAgeWithContribution → MK-PL-F-036 weighGoals
7. MK-CF-F-150 debtPaymentsCountedAsExpenses → MK-CF-O-002 expenses → MK-PL-F-050 simulate → MK-PL-F-055 projectNestEgg → MK-PL-F-035 retireAgeWithContribution → MK-PL-F-036 weighGoals
8. MK-CF-F-153 radar → MK-CF-O-002 expenses → MK-PL-F-050 simulate → MK-PL-F-055 projectNestEgg → MK-PL-F-035 retireAgeWithContribution → MK-PL-F-036 weighGoals
9. … and 5 more paths</t>
        </is>
      </c>
      <c r="S435" s="3" t="inlineStr">
        <is>
          <t>—</t>
        </is>
      </c>
      <c r="T435" s="3" t="inlineStr">
        <is>
          <t>—</t>
        </is>
      </c>
      <c r="U435" s="3" t="inlineStr">
        <is>
          <t>ACTIVE</t>
        </is>
      </c>
      <c r="V435" s="3" t="inlineStr">
        <is>
          <t>2026-09-09</t>
        </is>
      </c>
      <c r="W435" s="3" t="n"/>
      <c r="X435" s="3" t="n"/>
      <c r="Y435" s="3" t="inlineStr">
        <is>
          <t>NOTHING OPEN</t>
        </is>
      </c>
    </row>
    <row r="436" ht="60" customHeight="1">
      <c r="A436" s="3" t="inlineStr">
        <is>
          <t>MK-PL-F-037</t>
        </is>
      </c>
      <c r="B436" s="3" t="inlineStr">
        <is>
          <t>trimHints</t>
        </is>
      </c>
      <c r="C436" s="3" t="inlineStr">
        <is>
          <t>src/domain/planning/multiGoal.ts</t>
        </is>
      </c>
      <c r="D436" s="3" t="n">
        <v>193</v>
      </c>
      <c r="E436" s="3" t="inlineStr">
        <is>
          <t>2 · DISPLAYED</t>
        </is>
      </c>
      <c r="F436" s="3" t="inlineStr">
        <is>
          <t>One hint per active goal: the SAME weigher re-run with that dial reduced — a pre-run of the slider, so applying the hint's amount reproduces its numbers exactly (the pin).</t>
        </is>
      </c>
      <c r="G436" s="11" t="inlineStr">
        <is>
          <t>trimmed amount = max(0, round((monthly amount × reduce to) ÷ 100) × 100)
freed = monthly amount − trimmed amount
the answer:
dial id = id
label = label
trimmed amount = trimmed amount
retire age = retire age
chance = chance</t>
        </is>
      </c>
      <c r="H436"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436" s="3" t="inlineStr">
        <is>
          <t>READ FROM THE CODE — rendered from the expressions the function runs</t>
        </is>
      </c>
      <c r="J436" s="3" t="inlineStr">
        <is>
          <t>1. w: WeighInputs
2. reduceTo = 0.6</t>
        </is>
      </c>
      <c r="K436" s="3" t="inlineStr">
        <is>
          <t>TrimHint[]</t>
        </is>
      </c>
      <c r="L436" s="3" t="inlineStr">
        <is>
          <t>NOT FOUND — a screen calls it, but the words printed beside its answer could not be traced automatically. Needs reading.</t>
        </is>
      </c>
      <c r="M436" s="3" t="inlineStr">
        <is>
          <t>· Rounds the answer to a whole number.</t>
        </is>
      </c>
      <c r="N436" s="3" t="inlineStr">
        <is>
          <t>Yes</t>
        </is>
      </c>
      <c r="O436" s="3" t="inlineStr">
        <is>
          <t>1. MK-CF-F-132 map
2. MK-PL-F-036 weighGoals</t>
        </is>
      </c>
      <c r="P436" s="3" t="n">
        <v>29</v>
      </c>
      <c r="Q436" s="3" t="inlineStr">
        <is>
          <t>1. MK-CF-F-132 map
2. MK-PL-F-036 weighGoals
3. MK-PL-F-021 monthsToGoal
4. MK-ST-F-039 on
5. MK-CF-F-034 payoffPlan
6. MK-PL-F-035 retireAgeWithContribution
7. MK-PL-F-050 simulate
8. MK-CF-F-022 paymentShape
9. MK-PL-F-055 projectNestEgg
10. MK-PL-F-056 solveRetireAge
11. MK-CF-O-002 expenses
12. MK-PL-F-074 median
13. MK-PL-F-072 mulberry32
14. MK-XS-F-122 n
15. MK-PL-F-073 normal
16. MK-PL-F-075 pctOfSorted
17. MK-ST-F-025 rmdStartAgeFromAge
18. MK-CF-F-021 defaultPaymentType
19. MK-CF-F-151 actualSpending
20. MK-CF-F-150 debtPaymentsCountedAsExpenses
21. MK-CF-F-153 radar
22. MK-CF-F-149 recurringDebtPayments
23. MK-ST-F-024 rmdStartAge
24. MK-CF-F-148 inMonth
25. MK-ST-F-052 toNum
26. MK-CF-F-191 ym
27. MK-ST-F-056 has
28. MK-CF-F-152 isRadarItem
29. MK-CF-F-023 requiredPayment</t>
        </is>
      </c>
      <c r="R436"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MK-CF-O-002 expenses → MK-PL-F-050 simulate → MK-PL-F-055 projectNestEgg → MK-PL-F-035 retireAgeWithContribution → MK-PL-F-036 weighGoals → MK-PL-F-037 trimHints
8. MK-CF-F-132 map → MK-PL-F-050 simulate → MK-PL-F-055 projectNestEgg → MK-PL-F-035 retireAgeWithContribution → MK-PL-F-036 weighGoals → MK-PL-F-037 trimHints
9. … and 4 more paths</t>
        </is>
      </c>
      <c r="S436" s="3" t="inlineStr">
        <is>
          <t>—</t>
        </is>
      </c>
      <c r="T436" s="3" t="inlineStr">
        <is>
          <t>—</t>
        </is>
      </c>
      <c r="U436" s="3" t="inlineStr">
        <is>
          <t>ACTIVE</t>
        </is>
      </c>
      <c r="V436" s="3" t="inlineStr">
        <is>
          <t>2026-08-27</t>
        </is>
      </c>
      <c r="W436" s="3" t="n"/>
      <c r="X436" s="3" t="n"/>
      <c r="Y436" s="3" t="inlineStr">
        <is>
          <t>NOTHING OPEN</t>
        </is>
      </c>
    </row>
    <row r="437" ht="60" customHeight="1">
      <c r="A437" s="3" t="inlineStr">
        <is>
          <t>MK-PL-F-038</t>
        </is>
      </c>
      <c r="B437" s="3" t="inlineStr">
        <is>
          <t>spendMoreState</t>
        </is>
      </c>
      <c r="C437" s="3" t="inlineStr">
        <is>
          <t>src/domain/planning/spendMore.ts</t>
        </is>
      </c>
      <c r="D437" s="3" t="n">
        <v>78</v>
      </c>
      <c r="E437" s="3" t="inlineStr">
        <is>
          <t>2 · DISPLAYED</t>
        </is>
      </c>
      <c r="F437" s="3" t="inlineStr">
        <is>
          <t>How much more she could spend, and how much of it is genuinely free.</t>
        </is>
      </c>
      <c r="G437" s="11" t="inlineStr">
        <is>
          <t>today = base.retire monthly spend today
odds today = odds at(base, today)
free = 0
the answer:
max extra = max extra
free extra = free
odds today = odds today</t>
        </is>
      </c>
      <c r="H437" s="3" t="inlineStr">
        <is>
          <t>Today is base.retire monthly spend today. Odds today is odds at(base, today). Free is 0. The answer is max extra = max extra; free extra = free; odds today = odds today.</t>
        </is>
      </c>
      <c r="I437" s="3" t="inlineStr">
        <is>
          <t>READ FROM THE CODE — rendered from the expressions the function runs</t>
        </is>
      </c>
      <c r="J437" s="3" t="inlineStr">
        <is>
          <t>1. base: RetirementInputs
2. maxExtra: number
3. step = 500</t>
        </is>
      </c>
      <c r="K437" s="3" t="inlineStr">
        <is>
          <t>SpendMoreState</t>
        </is>
      </c>
      <c r="L437" s="3" t="inlineStr">
        <is>
          <t>"Can I spend more?" — on a card used on more than one screen (SpendMoreControl)</t>
        </is>
      </c>
      <c r="M437" s="3" t="inlineStr">
        <is>
          <t>· Uses a built-in free of 0.</t>
        </is>
      </c>
      <c r="N437" s="3" t="inlineStr">
        <is>
          <t>Yes</t>
        </is>
      </c>
      <c r="O437" s="3" t="inlineStr">
        <is>
          <t>MK-PL-F-069 oddsAt</t>
        </is>
      </c>
      <c r="P437" s="3" t="n">
        <v>23</v>
      </c>
      <c r="Q437"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37" s="3" t="inlineStr">
        <is>
          <t>1. MK-CF-F-148 inMonth → MK-CF-F-151 actualSpending → MK-CF-O-002 expenses → MK-PL-F-050 simulate → MK-PL-F-069 oddsAt → MK-PL-F-038 spendMoreState
2. MK-ST-F-052 toNum → MK-CF-F-151 actualSpending → MK-CF-O-002 expenses → MK-PL-F-050 simulate → MK-PL-F-069 oddsAt → MK-PL-F-038 spendMoreState
3. MK-CF-F-191 ym → MK-CF-F-151 actualSpending → MK-CF-O-002 expenses → MK-PL-F-050 simulate → MK-PL-F-069 oddsAt → MK-PL-F-038 spendMoreState
4. MK-ST-F-056 has → MK-CF-F-150 debtPaymentsCountedAsExpenses → MK-CF-O-002 expenses → MK-PL-F-050 simulate → MK-PL-F-069 oddsAt → MK-PL-F-038 spendMoreState
5. MK-CF-F-148 inMonth → MK-CF-F-150 debtPaymentsCountedAsExpenses → MK-CF-O-002 expenses → MK-PL-F-050 simulate → MK-PL-F-069 oddsAt → MK-PL-F-038 spendMoreState
6. MK-CF-F-022 paymentShape → MK-CF-F-150 debtPaymentsCountedAsExpenses → MK-CF-O-002 expenses → MK-PL-F-050 simulate → MK-PL-F-069 oddsAt → MK-PL-F-038 spendMoreState
7. MK-ST-F-052 toNum → MK-CF-F-150 debtPaymentsCountedAsExpenses → MK-CF-O-002 expenses → MK-PL-F-050 simulate → MK-PL-F-069 oddsAt → MK-PL-F-038 spendMoreState
8. MK-CF-F-191 ym → MK-CF-F-150 debtPaymentsCountedAsExpenses → MK-CF-O-002 expenses → MK-PL-F-050 simulate → MK-PL-F-069 oddsAt → MK-PL-F-038 spendMoreState
9. … and 4 more paths</t>
        </is>
      </c>
      <c r="S437" s="3" t="inlineStr">
        <is>
          <t>—</t>
        </is>
      </c>
      <c r="T437" s="3" t="inlineStr">
        <is>
          <t>—</t>
        </is>
      </c>
      <c r="U437" s="3" t="inlineStr">
        <is>
          <t>ACTIVE</t>
        </is>
      </c>
      <c r="V437" s="3" t="inlineStr">
        <is>
          <t>2026-08-27</t>
        </is>
      </c>
      <c r="W437" s="3" t="n"/>
      <c r="X437" s="3" t="n"/>
      <c r="Y437" s="3" t="inlineStr">
        <is>
          <t>NOTHING OPEN</t>
        </is>
      </c>
    </row>
    <row r="438" ht="60" customHeight="1">
      <c r="A438" s="3" t="inlineStr">
        <is>
          <t>MK-PL-F-039</t>
        </is>
      </c>
      <c r="B438" s="3" t="inlineStr">
        <is>
          <t>spendMoreSentence</t>
        </is>
      </c>
      <c r="C438" s="3" t="inlineStr">
        <is>
          <t>src/domain/planning/spendMore.ts</t>
        </is>
      </c>
      <c r="D438" s="3" t="n">
        <v>119</v>
      </c>
      <c r="E438" s="3" t="inlineStr">
        <is>
          <t>2 · DISPLAYED</t>
        </is>
      </c>
      <c r="F438" s="3" t="inlineStr">
        <is>
          <t>What the screen says at a given stepper position — a real run every time, never a bucket.</t>
        </is>
      </c>
      <c r="G438" s="11" t="inlineStr">
        <is>
          <t>chance = odds at(base, base.retire monthly spend today + extra)
failing = round(100 − chance, 6 dp)
the answer:
chance = chance
tone = 'watch'
text = `lasts in almost every simulated future — about ${chance} out of 100.`</t>
        </is>
      </c>
      <c r="H438" s="3" t="inlineStr">
        <is>
          <t>Chance is odds at(base, base.retire monthly spend today plus extra). Failing is 100 minus chance, to 6 decimal places. The answer is chance = chance; tone = 'watch'; text = `lasts in almost every simulated future — about ${chance} out of 100.`.</t>
        </is>
      </c>
      <c r="I438" s="3" t="inlineStr">
        <is>
          <t>PARTLY READ — some of the code is still showing through; needs a hand pass</t>
        </is>
      </c>
      <c r="J438" s="3" t="inlineStr">
        <is>
          <t>1. base: RetirementInputs
2. extra: number
3. horizonAge: number
4. oddsToday: number</t>
        </is>
      </c>
      <c r="K438" s="3" t="inlineStr">
        <is>
          <t>NOT DECLARED — the code does not say what it gives back</t>
        </is>
      </c>
      <c r="L438" s="3" t="inlineStr">
        <is>
          <t>NOT FOUND — a screen calls it, but the words printed beside its answer could not be traced automatically. Needs reading.</t>
        </is>
      </c>
      <c r="M438" s="3" t="inlineStr">
        <is>
          <t>· Rounds the answer to 6 decimal places.</t>
        </is>
      </c>
      <c r="N438" s="3" t="inlineStr">
        <is>
          <t>Yes</t>
        </is>
      </c>
      <c r="O438" s="3" t="inlineStr">
        <is>
          <t>MK-PL-F-069 oddsAt</t>
        </is>
      </c>
      <c r="P438" s="3" t="n">
        <v>23</v>
      </c>
      <c r="Q438"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38" s="3" t="inlineStr">
        <is>
          <t>1. MK-CF-F-148 inMonth → MK-CF-F-151 actualSpending → MK-CF-O-002 expenses → MK-PL-F-050 simulate → MK-PL-F-069 oddsAt → MK-PL-F-039 spendMoreSentence
2. MK-ST-F-052 toNum → MK-CF-F-151 actualSpending → MK-CF-O-002 expenses → MK-PL-F-050 simulate → MK-PL-F-069 oddsAt → MK-PL-F-039 spendMoreSentence
3. MK-CF-F-191 ym → MK-CF-F-151 actualSpending → MK-CF-O-002 expenses → MK-PL-F-050 simulate → MK-PL-F-069 oddsAt → MK-PL-F-039 spendMoreSentence
4. MK-ST-F-056 has → MK-CF-F-150 debtPaymentsCountedAsExpenses → MK-CF-O-002 expenses → MK-PL-F-050 simulate → MK-PL-F-069 oddsAt → MK-PL-F-039 spendMoreSentence
5. MK-CF-F-148 inMonth → MK-CF-F-150 debtPaymentsCountedAsExpenses → MK-CF-O-002 expenses → MK-PL-F-050 simulate → MK-PL-F-069 oddsAt → MK-PL-F-039 spendMoreSentence
6. MK-CF-F-022 paymentShape → MK-CF-F-150 debtPaymentsCountedAsExpenses → MK-CF-O-002 expenses → MK-PL-F-050 simulate → MK-PL-F-069 oddsAt → MK-PL-F-039 spendMoreSentence
7. MK-ST-F-052 toNum → MK-CF-F-150 debtPaymentsCountedAsExpenses → MK-CF-O-002 expenses → MK-PL-F-050 simulate → MK-PL-F-069 oddsAt → MK-PL-F-039 spendMoreSentence
8. MK-CF-F-191 ym → MK-CF-F-150 debtPaymentsCountedAsExpenses → MK-CF-O-002 expenses → MK-PL-F-050 simulate → MK-PL-F-069 oddsAt → MK-PL-F-039 spendMoreSentence
9. … and 4 more paths</t>
        </is>
      </c>
      <c r="S438" s="3" t="inlineStr">
        <is>
          <t>—</t>
        </is>
      </c>
      <c r="T438" s="3" t="inlineStr">
        <is>
          <t>—</t>
        </is>
      </c>
      <c r="U438" s="3" t="inlineStr">
        <is>
          <t>ACTIVE</t>
        </is>
      </c>
      <c r="V438" s="3" t="inlineStr">
        <is>
          <t>2026-09-14</t>
        </is>
      </c>
      <c r="W438" s="3" t="n"/>
      <c r="X438" s="3" t="n"/>
      <c r="Y438" s="3" t="inlineStr">
        <is>
          <t>NOTHING OPEN</t>
        </is>
      </c>
    </row>
    <row r="439" ht="60" customHeight="1">
      <c r="A439" s="3" t="inlineStr">
        <is>
          <t>MK-PL-F-040</t>
        </is>
      </c>
      <c r="B439" s="3" t="inlineStr">
        <is>
          <t>targetAtRetirement</t>
        </is>
      </c>
      <c r="C439" s="3" t="inlineStr">
        <is>
          <t>src/domain/planning/target.ts</t>
        </is>
      </c>
      <c r="D439" s="3" t="n">
        <v>107</v>
      </c>
      <c r="E439" s="3" t="inlineStr">
        <is>
          <t>2 · DISPLAYED</t>
        </is>
      </c>
      <c r="F439" s="3" t="inlineStr">
        <is>
          <t>THE TARGET: the balance on day one of retirement that reaches TARGET_ODDS.</t>
        </is>
      </c>
      <c r="G439" s="11"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439"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439" s="3" t="inlineStr">
        <is>
          <t>PARTLY READ — the body has a loop the extractor cannot render; the steps shown are the ones before it. Needs a hand pass (G23).</t>
        </is>
      </c>
      <c r="J439" s="3" t="inlineStr">
        <is>
          <t>base: RetirementInputs</t>
        </is>
      </c>
      <c r="K439" s="3" t="inlineStr">
        <is>
          <t>number | null</t>
        </is>
      </c>
      <c r="L439" s="3" t="inlineStr">
        <is>
          <t>NOT FOUND — a screen calls it, but the words printed beside its answer could not be traced automatically. Needs reading.</t>
        </is>
      </c>
      <c r="M439" s="3" t="inlineStr">
        <is>
          <t>None found in this function — anything it assumes comes from the functions it depends on.</t>
        </is>
      </c>
      <c r="N439" s="3" t="inlineStr">
        <is>
          <t>Yes</t>
        </is>
      </c>
      <c r="O439" s="3" t="inlineStr">
        <is>
          <t>1. MK-CF-O-002 expenses
2. MK-PL-F-071 oddsOf
3. MK-PL-F-070 smallestThatWorks</t>
        </is>
      </c>
      <c r="P439" s="3" t="n">
        <v>24</v>
      </c>
      <c r="Q439" s="3" t="inlineStr">
        <is>
          <t>1. MK-CF-O-002 expenses
2. MK-PL-F-071 oddsOf
3. MK-PL-F-070 smallestThatWorks
4. MK-CF-F-151 actualSpending
5. MK-CF-F-150 debtPaymentsCountedAsExpenses
6. MK-CF-F-153 radar
7. MK-CF-F-149 recurringDebtPayments
8. MK-PL-F-050 simulate
9. MK-CF-F-148 inMonth
10. MK-ST-F-052 toNum
11. MK-CF-F-191 ym
12. MK-ST-F-056 has
13. MK-CF-F-022 paymentShape
14. MK-CF-F-152 isRadarItem
15. MK-CF-F-023 requiredPayment
16. MK-CF-F-132 map
17. MK-PL-F-074 median
18. MK-PL-F-072 mulberry32
19. MK-XS-F-122 n
20. MK-PL-F-073 normal
21. MK-PL-F-075 pctOfSorted
22. MK-ST-F-025 rmdStartAgeFromAge
23. MK-CF-F-021 defaultPaymentType
24. MK-ST-F-024 rmdStartAge</t>
        </is>
      </c>
      <c r="R439" s="3" t="inlineStr">
        <is>
          <t>1. MK-CF-F-191 ym → MK-CF-F-148 inMonth → MK-CF-F-151 actualSpending → MK-CF-O-002 expenses → MK-PL-F-040 targetAtRetirement
2. MK-XS-F-122 n → MK-ST-F-052 toNum → MK-CF-F-151 actualSpending → MK-CF-O-002 expenses → MK-PL-F-040 targetAtRetirement
3. MK-CF-F-191 ym → MK-CF-F-151 actualSpending → MK-CF-O-002 expenses → MK-PL-F-040 targetAtRetirement
4. MK-ST-F-056 has → MK-CF-F-150 debtPaymentsCountedAsExpenses → MK-CF-O-002 expenses → MK-PL-F-040 targetAtRetirement
5. MK-CF-F-191 ym → MK-CF-F-148 inMonth → MK-CF-F-150 debtPaymentsCountedAsExpenses → MK-CF-O-002 expenses → MK-PL-F-040 targetAtRetirement
6. MK-CF-F-021 defaultPaymentType → MK-CF-F-022 paymentShape → MK-CF-F-150 debtPaymentsCountedAsExpenses → MK-CF-O-002 expenses → MK-PL-F-040 targetAtRetirement
7. MK-XS-F-122 n → MK-ST-F-052 toNum → MK-CF-F-150 debtPaymentsCountedAsExpenses → MK-CF-O-002 expenses → MK-PL-F-040 targetAtRetirement
8. MK-CF-F-191 ym → MK-CF-F-150 debtPaymentsCountedAsExpenses → MK-CF-O-002 expenses → MK-PL-F-040 targetAtRetirement
9. … and 5 more paths</t>
        </is>
      </c>
      <c r="S439" s="3" t="inlineStr">
        <is>
          <t>—</t>
        </is>
      </c>
      <c r="T439" s="3" t="inlineStr">
        <is>
          <t>—</t>
        </is>
      </c>
      <c r="U439" s="3" t="inlineStr">
        <is>
          <t>ACTIVE</t>
        </is>
      </c>
      <c r="V439" s="3" t="inlineStr">
        <is>
          <t>2026-09-14</t>
        </is>
      </c>
      <c r="W439" s="3" t="n"/>
      <c r="X439" s="3" t="n"/>
      <c r="Y439" s="3" t="inlineStr">
        <is>
          <t>NOTHING OPEN</t>
        </is>
      </c>
    </row>
    <row r="440" ht="60" customHeight="1">
      <c r="A440" s="3" t="inlineStr">
        <is>
          <t>MK-PL-F-041</t>
        </is>
      </c>
      <c r="B440" s="3" t="inlineStr">
        <is>
          <t>requiredAnnualSaving</t>
        </is>
      </c>
      <c r="C440" s="3" t="inlineStr">
        <is>
          <t>src/domain/planning/target.ts</t>
        </is>
      </c>
      <c r="D440" s="3" t="n">
        <v>161</v>
      </c>
      <c r="E440" s="3" t="inlineStr">
        <is>
          <t>3 · DEPENDENT</t>
        </is>
      </c>
      <c r="F440" s="3" t="inlineStr">
        <is>
          <t>THE YEARLY SAVING: the total annual contribution that reaches TARGET_ODDS on the real plan — the one with their age, their years left, their expenses, their big costs.</t>
        </is>
      </c>
      <c r="G440" s="11"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440"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440" s="3" t="inlineStr">
        <is>
          <t>PARTLY READ — the body has a loop the extractor cannot render; the steps shown are the ones before it. Needs a hand pass (G23).</t>
        </is>
      </c>
      <c r="J440" s="3" t="inlineStr">
        <is>
          <t>base: RetirementInputs</t>
        </is>
      </c>
      <c r="K440" s="3" t="inlineStr">
        <is>
          <t>NOT DECLARED — the code does not say what it gives back</t>
        </is>
      </c>
      <c r="L440" s="3" t="inlineStr">
        <is>
          <t>—</t>
        </is>
      </c>
      <c r="M440" s="3" t="inlineStr">
        <is>
          <t>· If annual contribution is missing it uses 0.</t>
        </is>
      </c>
      <c r="N440" s="3" t="inlineStr">
        <is>
          <t>Yes</t>
        </is>
      </c>
      <c r="O440" s="3" t="inlineStr">
        <is>
          <t>1. MK-PL-F-071 oddsOf
2. MK-PL-F-070 smallestThatWorks</t>
        </is>
      </c>
      <c r="P440" s="3" t="n">
        <v>24</v>
      </c>
      <c r="Q440" s="3" t="inlineStr">
        <is>
          <t>1. MK-PL-F-071 oddsOf
2. MK-PL-F-070 smallestThatWorks
3. MK-PL-F-050 simulate
4. MK-CF-O-002 expenses
5. MK-CF-F-132 map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40" s="3" t="inlineStr">
        <is>
          <t>1. MK-CF-F-148 inMonth → MK-CF-F-151 actualSpending → MK-CF-O-002 expenses → MK-PL-F-050 simulate → MK-PL-F-071 oddsOf → MK-PL-F-041 requiredAnnualSaving
2. MK-ST-F-052 toNum → MK-CF-F-151 actualSpending → MK-CF-O-002 expenses → MK-PL-F-050 simulate → MK-PL-F-071 oddsOf → MK-PL-F-041 requiredAnnualSaving
3. MK-CF-F-191 ym → MK-CF-F-151 actualSpending → MK-CF-O-002 expenses → MK-PL-F-050 simulate → MK-PL-F-071 oddsOf → MK-PL-F-041 requiredAnnualSaving
4. MK-ST-F-056 has → MK-CF-F-150 debtPaymentsCountedAsExpenses → MK-CF-O-002 expenses → MK-PL-F-050 simulate → MK-PL-F-071 oddsOf → MK-PL-F-041 requiredAnnualSaving
5. MK-CF-F-148 inMonth → MK-CF-F-150 debtPaymentsCountedAsExpenses → MK-CF-O-002 expenses → MK-PL-F-050 simulate → MK-PL-F-071 oddsOf → MK-PL-F-041 requiredAnnualSaving
6. MK-CF-F-022 paymentShape → MK-CF-F-150 debtPaymentsCountedAsExpenses → MK-CF-O-002 expenses → MK-PL-F-050 simulate → MK-PL-F-071 oddsOf → MK-PL-F-041 requiredAnnualSaving
7. MK-ST-F-052 toNum → MK-CF-F-150 debtPaymentsCountedAsExpenses → MK-CF-O-002 expenses → MK-PL-F-050 simulate → MK-PL-F-071 oddsOf → MK-PL-F-041 requiredAnnualSaving
8. MK-CF-F-191 ym → MK-CF-F-150 debtPaymentsCountedAsExpenses → MK-CF-O-002 expenses → MK-PL-F-050 simulate → MK-PL-F-071 oddsOf → MK-PL-F-041 requiredAnnualSaving
9. … and 5 more paths</t>
        </is>
      </c>
      <c r="S440" s="3" t="inlineStr">
        <is>
          <t>—</t>
        </is>
      </c>
      <c r="T440" s="3" t="inlineStr">
        <is>
          <t>—</t>
        </is>
      </c>
      <c r="U440" s="3" t="inlineStr">
        <is>
          <t>ACTIVE</t>
        </is>
      </c>
      <c r="V440" s="3" t="inlineStr">
        <is>
          <t>2026-09-14</t>
        </is>
      </c>
      <c r="W440" s="3" t="n"/>
      <c r="X440" s="3" t="n"/>
      <c r="Y440" s="3" t="inlineStr">
        <is>
          <t>NOTHING OPEN</t>
        </is>
      </c>
    </row>
    <row r="441" ht="60" customHeight="1">
      <c r="A441" s="3" t="inlineStr">
        <is>
          <t>MK-PL-F-042</t>
        </is>
      </c>
      <c r="B441" s="3" t="inlineStr">
        <is>
          <t>savingToReachTarget</t>
        </is>
      </c>
      <c r="C441" s="3" t="inlineStr">
        <is>
          <t>src/domain/planning/target.ts</t>
        </is>
      </c>
      <c r="D441" s="3" t="n">
        <v>220</v>
      </c>
      <c r="E441" s="3" t="inlineStr">
        <is>
          <t>3 · DEPENDENT</t>
        </is>
      </c>
      <c r="F441" s="3" t="inlineStr">
        <is>
          <t>The yearly saving whose PROJECTION reaches a typed target.</t>
        </is>
      </c>
      <c r="G441" s="11" t="inlineStr">
        <is>
          <t>found = smallest that works(0, MAX_SAVING, 500, (x) =&gt; projected with(x) ≥ typed target)
nothing   when found = nothing
total = round up(found ÷ 500) × 500
the answer:
total = total
extra = max(0, total − (base.annual contribution ?? 0))</t>
        </is>
      </c>
      <c r="H441"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441" s="3" t="inlineStr">
        <is>
          <t>PARTLY READ — some of the code is still showing through; needs a hand pass</t>
        </is>
      </c>
      <c r="J441" s="3" t="inlineStr">
        <is>
          <t>1. base: RetirementInputs
2. typedTarget: number</t>
        </is>
      </c>
      <c r="K441" s="3" t="inlineStr">
        <is>
          <t>NOT DECLARED — the code does not say what it gives back</t>
        </is>
      </c>
      <c r="L441" s="3" t="inlineStr">
        <is>
          <t>—</t>
        </is>
      </c>
      <c r="M441" s="3" t="inlineStr">
        <is>
          <t>· If annual contribution is missing it uses 0.</t>
        </is>
      </c>
      <c r="N441" s="3" t="inlineStr">
        <is>
          <t>Yes</t>
        </is>
      </c>
      <c r="O441" s="3" t="inlineStr">
        <is>
          <t>1. MK-PL-F-050 simulate
2. MK-PL-F-070 smallestThatWorks</t>
        </is>
      </c>
      <c r="P441" s="3" t="n">
        <v>23</v>
      </c>
      <c r="Q441" s="3" t="inlineStr">
        <is>
          <t>1. MK-PL-F-050 simulate
2. MK-PL-F-070 smallestThatWorks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1" s="3" t="inlineStr">
        <is>
          <t>1. MK-CF-F-191 ym → MK-CF-F-148 inMonth → MK-CF-F-151 actualSpending → MK-CF-O-002 expenses → MK-PL-F-050 simulate → MK-PL-F-042 savingToReachTarget
2. MK-XS-F-122 n → MK-ST-F-052 toNum → MK-CF-F-151 actualSpending → MK-CF-O-002 expenses → MK-PL-F-050 simulate → MK-PL-F-042 savingToReachTarget
3. MK-CF-F-191 ym → MK-CF-F-151 actualSpending → MK-CF-O-002 expenses → MK-PL-F-050 simulate → MK-PL-F-042 savingToReachTarget
4. MK-ST-F-056 has → MK-CF-F-150 debtPaymentsCountedAsExpenses → MK-CF-O-002 expenses → MK-PL-F-050 simulate → MK-PL-F-042 savingToReachTarget
5. MK-CF-F-191 ym → MK-CF-F-148 inMonth → MK-CF-F-150 debtPaymentsCountedAsExpenses → MK-CF-O-002 expenses → MK-PL-F-050 simulate → MK-PL-F-042 savingToReachTarget
6. MK-CF-F-021 defaultPaymentType → MK-CF-F-022 paymentShape → MK-CF-F-150 debtPaymentsCountedAsExpenses → MK-CF-O-002 expenses → MK-PL-F-050 simulate → MK-PL-F-042 savingToReachTarget
7. MK-XS-F-122 n → MK-ST-F-052 toNum → MK-CF-F-150 debtPaymentsCountedAsExpenses → MK-CF-O-002 expenses → MK-PL-F-050 simulate → MK-PL-F-042 savingToReachTarget
8. MK-CF-F-191 ym → MK-CF-F-150 debtPaymentsCountedAsExpenses → MK-CF-O-002 expenses → MK-PL-F-050 simulate → MK-PL-F-042 savingToReachTarget
9. … and 5 more paths</t>
        </is>
      </c>
      <c r="S441" s="3" t="inlineStr">
        <is>
          <t>—</t>
        </is>
      </c>
      <c r="T441" s="3" t="inlineStr">
        <is>
          <t>—</t>
        </is>
      </c>
      <c r="U441" s="3" t="inlineStr">
        <is>
          <t>ACTIVE</t>
        </is>
      </c>
      <c r="V441" s="3" t="inlineStr">
        <is>
          <t>2026-08-27</t>
        </is>
      </c>
      <c r="W441" s="3" t="n"/>
      <c r="X441" s="3" t="n"/>
      <c r="Y441" s="3" t="inlineStr">
        <is>
          <t>NOTHING OPEN</t>
        </is>
      </c>
    </row>
    <row r="442" ht="60" customHeight="1">
      <c r="A442" s="3" t="inlineStr">
        <is>
          <t>MK-PL-F-043</t>
        </is>
      </c>
      <c r="B442" s="3" t="inlineStr">
        <is>
          <t>howTheGapCloses</t>
        </is>
      </c>
      <c r="C442" s="3" t="inlineStr">
        <is>
          <t>src/domain/planning/target.ts</t>
        </is>
      </c>
      <c r="D442" s="3" t="n">
        <v>254</v>
      </c>
      <c r="E442" s="3" t="inlineStr">
        <is>
          <t>2 · DISPLAYED</t>
        </is>
      </c>
      <c r="F442" s="3" t="inlineStr">
        <is>
          <t>Where the money to close the gap actually comes from — the breakdown that stops a person subtracting and concluding the app cannot add up (founder, 2026-08-14).</t>
        </is>
      </c>
      <c r="G442" s="11" t="inlineStr">
        <is>
          <t>years = max(0, base.retire age − base.current age)
no saving = simulate({ ...base, annual contribution: 0 }).projected at retirement
with saving = simulate({ ...base, annual contribution: total annual saving }).projected at retirement
put in = total annual saving × years</t>
        </is>
      </c>
      <c r="H442"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442" s="3" t="inlineStr">
        <is>
          <t>PARTLY READ — some of the code is still showing through; needs a hand pass</t>
        </is>
      </c>
      <c r="J442" s="3" t="inlineStr">
        <is>
          <t>1. base: RetirementInputs
2. totalAnnualSaving: number</t>
        </is>
      </c>
      <c r="K442" s="3" t="inlineStr">
        <is>
          <t>NOT DECLARED — the code does not say what it gives back</t>
        </is>
      </c>
      <c r="L442" s="3" t="inlineStr">
        <is>
          <t>NOT FOUND — a screen calls it, but the words printed beside its answer could not be traced automatically. Needs reading.</t>
        </is>
      </c>
      <c r="M442" s="3" t="inlineStr">
        <is>
          <t>None found in this function — anything it assumes comes from the functions it depends on.</t>
        </is>
      </c>
      <c r="N442" s="3" t="inlineStr">
        <is>
          <t>Yes</t>
        </is>
      </c>
      <c r="O442" s="3" t="inlineStr">
        <is>
          <t>1. MK-XS-F-147 call
2. MK-PL-F-050 simulate</t>
        </is>
      </c>
      <c r="P442" s="3" t="n">
        <v>26</v>
      </c>
      <c r="Q442" s="3" t="inlineStr">
        <is>
          <t>1. MK-XS-F-147 call
2. MK-PL-F-050 simulate
3. MK-ST-F-027 accountId
4. MK-XS-F-064 currentIdToken
5. MK-XS-F-112 relayUrl
6. MK-CF-O-002 expenses
7. MK-CF-F-132 map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42" s="3" t="inlineStr">
        <is>
          <t>1. MK-ST-F-027 accountId → MK-XS-F-147 call → MK-PL-F-043 howTheGapCloses
2. MK-XS-F-064 currentIdToken → MK-XS-F-147 call → MK-PL-F-043 howTheGapCloses
3. MK-XS-F-112 relayUrl → MK-XS-F-147 call → MK-PL-F-043 howTheGapCloses
4. MK-CF-F-191 ym → MK-CF-F-148 inMonth → MK-CF-F-151 actualSpending → MK-CF-O-002 expenses → MK-PL-F-050 simulate → MK-PL-F-043 howTheGapCloses
5. MK-XS-F-122 n → MK-ST-F-052 toNum → MK-CF-F-151 actualSpending → MK-CF-O-002 expenses → MK-PL-F-050 simulate → MK-PL-F-043 howTheGapCloses
6. MK-CF-F-191 ym → MK-CF-F-151 actualSpending → MK-CF-O-002 expenses → MK-PL-F-050 simulate → MK-PL-F-043 howTheGapCloses
7. MK-ST-F-056 has → MK-CF-F-150 debtPaymentsCountedAsExpenses → MK-CF-O-002 expenses → MK-PL-F-050 simulate → MK-PL-F-043 howTheGapCloses
8. MK-CF-F-191 ym → MK-CF-F-148 inMonth → MK-CF-F-150 debtPaymentsCountedAsExpenses → MK-CF-O-002 expenses → MK-PL-F-050 simulate → MK-PL-F-043 howTheGapCloses
9. … and 4 more paths</t>
        </is>
      </c>
      <c r="S442" s="3" t="inlineStr">
        <is>
          <t>—</t>
        </is>
      </c>
      <c r="T442" s="3" t="inlineStr">
        <is>
          <t>—</t>
        </is>
      </c>
      <c r="U442" s="3" t="inlineStr">
        <is>
          <t>ACTIVE</t>
        </is>
      </c>
      <c r="V442" s="3" t="inlineStr">
        <is>
          <t>2026-09-09</t>
        </is>
      </c>
      <c r="W442" s="3" t="n"/>
      <c r="X442" s="3" t="n"/>
      <c r="Y442" s="3" t="inlineStr">
        <is>
          <t>NOTHING OPEN</t>
        </is>
      </c>
    </row>
    <row r="443" ht="60" customHeight="1">
      <c r="A443" s="3" t="inlineStr">
        <is>
          <t>MK-PL-F-044</t>
        </is>
      </c>
      <c r="B443" s="3" t="inlineStr">
        <is>
          <t>planTarget</t>
        </is>
      </c>
      <c r="C443" s="3" t="inlineStr">
        <is>
          <t>src/domain/planning/target.ts</t>
        </is>
      </c>
      <c r="D443" s="3" t="n">
        <v>323</v>
      </c>
      <c r="E443" s="3" t="inlineStr">
        <is>
          <t>2 · DISPLAYED</t>
        </is>
      </c>
      <c r="F443" s="3" t="inlineStr">
        <is>
          <t>One call, everything the second gauge and the bridge sentence need.</t>
        </is>
      </c>
      <c r="G443" s="11"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443"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443" s="3" t="inlineStr">
        <is>
          <t>PARTLY READ — some of the code is still showing through; needs a hand pass</t>
        </is>
      </c>
      <c r="J443" s="3" t="inlineStr">
        <is>
          <t>1. base: RetirementInputs
2. annualIncome?: number
3. roomAnnual?: number
4. typedTarget?: number | null</t>
        </is>
      </c>
      <c r="K443" s="3" t="inlineStr">
        <is>
          <t>PlanTarget</t>
        </is>
      </c>
      <c r="L443" s="3" t="inlineStr">
        <is>
          <t>NOT FOUND — a screen calls it, but the words printed beside its answer could not be traced automatically. Needs reading.</t>
        </is>
      </c>
      <c r="M443" s="3" t="inlineStr">
        <is>
          <t>1. If annual contribution is missing it uses 0.
2. Rounds the answer to a whole number.</t>
        </is>
      </c>
      <c r="N443" s="3" t="inlineStr">
        <is>
          <t>Yes</t>
        </is>
      </c>
      <c r="O443" s="3" t="inlineStr">
        <is>
          <t>1. MK-PL-F-041 requiredAnnualSaving
2. MK-PL-F-042 savingToReachTarget
3. MK-PL-F-050 simulate
4. MK-PL-F-040 targetAtRetirement</t>
        </is>
      </c>
      <c r="P443" s="3" t="n">
        <v>27</v>
      </c>
      <c r="Q443" s="3" t="inlineStr">
        <is>
          <t>1. MK-PL-F-041 requiredAnnualSaving
2. MK-PL-F-042 savingToReachTarget
3. MK-PL-F-050 simulate
4. MK-PL-F-040 targetAtRetirement
5. MK-PL-F-071 oddsOf
6. MK-PL-F-070 smallestThatWorks
7. MK-CF-O-002 expenses
8. MK-CF-F-132 map
9. MK-PL-F-074 median
10. MK-PL-F-072 mulberry32
11. MK-XS-F-122 n
12. MK-PL-F-073 normal
13. MK-PL-F-075 pctOfSorted
14. MK-ST-F-025 rmdStartAgeFromAge
15. MK-CF-F-151 actualSpending
16. MK-CF-F-150 debtPaymentsCountedAsExpenses
17. MK-CF-F-153 radar
18. MK-CF-F-149 recurringDebtPayments
19. MK-ST-F-024 rmdStartAge
20. MK-CF-F-148 inMonth
21. MK-ST-F-052 toNum
22. MK-CF-F-191 ym
23. MK-ST-F-056 has
24. MK-CF-F-022 paymentShape
25. MK-CF-F-152 isRadarItem
26. MK-CF-F-023 requiredPayment
27. MK-CF-F-021 defaultPaymentType</t>
        </is>
      </c>
      <c r="R443" s="3" t="inlineStr">
        <is>
          <t>1. MK-CF-F-151 actualSpending → MK-CF-O-002 expenses → MK-PL-F-050 simulate → MK-PL-F-071 oddsOf → MK-PL-F-041 requiredAnnualSaving → MK-PL-F-044 planTarget
2. MK-CF-F-150 debtPaymentsCountedAsExpenses → MK-CF-O-002 expenses → MK-PL-F-050 simulate → MK-PL-F-071 oddsOf → MK-PL-F-041 requiredAnnualSaving → MK-PL-F-044 planTarget
3. MK-CF-F-153 radar → MK-CF-O-002 expenses → MK-PL-F-050 simulate → MK-PL-F-071 oddsOf → MK-PL-F-041 requiredAnnualSaving → MK-PL-F-044 planTarget
4. MK-CF-F-149 recurringDebtPayments → MK-CF-O-002 expenses → MK-PL-F-050 simulate → MK-PL-F-071 oddsOf → MK-PL-F-041 requiredAnnualSaving → MK-PL-F-044 planTarget
5. MK-CF-F-132 map → MK-PL-F-050 simulate → MK-PL-F-071 oddsOf → MK-PL-F-041 requiredAnnualSaving → MK-PL-F-044 planTarget
6. MK-PL-F-074 median → MK-PL-F-050 simulate → MK-PL-F-071 oddsOf → MK-PL-F-041 requiredAnnualSaving → MK-PL-F-044 planTarget
7. MK-PL-F-072 mulberry32 → MK-PL-F-050 simulate → MK-PL-F-071 oddsOf → MK-PL-F-041 requiredAnnualSaving → MK-PL-F-044 planTarget
8. MK-XS-F-122 n → MK-PL-F-050 simulate → MK-PL-F-071 oddsOf → MK-PL-F-041 requiredAnnualSaving → MK-PL-F-044 planTarget
9. … and 5 more paths</t>
        </is>
      </c>
      <c r="S443" s="3" t="inlineStr">
        <is>
          <t>—</t>
        </is>
      </c>
      <c r="T443" s="3" t="inlineStr">
        <is>
          <t>—</t>
        </is>
      </c>
      <c r="U443" s="3" t="inlineStr">
        <is>
          <t>ACTIVE</t>
        </is>
      </c>
      <c r="V443" s="3" t="inlineStr">
        <is>
          <t>2026-09-09</t>
        </is>
      </c>
      <c r="W443" s="3" t="n"/>
      <c r="X443" s="3" t="n"/>
      <c r="Y443" s="3" t="inlineStr">
        <is>
          <t>NOTHING OPEN</t>
        </is>
      </c>
    </row>
    <row r="444" ht="60" customHeight="1">
      <c r="A444" s="3" t="inlineStr">
        <is>
          <t>MK-PL-F-045</t>
        </is>
      </c>
      <c r="B444" s="3" t="inlineStr">
        <is>
          <t>ssUpliftFactor</t>
        </is>
      </c>
      <c r="C444" s="3" t="inlineStr">
        <is>
          <t>src/domain/planning/target.ts</t>
        </is>
      </c>
      <c r="D444" s="3" t="n">
        <v>382</v>
      </c>
      <c r="E444" s="3" t="inlineStr">
        <is>
          <t>3 · DEPENDENT</t>
        </is>
      </c>
      <c r="F444" s="3" t="inlineStr">
        <is>
          <t>Social Security pays roughly 8% more for each year you delay past full retirement age — the claim-later lever has to raise the CHECK, not just move its start date.</t>
        </is>
      </c>
      <c r="G444" s="11" t="inlineStr">
        <is>
          <t>1 + 0.08 × max(0, to age − from age)</t>
        </is>
      </c>
      <c r="H444" s="3" t="inlineStr">
        <is>
          <t>1 plus 0.08 times to age minus from age, never below zero.</t>
        </is>
      </c>
      <c r="I444" s="3" t="inlineStr">
        <is>
          <t>READ FROM THE CODE — rendered from the expressions the function runs</t>
        </is>
      </c>
      <c r="J444" s="3" t="inlineStr">
        <is>
          <t>1. fromAge: number
2. toAge: number</t>
        </is>
      </c>
      <c r="K444" s="3" t="inlineStr">
        <is>
          <t>number</t>
        </is>
      </c>
      <c r="L444" s="3" t="inlineStr">
        <is>
          <t>—</t>
        </is>
      </c>
      <c r="M444" s="3" t="inlineStr">
        <is>
          <t>None found in this function — anything it assumes comes from the functions it depends on.</t>
        </is>
      </c>
      <c r="N444" s="3" t="inlineStr">
        <is>
          <t>Yes</t>
        </is>
      </c>
      <c r="O444" s="3" t="inlineStr">
        <is>
          <t>—</t>
        </is>
      </c>
      <c r="P444" s="3" t="n">
        <v>0</v>
      </c>
      <c r="Q444" s="3" t="inlineStr">
        <is>
          <t>None — no dependent function stands behind it</t>
        </is>
      </c>
      <c r="R444" s="3" t="inlineStr">
        <is>
          <t>No dependent function — it reads its inputs and answers</t>
        </is>
      </c>
      <c r="S444" s="3" t="inlineStr">
        <is>
          <t>—</t>
        </is>
      </c>
      <c r="T444" s="3" t="inlineStr">
        <is>
          <t>—</t>
        </is>
      </c>
      <c r="U444" s="3" t="inlineStr">
        <is>
          <t>ACTIVE</t>
        </is>
      </c>
      <c r="V444" s="3" t="inlineStr">
        <is>
          <t>2026-08-27</t>
        </is>
      </c>
      <c r="W444" s="3" t="n"/>
      <c r="X444" s="3" t="n"/>
      <c r="Y444" s="3" t="inlineStr">
        <is>
          <t>NOTHING OPEN</t>
        </is>
      </c>
    </row>
    <row r="445" ht="60" customHeight="1">
      <c r="A445" s="3" t="inlineStr">
        <is>
          <t>MK-PL-F-046</t>
        </is>
      </c>
      <c r="B445" s="3" t="inlineStr">
        <is>
          <t>leverDeltas</t>
        </is>
      </c>
      <c r="C445" s="3" t="inlineStr">
        <is>
          <t>src/domain/planning/target.ts</t>
        </is>
      </c>
      <c r="D445" s="3" t="n">
        <v>417</v>
      </c>
      <c r="E445" s="3" t="inlineStr">
        <is>
          <t>2 · DISPLAYED</t>
        </is>
      </c>
      <c r="F445" s="3" t="inlineStr">
        <is>
          <t>NOT DETERMINED — the code carries no note saying what this is for, and it has no row in the old inventory. Needs reading.</t>
        </is>
      </c>
      <c r="G445" s="11"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445"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445" s="3" t="inlineStr">
        <is>
          <t>PARTLY READ — some of the code is still showing through; needs a hand pass</t>
        </is>
      </c>
      <c r="J445" s="3" t="inlineStr">
        <is>
          <t>1. base: RetirementInputs
2. opts: { spendCutMonthly?: number; retireLaterYears?: number; claimAge?: number } = {}</t>
        </is>
      </c>
      <c r="K445" s="3" t="inlineStr">
        <is>
          <t>Lever[]</t>
        </is>
      </c>
      <c r="L445" s="3" t="inlineStr">
        <is>
          <t>NOT FOUND — a screen calls it, but the words printed beside its answer could not be traced automatically. Needs reading.</t>
        </is>
      </c>
      <c r="M445" s="3" t="inlineStr">
        <is>
          <t>1. If retire later years is missing it uses 2.
2. If spend cut monthly is missing it uses 400.
3. If claim age is missing it uses 70.
4. If guaranteed monthly income is missing it uses 0.
5. Rounds the answer to a whole number.</t>
        </is>
      </c>
      <c r="N445" s="3" t="inlineStr">
        <is>
          <t>Yes</t>
        </is>
      </c>
      <c r="O445" s="3" t="inlineStr">
        <is>
          <t>1. MK-CF-F-132 map
2. MK-PL-F-071 oddsOf
3. MK-PL-F-051 ssStreamOf
4. MK-PL-F-045 ssUpliftFactor
5. MK-PL-F-052 withSsStream</t>
        </is>
      </c>
      <c r="P445" s="3" t="n">
        <v>26</v>
      </c>
      <c r="Q445" s="3" t="inlineStr">
        <is>
          <t>1. MK-CF-F-132 map
2. MK-PL-F-071 oddsOf
3. MK-PL-F-051 ssStreamOf
4. MK-PL-F-045 ssUpliftFactor
5. MK-PL-F-052 withSsStream
6. MK-PL-F-050 simulate
7. MK-CF-O-002 expenses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45" s="3" t="inlineStr">
        <is>
          <t>1. MK-CF-F-132 map → MK-PL-F-046 leverDeltas
2. MK-CF-F-148 inMonth → MK-CF-F-151 actualSpending → MK-CF-O-002 expenses → MK-PL-F-050 simulate → MK-PL-F-071 oddsOf → MK-PL-F-046 leverDeltas
3. MK-ST-F-052 toNum → MK-CF-F-151 actualSpending → MK-CF-O-002 expenses → MK-PL-F-050 simulate → MK-PL-F-071 oddsOf → MK-PL-F-046 leverDeltas
4. MK-CF-F-191 ym → MK-CF-F-151 actualSpending → MK-CF-O-002 expenses → MK-PL-F-050 simulate → MK-PL-F-071 oddsOf → MK-PL-F-046 leverDeltas
5. MK-ST-F-056 has → MK-CF-F-150 debtPaymentsCountedAsExpenses → MK-CF-O-002 expenses → MK-PL-F-050 simulate → MK-PL-F-071 oddsOf → MK-PL-F-046 leverDeltas
6. MK-CF-F-148 inMonth → MK-CF-F-150 debtPaymentsCountedAsExpenses → MK-CF-O-002 expenses → MK-PL-F-050 simulate → MK-PL-F-071 oddsOf → MK-PL-F-046 leverDeltas
7. MK-CF-F-022 paymentShape → MK-CF-F-150 debtPaymentsCountedAsExpenses → MK-CF-O-002 expenses → MK-PL-F-050 simulate → MK-PL-F-071 oddsOf → MK-PL-F-046 leverDeltas
8. MK-ST-F-052 toNum → MK-CF-F-150 debtPaymentsCountedAsExpenses → MK-CF-O-002 expenses → MK-PL-F-050 simulate → MK-PL-F-071 oddsOf → MK-PL-F-046 leverDeltas
9. … and 5 more paths</t>
        </is>
      </c>
      <c r="S445" s="3" t="inlineStr">
        <is>
          <t>—</t>
        </is>
      </c>
      <c r="T445" s="3" t="inlineStr">
        <is>
          <t>—</t>
        </is>
      </c>
      <c r="U445" s="3" t="inlineStr">
        <is>
          <t>ACTIVE</t>
        </is>
      </c>
      <c r="V445" s="3" t="inlineStr">
        <is>
          <t>2026-08-27</t>
        </is>
      </c>
      <c r="W445" s="3" t="n"/>
      <c r="X445" s="3" t="n"/>
      <c r="Y445" s="3" t="inlineStr">
        <is>
          <t>NOTHING OPEN</t>
        </is>
      </c>
    </row>
    <row r="446" ht="60" customHeight="1">
      <c r="A446" s="3" t="inlineStr">
        <is>
          <t>MK-PL-F-047</t>
        </is>
      </c>
      <c r="B446" s="3" t="inlineStr">
        <is>
          <t>colFactor</t>
        </is>
      </c>
      <c r="C446" s="3" t="inlineStr">
        <is>
          <t>src/domain/retirement/col.ts</t>
        </is>
      </c>
      <c r="D446" s="3" t="n">
        <v>79</v>
      </c>
      <c r="E446" s="3" t="inlineStr">
        <is>
          <t>2 · DISPLAYED</t>
        </is>
      </c>
      <c r="F446" s="3" t="inlineStr">
        <is>
          <t>Cost-of-living factor for a free-text location.</t>
        </is>
      </c>
      <c r="G446" s="11" t="inlineStr">
        <is>
          <t>q = string(location ?? '').trim().to lower case()
factor = 1
name = nothing   when q is missing
the answer:
factor = row.factor
name = row.name
[LOOP — the answer is found inside a loop the extractor cannot render; the steps above are the ones before it. Read by hand.]</t>
        </is>
      </c>
      <c r="H446" s="3" t="inlineStr">
        <is>
          <t>Q is string(location ?? '').trim().to lower case(). When q is missing, it answers factor = 1; name is missing. The answer is factor = row.factor; name = row.name. The answer is found inside a loop that cannot be rendered here; read the code by hand.</t>
        </is>
      </c>
      <c r="I446" s="3" t="inlineStr">
        <is>
          <t>PARTLY READ — the body has a loop the extractor cannot render; the steps shown are the ones before it. Needs a hand pass (G23).</t>
        </is>
      </c>
      <c r="J446" s="3" t="inlineStr">
        <is>
          <t>location?: string | null</t>
        </is>
      </c>
      <c r="K446" s="3" t="inlineStr">
        <is>
          <t>ColMatch</t>
        </is>
      </c>
      <c r="L446" s="3" t="inlineStr">
        <is>
          <t>1. "Country / region" — on the setup questions, which appear on more than one screen
2. "You plan to spend" — on the Retirement cockpit screen</t>
        </is>
      </c>
      <c r="M446" s="3" t="inlineStr">
        <is>
          <t>None found in this function — anything it assumes comes from the functions it depends on.</t>
        </is>
      </c>
      <c r="N446" s="3" t="inlineStr">
        <is>
          <t>Yes</t>
        </is>
      </c>
      <c r="O446" s="3" t="inlineStr">
        <is>
          <t>—</t>
        </is>
      </c>
      <c r="P446" s="3" t="n">
        <v>0</v>
      </c>
      <c r="Q446" s="3" t="inlineStr">
        <is>
          <t>None — no dependent function stands behind it</t>
        </is>
      </c>
      <c r="R446" s="3" t="inlineStr">
        <is>
          <t>No dependent function — it reads its inputs and answers</t>
        </is>
      </c>
      <c r="S446" s="3" t="inlineStr">
        <is>
          <t>—</t>
        </is>
      </c>
      <c r="T446" s="3" t="inlineStr">
        <is>
          <t>COST_OF_LIVING</t>
        </is>
      </c>
      <c r="U446" s="3" t="inlineStr">
        <is>
          <t>ACTIVE</t>
        </is>
      </c>
      <c r="V446" s="3" t="inlineStr">
        <is>
          <t>2026-09-08</t>
        </is>
      </c>
      <c r="W446" s="3" t="n"/>
      <c r="X446" s="3" t="n"/>
      <c r="Y446" s="3" t="inlineStr">
        <is>
          <t>NOTHING OPEN</t>
        </is>
      </c>
    </row>
    <row r="447" ht="60" customHeight="1">
      <c r="A447" s="3" t="inlineStr">
        <is>
          <t>MK-PL-F-048</t>
        </is>
      </c>
      <c r="B447" s="3" t="inlineStr">
        <is>
          <t>capitalNeeded</t>
        </is>
      </c>
      <c r="C447" s="3" t="inlineStr">
        <is>
          <t>src/domain/retirement/index.ts</t>
        </is>
      </c>
      <c r="D447" s="3" t="n">
        <v>61</v>
      </c>
      <c r="E447" s="3" t="inlineStr">
        <is>
          <t>2 · DISPLAYED</t>
        </is>
      </c>
      <c r="F447" s="3" t="inlineStr">
        <is>
          <t>NOT DETERMINED — the code carries no note saying what this is for, and it has no row in the old inventory. Needs reading.</t>
        </is>
      </c>
      <c r="G447" s="11"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447"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447" s="3" t="inlineStr">
        <is>
          <t>PARTLY READ — some of the code is still showing through; needs a hand pass</t>
        </is>
      </c>
      <c r="J447" s="3" t="inlineStr">
        <is>
          <t>inp: CapitalNeedInputs</t>
        </is>
      </c>
      <c r="K447" s="3" t="inlineStr">
        <is>
          <t>CapitalNeed</t>
        </is>
      </c>
      <c r="L447"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447" s="3" t="inlineStr">
        <is>
          <t>1. Turns a monthly figure into a year by multiplying by twelve.
2. Never lets r fall below 0.</t>
        </is>
      </c>
      <c r="N447" s="3" t="inlineStr">
        <is>
          <t>Yes</t>
        </is>
      </c>
      <c r="O447" s="3" t="inlineStr">
        <is>
          <t>—</t>
        </is>
      </c>
      <c r="P447" s="3" t="n">
        <v>0</v>
      </c>
      <c r="Q447" s="3" t="inlineStr">
        <is>
          <t>None — no dependent function stands behind it</t>
        </is>
      </c>
      <c r="R447" s="3" t="inlineStr">
        <is>
          <t>No dependent function — it reads its inputs and answers</t>
        </is>
      </c>
      <c r="S447" s="3" t="inlineStr">
        <is>
          <t>—</t>
        </is>
      </c>
      <c r="T447" s="3" t="inlineStr">
        <is>
          <t>—</t>
        </is>
      </c>
      <c r="U447" s="3" t="inlineStr">
        <is>
          <t>ACTIVE</t>
        </is>
      </c>
      <c r="V447" s="3" t="inlineStr">
        <is>
          <t>2026-08-27</t>
        </is>
      </c>
      <c r="W447" s="3" t="n"/>
      <c r="X447" s="3" t="n"/>
      <c r="Y447" s="3" t="inlineStr">
        <is>
          <t>NOTHING OPEN</t>
        </is>
      </c>
    </row>
    <row r="448" ht="60" customHeight="1">
      <c r="A448" s="3" t="inlineStr">
        <is>
          <t>MK-PL-F-049</t>
        </is>
      </c>
      <c r="B448" s="3" t="inlineStr">
        <is>
          <t>retirementSpendMonthly</t>
        </is>
      </c>
      <c r="C448" s="3" t="inlineStr">
        <is>
          <t>src/domain/retirement/index.ts</t>
        </is>
      </c>
      <c r="D448" s="3" t="n">
        <v>113</v>
      </c>
      <c r="E448" s="3" t="inlineStr">
        <is>
          <t>2 · DISPLAYED</t>
        </is>
      </c>
      <c r="F448" s="3" t="inlineStr">
        <is>
          <t>All-in monthly retirement spend = base + travel + medical (annual→monthly), adjusted by the expected trajectory (spend less / same / more later) and the retirement location's cost-of-living factor (retLocation).</t>
        </is>
      </c>
      <c r="G448" s="11"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448"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448" s="3" t="inlineStr">
        <is>
          <t>PARTLY READ — some of the code is still showing through; needs a hand pass</t>
        </is>
      </c>
      <c r="J448" s="3" t="inlineStr">
        <is>
          <t>op: OnboardingProfile | null</t>
        </is>
      </c>
      <c r="K448" s="3" t="inlineStr">
        <is>
          <t>number</t>
        </is>
      </c>
      <c r="L448" s="3" t="inlineStr">
        <is>
          <t>NOT FOUND — a screen calls it, but the words printed beside its answer could not be traced automatically. Needs reading.</t>
        </is>
      </c>
      <c r="M448" s="3" t="inlineStr">
        <is>
          <t>None found in this function — anything it assumes comes from the functions it depends on.</t>
        </is>
      </c>
      <c r="N448" s="3" t="inlineStr">
        <is>
          <t>Yes</t>
        </is>
      </c>
      <c r="O448" s="3" t="inlineStr">
        <is>
          <t>1. MK-PL-F-047 colFactor
2. MK-CF-O-002 expenses
3. MK-PL-F-001 taxBucketSplit
4. MK-ST-F-052 toNum</t>
        </is>
      </c>
      <c r="P448" s="3" t="n">
        <v>53</v>
      </c>
      <c r="Q448" s="3" t="inlineStr">
        <is>
          <t>1. MK-PL-F-047 colFactor
2. MK-CF-O-002 expenses
3. MK-PL-F-001 taxBucketSplit
4. MK-ST-F-052 toNum
5. MK-CF-F-151 actualSpending
6. MK-CF-F-150 debtPaymentsCountedAsExpenses
7. MK-CF-F-153 radar
8. MK-CF-F-149 recurringDebtPayments
9. MK-NW-F-026 accountDisplayNames
10. MK-NW-F-032 earmarkedAmount
11. MK-NW-F-031 primaryCarIdOf
12. MK-NW-F-110 primaryHomeIdOf
13. MK-PL-F-086 splitBucketOf
14. MK-PL-F-087 taxTypeNotStated
15. MK-XS-F-122 n
16. MK-CF-F-148 inMonth
17. MK-CF-F-191 ym
18. MK-ST-F-056 has
19. MK-CF-F-022 paymentShape
20. MK-CF-F-152 isRadarItem
21. MK-CF-F-023 requiredPayment
22. MK-CF-F-132 map
23. MK-NW-F-025 accountDisplayName
24. MK-NW-F-030 earmarkDefault
25. MK-NW-F-134 carValueNotEnteredNotes
26. MK-NW-F-133 valueEntered
27. MK-NW-F-117 propertyUseMap
28. MK-NW-F-007 assetKind
29. MK-NW-F-012 taxTreatmentOf
30. MK-CF-F-021 defaultPaymentType
31. MK-NW-F-024 accountLastFour
32. MK-ST-F-039 on
33. MK-NW-F-023 wrapperWord
34. MK-NW-F-011 assetClassOf
35. MK-ST-F-053 money
36. MK-NW-F-033 retirementEarmarkedValue
37. MK-NW-F-116 rentedIdsOf
38. MK-CF-F-155 cash
39. MK-NW-F-120 classEvidenceOf
40. MK-ST-F-049 formatMoney
41. MK-NW-F-115 liveRent
42. MK-NW-F-008 incomeBearingClassOf
43. MK-NW-F-009 maturityClass
44. MK-ST-F-048 currencySymbol
45. MK-NW-F-114 rentAmount
46. MK-ST-F-010 nameEvidence
47. MK-NW-F-068 prettyDay
48. MK-ST-F-047 activeCurrency
49. MK-ST-F-085 rentFigure
50. MK-XS-F-147 call
51. MK-ST-F-027 accountId
52. MK-XS-F-064 currentIdToken
53. MK-XS-F-112 relayUrl</t>
        </is>
      </c>
      <c r="R448"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S448" s="3" t="inlineStr">
        <is>
          <t>MK-PL-M-009</t>
        </is>
      </c>
      <c r="T448" s="3" t="inlineStr">
        <is>
          <t>RETIREMENT_SPENDING</t>
        </is>
      </c>
      <c r="U448" s="3" t="inlineStr">
        <is>
          <t>ACTIVE</t>
        </is>
      </c>
      <c r="V448" s="3" t="inlineStr">
        <is>
          <t>2026-09-12</t>
        </is>
      </c>
      <c r="W448" s="3" t="n"/>
      <c r="X448" s="3" t="n"/>
      <c r="Y448" s="3" t="inlineStr">
        <is>
          <t>NOTHING OPEN</t>
        </is>
      </c>
    </row>
    <row r="449" ht="60" customHeight="1">
      <c r="A449" s="3" t="inlineStr">
        <is>
          <t>MK-PL-F-050</t>
        </is>
      </c>
      <c r="B449" s="3" t="inlineStr">
        <is>
          <t>simulate</t>
        </is>
      </c>
      <c r="C449" s="3" t="inlineStr">
        <is>
          <t>src/domain/retirement/index.ts</t>
        </is>
      </c>
      <c r="D449" s="3" t="n">
        <v>372</v>
      </c>
      <c r="E449" s="3" t="inlineStr">
        <is>
          <t>2 · DISPLAYED</t>
        </is>
      </c>
      <c r="F449" s="3" t="inlineStr">
        <is>
          <t>B4 (founder brief 2026-08-20): the RMD rule lives in the ONE dated, sourced table — the Calculation Module's rmd function.</t>
        </is>
      </c>
      <c r="G449" s="11"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449"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449" s="3" t="inlineStr">
        <is>
          <t>PARTLY READ — some of the code is still showing through; needs a hand pass</t>
        </is>
      </c>
      <c r="J449" s="3" t="inlineStr">
        <is>
          <t>inp: RetirementInputs</t>
        </is>
      </c>
      <c r="K449" s="3" t="inlineStr">
        <is>
          <t>NOT DECLARED — the code does not say what it gives back</t>
        </is>
      </c>
      <c r="L449" s="3" t="inlineStr">
        <is>
          <t>1. "Claim at age" — on the Retirement cockpit screen
2. "Run Monte Carlo simulation" — on the Retirement cockpit screen</t>
        </is>
      </c>
      <c r="M449"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449" s="3" t="inlineStr">
        <is>
          <t>Yes</t>
        </is>
      </c>
      <c r="O449" s="3" t="inlineStr">
        <is>
          <t>1. MK-CF-O-002 expenses
2. MK-CF-F-132 map
3. MK-PL-F-074 median
4. MK-PL-F-072 mulberry32
5. MK-XS-F-122 n
6. MK-PL-F-073 normal
7. MK-PL-F-075 pctOfSorted
8. MK-ST-F-025 rmdStartAgeFromAge</t>
        </is>
      </c>
      <c r="P449" s="3" t="n">
        <v>21</v>
      </c>
      <c r="Q449" s="3" t="inlineStr">
        <is>
          <t>1. MK-CF-O-002 expenses
2. MK-CF-F-132 map
3. MK-PL-F-074 median
4. MK-PL-F-072 mulberry32
5. MK-XS-F-122 n
6. MK-PL-F-073 normal
7. MK-PL-F-075 pctOfSorted
8. MK-ST-F-025 rmdStartAgeFromAge
9. MK-CF-F-151 actualSpending
10. MK-CF-F-150 debtPaymentsCountedAsExpenses
11. MK-CF-F-153 radar
12. MK-CF-F-149 recurringDebtPayments
13. MK-ST-F-024 rmdStartAge
14. MK-CF-F-148 inMonth
15. MK-ST-F-052 toNum
16. MK-CF-F-191 ym
17. MK-ST-F-056 has
18. MK-CF-F-022 paymentShape
19. MK-CF-F-152 isRadarItem
20. MK-CF-F-023 requiredPayment
21. MK-CF-F-021 defaultPaymentType</t>
        </is>
      </c>
      <c r="R449" s="3" t="inlineStr">
        <is>
          <t>1. MK-CF-F-191 ym → MK-CF-F-148 inMonth → MK-CF-F-151 actualSpending → MK-CF-O-002 expenses → MK-PL-F-050 simulate
2. MK-XS-F-122 n → MK-ST-F-052 toNum → MK-CF-F-151 actualSpending → MK-CF-O-002 expenses → MK-PL-F-050 simulate
3. MK-CF-F-191 ym → MK-CF-F-151 actualSpending → MK-CF-O-002 expenses → MK-PL-F-050 simulate
4. MK-ST-F-056 has → MK-CF-F-150 debtPaymentsCountedAsExpenses → MK-CF-O-002 expenses → MK-PL-F-050 simulate
5. MK-CF-F-191 ym → MK-CF-F-148 inMonth → MK-CF-F-150 debtPaymentsCountedAsExpenses → MK-CF-O-002 expenses → MK-PL-F-050 simulate
6. MK-CF-F-021 defaultPaymentType → MK-CF-F-022 paymentShape → MK-CF-F-150 debtPaymentsCountedAsExpenses → MK-CF-O-002 expenses → MK-PL-F-050 simulate
7. MK-XS-F-122 n → MK-ST-F-052 toNum → MK-CF-F-150 debtPaymentsCountedAsExpenses → MK-CF-O-002 expenses → MK-PL-F-050 simulate
8. MK-CF-F-191 ym → MK-CF-F-150 debtPaymentsCountedAsExpenses → MK-CF-O-002 expenses → MK-PL-F-050 simulate
9. … and 5 more paths</t>
        </is>
      </c>
      <c r="S449" s="3" t="inlineStr">
        <is>
          <t>MK-CF-M-022 · MK-PL-M-034 · MK-XS-M-002</t>
        </is>
      </c>
      <c r="T449" s="3" t="inlineStr">
        <is>
          <t>WILL_IT_LAST</t>
        </is>
      </c>
      <c r="U449" s="3" t="inlineStr">
        <is>
          <t>ACTIVE</t>
        </is>
      </c>
      <c r="V449" s="3" t="inlineStr">
        <is>
          <t>2026-09-08</t>
        </is>
      </c>
      <c r="W449" s="3" t="n"/>
      <c r="X449" s="3" t="n"/>
      <c r="Y449" s="6" t="inlineStr">
        <is>
          <t>TESTED, NOT VERIFIED (G14, G17, G7, Odds — exact, no rounding)</t>
        </is>
      </c>
    </row>
    <row r="450" ht="60" customHeight="1">
      <c r="A450" s="3" t="inlineStr">
        <is>
          <t>MK-PL-F-051</t>
        </is>
      </c>
      <c r="B450" s="3" t="inlineStr">
        <is>
          <t>ssStreamOf</t>
        </is>
      </c>
      <c r="C450" s="3" t="inlineStr">
        <is>
          <t>src/domain/retirement/index.ts</t>
        </is>
      </c>
      <c r="D450" s="3" t="n">
        <v>521</v>
      </c>
      <c r="E450" s="3" t="inlineStr">
        <is>
          <t>3 · DEPENDENT</t>
        </is>
      </c>
      <c r="F450" s="3" t="inlineStr">
        <is>
          <t>The Social Security stream inside an input set, when streams are in use.</t>
        </is>
      </c>
      <c r="G450" s="11" t="inlineStr">
        <is>
          <t>st = (inp.guaranteed streams ?? []).find((x) =&gt; kind = 'ss')
the answer:
monthly = st.monthly
start age = st.start age   if st
nothing   otherwise</t>
        </is>
      </c>
      <c r="H450" s="3" t="inlineStr">
        <is>
          <t>St is (inp.guaranteed streams ?? []).find((x) =&gt; kind = 'ss'). The answer is monthly = st.monthly; start age = st.start age — when st; no answer — otherwise.</t>
        </is>
      </c>
      <c r="I450" s="3" t="inlineStr">
        <is>
          <t>PARTLY READ — some of the code is still showing through; needs a hand pass</t>
        </is>
      </c>
      <c r="J450" s="3" t="inlineStr">
        <is>
          <t>inp: RetirementInputs</t>
        </is>
      </c>
      <c r="K450" s="3" t="inlineStr">
        <is>
          <t>NOT DECLARED — the code does not say what it gives back</t>
        </is>
      </c>
      <c r="L450" s="3" t="inlineStr">
        <is>
          <t>—</t>
        </is>
      </c>
      <c r="M450" s="3" t="inlineStr">
        <is>
          <t>None found in this function — anything it assumes comes from the functions it depends on.</t>
        </is>
      </c>
      <c r="N450" s="3" t="inlineStr">
        <is>
          <t>Yes</t>
        </is>
      </c>
      <c r="O450" s="3" t="inlineStr">
        <is>
          <t>—</t>
        </is>
      </c>
      <c r="P450" s="3" t="n">
        <v>0</v>
      </c>
      <c r="Q450" s="3" t="inlineStr">
        <is>
          <t>None — no dependent function stands behind it</t>
        </is>
      </c>
      <c r="R450" s="3" t="inlineStr">
        <is>
          <t>No dependent function — it reads its inputs and answers</t>
        </is>
      </c>
      <c r="S450" s="3" t="inlineStr">
        <is>
          <t>—</t>
        </is>
      </c>
      <c r="T450" s="3" t="inlineStr">
        <is>
          <t>—</t>
        </is>
      </c>
      <c r="U450" s="3" t="inlineStr">
        <is>
          <t>ACTIVE</t>
        </is>
      </c>
      <c r="V450" s="3" t="inlineStr">
        <is>
          <t>2026-08-27</t>
        </is>
      </c>
      <c r="W450" s="3" t="n"/>
      <c r="X450" s="3" t="n"/>
      <c r="Y450" s="3" t="inlineStr">
        <is>
          <t>NOTHING OPEN</t>
        </is>
      </c>
    </row>
    <row r="451" ht="60" customHeight="1">
      <c r="A451" s="3" t="inlineStr">
        <is>
          <t>MK-PL-F-052</t>
        </is>
      </c>
      <c r="B451" s="3" t="inlineStr">
        <is>
          <t>withSsStream</t>
        </is>
      </c>
      <c r="C451" s="3" t="inlineStr">
        <is>
          <t>src/domain/retirement/index.ts</t>
        </is>
      </c>
      <c r="D451" s="3" t="n">
        <v>550</v>
      </c>
      <c r="E451" s="3" t="inlineStr">
        <is>
          <t>2 · DISPLAYED</t>
        </is>
      </c>
      <c r="F451" s="3" t="inlineStr">
        <is>
          <t>An input set with its Social Security stream replaced — the ONE way a decision screen patches a claim scenario, so the flat streams ride along untouched and the legacy fields stay in step for anything still reading them.</t>
        </is>
      </c>
      <c r="G451" s="11" t="inlineStr">
        <is>
          <t>others = inp.guaranteed streams (or none when missing) where kind ! = 'ss'</t>
        </is>
      </c>
      <c r="H451" s="3" t="inlineStr">
        <is>
          <t>Others is inp.guaranteed streams (or none — when missing) where kind ! = 'ss'.</t>
        </is>
      </c>
      <c r="I451" s="3" t="inlineStr">
        <is>
          <t>PARTLY READ — some of the code is still showing through; needs a hand pass</t>
        </is>
      </c>
      <c r="J451" s="3" t="inlineStr">
        <is>
          <t>1. inp: RetirementInputs
2. monthly: number
3. claimAge: number</t>
        </is>
      </c>
      <c r="K451" s="3" t="inlineStr">
        <is>
          <t>RetirementInputs</t>
        </is>
      </c>
      <c r="L451" s="3" t="inlineStr">
        <is>
          <t>NOT FOUND — a screen calls it, but the words printed beside its answer could not be traced automatically. Needs reading.</t>
        </is>
      </c>
      <c r="M451" s="3" t="inlineStr">
        <is>
          <t>None found in this function — anything it assumes comes from the functions it depends on.</t>
        </is>
      </c>
      <c r="N451" s="3" t="inlineStr">
        <is>
          <t>Yes</t>
        </is>
      </c>
      <c r="O451" s="3" t="inlineStr">
        <is>
          <t>—</t>
        </is>
      </c>
      <c r="P451" s="3" t="n">
        <v>0</v>
      </c>
      <c r="Q451" s="3" t="inlineStr">
        <is>
          <t>None — no dependent function stands behind it</t>
        </is>
      </c>
      <c r="R451" s="3" t="inlineStr">
        <is>
          <t>No dependent function — it reads its inputs and answers</t>
        </is>
      </c>
      <c r="S451" s="3" t="inlineStr">
        <is>
          <t>—</t>
        </is>
      </c>
      <c r="T451" s="3" t="inlineStr">
        <is>
          <t>—</t>
        </is>
      </c>
      <c r="U451" s="3" t="inlineStr">
        <is>
          <t>ACTIVE</t>
        </is>
      </c>
      <c r="V451" s="3" t="inlineStr">
        <is>
          <t>2026-08-27</t>
        </is>
      </c>
      <c r="W451" s="3" t="n"/>
      <c r="X451" s="3" t="n"/>
      <c r="Y451" s="3" t="inlineStr">
        <is>
          <t>NOTHING OPEN</t>
        </is>
      </c>
    </row>
    <row r="452" ht="60" customHeight="1">
      <c r="A452" s="3" t="inlineStr">
        <is>
          <t>MK-PL-F-053</t>
        </is>
      </c>
      <c r="B452" s="3" t="inlineStr">
        <is>
          <t>buildRetirementState</t>
        </is>
      </c>
      <c r="C452" s="3" t="inlineStr">
        <is>
          <t>src/domain/retirement/index.ts</t>
        </is>
      </c>
      <c r="D452" s="3" t="n">
        <v>584</v>
      </c>
      <c r="E452" s="3" t="inlineStr">
        <is>
          <t>3 · DEPENDENT</t>
        </is>
      </c>
      <c r="F452" s="3" t="inlineStr">
        <is>
          <t>NOT DETERMINED — the code carries no note saying what this is for, and it has no row in the old inventory. Needs reading.</t>
        </is>
      </c>
      <c r="G452" s="11" t="inlineStr">
        <is>
          <t>sim = simulate(inp)</t>
        </is>
      </c>
      <c r="H452" s="3" t="inlineStr">
        <is>
          <t>Sim is simulate(inp).</t>
        </is>
      </c>
      <c r="I452" s="3" t="inlineStr">
        <is>
          <t>READ FROM THE CODE — rendered from the expressions the function runs</t>
        </is>
      </c>
      <c r="J452" s="3" t="inlineStr">
        <is>
          <t>1. uid: UserId
2. inp: RetirementInputs</t>
        </is>
      </c>
      <c r="K452" s="3" t="inlineStr">
        <is>
          <t>RetirementState</t>
        </is>
      </c>
      <c r="L452" s="3" t="inlineStr">
        <is>
          <t>—</t>
        </is>
      </c>
      <c r="M452" s="3" t="inlineStr">
        <is>
          <t>· If paths is missing it uses 1000.</t>
        </is>
      </c>
      <c r="N452" s="3" t="inlineStr">
        <is>
          <t>Yes</t>
        </is>
      </c>
      <c r="O452" s="3" t="inlineStr">
        <is>
          <t>1. MK-PL-F-050 simulate
2. MK-XS-F-175 uid</t>
        </is>
      </c>
      <c r="P452" s="3" t="n">
        <v>104</v>
      </c>
      <c r="Q452" s="3" t="inlineStr">
        <is>
          <t>1. MK-PL-F-050 simulate
2. MK-XS-F-175 uid
3. MK-CF-O-002 expenses
4. MK-CF-F-132 map
5. MK-PL-F-074 median
6. MK-PL-F-072 mulberry32
7. MK-XS-F-122 n
8. MK-PL-F-073 normal
9. MK-PL-F-075 pctOfSorted
10. MK-ST-F-025 rmdStartAgeFromAge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MK-ST-F-043 newEntityId
28. MK-XS-F-006 pruneDaily
29. MK-ST-F-073 rebuildDays
30. MK-NW-F-054 reclassifyAccounts
31. MK-XS-F-174 recomputeBalances
32. MK-CF-F-115 restoreUndo
33. MK-CF-F-109 reviewTransactions
34. MK-ST-F-044 setMoneyFormat
35. MK-CF-F-114 undoSnapshot
36. MK-CF-F-191 ym
37. MK-CF-F-151 actualSpending
38. MK-CF-F-150 debtPaymentsCountedAsExpenses
39. MK-CF-F-153 radar
40. MK-CF-F-149 recurringDebtPayments
41. MK-ST-F-024 rmdStartAge
42. MK-CF-F-138 addLot
43. MK-CF-F-136 bumpCash
44. MK-CF-F-137 findPos
45. MK-CF-F-139 removeShares
46. MK-PF-F-001 totalShares
47. MK-ST-F-052 toNum
48. MK-ST-F-053 money
49. MK-CF-F-085 filingStatusOf
50. MK-CF-F-097 grossFromNet
51. MK-CF-F-185 needsTakeHomeConversion
52. MK-CF-F-089 over65CountOf
53. MK-CF-F-037 inferDebtType
54. MK-ST-F-069 amountOf
55. MK-CF-F-133 cashOf
56. MK-ST-F-066 isDayKey
57. MK-ST-F-070 isOpening
58. MK-ST-F-039 on
59. MK-ST-F-071 rebuildableFrom
60. MK-ST-F-068 stepDay
61. MK-ST-F-072 undo
62. MK-NW-F-053 correctClassOf
63. MK-NW-F-123 holdingNameEvidence
64. MK-NW-F-121 holdingTagClass
65. MK-NW-F-122 holdingTagFor
66. MK-PF-F-002 costBasis
67. MK-PF-F-009 latestClose
68. MK-PF-F-004 marketValue
69. MK-ST-F-030 record
70. MK-XS-F-024 resolveLens
71. MK-ST-F-055 round2
72. MK-CF-F-162 daysApart
73. MK-CF-F-108 isMoneyOut
74. MK-CF-F-131 normPayee
75. MK-CF-F-113 affectedAccountIds
76. MK-CF-F-148 inMonth
77. MK-CF-F-022 paymentShape
78. MK-CF-F-152 isRadarItem
79. MK-CF-F-023 requiredPayment
80. MK-CF-F-134 usesSleeve
81. MK-ST-F-049 formatMoney
82. MK-CF-F-101 taxOwedFor
83. MK-ST-F-067 utcOfDay
84. MK-CF-F-155 cash
85. MK-ST-F-035 covers
86. MK-NW-F-120 classEvidenceOf
87. MK-NW-F-008 incomeBearingClassOf
88. MK-PF-F-031 contractMultiplier
89. MK-CF-F-072 currentRetirementIncomeMonthly
90. MK-CF-F-021 defaultPaymentType
91. MK-ST-F-048 currencySymbol
92. MK-CF-F-100 taxableIncomeFor
93. MK-ST-F-034 firstDate
94. MK-NW-F-009 maturityClass
95. MK-ST-F-010 nameEvidence
96. MK-CF-F-075 retirementIncomeMonthly
97. MK-ST-F-047 activeCurrency
98. MK-CF-F-099 deductionFor
99. MK-NW-F-011 assetClassOf
100. MK-NW-F-068 prettyDay
101. MK-XS-F-147 call
102. MK-CF-F-187 seniorDeductionFor
103. MK-XS-F-064 currentIdToken
104. MK-XS-F-112 relayUrl</t>
        </is>
      </c>
      <c r="R452" s="3" t="inlineStr">
        <is>
          <t>1. MK-CF-F-191 ym → MK-CF-F-148 inMonth → MK-CF-F-151 actualSpending → MK-CF-O-002 expenses → MK-PL-F-050 simulate → MK-PL-F-053 buildRetirementState
2. MK-XS-F-122 n → MK-ST-F-052 toNum → MK-CF-F-151 actualSpending → MK-CF-O-002 expenses → MK-PL-F-050 simulate → MK-PL-F-053 buildRetirementState
3. MK-CF-F-191 ym → MK-CF-F-151 actualSpending → MK-CF-O-002 expenses → MK-PL-F-050 simulate → MK-PL-F-053 buildRetirementState
4. MK-ST-F-056 has → MK-CF-F-150 debtPaymentsCountedAsExpenses → MK-CF-O-002 expenses → MK-PL-F-050 simulate → MK-PL-F-053 buildRetirementState
5. MK-CF-F-191 ym → MK-CF-F-148 inMonth → MK-CF-F-150 debtPaymentsCountedAsExpenses → MK-CF-O-002 expenses → MK-PL-F-050 simulate → MK-PL-F-053 buildRetirementState
6. MK-CF-F-021 defaultPaymentType → MK-CF-F-022 paymentShape → MK-CF-F-150 debtPaymentsCountedAsExpenses → MK-CF-O-002 expenses → MK-PL-F-050 simulate → MK-PL-F-053 buildRetirementState
7. MK-XS-F-122 n → MK-ST-F-052 toNum → MK-CF-F-150 debtPaymentsCountedAsExpenses → MK-CF-O-002 expenses → MK-PL-F-050 simulate → MK-PL-F-053 buildRetirementState
8. MK-CF-F-191 ym → MK-CF-F-150 debtPaymentsCountedAsExpenses → MK-CF-O-002 expenses → MK-PL-F-050 simulate → MK-PL-F-053 buildRetirementState
9. … and 5 more paths</t>
        </is>
      </c>
      <c r="S452" s="3" t="inlineStr">
        <is>
          <t>—</t>
        </is>
      </c>
      <c r="T452" s="3" t="inlineStr">
        <is>
          <t>—</t>
        </is>
      </c>
      <c r="U452" s="3" t="inlineStr">
        <is>
          <t>ACTIVE</t>
        </is>
      </c>
      <c r="V452" s="3" t="inlineStr">
        <is>
          <t>2026-08-27</t>
        </is>
      </c>
      <c r="W452" s="3" t="n"/>
      <c r="X452" s="3" t="n"/>
      <c r="Y452" s="3" t="inlineStr">
        <is>
          <t>NOTHING OPEN</t>
        </is>
      </c>
    </row>
    <row r="453" ht="60" customHeight="1">
      <c r="A453" s="3" t="inlineStr">
        <is>
          <t>MK-PL-F-054</t>
        </is>
      </c>
      <c r="B453" s="3" t="inlineStr">
        <is>
          <t>growOneYear</t>
        </is>
      </c>
      <c r="C453" s="3" t="inlineStr">
        <is>
          <t>src/domain/retirement/index.ts</t>
        </is>
      </c>
      <c r="D453" s="3" t="n">
        <v>623</v>
      </c>
      <c r="E453" s="3" t="inlineStr">
        <is>
          <t>3 · DEPENDENT</t>
        </is>
      </c>
      <c r="F453" s="3" t="inlineStr">
        <is>
          <t>── Deterministic projection (instant — drives the live sliders; no RNG) ────────────── Assumes the average return every year (no market swings).</t>
        </is>
      </c>
      <c r="G453" s="11" t="inlineStr">
        <is>
          <t>balance × (1 + (rate or 0))</t>
        </is>
      </c>
      <c r="H453" s="3" t="inlineStr">
        <is>
          <t>balance times (1 plus (rate or 0)).</t>
        </is>
      </c>
      <c r="I453" s="3" t="inlineStr">
        <is>
          <t>READ FROM THE CODE — rendered from the expressions the function runs</t>
        </is>
      </c>
      <c r="J453" s="3" t="inlineStr">
        <is>
          <t>1. balance: number
2. rate: number</t>
        </is>
      </c>
      <c r="K453" s="3" t="inlineStr">
        <is>
          <t>number</t>
        </is>
      </c>
      <c r="L453" s="3" t="inlineStr">
        <is>
          <t>—</t>
        </is>
      </c>
      <c r="M453" s="3" t="inlineStr">
        <is>
          <t>· If rate is missing it counts as zero, so nothing recorded and a real zero look the same.</t>
        </is>
      </c>
      <c r="N453" s="3" t="inlineStr">
        <is>
          <t>Yes</t>
        </is>
      </c>
      <c r="O453" s="3" t="inlineStr">
        <is>
          <t>—</t>
        </is>
      </c>
      <c r="P453" s="3" t="n">
        <v>0</v>
      </c>
      <c r="Q453" s="3" t="inlineStr">
        <is>
          <t>None — no dependent function stands behind it</t>
        </is>
      </c>
      <c r="R453" s="3" t="inlineStr">
        <is>
          <t>No dependent function — it reads its inputs and answers</t>
        </is>
      </c>
      <c r="S453" s="3" t="inlineStr">
        <is>
          <t>—</t>
        </is>
      </c>
      <c r="T453" s="3" t="inlineStr">
        <is>
          <t>—</t>
        </is>
      </c>
      <c r="U453" s="3" t="inlineStr">
        <is>
          <t>ACTIVE</t>
        </is>
      </c>
      <c r="V453" s="3" t="inlineStr">
        <is>
          <t>2026-08-27</t>
        </is>
      </c>
      <c r="W453" s="3" t="n"/>
      <c r="X453" s="3" t="n"/>
      <c r="Y453" s="3" t="inlineStr">
        <is>
          <t>NOTHING OPEN</t>
        </is>
      </c>
    </row>
    <row r="454" ht="60" customHeight="1">
      <c r="A454" s="3" t="inlineStr">
        <is>
          <t>MK-PL-F-055</t>
        </is>
      </c>
      <c r="B454" s="3" t="inlineStr">
        <is>
          <t>projectNestEgg</t>
        </is>
      </c>
      <c r="C454" s="3" t="inlineStr">
        <is>
          <t>src/domain/retirement/index.ts</t>
        </is>
      </c>
      <c r="D454" s="3" t="n">
        <v>669</v>
      </c>
      <c r="E454" s="3" t="inlineStr">
        <is>
          <t>2 · DISPLAYED</t>
        </is>
      </c>
      <c r="F454" s="3" t="inlineStr">
        <is>
          <t>What will the pot be worth at retirement, and how big does it need to be?</t>
        </is>
      </c>
      <c r="G454" s="11" t="inlineStr">
        <is>
          <t>years to retire  n = max(0, retire age − age today)
pot = start balance × (1 + r)^n
    + Σ for year y = 0 … n−1 of ( contribution × (1 + g)^y × (1 + r)^(n − y − 1) )
where r = the assumed return and g = the rate contributions grow</t>
        </is>
      </c>
      <c r="H454"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454" s="3" t="inlineStr">
        <is>
          <t>READ BY HAND 2026-08-26 — checked line by line against the code</t>
        </is>
      </c>
      <c r="J454" s="3" t="inlineStr">
        <is>
          <t>inp: RetirementInputs</t>
        </is>
      </c>
      <c r="K454" s="3" t="inlineStr">
        <is>
          <t>NestEggProjection</t>
        </is>
      </c>
      <c r="L454" s="3" t="inlineStr">
        <is>
          <t>NOT FOUND — a screen calls it, but the words printed beside its answer could not be traced automatically. Needs reading.</t>
        </is>
      </c>
      <c r="M454"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454" s="3" t="inlineStr">
        <is>
          <t>Yes</t>
        </is>
      </c>
      <c r="O454" s="3" t="inlineStr">
        <is>
          <t>1. MK-CF-F-132 map
2. MK-PL-F-050 simulate</t>
        </is>
      </c>
      <c r="P454" s="3" t="n">
        <v>22</v>
      </c>
      <c r="Q454" s="3" t="inlineStr">
        <is>
          <t>1. MK-CF-F-132 map
2. MK-PL-F-050 simulate
3. MK-CF-O-002 expenses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5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S454" s="3" t="inlineStr">
        <is>
          <t>MK-PL-M-026 · MK-PL-M-033</t>
        </is>
      </c>
      <c r="T454" s="3" t="inlineStr">
        <is>
          <t>POT_AT_RETIREMENT</t>
        </is>
      </c>
      <c r="U454" s="3" t="inlineStr">
        <is>
          <t>ACTIVE</t>
        </is>
      </c>
      <c r="V454" s="3" t="inlineStr">
        <is>
          <t>2026-08-27</t>
        </is>
      </c>
      <c r="W454" s="3" t="n"/>
      <c r="X454" s="3" t="n"/>
      <c r="Y454" s="3" t="inlineStr">
        <is>
          <t>NOTHING OPEN</t>
        </is>
      </c>
    </row>
    <row r="455" ht="60" customHeight="1">
      <c r="A455" s="3" t="inlineStr">
        <is>
          <t>MK-PL-F-056</t>
        </is>
      </c>
      <c r="B455" s="3" t="inlineStr">
        <is>
          <t>solveRetireAge</t>
        </is>
      </c>
      <c r="C455" s="3" t="inlineStr">
        <is>
          <t>src/domain/retirement/index.ts</t>
        </is>
      </c>
      <c r="D455" s="3" t="n">
        <v>727</v>
      </c>
      <c r="E455" s="3" t="inlineStr">
        <is>
          <t>2 · DISPLAYED</t>
        </is>
      </c>
      <c r="F455" s="3" t="inlineStr">
        <is>
          <t>"Even if you never save another dollar, you can retire at age Y." Earliest retire age where the current pot (no further contributions) already covers the plan.</t>
        </is>
      </c>
      <c r="G455" s="11" t="inlineStr">
        <is>
          <t>p = project nest egg({ ...inp, annual contribution: 0, retire age: age, guaranteed start age: inp.guaranteed start age })
age   when will have ≥ will need
the answer = nothing</t>
        </is>
      </c>
      <c r="H455" s="3" t="inlineStr">
        <is>
          <t>P is project nest egg({ ...inp, annual contribution: 0, retire age: age, guaranteed start age: inp.guaranteed start age }). When will have is at least will need, it answers age. The answer is no answer.</t>
        </is>
      </c>
      <c r="I455" s="3" t="inlineStr">
        <is>
          <t>READ FROM THE CODE — rendered from the expressions the function runs</t>
        </is>
      </c>
      <c r="J455" s="3" t="inlineStr">
        <is>
          <t>1. inp: RetirementInputs
2. maxAge = 80</t>
        </is>
      </c>
      <c r="K455" s="3" t="inlineStr">
        <is>
          <t>number | null</t>
        </is>
      </c>
      <c r="L455" s="3" t="inlineStr">
        <is>
          <t>"IF YOU NEVER SAVE AGAIN" — on the Retirement cockpit screen</t>
        </is>
      </c>
      <c r="M455" s="3" t="inlineStr">
        <is>
          <t>None found in this function — anything it assumes comes from the functions it depends on.</t>
        </is>
      </c>
      <c r="N455" s="3" t="inlineStr">
        <is>
          <t>Yes</t>
        </is>
      </c>
      <c r="O455" s="3" t="inlineStr">
        <is>
          <t>MK-PL-F-055 projectNestEgg</t>
        </is>
      </c>
      <c r="P455" s="3" t="n">
        <v>23</v>
      </c>
      <c r="Q455" s="3" t="inlineStr">
        <is>
          <t>1. MK-PL-F-055 projectNestEgg
2. MK-CF-F-132 map
3. MK-PL-F-050 simulate
4. MK-CF-O-002 expenses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55" s="3" t="inlineStr">
        <is>
          <t>1. MK-CF-F-132 map → MK-PL-F-055 projectNestEgg → MK-PL-F-056 solveRetireAge
2. MK-CF-F-148 inMonth → MK-CF-F-151 actualSpending → MK-CF-O-002 expenses → MK-PL-F-050 simulate → MK-PL-F-055 projectNestEgg → MK-PL-F-056 solveRetireAge
3. MK-ST-F-052 toNum → MK-CF-F-151 actualSpending → MK-CF-O-002 expenses → MK-PL-F-050 simulate → MK-PL-F-055 projectNestEgg → MK-PL-F-056 solveRetireAge
4. MK-CF-F-191 ym → MK-CF-F-151 actualSpending → MK-CF-O-002 expenses → MK-PL-F-050 simulate → MK-PL-F-055 projectNestEgg → MK-PL-F-056 solveRetireAge
5. MK-ST-F-056 has → MK-CF-F-150 debtPaymentsCountedAsExpenses → MK-CF-O-002 expenses → MK-PL-F-050 simulate → MK-PL-F-055 projectNestEgg → MK-PL-F-056 solveRetireAge
6. MK-CF-F-148 inMonth → MK-CF-F-150 debtPaymentsCountedAsExpenses → MK-CF-O-002 expenses → MK-PL-F-050 simulate → MK-PL-F-055 projectNestEgg → MK-PL-F-056 solveRetireAge
7. MK-CF-F-022 paymentShape → MK-CF-F-150 debtPaymentsCountedAsExpenses → MK-CF-O-002 expenses → MK-PL-F-050 simulate → MK-PL-F-055 projectNestEgg → MK-PL-F-056 solveRetireAge
8. MK-ST-F-052 toNum → MK-CF-F-150 debtPaymentsCountedAsExpenses → MK-CF-O-002 expenses → MK-PL-F-050 simulate → MK-PL-F-055 projectNestEgg → MK-PL-F-056 solveRetireAge
9. … and 4 more paths</t>
        </is>
      </c>
      <c r="S455" s="3" t="inlineStr">
        <is>
          <t>—</t>
        </is>
      </c>
      <c r="T455" s="3" t="inlineStr">
        <is>
          <t>—</t>
        </is>
      </c>
      <c r="U455" s="3" t="inlineStr">
        <is>
          <t>ACTIVE</t>
        </is>
      </c>
      <c r="V455" s="3" t="inlineStr">
        <is>
          <t>2026-08-27</t>
        </is>
      </c>
      <c r="W455" s="3" t="n"/>
      <c r="X455" s="3" t="n"/>
      <c r="Y455" s="3" t="inlineStr">
        <is>
          <t>NOTHING OPEN</t>
        </is>
      </c>
    </row>
    <row r="456" ht="60" customHeight="1">
      <c r="A456" s="3" t="inlineStr">
        <is>
          <t>MK-PL-F-057</t>
        </is>
      </c>
      <c r="B456" s="3" t="inlineStr">
        <is>
          <t>fullRetirementAge</t>
        </is>
      </c>
      <c r="C456" s="3" t="inlineStr">
        <is>
          <t>src/domain/retirement/ssTiming.ts</t>
        </is>
      </c>
      <c r="D456" s="3" t="n">
        <v>49</v>
      </c>
      <c r="E456" s="3" t="inlineStr">
        <is>
          <t>3 · DEPENDENT</t>
        </is>
      </c>
      <c r="F456" s="3" t="inlineStr">
        <is>
          <t>Full retirement age in YEARS (fractional — 66y4m = 66.333…), from the birth year.</t>
        </is>
      </c>
      <c r="G456" s="11" t="inlineStr">
        <is>
          <t>full retirement age = 67                          when born 1960 or later
                      66 + (birth year − 1954) × 2 months   when born 1955-1959
                      66                          when born 1954 or earlier</t>
        </is>
      </c>
      <c r="H456"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456" s="3" t="inlineStr">
        <is>
          <t>READ BY HAND 2026-08-26 — checked line by line against the code</t>
        </is>
      </c>
      <c r="J456" s="3" t="inlineStr">
        <is>
          <t>birthYear?: number | null</t>
        </is>
      </c>
      <c r="K456" s="3" t="inlineStr">
        <is>
          <t>number</t>
        </is>
      </c>
      <c r="L456" s="3" t="inlineStr">
        <is>
          <t>—</t>
        </is>
      </c>
      <c r="M456" s="3" t="inlineStr">
        <is>
          <t>None found in this function — anything it assumes comes from the functions it depends on.</t>
        </is>
      </c>
      <c r="N456" s="3" t="inlineStr">
        <is>
          <t>Yes</t>
        </is>
      </c>
      <c r="O456" s="3" t="inlineStr">
        <is>
          <t>—</t>
        </is>
      </c>
      <c r="P456" s="3" t="n">
        <v>0</v>
      </c>
      <c r="Q456" s="3" t="inlineStr">
        <is>
          <t>None — no dependent function stands behind it</t>
        </is>
      </c>
      <c r="R456" s="3" t="inlineStr">
        <is>
          <t>No dependent function — it reads its inputs and answers</t>
        </is>
      </c>
      <c r="S456" s="3" t="inlineStr">
        <is>
          <t>—</t>
        </is>
      </c>
      <c r="T456" s="3" t="inlineStr">
        <is>
          <t>SS_FULL_RETIREMENT_AGE</t>
        </is>
      </c>
      <c r="U456" s="3" t="inlineStr">
        <is>
          <t>ACTIVE</t>
        </is>
      </c>
      <c r="V456" s="3" t="inlineStr">
        <is>
          <t>2026-08-27</t>
        </is>
      </c>
      <c r="W456" s="3" t="n"/>
      <c r="X456" s="3" t="n"/>
      <c r="Y456" s="3" t="inlineStr">
        <is>
          <t>NOTHING OPEN</t>
        </is>
      </c>
    </row>
    <row r="457" ht="60" customHeight="1">
      <c r="A457" s="3" t="inlineStr">
        <is>
          <t>MK-PL-F-058</t>
        </is>
      </c>
      <c r="B457" s="3" t="inlineStr">
        <is>
          <t>ssClaimFactorFor</t>
        </is>
      </c>
      <c r="C457" s="3" t="inlineStr">
        <is>
          <t>src/domain/retirement/ssTiming.ts</t>
        </is>
      </c>
      <c r="D457" s="3" t="n">
        <v>96</v>
      </c>
      <c r="E457" s="3" t="inlineStr">
        <is>
          <t>3 · DEPENDENT</t>
        </is>
      </c>
      <c r="F457" s="3" t="inlineStr">
        <is>
          <t>SSA factor for a claim age (62–70), relative to the statement amount at the person's OWN full retirement age.</t>
        </is>
      </c>
      <c r="G457" s="11" t="inlineStr">
        <is>
          <t>months = round(claim age) × 12 − full retirement age × 12
factor = 1                                                   when months = 0
         1 − (first 36 early months × 5/9 of 1%)
           − (each further early month × 5/12 of 1%)          when claiming early
         1 + (each month claimed late × 2/3 of 1%)            when claiming late</t>
        </is>
      </c>
      <c r="H457"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457" s="3" t="inlineStr">
        <is>
          <t>READ BY HAND 2026-08-26 — checked line by line against the code</t>
        </is>
      </c>
      <c r="J457" s="3" t="inlineStr">
        <is>
          <t>1. claimAge: number
2. birthYear?: number | null</t>
        </is>
      </c>
      <c r="K457" s="3" t="inlineStr">
        <is>
          <t>number</t>
        </is>
      </c>
      <c r="L457" s="3" t="inlineStr">
        <is>
          <t>—</t>
        </is>
      </c>
      <c r="M457" s="3" t="inlineStr">
        <is>
          <t>1. Turns a monthly figure into a year by multiplying by twelve.
2. Caps early at 36.
3. Rounds the answer to a whole number.</t>
        </is>
      </c>
      <c r="N457" s="3" t="inlineStr">
        <is>
          <t>Yes</t>
        </is>
      </c>
      <c r="O457" s="3" t="inlineStr">
        <is>
          <t>MK-PL-F-057 fullRetirementAge</t>
        </is>
      </c>
      <c r="P457" s="3" t="n">
        <v>1</v>
      </c>
      <c r="Q457" s="3" t="inlineStr">
        <is>
          <t>MK-PL-F-057 fullRetirementAge</t>
        </is>
      </c>
      <c r="R457" s="3" t="inlineStr">
        <is>
          <t>MK-PL-F-057 fullRetirementAge → MK-PL-F-058 ssClaimFactorFor</t>
        </is>
      </c>
      <c r="S457" s="3" t="inlineStr">
        <is>
          <t>MK-PL-M-019</t>
        </is>
      </c>
      <c r="T457" s="3" t="inlineStr">
        <is>
          <t>SS_CLAIM_FACTOR</t>
        </is>
      </c>
      <c r="U457" s="3" t="inlineStr">
        <is>
          <t>ACTIVE</t>
        </is>
      </c>
      <c r="V457" s="3" t="inlineStr">
        <is>
          <t>2026-08-27</t>
        </is>
      </c>
      <c r="W457" s="3" t="n"/>
      <c r="X457" s="3" t="n"/>
      <c r="Y457" s="3" t="inlineStr">
        <is>
          <t>NOTHING OPEN</t>
        </is>
      </c>
    </row>
    <row r="458" ht="45" customHeight="1">
      <c r="A458" s="3" t="inlineStr">
        <is>
          <t>MK-PL-F-059</t>
        </is>
      </c>
      <c r="B458" s="3" t="inlineStr">
        <is>
          <t>ssClaimFactor</t>
        </is>
      </c>
      <c r="C458" s="3" t="inlineStr">
        <is>
          <t>src/domain/retirement/ssTiming.ts</t>
        </is>
      </c>
      <c r="D458" s="3" t="n">
        <v>127</v>
      </c>
      <c r="E458" s="3" t="inlineStr">
        <is>
          <t>3 · DEPENDENT (feeds an action only)</t>
        </is>
      </c>
      <c r="F458" s="3" t="inlineStr">
        <is>
          <t>The pre-table factor, anchored at 67 — unchanged behaviour for anyone born 1960+.</t>
        </is>
      </c>
      <c r="G458" s="11" t="inlineStr">
        <is>
          <t>ss claim factor for(claim age, nothing)</t>
        </is>
      </c>
      <c r="H458" s="3" t="inlineStr">
        <is>
          <t>ss claim factor for(claim age, no answer).</t>
        </is>
      </c>
      <c r="I458" s="3" t="inlineStr">
        <is>
          <t>READ FROM THE CODE — rendered from the expressions the function runs</t>
        </is>
      </c>
      <c r="J458" s="3" t="inlineStr">
        <is>
          <t>claimAge: number</t>
        </is>
      </c>
      <c r="K458" s="3" t="inlineStr">
        <is>
          <t>number</t>
        </is>
      </c>
      <c r="L458" s="3" t="inlineStr">
        <is>
          <t>—</t>
        </is>
      </c>
      <c r="M458" s="3" t="inlineStr">
        <is>
          <t>None found in this function — anything it assumes comes from the functions it depends on.</t>
        </is>
      </c>
      <c r="N458" s="3" t="inlineStr">
        <is>
          <t>No</t>
        </is>
      </c>
      <c r="O458" s="3" t="inlineStr">
        <is>
          <t>MK-PL-F-058 ssClaimFactorFor</t>
        </is>
      </c>
      <c r="P458" s="3" t="n">
        <v>2</v>
      </c>
      <c r="Q458" s="3" t="inlineStr">
        <is>
          <t>1. MK-PL-F-058 ssClaimFactorFor
2. MK-PL-F-057 fullRetirementAge</t>
        </is>
      </c>
      <c r="R458" s="3" t="inlineStr">
        <is>
          <t>MK-PL-F-057 fullRetirementAge → MK-PL-F-058 ssClaimFactorFor → MK-PL-F-059 ssClaimFactor</t>
        </is>
      </c>
      <c r="S458" s="3" t="inlineStr">
        <is>
          <t>—</t>
        </is>
      </c>
      <c r="T458" s="3" t="inlineStr">
        <is>
          <t>—</t>
        </is>
      </c>
      <c r="U458" s="3" t="inlineStr">
        <is>
          <t>ACTIVE</t>
        </is>
      </c>
      <c r="V458" s="3" t="inlineStr">
        <is>
          <t>2026-08-27</t>
        </is>
      </c>
      <c r="W458" s="3" t="n"/>
      <c r="X458" s="3" t="n"/>
      <c r="Y458" s="3" t="inlineStr">
        <is>
          <t>NOTHING OPEN</t>
        </is>
      </c>
    </row>
    <row r="459" ht="60" customHeight="1">
      <c r="A459" s="3" t="inlineStr">
        <is>
          <t>MK-PL-F-060</t>
        </is>
      </c>
      <c r="B459" s="3" t="inlineStr">
        <is>
          <t>ssBenefitAt</t>
        </is>
      </c>
      <c r="C459" s="3" t="inlineStr">
        <is>
          <t>src/domain/retirement/ssTiming.ts</t>
        </is>
      </c>
      <c r="D459" s="3" t="n">
        <v>159</v>
      </c>
      <c r="E459" s="3" t="inlineStr">
        <is>
          <t>2 · DISPLAYED</t>
        </is>
      </c>
      <c r="F459" s="3" t="inlineStr">
        <is>
          <t>Monthly benefit at a claim age from the at-FRA statement amount (today's dollars, whole $).</t>
        </is>
      </c>
      <c r="G459" s="11" t="inlineStr">
        <is>
          <t>monthly benefit = statement amount at full retirement age × factor(claim age)</t>
        </is>
      </c>
      <c r="H459" s="3" t="inlineStr">
        <is>
          <t>The amount on the Social Security statement, scaled by the claim-age factor and rounded to whole dollars. In today's money — no inflation is applied here.</t>
        </is>
      </c>
      <c r="I459" s="3" t="inlineStr">
        <is>
          <t>READ BY HAND 2026-08-26 — checked line by line against the code</t>
        </is>
      </c>
      <c r="J459" s="3" t="inlineStr">
        <is>
          <t>1. statementMonthly: number
2. claimAge: number
3. birthYear?: number | null</t>
        </is>
      </c>
      <c r="K459" s="3" t="inlineStr">
        <is>
          <t>number</t>
        </is>
      </c>
      <c r="L459" s="3" t="inlineStr">
        <is>
          <t>NOT FOUND — a screen calls it, but the words printed beside its answer could not be traced automatically. Needs reading.</t>
        </is>
      </c>
      <c r="M459" s="3" t="inlineStr">
        <is>
          <t>· If statement monthly is missing it counts as zero, so nothing recorded and a real zero look the same.</t>
        </is>
      </c>
      <c r="N459" s="3" t="inlineStr">
        <is>
          <t>Yes</t>
        </is>
      </c>
      <c r="O459" s="3" t="inlineStr">
        <is>
          <t>MK-PL-F-058 ssClaimFactorFor</t>
        </is>
      </c>
      <c r="P459" s="3" t="n">
        <v>2</v>
      </c>
      <c r="Q459" s="3" t="inlineStr">
        <is>
          <t>1. MK-PL-F-058 ssClaimFactorFor
2. MK-PL-F-057 fullRetirementAge</t>
        </is>
      </c>
      <c r="R459" s="3" t="inlineStr">
        <is>
          <t>MK-PL-F-057 fullRetirementAge → MK-PL-F-058 ssClaimFactorFor → MK-PL-F-060 ssBenefitAt</t>
        </is>
      </c>
      <c r="S459" s="3" t="inlineStr">
        <is>
          <t>MK-PL-M-017 · MK-PL-M-019</t>
        </is>
      </c>
      <c r="T459" s="3" t="inlineStr">
        <is>
          <t>SS_BENEFIT_AT_AGE</t>
        </is>
      </c>
      <c r="U459" s="3" t="inlineStr">
        <is>
          <t>ACTIVE</t>
        </is>
      </c>
      <c r="V459" s="3" t="inlineStr">
        <is>
          <t>2026-09-09</t>
        </is>
      </c>
      <c r="W459" s="3" t="n"/>
      <c r="X459" s="3" t="n"/>
      <c r="Y459" s="3" t="inlineStr">
        <is>
          <t>NOTHING OPEN</t>
        </is>
      </c>
    </row>
    <row r="460" ht="45" customHeight="1">
      <c r="A460" s="3" t="inlineStr">
        <is>
          <t>MK-PL-F-061</t>
        </is>
      </c>
      <c r="B460" s="3" t="inlineStr">
        <is>
          <t>ssBenefitAtClaimAge</t>
        </is>
      </c>
      <c r="C460" s="3" t="inlineStr">
        <is>
          <t>src/domain/retirement/ssTiming.ts</t>
        </is>
      </c>
      <c r="D460" s="3" t="n">
        <v>180</v>
      </c>
      <c r="E460" s="3" t="inlineStr">
        <is>
          <t>2 · DISPLAYED</t>
        </is>
      </c>
      <c r="F460" s="3" t="inlineStr">
        <is>
          <t>Kept for callers not yet passing a birth year (behaves as born-1960+).</t>
        </is>
      </c>
      <c r="G460" s="11" t="inlineStr">
        <is>
          <t>ss benefit at(statement monthly, claim age, nothing)</t>
        </is>
      </c>
      <c r="H460" s="3" t="inlineStr">
        <is>
          <t>ss benefit at(statement monthly, claim age, no answer).</t>
        </is>
      </c>
      <c r="I460" s="3" t="inlineStr">
        <is>
          <t>READ FROM THE CODE — rendered from the expressions the function runs</t>
        </is>
      </c>
      <c r="J460" s="3" t="inlineStr">
        <is>
          <t>1. statementMonthly: number
2. claimAge: number</t>
        </is>
      </c>
      <c r="K460" s="3" t="inlineStr">
        <is>
          <t>number</t>
        </is>
      </c>
      <c r="L460" s="3" t="inlineStr">
        <is>
          <t>"When should I claim Social Security?" — on a card used on more than one screen (ClaimAgeRow)</t>
        </is>
      </c>
      <c r="M460" s="3" t="inlineStr">
        <is>
          <t>None found in this function — anything it assumes comes from the functions it depends on.</t>
        </is>
      </c>
      <c r="N460" s="3" t="inlineStr">
        <is>
          <t>Yes</t>
        </is>
      </c>
      <c r="O460" s="3" t="inlineStr">
        <is>
          <t>MK-PL-F-060 ssBenefitAt</t>
        </is>
      </c>
      <c r="P460" s="3" t="n">
        <v>3</v>
      </c>
      <c r="Q460" s="3" t="inlineStr">
        <is>
          <t>1. MK-PL-F-060 ssBenefitAt
2. MK-PL-F-058 ssClaimFactorFor
3. MK-PL-F-057 fullRetirementAge</t>
        </is>
      </c>
      <c r="R460" s="3" t="inlineStr">
        <is>
          <t>MK-PL-F-057 fullRetirementAge → MK-PL-F-058 ssClaimFactorFor → MK-PL-F-060 ssBenefitAt → MK-PL-F-061 ssBenefitAtClaimAge</t>
        </is>
      </c>
      <c r="S460" s="3" t="inlineStr">
        <is>
          <t>—</t>
        </is>
      </c>
      <c r="T460" s="3" t="inlineStr">
        <is>
          <t>—</t>
        </is>
      </c>
      <c r="U460" s="3" t="inlineStr">
        <is>
          <t>ACTIVE</t>
        </is>
      </c>
      <c r="V460" s="3" t="inlineStr">
        <is>
          <t>2026-08-27</t>
        </is>
      </c>
      <c r="W460" s="3" t="n"/>
      <c r="X460" s="3" t="n"/>
      <c r="Y460" s="3" t="inlineStr">
        <is>
          <t>NOTHING OPEN</t>
        </is>
      </c>
    </row>
    <row r="461" ht="60" customHeight="1">
      <c r="A461" s="3" t="inlineStr">
        <is>
          <t>MK-PL-F-062</t>
        </is>
      </c>
      <c r="B461" s="3" t="inlineStr">
        <is>
          <t>ssLifetimeTotal</t>
        </is>
      </c>
      <c r="C461" s="3" t="inlineStr">
        <is>
          <t>src/domain/retirement/ssTiming.ts</t>
        </is>
      </c>
      <c r="D461" s="3" t="n">
        <v>209</v>
      </c>
      <c r="E461" s="3" t="inlineStr">
        <is>
          <t>2 · DISPLAYED</t>
        </is>
      </c>
      <c r="F461" s="3" t="inlineStr">
        <is>
          <t>Total collected from claim age to a live-to age the USER sets (months × monthly, today's dollars).</t>
        </is>
      </c>
      <c r="G461" s="11" t="inlineStr">
        <is>
          <t>months = max(0, round((live to age − claim age) × 12))
the answer = ss benefit at(statement monthly, claim age, birth year) × months</t>
        </is>
      </c>
      <c r="H461" s="3" t="inlineStr">
        <is>
          <t>Months is (live to age minus claim age, to a whole number times 12, never below zero). The answer is ss benefit at(statement monthly, claim age, birth year) times months.</t>
        </is>
      </c>
      <c r="I461" s="3" t="inlineStr">
        <is>
          <t>READ FROM THE CODE — rendered from the expressions the function runs</t>
        </is>
      </c>
      <c r="J461" s="3" t="inlineStr">
        <is>
          <t>1. statementMonthly: number
2. claimAge: number
3. liveToAge: number
4. birthYear?: number | null</t>
        </is>
      </c>
      <c r="K461" s="3" t="inlineStr">
        <is>
          <t>number</t>
        </is>
      </c>
      <c r="L461" s="3" t="inlineStr">
        <is>
          <t>NOT FOUND — a screen calls it, but the words printed beside its answer could not be traced automatically. Needs reading.</t>
        </is>
      </c>
      <c r="M461"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461" s="3" t="inlineStr">
        <is>
          <t>Yes</t>
        </is>
      </c>
      <c r="O461" s="3" t="inlineStr">
        <is>
          <t>MK-PL-F-060 ssBenefitAt</t>
        </is>
      </c>
      <c r="P461" s="3" t="n">
        <v>3</v>
      </c>
      <c r="Q461" s="3" t="inlineStr">
        <is>
          <t>1. MK-PL-F-060 ssBenefitAt
2. MK-PL-F-058 ssClaimFactorFor
3. MK-PL-F-057 fullRetirementAge</t>
        </is>
      </c>
      <c r="R461" s="3" t="inlineStr">
        <is>
          <t>MK-PL-F-057 fullRetirementAge → MK-PL-F-058 ssClaimFactorFor → MK-PL-F-060 ssBenefitAt → MK-PL-F-062 ssLifetimeTotal</t>
        </is>
      </c>
      <c r="S461" s="3" t="inlineStr">
        <is>
          <t>—</t>
        </is>
      </c>
      <c r="T461" s="3" t="inlineStr">
        <is>
          <t>—</t>
        </is>
      </c>
      <c r="U461" s="3" t="inlineStr">
        <is>
          <t>ACTIVE</t>
        </is>
      </c>
      <c r="V461" s="3" t="inlineStr">
        <is>
          <t>2026-08-27</t>
        </is>
      </c>
      <c r="W461" s="3" t="n"/>
      <c r="X461" s="3" t="n"/>
      <c r="Y461" s="3" t="inlineStr">
        <is>
          <t>NOTHING OPEN</t>
        </is>
      </c>
    </row>
    <row r="462" ht="60" customHeight="1">
      <c r="A462" s="3" t="inlineStr">
        <is>
          <t>MK-PL-F-063</t>
        </is>
      </c>
      <c r="B462" s="3" t="inlineStr">
        <is>
          <t>fraLabel</t>
        </is>
      </c>
      <c r="C462" s="3" t="inlineStr">
        <is>
          <t>src/domain/retirement/ssTiming.ts</t>
        </is>
      </c>
      <c r="D462" s="3" t="n">
        <v>240</v>
      </c>
      <c r="E462" s="3" t="inlineStr">
        <is>
          <t>2 · DISPLAYED</t>
        </is>
      </c>
      <c r="F462" s="3" t="inlineStr">
        <is>
          <t>The FRA as words a person recognises — "67", or "66 and 4 months".</t>
        </is>
      </c>
      <c r="G462" s="11" t="inlineStr">
        <is>
          <t>fra = full retirement age(birth year)
years = round down(fra)
months = round((fra − years) × 12)
the answer:
string(years)   if months = 0
`${years} and ${plural(months, 'month')}`   otherwise</t>
        </is>
      </c>
      <c r="H462" s="3" t="inlineStr">
        <is>
          <t>Fra is full retirement age(birth year). Years is fra, rounded down. Months is (fra minus years, to a whole number times 12). The answer is string(years) — when months = 0; `${years} and ${plural(months, 'month')}` — otherwise.</t>
        </is>
      </c>
      <c r="I462" s="3" t="inlineStr">
        <is>
          <t>PARTLY READ — some of the code is still showing through; needs a hand pass</t>
        </is>
      </c>
      <c r="J462" s="3" t="inlineStr">
        <is>
          <t>birthYear?: number | null</t>
        </is>
      </c>
      <c r="K462" s="3" t="inlineStr">
        <is>
          <t>string</t>
        </is>
      </c>
      <c r="L462" s="3" t="inlineStr">
        <is>
          <t>NOT FOUND — a screen calls it, but the words printed beside its answer could not be traced automatically. Needs reading.</t>
        </is>
      </c>
      <c r="M462" s="3" t="inlineStr">
        <is>
          <t>1. Turns a monthly figure into a year by multiplying by twelve.
2. Rounds the answer to a whole number.</t>
        </is>
      </c>
      <c r="N462" s="3" t="inlineStr">
        <is>
          <t>Yes</t>
        </is>
      </c>
      <c r="O462" s="3" t="inlineStr">
        <is>
          <t>1. MK-PL-F-057 fullRetirementAge
2. MK-NW-F-067 plural</t>
        </is>
      </c>
      <c r="P462" s="3" t="n">
        <v>3</v>
      </c>
      <c r="Q462" s="3" t="inlineStr">
        <is>
          <t>1. MK-PL-F-057 fullRetirementAge
2. MK-NW-F-067 plural
3. MK-XS-F-122 n</t>
        </is>
      </c>
      <c r="R462" s="3" t="inlineStr">
        <is>
          <t>1. MK-PL-F-057 fullRetirementAge → MK-PL-F-063 fraLabel
2. MK-XS-F-122 n → MK-NW-F-067 plural → MK-PL-F-063 fraLabel</t>
        </is>
      </c>
      <c r="S462" s="3" t="inlineStr">
        <is>
          <t>—</t>
        </is>
      </c>
      <c r="T462" s="3" t="inlineStr">
        <is>
          <t>—</t>
        </is>
      </c>
      <c r="U462" s="3" t="inlineStr">
        <is>
          <t>ACTIVE</t>
        </is>
      </c>
      <c r="V462" s="3" t="inlineStr">
        <is>
          <t>2026-10-10</t>
        </is>
      </c>
      <c r="W462" s="3" t="n"/>
      <c r="X462" s="3" t="n"/>
      <c r="Y462" s="3" t="inlineStr">
        <is>
          <t>NOTHING OPEN</t>
        </is>
      </c>
    </row>
    <row r="463" ht="60" customHeight="1">
      <c r="A463" s="3" t="inlineStr">
        <is>
          <t>MK-PL-F-064</t>
        </is>
      </c>
      <c r="B463" s="3" t="inlineStr">
        <is>
          <t>claimWindow</t>
        </is>
      </c>
      <c r="C463" s="3" t="inlineStr">
        <is>
          <t>src/domain/retirement/ssTiming.ts</t>
        </is>
      </c>
      <c r="D463" s="3" t="n">
        <v>272</v>
      </c>
      <c r="E463" s="3" t="inlineStr">
        <is>
          <t>2 · DISPLAYED</t>
        </is>
      </c>
      <c r="F463" s="3" t="inlineStr">
        <is>
          <t>The claim window: the month the person turns 62 → the month they turn 70.</t>
        </is>
      </c>
      <c r="G463" s="11"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463"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463" s="3" t="inlineStr">
        <is>
          <t>PARTLY READ — some of the code is still showing through; needs a hand pass</t>
        </is>
      </c>
      <c r="J463" s="3" t="inlineStr">
        <is>
          <t>1. birthYear: number | null
2. birthMonth: number | null</t>
        </is>
      </c>
      <c r="K463" s="3" t="inlineStr">
        <is>
          <t>NOT DECLARED — the code does not say what it gives back</t>
        </is>
      </c>
      <c r="L463" s="3" t="inlineStr">
        <is>
          <t>"Your assumption, not our prediction." — on the Social Security timing screen</t>
        </is>
      </c>
      <c r="M463" s="3" t="inlineStr">
        <is>
          <t>None found in this function — anything it assumes comes from the functions it depends on.</t>
        </is>
      </c>
      <c r="N463" s="3" t="inlineStr">
        <is>
          <t>Yes</t>
        </is>
      </c>
      <c r="O463" s="3" t="inlineStr">
        <is>
          <t>—</t>
        </is>
      </c>
      <c r="P463" s="3" t="n">
        <v>0</v>
      </c>
      <c r="Q463" s="3" t="inlineStr">
        <is>
          <t>None — no dependent function stands behind it</t>
        </is>
      </c>
      <c r="R463" s="3" t="inlineStr">
        <is>
          <t>No dependent function — it reads its inputs and answers</t>
        </is>
      </c>
      <c r="S463" s="3" t="inlineStr">
        <is>
          <t>—</t>
        </is>
      </c>
      <c r="T463" s="3" t="inlineStr">
        <is>
          <t>—</t>
        </is>
      </c>
      <c r="U463" s="3" t="inlineStr">
        <is>
          <t>ACTIVE</t>
        </is>
      </c>
      <c r="V463" s="3" t="inlineStr">
        <is>
          <t>2026-08-27</t>
        </is>
      </c>
      <c r="W463" s="3" t="n"/>
      <c r="X463" s="3" t="n"/>
      <c r="Y463" s="3" t="inlineStr">
        <is>
          <t>NOTHING OPEN</t>
        </is>
      </c>
    </row>
    <row r="464" ht="60" customHeight="1">
      <c r="A464" s="3" t="inlineStr">
        <is>
          <t>MK-PL-F-065</t>
        </is>
      </c>
      <c r="B464" s="3" t="inlineStr">
        <is>
          <t>volOf</t>
        </is>
      </c>
      <c r="C464" s="3" t="inlineStr">
        <is>
          <t>src/domain/retirement/willItLast.ts</t>
        </is>
      </c>
      <c r="D464" s="3" t="n">
        <v>86</v>
      </c>
      <c r="E464" s="3" t="inlineStr">
        <is>
          <t>2 · DISPLAYED</t>
        </is>
      </c>
      <c r="F464" s="3" t="inlineStr">
        <is>
          <t>Same volatility convention as the cockpit: higher return ⇒ more volatility.</t>
        </is>
      </c>
      <c r="G464" s="11" t="inlineStr">
        <is>
          <t>hold ret × 1.7 between 0.05 and 0.2</t>
        </is>
      </c>
      <c r="H464" s="3" t="inlineStr">
        <is>
          <t>hold ret times 1.7 between 0.05 and 0.2</t>
        </is>
      </c>
      <c r="I464" s="3" t="inlineStr">
        <is>
          <t>READ FROM THE CODE — rendered from the expressions the function runs</t>
        </is>
      </c>
      <c r="J464" s="3" t="inlineStr">
        <is>
          <t>ret: number</t>
        </is>
      </c>
      <c r="K464" s="3" t="inlineStr">
        <is>
          <t>NOT DECLARED — the code does not say what it gives back</t>
        </is>
      </c>
      <c r="L464" s="3" t="inlineStr">
        <is>
          <t>NOT FOUND — a screen calls it, but the words printed beside its answer could not be traced automatically. Needs reading.</t>
        </is>
      </c>
      <c r="M464" s="3" t="inlineStr">
        <is>
          <t>· Never lets the answer fall below 5% or rise above 20%.</t>
        </is>
      </c>
      <c r="N464" s="3" t="inlineStr">
        <is>
          <t>Yes</t>
        </is>
      </c>
      <c r="O464" s="3" t="inlineStr">
        <is>
          <t>1. MK-PL-F-077 clamp
2. MK-CF-O-002 expenses
3. MK-PL-F-050 simulate</t>
        </is>
      </c>
      <c r="P464" s="3" t="n">
        <v>52</v>
      </c>
      <c r="Q464" s="3" t="inlineStr">
        <is>
          <t>1. MK-PL-F-077 clamp
2. MK-CF-O-002 expenses
3. MK-PL-F-050 simulate
4. MK-NW-F-035 blendedVolatility
5. MK-CF-F-151 actualSpending
6. MK-CF-F-150 debtPaymentsCountedAsExpenses
7. MK-CF-F-153 radar
8. MK-CF-F-149 recurringDebtPayments
9. MK-CF-F-132 map
10. MK-PL-F-074 median
11. MK-PL-F-072 mulberry32
12. MK-XS-F-122 n
13. MK-PL-F-073 normal
14. MK-PL-F-075 pctOfSorted
15. MK-ST-F-025 rmdStartAgeFromAge
16. MK-CF-F-155 cash
17. MK-NW-F-032 earmarkedAmount
18. MK-NW-F-031 primaryCarIdOf
19. MK-NW-F-110 primaryHomeIdOf
20. MK-CF-F-148 inMonth
21. MK-ST-F-052 toNum
22. MK-CF-F-191 ym
23. MK-ST-F-056 has
24. MK-CF-F-022 paymentShape
25. MK-CF-F-152 isRadarItem
26. MK-CF-F-023 requiredPayment
27. MK-ST-F-024 rmdStartAge
28. MK-NW-F-030 earmarkDefault
29. MK-NW-F-134 carValueNotEnteredNotes
30. MK-NW-F-133 valueEntered
31. MK-NW-F-117 propertyUseMap
32. MK-CF-F-021 defaultPaymentType
33. MK-NW-F-011 assetClassOf
34. MK-ST-F-053 money
35. MK-NW-F-033 retirementEarmarkedValue
36. MK-NW-F-116 rentedIdsOf
37. MK-NW-F-120 classEvidenceOf
38. MK-ST-F-049 formatMoney
39. MK-NW-F-115 liveRent
40. MK-NW-F-008 incomeBearingClassOf
41. MK-NW-F-009 maturityClass
42. MK-ST-F-048 currencySymbol
43. MK-ST-F-039 on
44. MK-NW-F-114 rentAmount
45. MK-ST-F-010 nameEvidence
46. MK-NW-F-068 prettyDay
47. MK-ST-F-047 activeCurrency
48. MK-ST-F-085 rentFigure
49. MK-XS-F-147 call
50. MK-ST-F-027 accountId
51. MK-XS-F-064 currentIdToken
52. MK-XS-F-112 relayUrl</t>
        </is>
      </c>
      <c r="R464" s="3" t="inlineStr">
        <is>
          <t>1. MK-XS-F-122 n → MK-CF-F-155 cash → MK-NW-F-035 blendedVolatility → MK-PL-F-077 clamp → MK-PL-F-065 volOf
2. MK-NW-F-011 assetClassOf → MK-NW-F-030 earmarkDefault → MK-NW-F-032 earmarkedAmount → MK-NW-F-035 blendedVolatility → MK-PL-F-077 clamp → MK-PL-F-065 volOf
3. MK-CF-F-132 map → MK-NW-F-134 carValueNotEnteredNotes → MK-NW-F-031 primaryCarIdOf → MK-NW-F-035 blendedVolatility → MK-PL-F-077 clamp → MK-PL-F-065 volOf
4. MK-ST-F-053 money → MK-NW-F-134 carValueNotEnteredNotes → MK-NW-F-031 primaryCarIdOf → MK-NW-F-035 blendedVolatility → MK-PL-F-077 clamp → MK-PL-F-065 volOf
5. primaryCarIdOf (already above — a loop) → MK-NW-F-134 carValueNotEnteredNotes → MK-NW-F-031 primaryCarIdOf → MK-NW-F-035 blendedVolatility → MK-PL-F-077 clamp → MK-PL-F-065 volOf
6. MK-NW-F-033 retirementEarmarkedValue → MK-NW-F-134 carValueNotEnteredNotes → MK-NW-F-031 primaryCarIdOf → MK-NW-F-035 blendedVolatility → MK-PL-F-077 clamp → MK-PL-F-065 volOf
7. MK-NW-F-133 valueEntered → MK-NW-F-134 carValueNotEnteredNotes → MK-NW-F-031 primaryCarIdOf → MK-NW-F-035 blendedVolatility → MK-PL-F-077 clamp → MK-PL-F-065 volOf
8. MK-NW-F-133 valueEntered → MK-NW-F-031 primaryCarIdOf → MK-NW-F-035 blendedVolatility → MK-PL-F-077 clamp → MK-PL-F-065 volOf
9. … and 5 more paths</t>
        </is>
      </c>
      <c r="S464" s="3" t="inlineStr">
        <is>
          <t>—</t>
        </is>
      </c>
      <c r="T464" s="3" t="inlineStr">
        <is>
          <t>SWING_FROM_RETURN</t>
        </is>
      </c>
      <c r="U464" s="3" t="inlineStr">
        <is>
          <t>ACTIVE</t>
        </is>
      </c>
      <c r="V464" s="3" t="inlineStr">
        <is>
          <t>2026-08-27</t>
        </is>
      </c>
      <c r="W464" s="3" t="n"/>
      <c r="X464" s="3" t="n"/>
      <c r="Y464" s="3" t="inlineStr">
        <is>
          <t>NOTHING OPEN</t>
        </is>
      </c>
    </row>
    <row r="465" ht="60" customHeight="1">
      <c r="A465" s="3" t="inlineStr">
        <is>
          <t>MK-PL-F-066</t>
        </is>
      </c>
      <c r="B465" s="3" t="inlineStr">
        <is>
          <t>displayOdds</t>
        </is>
      </c>
      <c r="C465" s="3" t="inlineStr">
        <is>
          <t>src/domain/retirement/willItLast.ts</t>
        </is>
      </c>
      <c r="D465" s="3" t="n">
        <v>143</v>
      </c>
      <c r="E465" s="3" t="inlineStr">
        <is>
          <t>2 · DISPLAYED</t>
        </is>
      </c>
      <c r="F465" s="3" t="inlineStr">
        <is>
          <t>B6 (founder brief 2026-08-20): the odds a person sees, to the nearest 5 — with one honesty guard at each end: 100 means "every simulated future worked" and 0 means "none did", and neither claim may be minted by rounding.</t>
        </is>
      </c>
      <c r="G465" s="11" t="inlineStr">
        <is>
          <t>min(100, max(0, round(chance, 6 dp)))</t>
        </is>
      </c>
      <c r="H465" s="3" t="inlineStr">
        <is>
          <t>the smaller of 100 and chance, to 6 decimal places, never below zero.</t>
        </is>
      </c>
      <c r="I465" s="3" t="inlineStr">
        <is>
          <t>READ FROM THE CODE — rendered from the expressions the function runs</t>
        </is>
      </c>
      <c r="J465" s="3" t="inlineStr">
        <is>
          <t>chance: number</t>
        </is>
      </c>
      <c r="K465" s="3" t="inlineStr">
        <is>
          <t>number</t>
        </is>
      </c>
      <c r="L465" s="3" t="inlineStr">
        <is>
          <t>"Claim at age" — on the Retirement cockpit screen</t>
        </is>
      </c>
      <c r="M465" s="3" t="inlineStr">
        <is>
          <t>· Rounds the answer to 6 decimal places.</t>
        </is>
      </c>
      <c r="N465" s="3" t="inlineStr">
        <is>
          <t>Yes</t>
        </is>
      </c>
      <c r="O465" s="3" t="inlineStr">
        <is>
          <t>—</t>
        </is>
      </c>
      <c r="P465" s="3" t="n">
        <v>0</v>
      </c>
      <c r="Q465" s="3" t="inlineStr">
        <is>
          <t>None — no dependent function stands behind it</t>
        </is>
      </c>
      <c r="R465" s="3" t="inlineStr">
        <is>
          <t>No dependent function — it reads its inputs and answers</t>
        </is>
      </c>
      <c r="S465" s="3" t="inlineStr">
        <is>
          <t>—</t>
        </is>
      </c>
      <c r="T465" s="3" t="inlineStr">
        <is>
          <t>ODDS_DISPLAY</t>
        </is>
      </c>
      <c r="U465" s="3" t="inlineStr">
        <is>
          <t>ACTIVE</t>
        </is>
      </c>
      <c r="V465" s="3" t="inlineStr">
        <is>
          <t>2026-09-14</t>
        </is>
      </c>
      <c r="W465" s="3" t="n"/>
      <c r="X465" s="3" t="n"/>
      <c r="Y465" s="3" t="inlineStr">
        <is>
          <t>NOTHING OPEN</t>
        </is>
      </c>
    </row>
    <row r="466" ht="60" customHeight="1">
      <c r="A466" s="3" t="inlineStr">
        <is>
          <t>MK-PL-F-067</t>
        </is>
      </c>
      <c r="B466" s="3" t="inlineStr">
        <is>
          <t>willItLastInputs</t>
        </is>
      </c>
      <c r="C466" s="3" t="inlineStr">
        <is>
          <t>src/domain/retirement/willItLast.ts</t>
        </is>
      </c>
      <c r="D466" s="3" t="n">
        <v>196</v>
      </c>
      <c r="E466" s="3" t="inlineStr">
        <is>
          <t>2 · DISPLAYED</t>
        </is>
      </c>
      <c r="F466" s="3" t="inlineStr">
        <is>
          <t>What goes into working out the odds?</t>
        </is>
      </c>
      <c r="G466" s="11" t="inlineStr">
        <is>
          <t>op = op (or none when missing)
a = assumptions (or none when missing)
age = age attained in year(num or zero(op.birth year) or nothing)
nothing   when age = nothing
nest egg = retirement earmarked value(accounts)
bequest = num or zero(op.legacy target)
spendable egg = max(0, nest egg − bequest)
bench blended = blended return(accounts) (or 0.06 when missing)
actual blended = portfolio actual return(accounts)
return basis = A.return basis (or 'benchmark' when missing)
scenario return = A.expected return (or bench blended when missing)
… the first steps only — the rest of the body needs reading by hand.</t>
        </is>
      </c>
      <c r="H466" s="3" t="inlineStr">
        <is>
          <t>Op is op (or none — when missing). A is assumptions (or none — when missing). Age is age attained in year(num or zero(op.birth year) or no answer). When age is missing, it answers no answer. Nest egg is retirement earmarked value(accounts). Bequest is num or zero(op.legacy target). Spendable egg is nest egg minus bequest, never below zero. Bench blended is blended return(accounts) (or 0.06 — when missing). Actual blended is portfolio actual return(accounts). Return basis is A.return basis (or 'benchmark' — when missing). Scenario return is A.expected return (or bench blended — when missing). Only the first steps are shown; the rest of the body needs reading by hand.</t>
        </is>
      </c>
      <c r="I466" s="3" t="inlineStr">
        <is>
          <t>PARTLY READ — some of the code is still showing through; needs a hand pass</t>
        </is>
      </c>
      <c r="J466" s="3" t="inlineStr">
        <is>
          <t>a: WillItLastArgs</t>
        </is>
      </c>
      <c r="K466" s="3" t="inlineStr">
        <is>
          <t>RetirementInputs | null</t>
        </is>
      </c>
      <c r="L466" s="3" t="inlineStr">
        <is>
          <t>NOT FOUND — a screen calls it, but the words printed beside its answer could not be traced automatically. Needs reading.</t>
        </is>
      </c>
      <c r="M466"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466" s="3" t="inlineStr">
        <is>
          <t>Yes</t>
        </is>
      </c>
      <c r="O466"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t>
        </is>
      </c>
      <c r="P466" s="3" t="n">
        <v>113</v>
      </c>
      <c r="Q466"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
23. MK-XS-F-017 currentAge
24. MK-NW-F-034 benchmarkReturn
25. MK-NW-F-032 earmarkedAmount
26. MK-NW-F-031 primaryCarIdOf
27. MK-NW-F-110 primaryHomeIdOf
28. MK-CF-F-155 cash
29. MK-CF-F-101 taxOwedFor
30. MK-CF-F-151 actualSpending
31. MK-CF-F-150 debtPaymentsCountedAsExpenses
32. MK-CF-F-153 radar
33. MK-CF-F-149 recurringDebtPayments
34. MK-ST-F-052 toNum
35. MK-CF-F-053 annual401kLimit
36. MK-CF-F-078 employerMatchMonthly
37. MK-ST-F-053 money
38. MK-XS-F-122 n
39. MK-PL-F-047 colFactor
40. MK-PL-F-058 ssClaimFactorFor
41. MK-NW-F-026 accountDisplayNames
42. MK-PL-F-086 splitBucketOf
43. MK-PL-F-087 taxTypeNotStated
44. MK-CF-F-072 currentRetirementIncomeMonthly
45. MK-CF-F-071 extraIncome
46. MK-CF-F-068 rentalNetAnnual
47. MK-CF-F-066 rsuAnnual
48. MK-CF-F-082 salaryAnnual
49. MK-CF-F-074 tipsAnnual
50. MK-PL-F-077 clamp
51. MK-PL-F-050 simulate
52. MK-NW-F-007 assetKind
53. MK-NW-F-030 earmarkDefault
54. MK-NW-F-134 carValueNotEnteredNotes
55. MK-NW-F-133 valueEntered
56. MK-NW-F-117 propertyUseMap
57. MK-CF-F-100 taxableIncomeFor
58. MK-CF-F-148 inMonth
59. MK-CF-F-191 ym
60. MK-ST-F-056 has
61. MK-CF-F-022 paymentShape
62. MK-CF-F-152 isRadarItem
63. MK-CF-F-023 requiredPayment
64. MK-CF-F-175 sumOverEarners
65. MK-CF-F-178 wageMatchMonthly
66. MK-ST-F-049 formatMoney
67. MK-PL-F-057 fullRetirementAge
68. MK-NW-F-025 accountDisplayName
69. MK-NW-F-012 taxTreatmentOf
70. MK-CF-F-075 retirementIncomeMonthly
71. MK-CF-F-070 benefitAnnual
72. MK-CF-F-067 rentalList
73. MK-CF-F-062 equityRowValue
74. MK-CF-F-063 rowVestYear
75. MK-CF-F-060 salaryGrossByMonth
76. MK-CF-F-081 salaryActiveMonths
77. MK-PL-F-074 median
78. MK-PL-F-072 mulberry32
79. MK-PL-F-073 normal
80. MK-PL-F-075 pctOfSorted
81. MK-ST-F-025 rmdStartAgeFromAge
82. MK-NW-F-011 assetClassOf
83. MK-NW-F-116 rentedIdsOf
84. MK-CF-F-099 deductionFor
85. MK-CF-F-021 defaultPaymentType
86. MK-CF-F-173 earnerWages
87. MK-ST-F-048 currencySymbol
88. MK-NW-F-024 accountLastFour
89. MK-NW-F-023 wrapperWord
90. MK-CF-F-069 benefitActiveMonths
91. MK-ST-F-085 rentFigure
92. MK-CF-F-176 sumMonthsOverEarners
93. MK-CF-F-177 wageGrossByMonth
94. MK-ST-F-024 rmdStartAge
95. MK-NW-F-120 classEvidenceOf
96. MK-NW-F-115 liveRent
97. MK-CF-F-187 seniorDeductionFor
98. MK-CF-F-172 hasWage
99. MK-ST-F-047 activeCurrency
100. MK-CF-F-130 enteredMonthlyRaw
101. MK-CF-F-166 hasMonthlySalaryTable
102. MK-ST-F-036 reconcile
103. MK-CF-F-167 salaryCalendarYear
104. MK-NW-F-008 incomeBearingClassOf
105. MK-NW-F-009 maturityClass
106. MK-NW-F-114 rentAmount
107. MK-CF-F-165 salaryMonths
108. MK-ST-F-010 nameEvidence
109. MK-NW-F-068 prettyDay
110. MK-XS-F-147 call
111. MK-ST-F-027 accountId
112. MK-XS-F-064 currentIdToken
113. MK-XS-F-112 relayUrl</t>
        </is>
      </c>
      <c r="R466"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S466" s="3" t="inlineStr">
        <is>
          <t>MK-PL-M-008 · MK-PL-M-011 · MK-PL-M-029</t>
        </is>
      </c>
      <c r="T466" s="3" t="inlineStr">
        <is>
          <t>WILL_IT_LAST_INPUTS</t>
        </is>
      </c>
      <c r="U466" s="3" t="inlineStr">
        <is>
          <t>ACTIVE</t>
        </is>
      </c>
      <c r="V466" s="3" t="inlineStr">
        <is>
          <t>2026-10-07</t>
        </is>
      </c>
      <c r="W466" s="3" t="n"/>
      <c r="X466" s="3" t="n"/>
      <c r="Y466" s="6" t="inlineStr">
        <is>
          <t>TESTED, NOT VERIFIED (G5, G7, G9)</t>
        </is>
      </c>
    </row>
    <row r="467" ht="60" customHeight="1">
      <c r="A467" s="3" t="inlineStr">
        <is>
          <t>MK-PL-F-068</t>
        </is>
      </c>
      <c r="B467" s="3" t="inlineStr">
        <is>
          <t>selectWillItLast</t>
        </is>
      </c>
      <c r="C467" s="3" t="inlineStr">
        <is>
          <t>src/domain/retirement/willItLast.ts</t>
        </is>
      </c>
      <c r="D467" s="3" t="n">
        <v>318</v>
      </c>
      <c r="E467" s="3" t="inlineStr">
        <is>
          <t>2 · DISPLAYED</t>
        </is>
      </c>
      <c r="F467" s="3" t="inlineStr">
        <is>
          <t>The one will-it-last read.</t>
        </is>
      </c>
      <c r="G467" s="11" t="inlineStr">
        <is>
          <t>op = op (or none when missing)
inputs = will it last inputs(a)
nest egg = retirement earmarked value(accounts)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467" s="3" t="inlineStr">
        <is>
          <t>Op is op (or none — when missing). Inputs is will it last inputs(a). Nest egg is retirement earmarked value(accounts).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467" s="3" t="inlineStr">
        <is>
          <t>PARTLY READ — some of the code is still showing through; needs a hand pass</t>
        </is>
      </c>
      <c r="J467" s="3" t="inlineStr">
        <is>
          <t>a: WillItLastArgs</t>
        </is>
      </c>
      <c r="K467" s="3" t="inlineStr">
        <is>
          <t>WillItLastResult</t>
        </is>
      </c>
      <c r="L467" s="3" t="inlineStr">
        <is>
          <t>1. "Draw from savings" — on the Cash flow screen, under "YOUR FUTURE PAYCHECK"
2. "WILL MY MONEY LAST?" — on the Cash flow screen, under "WILL MY MONEY LAST?"</t>
        </is>
      </c>
      <c r="M467" s="3" t="inlineStr">
        <is>
          <t>None found in this function — anything it assumes comes from the functions it depends on.</t>
        </is>
      </c>
      <c r="N467" s="3" t="inlineStr">
        <is>
          <t>Yes</t>
        </is>
      </c>
      <c r="O467" s="3" t="inlineStr">
        <is>
          <t>1. MK-PL-F-066 displayOdds
2. MK-PL-F-079 numOrZero
3. MK-NW-F-033 retirementEarmarkedValue
4. MK-PL-F-049 retirementSpendMonthly
5. MK-PL-F-050 simulate
6. MK-PL-F-067 willItLastInputs</t>
        </is>
      </c>
      <c r="P467" s="3" t="n">
        <v>115</v>
      </c>
      <c r="Q467" s="3" t="inlineStr">
        <is>
          <t>1. MK-PL-F-066 displayOdds
2. MK-PL-F-079 numOrZero
3. MK-NW-F-033 retirementEarmarkedValue
4. MK-PL-F-049 retirementSpendMonthly
5. MK-PL-F-050 simulate
6. MK-PL-F-067 willItLastInputs
7. MK-XS-F-122 n
8. MK-NW-F-032 earmarkedAmount
9. MK-NW-F-031 primaryCarIdOf
10. MK-NW-F-110 primaryHomeIdOf
11. MK-PL-F-047 colFactor
12. MK-CF-O-002 expenses
13. MK-PL-F-001 taxBucketSplit
14. MK-ST-F-052 toNum
15. MK-CF-F-132 map
16. MK-PL-F-074 median
17. MK-PL-F-072 mulberry32
18. MK-PL-F-073 normal
19. MK-PL-F-075 pctOfSorted
20. MK-ST-F-025 rmdStartAgeFromAge
21. MK-CF-F-197 ageAttainedInYear
22. MK-XS-F-179 ageToday
23. MK-NW-F-037 blendedReturn
24. MK-NW-F-035 blendedVolatility
25. MK-CF-F-102 effectiveRateOnGrossFor
26. MK-CF-F-085 filingStatusOf
27. MK-CF-F-076 guaranteedOutsideStreams
28. MK-PL-F-083 inflationRateInForce
29. MK-NW-F-041 monthlyContributionsFromOnboarding
30. MK-ST-F-039 on
31. MK-CF-F-089 over65CountOf
32. MK-NW-F-004 portfolioActualReturn
33. MK-PL-F-060 ssBenefitAt
34. MK-CF-F-086 stateRateOf
35. MK-CF-F-083 totalGrossAnnual
36. MK-PL-F-065 volOf
37. MK-NW-F-030 earmarkDefault
38. MK-NW-F-134 carValueNotEnteredNotes
39. MK-NW-F-133 valueEntered
40. MK-NW-F-117 propertyUseMap
41. MK-CF-F-151 actualSpending
42. MK-CF-F-150 debtPaymentsCountedAsExpenses
43. MK-CF-F-153 radar
44. MK-CF-F-149 recurringDebtPayments
45. MK-NW-F-026 accountDisplayNames
46. MK-PL-F-086 splitBucketOf
47. MK-PL-F-087 taxTypeNotStated
48. MK-ST-F-024 rmdStartAge
49. MK-XS-F-017 currentAge
50. MK-NW-F-034 benchmarkReturn
51. MK-CF-F-155 cash
52. MK-CF-F-101 taxOwedFor
53. MK-CF-F-053 annual401kLimit
54. MK-CF-F-078 employerMatchMonthly
55. MK-ST-F-053 money
56. MK-PL-F-058 ssClaimFactorFor
57. MK-CF-F-072 currentRetirementIncomeMonthly
58. MK-CF-F-071 extraIncome
59. MK-CF-F-068 rentalNetAnnual
60. MK-CF-F-066 rsuAnnual
61. MK-CF-F-082 salaryAnnual
62. MK-CF-F-074 tipsAnnual
63. MK-PL-F-077 clamp
64. MK-NW-F-011 assetClassOf
65. MK-ST-F-056 has
66. MK-NW-F-116 rentedIdsOf
67. MK-CF-F-148 inMonth
68. MK-CF-F-191 ym
69. MK-CF-F-022 paymentShape
70. MK-CF-F-152 isRadarItem
71. MK-CF-F-023 requiredPayment
72. MK-NW-F-025 accountDisplayName
73. MK-NW-F-007 assetKind
74. MK-NW-F-012 taxTreatmentOf
75. MK-CF-F-100 taxableIncomeFor
76. MK-CF-F-175 sumOverEarners
77. MK-CF-F-178 wageMatchMonthly
78. MK-ST-F-049 formatMoney
79. MK-PL-F-057 fullRetirementAge
80. MK-CF-F-075 retirementIncomeMonthly
81. MK-CF-F-070 benefitAnnual
82. MK-CF-F-067 rentalList
83. MK-CF-F-062 equityRowValue
84. MK-CF-F-063 rowVestYear
85. MK-CF-F-060 salaryGrossByMonth
86. MK-CF-F-081 salaryActiveMonths
87. MK-NW-F-120 classEvidenceOf
88. MK-NW-F-115 liveRent
89. MK-CF-F-021 defaultPaymentType
90. MK-NW-F-024 accountLastFour
91. MK-NW-F-023 wrapperWord
92. MK-CF-F-099 deductionFor
93. MK-CF-F-173 earnerWages
94. MK-ST-F-048 currencySymbol
95. MK-CF-F-069 benefitActiveMonths
96. MK-ST-F-085 rentFigure
97. MK-CF-F-176 sumMonthsOverEarners
98. MK-CF-F-177 wageGrossByMonth
99. MK-NW-F-008 incomeBearingClassOf
100. MK-NW-F-009 maturityClass
101. MK-NW-F-114 rentAmount
102. MK-CF-F-187 seniorDeductionFor
103. MK-CF-F-172 hasWage
104. MK-ST-F-047 activeCurrency
105. MK-CF-F-130 enteredMonthlyRaw
106. MK-CF-F-166 hasMonthlySalaryTable
107. MK-ST-F-036 reconcile
108. MK-CF-F-167 salaryCalendarYear
109. MK-ST-F-010 nameEvidence
110. MK-NW-F-068 prettyDay
111. MK-CF-F-165 salaryMonths
112. MK-XS-F-147 call
113. MK-ST-F-027 accountId
114. MK-XS-F-064 currentIdToken
115. MK-XS-F-112 relayUrl</t>
        </is>
      </c>
      <c r="R467"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MK-CF-F-132 map → MK-NW-F-134 carValueNotEnteredNotes → MK-NW-F-031 primaryCarIdOf → MK-NW-F-033 retirementEarmarkedValue → MK-PL-F-068 selectWillItLast
5. MK-ST-F-049 formatMoney → MK-ST-F-053 money → MK-NW-F-134 carValueNotEnteredNotes → MK-NW-F-031 primaryCarIdOf → MK-NW-F-033 retirementEarmarkedValue → MK-PL-F-068 selectWillItLast
6. MK-XS-F-122 n → MK-ST-F-053 money → MK-NW-F-134 carValueNotEnteredNotes → MK-NW-F-031 primaryCarIdOf → MK-NW-F-033 retirementEarmarkedValue → MK-PL-F-068 selectWillItLast
7. primaryCarIdOf (already above — a loop) → MK-NW-F-134 carValueNotEnteredNotes → MK-NW-F-031 primaryCarIdOf → MK-NW-F-033 retirementEarmarkedValue → MK-PL-F-068 selectWillItLast
8. retirementEarmarkedValue (already above — a loop) → MK-NW-F-134 carValueNotEnteredNotes → MK-NW-F-031 primaryCarIdOf → MK-NW-F-033 retirementEarmarkedValue → MK-PL-F-068 selectWillItLast
9. … and 5 more paths</t>
        </is>
      </c>
      <c r="S467" s="3" t="inlineStr">
        <is>
          <t>MK-PL-M-034 · MK-XS-M-002</t>
        </is>
      </c>
      <c r="T467" s="3" t="inlineStr">
        <is>
          <t>WILL_IT_LAST_RESULT</t>
        </is>
      </c>
      <c r="U467" s="3" t="inlineStr">
        <is>
          <t>ACTIVE</t>
        </is>
      </c>
      <c r="V467" s="3" t="inlineStr">
        <is>
          <t>2026-09-12</t>
        </is>
      </c>
      <c r="W467" s="3" t="n"/>
      <c r="X467" s="3" t="n"/>
      <c r="Y467" s="3" t="inlineStr">
        <is>
          <t>NOTHING OPEN</t>
        </is>
      </c>
    </row>
    <row r="468" ht="60" customHeight="1">
      <c r="A468" s="3" t="inlineStr">
        <is>
          <t>MK-PL-F-069</t>
        </is>
      </c>
      <c r="B468" s="3" t="inlineStr">
        <is>
          <t>oddsAt</t>
        </is>
      </c>
      <c r="C468" s="3" t="inlineStr">
        <is>
          <t>src/domain/planning/spendMore.ts</t>
        </is>
      </c>
      <c r="D468" s="3" t="n">
        <v>45</v>
      </c>
      <c r="E468" s="3" t="inlineStr">
        <is>
          <t>1 · ACTION</t>
        </is>
      </c>
      <c r="F468" s="3" t="inlineStr">
        <is>
          <t>NOT DETERMINED — the code carries no note saying what this is for, and it has no row in the old inventory. Needs reading.</t>
        </is>
      </c>
      <c r="G468" s="11" t="inlineStr">
        <is>
          <t>the answer = simulate({ …base, retire monthly spend today: monthly spend }).chance of success</t>
        </is>
      </c>
      <c r="H468" s="3" t="inlineStr">
        <is>
          <t>The odds the money lasts when the monthly expenses in retirement are set to a given figure — one full run of the simulation (MK-PL-F-050) with that one input changed.</t>
        </is>
      </c>
      <c r="I468" s="3" t="inlineStr">
        <is>
          <t>READ BY HAND 2026-08-26 — checked line by line against the code</t>
        </is>
      </c>
      <c r="J468" s="3" t="inlineStr">
        <is>
          <t>1. base: RetirementInputs
2. monthlySpend: number</t>
        </is>
      </c>
      <c r="K468" s="3" t="inlineStr">
        <is>
          <t>NOT DECLARED — the code does not say what it gives back</t>
        </is>
      </c>
      <c r="L468" s="3" t="inlineStr">
        <is>
          <t>—</t>
        </is>
      </c>
      <c r="M468" s="3" t="inlineStr">
        <is>
          <t>None found in this function — anything it assumes comes from the functions it depends on.</t>
        </is>
      </c>
      <c r="N468" s="3" t="inlineStr">
        <is>
          <t>Yes</t>
        </is>
      </c>
      <c r="O468" s="3" t="inlineStr">
        <is>
          <t>MK-PL-F-050 simulate</t>
        </is>
      </c>
      <c r="P468" s="3" t="n">
        <v>22</v>
      </c>
      <c r="Q468"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68" s="3" t="inlineStr">
        <is>
          <t>1. MK-CF-F-191 ym → MK-CF-F-148 inMonth → MK-CF-F-151 actualSpending → MK-CF-O-002 expenses → MK-PL-F-050 simulate → MK-PL-F-069 oddsAt
2. MK-XS-F-122 n → MK-ST-F-052 toNum → MK-CF-F-151 actualSpending → MK-CF-O-002 expenses → MK-PL-F-050 simulate → MK-PL-F-069 oddsAt
3. MK-CF-F-191 ym → MK-CF-F-151 actualSpending → MK-CF-O-002 expenses → MK-PL-F-050 simulate → MK-PL-F-069 oddsAt
4. MK-ST-F-056 has → MK-CF-F-150 debtPaymentsCountedAsExpenses → MK-CF-O-002 expenses → MK-PL-F-050 simulate → MK-PL-F-069 oddsAt
5. MK-CF-F-191 ym → MK-CF-F-148 inMonth → MK-CF-F-150 debtPaymentsCountedAsExpenses → MK-CF-O-002 expenses → MK-PL-F-050 simulate → MK-PL-F-069 oddsAt
6. MK-CF-F-021 defaultPaymentType → MK-CF-F-022 paymentShape → MK-CF-F-150 debtPaymentsCountedAsExpenses → MK-CF-O-002 expenses → MK-PL-F-050 simulate → MK-PL-F-069 oddsAt
7. MK-XS-F-122 n → MK-ST-F-052 toNum → MK-CF-F-150 debtPaymentsCountedAsExpenses → MK-CF-O-002 expenses → MK-PL-F-050 simulate → MK-PL-F-069 oddsAt
8. MK-CF-F-191 ym → MK-CF-F-150 debtPaymentsCountedAsExpenses → MK-CF-O-002 expenses → MK-PL-F-050 simulate → MK-PL-F-069 oddsAt
9. … and 4 more paths</t>
        </is>
      </c>
      <c r="S468" s="3" t="inlineStr">
        <is>
          <t>—</t>
        </is>
      </c>
      <c r="T468" s="3" t="inlineStr">
        <is>
          <t>—</t>
        </is>
      </c>
      <c r="U468" s="3" t="inlineStr">
        <is>
          <t>ACTIVE</t>
        </is>
      </c>
      <c r="V468" s="3" t="inlineStr">
        <is>
          <t>2026-09-12</t>
        </is>
      </c>
      <c r="W468" s="3" t="n"/>
      <c r="X468" s="3" t="n"/>
      <c r="Y468" s="3" t="inlineStr">
        <is>
          <t>NOTHING OPEN</t>
        </is>
      </c>
    </row>
    <row r="469" ht="60" customHeight="1">
      <c r="A469" s="3" t="inlineStr">
        <is>
          <t>MK-PL-F-070</t>
        </is>
      </c>
      <c r="B469" s="3" t="inlineStr">
        <is>
          <t>smallestThatWorks</t>
        </is>
      </c>
      <c r="C469" s="3" t="inlineStr">
        <is>
          <t>src/domain/planning/target.ts</t>
        </is>
      </c>
      <c r="D469" s="3" t="n">
        <v>48</v>
      </c>
      <c r="E469" s="3" t="inlineStr">
        <is>
          <t>3 · DEPENDENT</t>
        </is>
      </c>
      <c r="F469" s="3" t="inlineStr">
        <is>
          <t>Smallest x in [lo, hi] where reaching(x) is true, to `tol`.</t>
        </is>
      </c>
      <c r="G469" s="11" t="inlineStr">
        <is>
          <t>lo   when works(lo)
nothing   when !works(hi)
a = lo, b = hi
mid = (a + b) ÷ 2
the answer = b</t>
        </is>
      </c>
      <c r="H469" s="3" t="inlineStr">
        <is>
          <t>When works(lo), it answers lo. When !works(hi), it answers no answer. A is lo, b = hi. Mid is (a plus b) divided by 2. The answer is b.</t>
        </is>
      </c>
      <c r="I469" s="3" t="inlineStr">
        <is>
          <t>READ FROM THE CODE — rendered from the expressions the function runs</t>
        </is>
      </c>
      <c r="J469" s="3" t="inlineStr">
        <is>
          <t>1. lo: number
2. hi: number
3. tol: number
4. works: (x: number) =&gt; boolean</t>
        </is>
      </c>
      <c r="K469" s="3" t="inlineStr">
        <is>
          <t>number | null</t>
        </is>
      </c>
      <c r="L469" s="3" t="inlineStr">
        <is>
          <t>—</t>
        </is>
      </c>
      <c r="M469" s="3" t="inlineStr">
        <is>
          <t>None found in this function — anything it assumes comes from the functions it depends on.</t>
        </is>
      </c>
      <c r="N469" s="3" t="inlineStr">
        <is>
          <t>Yes</t>
        </is>
      </c>
      <c r="O469" s="3" t="inlineStr">
        <is>
          <t>—</t>
        </is>
      </c>
      <c r="P469" s="3" t="n">
        <v>0</v>
      </c>
      <c r="Q469" s="3" t="inlineStr">
        <is>
          <t>None — no dependent function stands behind it</t>
        </is>
      </c>
      <c r="R469" s="3" t="inlineStr">
        <is>
          <t>No dependent function — it reads its inputs and answers</t>
        </is>
      </c>
      <c r="S469" s="3" t="inlineStr">
        <is>
          <t>—</t>
        </is>
      </c>
      <c r="T469" s="3" t="inlineStr">
        <is>
          <t>—</t>
        </is>
      </c>
      <c r="U469" s="3" t="inlineStr">
        <is>
          <t>ACTIVE</t>
        </is>
      </c>
      <c r="V469" s="3" t="inlineStr">
        <is>
          <t>2026-08-27</t>
        </is>
      </c>
      <c r="W469" s="3" t="n"/>
      <c r="X469" s="3" t="n"/>
      <c r="Y469" s="3" t="inlineStr">
        <is>
          <t>NOTHING OPEN</t>
        </is>
      </c>
    </row>
    <row r="470" ht="60" customHeight="1">
      <c r="A470" s="3" t="inlineStr">
        <is>
          <t>MK-PL-F-071</t>
        </is>
      </c>
      <c r="B470" s="3" t="inlineStr">
        <is>
          <t>oddsOf</t>
        </is>
      </c>
      <c r="C470" s="3" t="inlineStr">
        <is>
          <t>src/domain/planning/target.ts</t>
        </is>
      </c>
      <c r="D470" s="3" t="n">
        <v>79</v>
      </c>
      <c r="E470" s="3" t="inlineStr">
        <is>
          <t>1 · ACTION</t>
        </is>
      </c>
      <c r="F470" s="3" t="inlineStr">
        <is>
          <t>NOT DETERMINED — the code carries no note saying what this is for, and it has no row in the old inventory. Needs reading.</t>
        </is>
      </c>
      <c r="G470" s="11" t="inlineStr">
        <is>
          <t>simulate(inp).chance of success</t>
        </is>
      </c>
      <c r="H470" s="3" t="inlineStr">
        <is>
          <t>simulate(inp).chance of success</t>
        </is>
      </c>
      <c r="I470" s="3" t="inlineStr">
        <is>
          <t>PARTLY READ — some of the code is still showing through; needs a hand pass</t>
        </is>
      </c>
      <c r="J470" s="3" t="inlineStr">
        <is>
          <t>inp: RetirementInputs</t>
        </is>
      </c>
      <c r="K470" s="3" t="inlineStr">
        <is>
          <t>NOT DECLARED — the code does not say what it gives back</t>
        </is>
      </c>
      <c r="L470" s="3" t="inlineStr">
        <is>
          <t>—</t>
        </is>
      </c>
      <c r="M470" s="3" t="inlineStr">
        <is>
          <t>None found in this function — anything it assumes comes from the functions it depends on.</t>
        </is>
      </c>
      <c r="N470" s="3" t="inlineStr">
        <is>
          <t>Yes</t>
        </is>
      </c>
      <c r="O470" s="3" t="inlineStr">
        <is>
          <t>MK-PL-F-050 simulate</t>
        </is>
      </c>
      <c r="P470" s="3" t="n">
        <v>22</v>
      </c>
      <c r="Q470"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70" s="3" t="inlineStr">
        <is>
          <t>1. MK-CF-F-191 ym → MK-CF-F-148 inMonth → MK-CF-F-151 actualSpending → MK-CF-O-002 expenses → MK-PL-F-050 simulate → MK-PL-F-071 oddsOf
2. MK-XS-F-122 n → MK-ST-F-052 toNum → MK-CF-F-151 actualSpending → MK-CF-O-002 expenses → MK-PL-F-050 simulate → MK-PL-F-071 oddsOf
3. MK-CF-F-191 ym → MK-CF-F-151 actualSpending → MK-CF-O-002 expenses → MK-PL-F-050 simulate → MK-PL-F-071 oddsOf
4. MK-ST-F-056 has → MK-CF-F-150 debtPaymentsCountedAsExpenses → MK-CF-O-002 expenses → MK-PL-F-050 simulate → MK-PL-F-071 oddsOf
5. MK-CF-F-191 ym → MK-CF-F-148 inMonth → MK-CF-F-150 debtPaymentsCountedAsExpenses → MK-CF-O-002 expenses → MK-PL-F-050 simulate → MK-PL-F-071 oddsOf
6. MK-CF-F-021 defaultPaymentType → MK-CF-F-022 paymentShape → MK-CF-F-150 debtPaymentsCountedAsExpenses → MK-CF-O-002 expenses → MK-PL-F-050 simulate → MK-PL-F-071 oddsOf
7. MK-XS-F-122 n → MK-ST-F-052 toNum → MK-CF-F-150 debtPaymentsCountedAsExpenses → MK-CF-O-002 expenses → MK-PL-F-050 simulate → MK-PL-F-071 oddsOf
8. MK-CF-F-191 ym → MK-CF-F-150 debtPaymentsCountedAsExpenses → MK-CF-O-002 expenses → MK-PL-F-050 simulate → MK-PL-F-071 oddsOf
9. … and 4 more paths</t>
        </is>
      </c>
      <c r="S470" s="3" t="inlineStr">
        <is>
          <t>—</t>
        </is>
      </c>
      <c r="T470" s="3" t="inlineStr">
        <is>
          <t>—</t>
        </is>
      </c>
      <c r="U470" s="3" t="inlineStr">
        <is>
          <t>ACTIVE</t>
        </is>
      </c>
      <c r="V470" s="3" t="inlineStr">
        <is>
          <t>2026-08-27</t>
        </is>
      </c>
      <c r="W470" s="3" t="n"/>
      <c r="X470" s="3" t="n"/>
      <c r="Y470" s="3" t="inlineStr">
        <is>
          <t>NOTHING OPEN</t>
        </is>
      </c>
    </row>
    <row r="471" ht="45" customHeight="1">
      <c r="A471" s="3" t="inlineStr">
        <is>
          <t>MK-PL-F-072</t>
        </is>
      </c>
      <c r="B471" s="3" t="inlineStr">
        <is>
          <t>mulberry32</t>
        </is>
      </c>
      <c r="C471" s="3" t="inlineStr">
        <is>
          <t>src/domain/retirement/index.ts</t>
        </is>
      </c>
      <c r="D471" s="3" t="n">
        <v>218</v>
      </c>
      <c r="E471" s="3" t="inlineStr">
        <is>
          <t>3 · DEPENDENT</t>
        </is>
      </c>
      <c r="F471" s="3" t="inlineStr">
        <is>
          <t>deterministic RNG so results/tests are reproducible</t>
        </is>
      </c>
      <c r="G471" s="11" t="inlineStr">
        <is>
          <t>t = seed += 0x6d2b79f5
the answer = ((t ^ (t &gt;&gt;&gt; 14)) &gt;&gt;&gt; 0) ÷ 4294967296</t>
        </is>
      </c>
      <c r="H471" s="3" t="inlineStr">
        <is>
          <t>T is seed += 0x6d2b79f5. The answer is ((t ^ (t &gt;&gt;&gt; 14)) &gt;&gt;&gt; 0) divided by 4294967296.</t>
        </is>
      </c>
      <c r="I471" s="3" t="inlineStr">
        <is>
          <t>READ FROM THE CODE — rendered from the expressions the function runs</t>
        </is>
      </c>
      <c r="J471" s="3" t="inlineStr">
        <is>
          <t>seed: number</t>
        </is>
      </c>
      <c r="K471" s="3" t="inlineStr">
        <is>
          <t>NOT DECLARED — the code does not say what it gives back</t>
        </is>
      </c>
      <c r="L471" s="3" t="inlineStr">
        <is>
          <t>—</t>
        </is>
      </c>
      <c r="M471" s="3" t="inlineStr">
        <is>
          <t>None found in this function — anything it assumes comes from the functions it depends on.</t>
        </is>
      </c>
      <c r="N471" s="3" t="inlineStr">
        <is>
          <t>Yes</t>
        </is>
      </c>
      <c r="O471" s="3" t="inlineStr">
        <is>
          <t>—</t>
        </is>
      </c>
      <c r="P471" s="3" t="n">
        <v>0</v>
      </c>
      <c r="Q471" s="3" t="inlineStr">
        <is>
          <t>None — no dependent function stands behind it</t>
        </is>
      </c>
      <c r="R471" s="3" t="inlineStr">
        <is>
          <t>No dependent function — it reads its inputs and answers</t>
        </is>
      </c>
      <c r="S471" s="3" t="inlineStr">
        <is>
          <t>—</t>
        </is>
      </c>
      <c r="T471" s="3" t="inlineStr">
        <is>
          <t>—</t>
        </is>
      </c>
      <c r="U471" s="3" t="inlineStr">
        <is>
          <t>ACTIVE</t>
        </is>
      </c>
      <c r="V471" s="3" t="inlineStr">
        <is>
          <t>2026-08-27</t>
        </is>
      </c>
      <c r="W471" s="3" t="n"/>
      <c r="X471" s="3" t="n"/>
      <c r="Y471" s="3" t="inlineStr">
        <is>
          <t>NOTHING OPEN</t>
        </is>
      </c>
    </row>
    <row r="472" ht="60" customHeight="1">
      <c r="A472" s="3" t="inlineStr">
        <is>
          <t>MK-PL-F-073</t>
        </is>
      </c>
      <c r="B472" s="3" t="inlineStr">
        <is>
          <t>normal</t>
        </is>
      </c>
      <c r="C472" s="3" t="inlineStr">
        <is>
          <t>src/domain/retirement/index.ts</t>
        </is>
      </c>
      <c r="D472" s="3" t="n">
        <v>254</v>
      </c>
      <c r="E472" s="3" t="inlineStr">
        <is>
          <t>3 · DEPENDENT</t>
        </is>
      </c>
      <c r="F472" s="3" t="inlineStr">
        <is>
          <t>NOT DETERMINED — the code carries no note saying what this is for, and it has no row in the old inventory. Needs reading.</t>
        </is>
      </c>
      <c r="G472" s="11" t="inlineStr">
        <is>
          <t>u = 0, v = 0
[LOOP — the answer is found inside a loop the extractor cannot render; the steps above are the ones before it. Read by hand.]</t>
        </is>
      </c>
      <c r="H472" s="3" t="inlineStr">
        <is>
          <t>U is 0, v = 0. The answer is mean plus sd times √(-2 times math.log(u)) times math.cos(2 times math.PI times v). The answer is found inside a loop that cannot be rendered here; read the code by hand.</t>
        </is>
      </c>
      <c r="I472" s="3" t="inlineStr">
        <is>
          <t>PARTLY READ — the body has a loop the extractor cannot render; the steps shown are the ones before it. Needs a hand pass (G23).</t>
        </is>
      </c>
      <c r="J472" s="3" t="inlineStr">
        <is>
          <t>rng: () =&gt; number, mean: number, sd: number</t>
        </is>
      </c>
      <c r="K472" s="3" t="inlineStr">
        <is>
          <t>number</t>
        </is>
      </c>
      <c r="L472" s="3" t="inlineStr">
        <is>
          <t>—</t>
        </is>
      </c>
      <c r="M472" s="3" t="inlineStr">
        <is>
          <t>None found in this function — anything it assumes comes from the functions it depends on.</t>
        </is>
      </c>
      <c r="N472" s="3" t="inlineStr">
        <is>
          <t>Yes</t>
        </is>
      </c>
      <c r="O472" s="3" t="inlineStr">
        <is>
          <t>—</t>
        </is>
      </c>
      <c r="P472" s="3" t="n">
        <v>0</v>
      </c>
      <c r="Q472" s="3" t="inlineStr">
        <is>
          <t>None — no dependent function stands behind it</t>
        </is>
      </c>
      <c r="R472" s="3" t="inlineStr">
        <is>
          <t>No dependent function — it reads its inputs and answers</t>
        </is>
      </c>
      <c r="S472" s="3" t="inlineStr">
        <is>
          <t>—</t>
        </is>
      </c>
      <c r="T472" s="3" t="inlineStr">
        <is>
          <t>—</t>
        </is>
      </c>
      <c r="U472" s="3" t="inlineStr">
        <is>
          <t>ACTIVE</t>
        </is>
      </c>
      <c r="V472" s="3" t="inlineStr">
        <is>
          <t>2026-09-08</t>
        </is>
      </c>
      <c r="W472" s="3" t="n"/>
      <c r="X472" s="3" t="n"/>
      <c r="Y472" s="3" t="inlineStr">
        <is>
          <t>NOTHING OPEN</t>
        </is>
      </c>
    </row>
    <row r="473" ht="60" customHeight="1">
      <c r="A473" s="3" t="inlineStr">
        <is>
          <t>MK-PL-F-074</t>
        </is>
      </c>
      <c r="B473" s="3" t="inlineStr">
        <is>
          <t>median</t>
        </is>
      </c>
      <c r="C473" s="3" t="inlineStr">
        <is>
          <t>src/domain/_shared/num.ts</t>
        </is>
      </c>
      <c r="D473" s="3" t="n">
        <v>208</v>
      </c>
      <c r="E473" s="3" t="inlineStr">
        <is>
          <t>2 · DISPLAYED</t>
        </is>
      </c>
      <c r="F473" s="3" t="inlineStr">
        <is>
          <t>The middle value of a list, 0 when it is empty.</t>
        </is>
      </c>
      <c r="G473" s="11" t="inlineStr">
        <is>
          <t>0   when count of xs is missing
s = [...xs].sort((a, b) =&gt; a − b)
m = round down(length ÷ 2)
the answer:
s[m]   if length % 2
(s[m − 1] + s[m]) ÷ 2   otherwise</t>
        </is>
      </c>
      <c r="H473" s="3" t="inlineStr">
        <is>
          <t>When how many xs is missing there are, it answers 0. S is [...xs].sort((a, b) =&gt; a minus b). M is length divided by 2, rounded down. The answer is s[m] — when length % 2; (s[m minus 1] plus s[m]) divided by 2 — otherwise.</t>
        </is>
      </c>
      <c r="I473" s="3" t="inlineStr">
        <is>
          <t>PARTLY READ — some of the code is still showing through; needs a hand pass</t>
        </is>
      </c>
      <c r="J473" s="3" t="inlineStr">
        <is>
          <t>xs: number[]</t>
        </is>
      </c>
      <c r="K473" s="3" t="inlineStr">
        <is>
          <t>number</t>
        </is>
      </c>
      <c r="L473" s="3" t="inlineStr">
        <is>
          <t>NOT FOUND — a screen calls it, but the words printed beside its answer could not be traced automatically. Needs reading.</t>
        </is>
      </c>
      <c r="M473" s="3" t="inlineStr">
        <is>
          <t>None found in this function — anything it assumes comes from the functions it depends on.</t>
        </is>
      </c>
      <c r="N473" s="3" t="inlineStr">
        <is>
          <t>Yes</t>
        </is>
      </c>
      <c r="O473" s="3" t="inlineStr">
        <is>
          <t>—</t>
        </is>
      </c>
      <c r="P473" s="3" t="n">
        <v>0</v>
      </c>
      <c r="Q473" s="3" t="inlineStr">
        <is>
          <t>None — no dependent function stands behind it</t>
        </is>
      </c>
      <c r="R473" s="3" t="inlineStr">
        <is>
          <t>No dependent function — it reads its inputs and answers</t>
        </is>
      </c>
      <c r="S473" s="3" t="inlineStr">
        <is>
          <t>—</t>
        </is>
      </c>
      <c r="T473" s="3" t="inlineStr">
        <is>
          <t>—</t>
        </is>
      </c>
      <c r="U473" s="3" t="inlineStr">
        <is>
          <t>ACTIVE</t>
        </is>
      </c>
      <c r="V473" s="3" t="inlineStr">
        <is>
          <t>2026-08-27</t>
        </is>
      </c>
      <c r="W473" s="3" t="n"/>
      <c r="X473" s="3" t="n"/>
      <c r="Y473" s="3" t="inlineStr">
        <is>
          <t>NOTHING OPEN</t>
        </is>
      </c>
    </row>
    <row r="474" ht="60" customHeight="1">
      <c r="A474" s="3" t="inlineStr">
        <is>
          <t>MK-PL-F-075</t>
        </is>
      </c>
      <c r="B474" s="3" t="inlineStr">
        <is>
          <t>pctOfSorted</t>
        </is>
      </c>
      <c r="C474" s="3" t="inlineStr">
        <is>
          <t>src/domain/retirement/index.ts</t>
        </is>
      </c>
      <c r="D474" s="3" t="n">
        <v>293</v>
      </c>
      <c r="E474" s="3" t="inlineStr">
        <is>
          <t>3 · DEPENDENT</t>
        </is>
      </c>
      <c r="F474" s="3" t="inlineStr">
        <is>
          <t>p in [0,1] over a pre-sorted ascending array (nearest-rank)</t>
        </is>
      </c>
      <c r="G474" s="11" t="inlineStr">
        <is>
          <t>0   when count of sorted is missing
idx = min(sorted.length − 1, max(0, round(p × (sorted.length − 1))))
the answer = sorted[idx]</t>
        </is>
      </c>
      <c r="H474" s="3" t="inlineStr">
        <is>
          <t>When how many sorted is missing there are, it answers 0. Idx: the smaller of sorted.length minus 1 and p times (sorted.length minus 1, to a whole number, never below zero). The answer is sorted[idx].</t>
        </is>
      </c>
      <c r="I474" s="3" t="inlineStr">
        <is>
          <t>READ FROM THE CODE — rendered from the expressions the function runs</t>
        </is>
      </c>
      <c r="J474" s="3" t="inlineStr">
        <is>
          <t>1. sorted: number[]
2. p: number</t>
        </is>
      </c>
      <c r="K474" s="3" t="inlineStr">
        <is>
          <t>number</t>
        </is>
      </c>
      <c r="L474" s="3" t="inlineStr">
        <is>
          <t>—</t>
        </is>
      </c>
      <c r="M474" s="3" t="inlineStr">
        <is>
          <t>· Rounds the answer to a whole number.</t>
        </is>
      </c>
      <c r="N474" s="3" t="inlineStr">
        <is>
          <t>Yes</t>
        </is>
      </c>
      <c r="O474" s="3" t="inlineStr">
        <is>
          <t>—</t>
        </is>
      </c>
      <c r="P474" s="3" t="n">
        <v>0</v>
      </c>
      <c r="Q474" s="3" t="inlineStr">
        <is>
          <t>None — no dependent function stands behind it</t>
        </is>
      </c>
      <c r="R474" s="3" t="inlineStr">
        <is>
          <t>No dependent function — it reads its inputs and answers</t>
        </is>
      </c>
      <c r="S474" s="3" t="inlineStr">
        <is>
          <t>—</t>
        </is>
      </c>
      <c r="T474" s="3" t="inlineStr">
        <is>
          <t>—</t>
        </is>
      </c>
      <c r="U474" s="3" t="inlineStr">
        <is>
          <t>ACTIVE</t>
        </is>
      </c>
      <c r="V474" s="3" t="inlineStr">
        <is>
          <t>2026-08-27</t>
        </is>
      </c>
      <c r="W474" s="3" t="n"/>
      <c r="X474" s="3" t="n"/>
      <c r="Y474" s="3" t="inlineStr">
        <is>
          <t>NOTHING OPEN</t>
        </is>
      </c>
    </row>
    <row r="475" ht="60" customHeight="1">
      <c r="A475" s="3" t="inlineStr">
        <is>
          <t>MK-PL-F-077</t>
        </is>
      </c>
      <c r="B475" s="3" t="inlineStr">
        <is>
          <t>clamp</t>
        </is>
      </c>
      <c r="C475" s="3" t="inlineStr">
        <is>
          <t>src/domain/retirement/willItLast.ts</t>
        </is>
      </c>
      <c r="D475" s="3" t="n">
        <v>56</v>
      </c>
      <c r="E475" s="3" t="inlineStr">
        <is>
          <t>2 · DISPLAYED</t>
        </is>
      </c>
      <c r="F475" s="3" t="inlineStr">
        <is>
          <t>NOT DETERMINED — the code carries no note saying what this is for, and it has no row in the old inventory. Needs reading.</t>
        </is>
      </c>
      <c r="G475" s="11" t="inlineStr">
        <is>
          <t>max(lo, min(hi, v))</t>
        </is>
      </c>
      <c r="H475" s="3" t="inlineStr">
        <is>
          <t>the larger of lo and the smaller of hi and v</t>
        </is>
      </c>
      <c r="I475" s="3" t="inlineStr">
        <is>
          <t>READ FROM THE CODE — rendered from the expressions the function runs</t>
        </is>
      </c>
      <c r="J475" s="3" t="inlineStr">
        <is>
          <t>1. v: number
2. lo: number
3. hi: number</t>
        </is>
      </c>
      <c r="K475" s="3" t="inlineStr">
        <is>
          <t>NOT DECLARED — the code does not say what it gives back</t>
        </is>
      </c>
      <c r="L475" s="3" t="inlineStr">
        <is>
          <t>1. "Claim at age" — on the Retirement cockpit screen
2. "Save" — on the Retirement cockpit screen
3. "Test retiring earlier, saving more, market ups &amp; downs." — on the Retirement cockpit screen
4. "What counts toward retirement?" — on the Retirement cockpit screen</t>
        </is>
      </c>
      <c r="M475" s="3" t="inlineStr">
        <is>
          <t>None found in this function — anything it assumes comes from the functions it depends on.</t>
        </is>
      </c>
      <c r="N475" s="3" t="inlineStr">
        <is>
          <t>Yes</t>
        </is>
      </c>
      <c r="O475" s="3" t="inlineStr">
        <is>
          <t>MK-NW-F-035 blendedVolatility</t>
        </is>
      </c>
      <c r="P475" s="3" t="n">
        <v>44</v>
      </c>
      <c r="Q475" s="3" t="inlineStr">
        <is>
          <t>1. MK-NW-F-035 blendedVolatility
2. MK-CF-F-155 cash
3. MK-NW-F-032 earmarkedAmount
4. MK-NW-F-031 primaryCarIdOf
5. MK-NW-F-110 primaryHomeIdOf
6. MK-XS-F-122 n
7. MK-NW-F-030 earmarkDefault
8. MK-NW-F-134 carValueNotEnteredNotes
9. MK-NW-F-133 valueEntered
10. MK-NW-F-117 propertyUseMap
11. MK-NW-F-011 assetClassOf
12. MK-CF-F-132 map
13. MK-ST-F-053 money
14. MK-NW-F-033 retirementEarmarkedValue
15. MK-ST-F-056 has
16. MK-NW-F-116 rentedIdsOf
17. MK-NW-F-120 classEvidenceOf
18. MK-ST-F-049 formatMoney
19. MK-NW-F-115 liveRent
20. MK-NW-F-008 incomeBearingClassOf
21. MK-NW-F-009 maturityClass
22. MK-ST-F-048 currencySymbol
23. MK-ST-F-039 on
24. MK-CF-O-002 expenses
25. MK-NW-F-114 rentAmount
26. MK-ST-F-010 nameEvidence
27. MK-NW-F-068 prettyDay
28. MK-ST-F-047 activeCurrency
29. MK-CF-F-151 actualSpending
30. MK-CF-F-150 debtPaymentsCountedAsExpenses
31. MK-CF-F-153 radar
32. MK-CF-F-149 recurringDebtPayments
33. MK-ST-F-085 rentFigure
34. MK-XS-F-147 call
35. MK-CF-F-148 inMonth
36. MK-ST-F-052 toNum
37. MK-CF-F-191 ym
38. MK-CF-F-022 paymentShape
39. MK-CF-F-152 isRadarItem
40. MK-CF-F-023 requiredPayment
41. MK-ST-F-027 accountId
42. MK-XS-F-064 currentIdToken
43. MK-XS-F-112 relayUrl
44. MK-CF-F-021 defaultPaymentType</t>
        </is>
      </c>
      <c r="R475" s="3" t="inlineStr">
        <is>
          <t>1. MK-XS-F-122 n → MK-CF-F-155 cash → MK-NW-F-035 blendedVolatility → MK-PL-F-077 clamp
2. MK-NW-F-120 classEvidenceOf → MK-NW-F-011 assetClassOf → MK-NW-F-030 earmarkDefault → MK-NW-F-032 earmarkedAmount → MK-NW-F-035 blendedVolatility → MK-PL-F-077 clamp
3. MK-CF-F-132 map → MK-NW-F-134 carValueNotEnteredNotes → MK-NW-F-031 primaryCarIdOf → MK-NW-F-035 blendedVolatility → MK-PL-F-077 clamp
4. MK-ST-F-049 formatMoney → MK-ST-F-053 money → MK-NW-F-134 carValueNotEnteredNotes → MK-NW-F-031 primaryCarIdOf → MK-NW-F-035 blendedVolatility → MK-PL-F-077 clamp
5. MK-XS-F-122 n → MK-ST-F-053 money → MK-NW-F-134 carValueNotEnteredNotes → MK-NW-F-031 primaryCarIdOf → MK-NW-F-035 blendedVolatility → MK-PL-F-077 clamp
6. primaryCarIdOf (already above — a loop) → MK-NW-F-134 carValueNotEnteredNotes → MK-NW-F-031 primaryCarIdOf → MK-NW-F-035 blendedVolatility → MK-PL-F-077 clamp
7. MK-NW-F-032 earmarkedAmount → MK-NW-F-033 retirementEarmarkedValue → MK-NW-F-134 carValueNotEnteredNotes → MK-NW-F-031 primaryCarIdOf → MK-NW-F-035 blendedVolatility → MK-PL-F-077 clamp
8. primaryCarIdOf (already above — a loop) → MK-NW-F-033 retirementEarmarkedValue → MK-NW-F-134 carValueNotEnteredNotes → MK-NW-F-031 primaryCarIdOf → MK-NW-F-035 blendedVolatility → MK-PL-F-077 clamp
9. … and 4 more paths</t>
        </is>
      </c>
      <c r="S475" s="3" t="inlineStr">
        <is>
          <t>—</t>
        </is>
      </c>
      <c r="T475" s="3" t="inlineStr">
        <is>
          <t>—</t>
        </is>
      </c>
      <c r="U475" s="3" t="inlineStr">
        <is>
          <t>ACTIVE</t>
        </is>
      </c>
      <c r="V475" s="3" t="inlineStr">
        <is>
          <t>2026-08-27</t>
        </is>
      </c>
      <c r="W475" s="3" t="n"/>
      <c r="X475" s="3" t="n"/>
      <c r="Y475" s="3" t="inlineStr">
        <is>
          <t>NOTHING OPEN</t>
        </is>
      </c>
    </row>
    <row r="476" ht="60" customHeight="1">
      <c r="A476" s="3" t="inlineStr">
        <is>
          <t>MK-PL-F-078</t>
        </is>
      </c>
      <c r="B476" s="3" t="inlineStr">
        <is>
          <t>rmdDivisorAtAge</t>
        </is>
      </c>
      <c r="C476" s="3" t="inlineStr">
        <is>
          <t>src/domain/decumulation/index.ts</t>
        </is>
      </c>
      <c r="D476" s="3" t="n">
        <v>401</v>
      </c>
      <c r="E476" s="3" t="inlineStr">
        <is>
          <t>2 · DISPLAYED</t>
        </is>
      </c>
      <c r="F476" s="3" t="inlineStr">
        <is>
          <t>NOT DETERMINED — the code carries no note saying what this is for, and it has no row in the old inventory. Needs reading.</t>
        </is>
      </c>
      <c r="G476" s="11" t="inlineStr">
        <is>
          <t>table rmd divisor(age, now year − age)</t>
        </is>
      </c>
      <c r="H476" s="3" t="inlineStr">
        <is>
          <t>table rmd divisor(age, now year minus age).</t>
        </is>
      </c>
      <c r="I476" s="3" t="inlineStr">
        <is>
          <t>READ FROM THE CODE — rendered from the expressions the function runs</t>
        </is>
      </c>
      <c r="J476" s="3" t="inlineStr">
        <is>
          <t>1. age: number
2. nowYear = new Date().getFullYear()</t>
        </is>
      </c>
      <c r="K476" s="3" t="inlineStr">
        <is>
          <t>number</t>
        </is>
      </c>
      <c r="L476" s="3" t="inlineStr">
        <is>
          <t>"Suggested withdrawal order" — on the Retirement cockpit screen</t>
        </is>
      </c>
      <c r="M476" s="3" t="inlineStr">
        <is>
          <t>· Uses today's date from the device clock, so the answer changes by itself overnight.</t>
        </is>
      </c>
      <c r="N476" s="3" t="inlineStr">
        <is>
          <t>Yes</t>
        </is>
      </c>
      <c r="O476" s="3" t="inlineStr">
        <is>
          <t>—</t>
        </is>
      </c>
      <c r="P476" s="3" t="n">
        <v>0</v>
      </c>
      <c r="Q476" s="3" t="inlineStr">
        <is>
          <t>None — no dependent function stands behind it</t>
        </is>
      </c>
      <c r="R476" s="3" t="inlineStr">
        <is>
          <t>No dependent function — it reads its inputs and answers</t>
        </is>
      </c>
      <c r="S476" s="3" t="inlineStr">
        <is>
          <t>—</t>
        </is>
      </c>
      <c r="T476" s="3" t="inlineStr">
        <is>
          <t>—</t>
        </is>
      </c>
      <c r="U476" s="3" t="inlineStr">
        <is>
          <t>ACTIVE</t>
        </is>
      </c>
      <c r="V476" s="3" t="inlineStr">
        <is>
          <t>2026-09-13</t>
        </is>
      </c>
      <c r="W476" s="3" t="n"/>
      <c r="X476" s="3" t="n"/>
      <c r="Y476" s="3" t="inlineStr">
        <is>
          <t>NOTHING OPEN</t>
        </is>
      </c>
    </row>
    <row r="477" ht="60" customHeight="1">
      <c r="A477" s="3" t="inlineStr">
        <is>
          <t>MK-PL-F-079</t>
        </is>
      </c>
      <c r="B477" s="3" t="inlineStr">
        <is>
          <t>numOrZero</t>
        </is>
      </c>
      <c r="C477" s="3" t="inlineStr">
        <is>
          <t>src/domain/retirement/willItLast.ts</t>
        </is>
      </c>
      <c r="D477" s="3" t="n">
        <v>35</v>
      </c>
      <c r="E477" s="3" t="inlineStr">
        <is>
          <t>3 · DEPENDENT</t>
        </is>
      </c>
      <c r="F477" s="3" t="inlineStr">
        <is>
          <t>NOT DETERMINED — the code carries no note saying what this is for, and it has no row in the old inventory. Needs reading.</t>
        </is>
      </c>
      <c r="G477" s="11" t="inlineStr">
        <is>
          <t>n = the number in the text after every character but digits and the decimal point is removed
the answer = 0 when that is not a number, else n</t>
        </is>
      </c>
      <c r="H477" s="3" t="inlineStr">
        <is>
          <t>Reads a typed amount as a number — strips dollar signs, commas and spaces — and gives 0 when nothing numeric is left.</t>
        </is>
      </c>
      <c r="I477" s="3" t="inlineStr">
        <is>
          <t>READ BY HAND 2026-08-26 — checked line by line against the code</t>
        </is>
      </c>
      <c r="J477" s="3" t="inlineStr">
        <is>
          <t>v: any</t>
        </is>
      </c>
      <c r="K477" s="3" t="inlineStr">
        <is>
          <t>n; };</t>
        </is>
      </c>
      <c r="L477" s="3" t="inlineStr">
        <is>
          <t>—</t>
        </is>
      </c>
      <c r="M477" s="3" t="inlineStr">
        <is>
          <t>None found in this function — anything it assumes comes from the functions it depends on.</t>
        </is>
      </c>
      <c r="N477" s="3" t="inlineStr">
        <is>
          <t>Yes</t>
        </is>
      </c>
      <c r="O477" s="3" t="inlineStr">
        <is>
          <t>MK-XS-F-122 n</t>
        </is>
      </c>
      <c r="P477" s="3" t="n">
        <v>1</v>
      </c>
      <c r="Q477" s="3" t="inlineStr">
        <is>
          <t>MK-XS-F-122 n</t>
        </is>
      </c>
      <c r="R477" s="3" t="inlineStr">
        <is>
          <t>MK-XS-F-122 n → MK-PL-F-079 numOrZero</t>
        </is>
      </c>
      <c r="S477" s="3" t="inlineStr">
        <is>
          <t>—</t>
        </is>
      </c>
      <c r="T477" s="3" t="inlineStr">
        <is>
          <t>—</t>
        </is>
      </c>
      <c r="U477" s="3" t="inlineStr">
        <is>
          <t>ACTIVE</t>
        </is>
      </c>
      <c r="V477" s="3" t="inlineStr">
        <is>
          <t>2026-09-12</t>
        </is>
      </c>
      <c r="W477" s="3" t="n"/>
      <c r="X477" s="3" t="n"/>
      <c r="Y477" s="3" t="inlineStr">
        <is>
          <t>NOTHING OPEN</t>
        </is>
      </c>
    </row>
    <row r="478" ht="60" customHeight="1">
      <c r="A478" s="3" t="inlineStr">
        <is>
          <t>MK-PL-F-080</t>
        </is>
      </c>
      <c r="B478" s="3" t="inlineStr">
        <is>
          <t>rmdRequiredThisYear</t>
        </is>
      </c>
      <c r="C478" s="3" t="inlineStr">
        <is>
          <t>src/domain/decumulation/index.ts</t>
        </is>
      </c>
      <c r="D478" s="3" t="n">
        <v>465</v>
      </c>
      <c r="E478" s="3" t="inlineStr">
        <is>
          <t>2 · DISPLAYED</t>
        </is>
      </c>
      <c r="F478" s="3" t="inlineStr">
        <is>
          <t>What must be taken out this year, and which balance is it based on?</t>
        </is>
      </c>
      <c r="G478" s="11" t="inlineStr">
        <is>
          <t>balance used = the pre-tax balance on 31 December last year, when the person entered one (&gt; 0); otherwise today's pre-tax balance
amount = rmd at age(balance used, age)
basis = 'prior_year_end' or 'today' — so the screen can say which</t>
        </is>
      </c>
      <c r="H478" s="3" t="inlineStr">
        <is>
          <t>If the person has entered last 31 December's pre-tax balance, the required amount is that balance divided by the life-expectancy factor for their age. If not, today's balance is used instead, and the answer carries a flag saying so, which the screen prints.</t>
        </is>
      </c>
      <c r="I478" s="3" t="inlineStr">
        <is>
          <t>READ BY HAND 2026-08-26 — checked line by line against the code</t>
        </is>
      </c>
      <c r="J478" s="3" t="inlineStr">
        <is>
          <t>1. preTaxToday: number
2. priorYearEndPreTax: number | null | undefined
3. age: number</t>
        </is>
      </c>
      <c r="K478" s="3" t="inlineStr">
        <is>
          <t>RmdThisYear</t>
        </is>
      </c>
      <c r="L478" s="3" t="inlineStr">
        <is>
          <t>NOT FOUND — a screen calls it, but the words printed beside its answer could not be traced automatically. Needs reading.</t>
        </is>
      </c>
      <c r="M478"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478" s="3" t="inlineStr">
        <is>
          <t>Yes</t>
        </is>
      </c>
      <c r="O478" s="3" t="inlineStr">
        <is>
          <t>MK-PL-F-007 rmdAtAge</t>
        </is>
      </c>
      <c r="P478" s="3" t="n">
        <v>2</v>
      </c>
      <c r="Q478" s="3" t="inlineStr">
        <is>
          <t>1. MK-PL-F-007 rmdAtAge
2. MK-PL-F-078 rmdDivisorAtAge</t>
        </is>
      </c>
      <c r="R478" s="3" t="inlineStr">
        <is>
          <t>MK-PL-F-078 rmdDivisorAtAge → MK-PL-F-007 rmdAtAge → MK-PL-F-080 rmdRequiredThisYear</t>
        </is>
      </c>
      <c r="S478" s="3" t="inlineStr">
        <is>
          <t>MK-PL-M-013</t>
        </is>
      </c>
      <c r="T478" s="3" t="inlineStr">
        <is>
          <t>—</t>
        </is>
      </c>
      <c r="U478" s="3" t="inlineStr">
        <is>
          <t>ACTIVE</t>
        </is>
      </c>
      <c r="V478" s="3" t="inlineStr">
        <is>
          <t>2026-09-08</t>
        </is>
      </c>
      <c r="W478" s="3" t="n"/>
      <c r="X478" s="3" t="n"/>
      <c r="Y478" s="6" t="inlineStr">
        <is>
          <t>TESTED, NOT VERIFIED (G8)</t>
        </is>
      </c>
    </row>
    <row r="479" ht="60" customHeight="1">
      <c r="A479" s="3" t="inlineStr">
        <is>
          <t>MK-PL-F-081</t>
        </is>
      </c>
      <c r="B479" s="3" t="inlineStr">
        <is>
          <t>taxableGainShare</t>
        </is>
      </c>
      <c r="C479" s="3" t="inlineStr">
        <is>
          <t>src/domain/decumulation/index.ts</t>
        </is>
      </c>
      <c r="D479" s="3" t="n">
        <v>672</v>
      </c>
      <c r="E479" s="3" t="inlineStr">
        <is>
          <t>2 · DISPLAYED</t>
        </is>
      </c>
      <c r="F479" s="3" t="inlineStr">
        <is>
          <t>What share of the person's taxable holdings is unrealised gain?</t>
        </is>
      </c>
      <c r="G479" s="11" t="inlineStr">
        <is>
          <t>over every holding in a TAXABLE account that has a price (the broker's mark, else the price feed): value += market value(holding, price) · basis += cost basis(holding)
nothing   when value ≤ 0 (no priced taxable holding)
the answer = min(1, max(0, (value − basis) ÷ value))</t>
        </is>
      </c>
      <c r="H479" s="3" t="inlineStr">
        <is>
          <t>Add up what the taxable holdings are worth today and what was paid for them; the gain share is the difference as a fraction of today's value, never below zero and never above one. With no priced taxable holding there is no answer.</t>
        </is>
      </c>
      <c r="I479" s="3" t="inlineStr">
        <is>
          <t>READ BY HAND 2026-08-26 — checked line by line against the code</t>
        </is>
      </c>
      <c r="J479" s="3" t="inlineStr">
        <is>
          <t>1. accounts: AssetAccount[]
2. priceOf: (ticker: string) =&gt; number | null</t>
        </is>
      </c>
      <c r="K479" s="3" t="inlineStr">
        <is>
          <t>number | null</t>
        </is>
      </c>
      <c r="L479" s="3" t="inlineStr">
        <is>
          <t>NOT FOUND — a screen calls it, but the words printed beside its answer could not be traced automatically. Needs reading.</t>
        </is>
      </c>
      <c r="M479" s="3" t="inlineStr">
        <is>
          <t>1. A holding with no price is left out; no priced taxable holding at all → nothing, never a guessed 50% (founder ruling 2026-09-08, G6).
2. A loss overall counts as a 0% gain share (no tax on drawing at a loss), never negative.</t>
        </is>
      </c>
      <c r="N479" s="3" t="inlineStr">
        <is>
          <t>Yes</t>
        </is>
      </c>
      <c r="O479" s="3" t="inlineStr">
        <is>
          <t>1. MK-PF-F-002 costBasis
2. MK-PF-F-004 marketValue
3. MK-PL-F-086 splitBucketOf</t>
        </is>
      </c>
      <c r="P479" s="3" t="n">
        <v>21</v>
      </c>
      <c r="Q479" s="3" t="inlineStr">
        <is>
          <t>1. MK-PF-F-002 costBasis
2. MK-PF-F-004 marketValue
3. MK-PL-F-086 splitBucketOf
4. MK-PF-F-031 contractMultiplier
5. MK-PF-F-001 totalShares
6. MK-NW-F-007 assetKind
7. MK-NW-F-012 taxTreatmentOf
8. MK-NW-F-011 assetClassOf
9. MK-CF-F-155 cash
10. MK-NW-F-120 classEvidenceOf
11. MK-XS-F-122 n
12. MK-NW-F-008 incomeBearingClassOf
13. MK-NW-F-009 maturityClass
14. MK-ST-F-010 nameEvidence
15. MK-NW-F-068 prettyDay
16. MK-XS-F-147 call
17. MK-ST-F-056 has
18. MK-CF-F-132 map
19. MK-ST-F-027 accountId
20. MK-XS-F-064 currentIdToken
21. MK-XS-F-112 relayUrl</t>
        </is>
      </c>
      <c r="R479" s="3" t="inlineStr">
        <is>
          <t>1. MK-PF-F-031 contractMultiplier → MK-PF-F-002 costBasis → MK-PL-F-081 taxableGainShare
2. MK-PF-F-031 contractMultiplier → MK-PF-F-004 marketValue → MK-PL-F-081 taxableGainShare
3. MK-PF-F-001 totalShares → MK-PF-F-004 marketValue → MK-PL-F-081 taxableGainShare
4. MK-CF-F-155 cash → MK-NW-F-120 classEvidenceOf → MK-NW-F-011 assetClassOf → MK-NW-F-007 assetKind → MK-PL-F-086 splitBucketOf → MK-PL-F-081 taxableGainShare
5. MK-NW-F-008 incomeBearingClassOf → MK-NW-F-120 classEvidenceOf → MK-NW-F-011 assetClassOf → MK-NW-F-007 assetKind → MK-PL-F-086 splitBucketOf → MK-PL-F-081 taxableGainShare
6. MK-NW-F-009 maturityClass → MK-NW-F-120 classEvidenceOf → MK-NW-F-011 assetClassOf → MK-NW-F-007 assetKind → MK-PL-F-086 splitBucketOf → MK-PL-F-081 taxableGainShare
7. MK-XS-F-122 n → MK-CF-F-155 cash → MK-NW-F-007 assetKind → MK-PL-F-086 splitBucketOf → MK-PL-F-081 taxableGainShare
8. MK-NW-F-120 classEvidenceOf → MK-NW-F-011 assetClassOf → MK-NW-F-007 assetKind → MK-NW-F-012 taxTreatmentOf → MK-PL-F-086 splitBucketOf → MK-PL-F-081 taxableGainShare
9. … and 1 more paths</t>
        </is>
      </c>
      <c r="S479" s="3" t="inlineStr">
        <is>
          <t>—</t>
        </is>
      </c>
      <c r="T479" s="3" t="inlineStr">
        <is>
          <t>—</t>
        </is>
      </c>
      <c r="U479" s="3" t="inlineStr">
        <is>
          <t>ACTIVE</t>
        </is>
      </c>
      <c r="V479" s="3" t="inlineStr">
        <is>
          <t>2026-09-08</t>
        </is>
      </c>
      <c r="W479" s="3" t="n"/>
      <c r="X479" s="3" t="n"/>
      <c r="Y479" s="6" t="inlineStr">
        <is>
          <t>TESTED, NOT VERIFIED (G6)</t>
        </is>
      </c>
    </row>
    <row r="480" ht="60" customHeight="1">
      <c r="A480" s="3" t="inlineStr">
        <is>
          <t>MK-PL-F-082</t>
        </is>
      </c>
      <c r="B480" s="3" t="inlineStr">
        <is>
          <t>taxableIncomeSteps</t>
        </is>
      </c>
      <c r="C480" s="3" t="inlineStr">
        <is>
          <t>src/domain/planning/index.ts</t>
        </is>
      </c>
      <c r="D480" s="3" t="n">
        <v>65</v>
      </c>
      <c r="E480" s="3" t="inlineStr">
        <is>
          <t>3 · DEPENDENT</t>
        </is>
      </c>
      <c r="F480" s="3" t="inlineStr">
        <is>
          <t>From everything earned to what is actually taxed — the four lines a return shows (founder ruling brief Q-46 (2026-08-20), 2026-09-08).</t>
        </is>
      </c>
      <c r="G480" s="11"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480"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480" s="3" t="inlineStr">
        <is>
          <t>READ BY HAND 2026-08-26 — checked line by line against the code</t>
        </is>
      </c>
      <c r="J480" s="3" t="inlineStr">
        <is>
          <t>1. op: OnboardingProfile | null
2. grossIncome: number</t>
        </is>
      </c>
      <c r="K480" s="3" t="inlineStr">
        <is>
          <t>TaxableIncomeSteps</t>
        </is>
      </c>
      <c r="L480" s="3" t="inlineStr">
        <is>
          <t>—</t>
        </is>
      </c>
      <c r="M480"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480" s="3" t="inlineStr">
        <is>
          <t>Yes</t>
        </is>
      </c>
      <c r="O480" s="3" t="inlineStr">
        <is>
          <t>1. MK-CF-F-099 deductionFor
2. MK-CF-F-085 filingStatusOf
3. MK-CF-F-188 householdPreTaxContributionsAnnual
4. MK-ST-F-039 on
5. MK-CF-F-089 over65CountOf
6. MK-CF-F-187 seniorDeductionFor</t>
        </is>
      </c>
      <c r="P480" s="3" t="n">
        <v>12</v>
      </c>
      <c r="Q480"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480"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480" s="3" t="inlineStr">
        <is>
          <t>MK-MN-M-027 · MK-MN-M-028</t>
        </is>
      </c>
      <c r="T480" s="3" t="inlineStr">
        <is>
          <t>—</t>
        </is>
      </c>
      <c r="U480" s="3" t="inlineStr">
        <is>
          <t>ACTIVE</t>
        </is>
      </c>
      <c r="V480" s="3" t="inlineStr">
        <is>
          <t>2026-09-08</t>
        </is>
      </c>
      <c r="W480" s="3" t="n"/>
      <c r="X480" s="3" t="n"/>
      <c r="Y480" s="6" t="inlineStr">
        <is>
          <t>TESTED, NOT VERIFIED (G22 / Q46)</t>
        </is>
      </c>
    </row>
    <row r="481" ht="60" customHeight="1">
      <c r="A481" s="3" t="inlineStr">
        <is>
          <t>MK-PL-F-083</t>
        </is>
      </c>
      <c r="B481" s="3" t="inlineStr">
        <is>
          <t>inflationRateInForce</t>
        </is>
      </c>
      <c r="C481" s="3" t="inlineStr">
        <is>
          <t>src/domain/retirement/inflation.ts</t>
        </is>
      </c>
      <c r="D481" s="3" t="n">
        <v>48</v>
      </c>
      <c r="E481" s="3" t="inlineStr">
        <is>
          <t>2 · DISPLAYED</t>
        </is>
      </c>
      <c r="F481" s="3" t="inlineStr">
        <is>
          <t>The inflation rate a plan runs on, and where it came from.</t>
        </is>
      </c>
      <c r="G481" s="11" t="inlineStr">
        <is>
          <t>entered = the person's own rate from the cockpit, when set
the answer = { rate: entered, basis 'entered', label 'you entered' }   when entered exists
             { rate: 2.5%, basis 'default', label '2.5% — the 30-year average of consumer prices (Bureau of Labor Statistics, 1996–2025)' }   otherwise</t>
        </is>
      </c>
      <c r="H481" s="3" t="inlineStr">
        <is>
          <t>The person's own inflation rate when they set one on the cockpit; otherwise the dated default — 2.5% a year, the 30-year average of consumer prices — with its source, so the screen can say where the figure came from.</t>
        </is>
      </c>
      <c r="I481" s="3" t="inlineStr">
        <is>
          <t>READ BY HAND 2026-08-26 — checked line by line against the code</t>
        </is>
      </c>
      <c r="J481" s="3" t="inlineStr">
        <is>
          <t>entered: number | null | undefined</t>
        </is>
      </c>
      <c r="K481" s="3" t="inlineStr">
        <is>
          <t>InflationInForce</t>
        </is>
      </c>
      <c r="L481" s="3" t="inlineStr">
        <is>
          <t>NOT FOUND — a screen calls it, but the words printed beside its answer could not be traced automatically. Needs reading.</t>
        </is>
      </c>
      <c r="M481" s="3" t="inlineStr">
        <is>
          <t>· Founder ruling brief Q-50 (2026-08-20), executed 2026-09-08 (G30): the default is the dated 30-year average — 2.5% a year, Bureau of Labor Statistics CPI-U 1996–2025, checked 2026-09-08 — never a live feed; the person's own rate outranks it.</t>
        </is>
      </c>
      <c r="N481" s="3" t="inlineStr">
        <is>
          <t>Yes</t>
        </is>
      </c>
      <c r="O481" s="3" t="inlineStr">
        <is>
          <t>—</t>
        </is>
      </c>
      <c r="P481" s="3" t="n">
        <v>0</v>
      </c>
      <c r="Q481" s="3" t="inlineStr">
        <is>
          <t>None — no dependent function stands behind it</t>
        </is>
      </c>
      <c r="R481" s="3" t="inlineStr">
        <is>
          <t>No dependent function — it reads its inputs and answers</t>
        </is>
      </c>
      <c r="S481" s="3" t="inlineStr">
        <is>
          <t>—</t>
        </is>
      </c>
      <c r="T481" s="3" t="inlineStr">
        <is>
          <t>—</t>
        </is>
      </c>
      <c r="U481" s="3" t="inlineStr">
        <is>
          <t>ACTIVE</t>
        </is>
      </c>
      <c r="V481" s="3" t="inlineStr">
        <is>
          <t>2026-09-11</t>
        </is>
      </c>
      <c r="W481" s="3" t="n"/>
      <c r="X481" s="3" t="n"/>
      <c r="Y481" s="6" t="inlineStr">
        <is>
          <t>TESTED, NOT VERIFIED (Brief D7 — inflation lever, G30)</t>
        </is>
      </c>
    </row>
    <row r="482" ht="60" customHeight="1">
      <c r="A482" s="3" t="inlineStr">
        <is>
          <t>MK-PL-F-084</t>
        </is>
      </c>
      <c r="B482" s="3" t="inlineStr">
        <is>
          <t>rateBandWords</t>
        </is>
      </c>
      <c r="C482" s="3" t="inlineStr">
        <is>
          <t>src/domain/decumulation/index.ts</t>
        </is>
      </c>
      <c r="D482" s="3" t="n">
        <v>185</v>
      </c>
      <c r="E482" s="3" t="inlineStr">
        <is>
          <t>2 · DISPLAYED</t>
        </is>
      </c>
      <c r="F482" s="3" t="inlineStr">
        <is>
          <t>HOW A WITHDRAWAL RATE READS, IN HIS OWN-MATH FRAMING — DEC-0036, and ONE place for it (DEC-0215).</t>
        </is>
      </c>
      <c r="G482" s="11" t="inlineStr">
        <is>
          <t>NOT READ YET — the body is not a shape this can render faithfully, so nothing is claimed rather than something being guessed. It needs reading by hand.</t>
        </is>
      </c>
      <c r="H482" s="3" t="inlineStr">
        <is>
          <t>NOT READ YET — the body is not a shape this can render faithfully, so nothing is claimed rather than something being guessed. It needs reading by hand.</t>
        </is>
      </c>
      <c r="I482" s="3" t="inlineStr">
        <is>
          <t>NOT READ — nothing is claimed rather than something guessed</t>
        </is>
      </c>
      <c r="J482" s="3" t="inlineStr">
        <is>
          <t>1. band: RateBand | null | undefined
2. opts?: { short?: boolean }</t>
        </is>
      </c>
      <c r="K482" s="3" t="inlineStr">
        <is>
          <t>string</t>
        </is>
      </c>
      <c r="L482" s="3" t="inlineStr">
        <is>
          <t>1. "From your portfolio" — on the Retirement cockpit screen
2. "WILL YOUR MONEY LAST?" — on the Retirement cockpit screen, under "RETIREMENT
3. WHERE YOU STAND"</t>
        </is>
      </c>
      <c r="M482" s="3" t="inlineStr">
        <is>
          <t>None found in this function — anything it assumes comes from the functions it depends on.</t>
        </is>
      </c>
      <c r="N482" s="3" t="inlineStr">
        <is>
          <t>Yes</t>
        </is>
      </c>
      <c r="O482" s="3" t="inlineStr">
        <is>
          <t>—</t>
        </is>
      </c>
      <c r="P482" s="3" t="n">
        <v>0</v>
      </c>
      <c r="Q482" s="3" t="inlineStr">
        <is>
          <t>None — no dependent function stands behind it</t>
        </is>
      </c>
      <c r="R482" s="3" t="inlineStr">
        <is>
          <t>No dependent function — it reads its inputs and answers</t>
        </is>
      </c>
      <c r="S482" s="3" t="inlineStr">
        <is>
          <t>—</t>
        </is>
      </c>
      <c r="T482" s="3" t="inlineStr">
        <is>
          <t>—</t>
        </is>
      </c>
      <c r="U482" s="3" t="inlineStr">
        <is>
          <t>ACTIVE</t>
        </is>
      </c>
      <c r="V482" s="3" t="inlineStr">
        <is>
          <t>2026-10-01</t>
        </is>
      </c>
      <c r="W482" s="3" t="n"/>
      <c r="X482" s="3" t="n"/>
      <c r="Y482" s="3" t="inlineStr">
        <is>
          <t>NOTHING OPEN</t>
        </is>
      </c>
    </row>
    <row r="483" ht="45" customHeight="1">
      <c r="A483" s="3" t="inlineStr">
        <is>
          <t>MK-PL-F-085</t>
        </is>
      </c>
      <c r="B483" s="3" t="inlineStr">
        <is>
          <t>oddsTail</t>
        </is>
      </c>
      <c r="C483" s="3" t="inlineStr">
        <is>
          <t>src/domain/planning/hub.ts</t>
        </is>
      </c>
      <c r="D483" s="3" t="n">
        <v>68</v>
      </c>
      <c r="E483" s="3" t="inlineStr">
        <is>
          <t>2 · DISPLAYED</t>
        </is>
      </c>
      <c r="F483" s="3" t="inlineStr">
        <is>
          <t>THE WORDS WITHOUT THE NUMBER — for the gauge, which prints the number large and the words beneath it.</t>
        </is>
      </c>
      <c r="G483" s="11" t="inlineStr">
        <is>
          <t>`odds of lasting to age ${horizon age}`</t>
        </is>
      </c>
      <c r="H483" s="3" t="inlineStr">
        <is>
          <t>`odds of lasting to age ${horizon age}`.</t>
        </is>
      </c>
      <c r="I483" s="3" t="inlineStr">
        <is>
          <t>PARTLY READ — some of the code is still showing through; needs a hand pass</t>
        </is>
      </c>
      <c r="J483" s="3" t="inlineStr">
        <is>
          <t>horizonAge: number</t>
        </is>
      </c>
      <c r="K483" s="3" t="inlineStr">
        <is>
          <t>string</t>
        </is>
      </c>
      <c r="L483" s="3" t="inlineStr">
        <is>
          <t>NOT FOUND — a screen calls it, but the words printed beside its answer could not be traced automatically. Needs reading.</t>
        </is>
      </c>
      <c r="M483" s="3" t="inlineStr">
        <is>
          <t>None found in this function — anything it assumes comes from the functions it depends on.</t>
        </is>
      </c>
      <c r="N483" s="3" t="inlineStr">
        <is>
          <t>Yes</t>
        </is>
      </c>
      <c r="O483" s="3" t="inlineStr">
        <is>
          <t>—</t>
        </is>
      </c>
      <c r="P483" s="3" t="n">
        <v>0</v>
      </c>
      <c r="Q483" s="3" t="inlineStr">
        <is>
          <t>None — no dependent function stands behind it</t>
        </is>
      </c>
      <c r="R483" s="3" t="inlineStr">
        <is>
          <t>No dependent function — it reads its inputs and answers</t>
        </is>
      </c>
      <c r="S483" s="3" t="inlineStr">
        <is>
          <t>—</t>
        </is>
      </c>
      <c r="T483" s="3" t="inlineStr">
        <is>
          <t>—</t>
        </is>
      </c>
      <c r="U483" s="3" t="inlineStr">
        <is>
          <t>ACTIVE</t>
        </is>
      </c>
      <c r="V483" s="3" t="inlineStr">
        <is>
          <t>2026-10-01</t>
        </is>
      </c>
      <c r="W483" s="3" t="n"/>
      <c r="X483" s="3" t="n"/>
      <c r="Y483" s="3" t="inlineStr">
        <is>
          <t>NOTHING OPEN</t>
        </is>
      </c>
    </row>
    <row r="484" ht="60" customHeight="1">
      <c r="A484" s="3" t="inlineStr">
        <is>
          <t>MK-PL-F-086</t>
        </is>
      </c>
      <c r="B484" s="3" t="inlineStr">
        <is>
          <t>splitBucketOf</t>
        </is>
      </c>
      <c r="C484" s="3" t="inlineStr">
        <is>
          <t>src/domain/decumulation/index.ts</t>
        </is>
      </c>
      <c r="D484" s="3" t="n">
        <v>54</v>
      </c>
      <c r="E484" s="3" t="inlineStr">
        <is>
          <t>3 · DEPENDENT</t>
        </is>
      </c>
      <c r="F484" s="3" t="inlineStr">
        <is>
          <t>WHICH OF THE SPLIT'S BUCKETS AN ACCOUNT FALLS IN — the one rule taxBucketSplit and taxableGainShare share, so the same money is taxable in both (DEC-4105, 2026-10-10, tenet 4).</t>
        </is>
      </c>
      <c r="G484" s="11" t="inlineStr">
        <is>
          <t>nothing   when tax bucket = 'PROPERTY'
'cash'   when tax bucket = 'CASH' (or !tax bucket and asset kind(kind).bucket = 'CASH' when missing or zero)
t = tax treatment of(a)
the answer:
'preTax'   if t = 'tax_deferred'
'roth'   if t = 'tax_free'
'taxable'   otherwise   otherwise</t>
        </is>
      </c>
      <c r="H484" s="3" t="inlineStr">
        <is>
          <t>When tax bucket = 'PROPERTY', it answers no answer. When tax bucket = 'CASH' (or !tax bucket and asset kind(kind).bucket = 'CASH' — when missing or zero), it answers 'cash'. T is tax treatment of(a). The answer is 'preTax' — when t = 'tax_deferred'; 'roth' — when t = 'tax_free'; 'taxable' — otherwise — otherwise.</t>
        </is>
      </c>
      <c r="I484" s="3" t="inlineStr">
        <is>
          <t>PARTLY READ — some of the code is still showing through; needs a hand pass</t>
        </is>
      </c>
      <c r="J484" s="3" t="inlineStr">
        <is>
          <t>a: AssetAccount</t>
        </is>
      </c>
      <c r="K484" s="3" t="inlineStr">
        <is>
          <t>keyof BucketSplit | null</t>
        </is>
      </c>
      <c r="L484" s="3" t="inlineStr">
        <is>
          <t>—</t>
        </is>
      </c>
      <c r="M484" s="3" t="inlineStr">
        <is>
          <t>None found in this function — anything it assumes comes from the functions it depends on.</t>
        </is>
      </c>
      <c r="N484" s="3" t="inlineStr">
        <is>
          <t>Yes</t>
        </is>
      </c>
      <c r="O484" s="3" t="inlineStr">
        <is>
          <t>1. MK-NW-F-007 assetKind
2. MK-NW-F-012 taxTreatmentOf</t>
        </is>
      </c>
      <c r="P484" s="3" t="n">
        <v>16</v>
      </c>
      <c r="Q484" s="3" t="inlineStr">
        <is>
          <t>1. MK-NW-F-007 assetKind
2. MK-NW-F-012 taxTreatmentOf
3. MK-NW-F-011 assetClassOf
4. MK-CF-F-155 cash
5. MK-NW-F-120 classEvidenceOf
6. MK-XS-F-122 n
7. MK-NW-F-008 incomeBearingClassOf
8. MK-NW-F-009 maturityClass
9. MK-ST-F-010 nameEvidence
10. MK-NW-F-068 prettyDay
11. MK-XS-F-147 call
12. MK-ST-F-056 has
13. MK-CF-F-132 map
14. MK-ST-F-027 accountId
15. MK-XS-F-064 currentIdToken
16. MK-XS-F-112 relayUrl</t>
        </is>
      </c>
      <c r="R484" s="3" t="inlineStr">
        <is>
          <t>1. MK-XS-F-122 n → MK-CF-F-155 cash → MK-NW-F-120 classEvidenceOf → MK-NW-F-011 assetClassOf → MK-NW-F-007 assetKind → MK-PL-F-086 splitBucketOf
2. MK-CF-F-155 cash → MK-NW-F-008 incomeBearingClassOf → MK-NW-F-120 classEvidenceOf → MK-NW-F-011 assetClassOf → MK-NW-F-007 assetKind → MK-PL-F-086 splitBucketOf
3. MK-ST-F-010 nameEvidence → MK-NW-F-008 incomeBearingClassOf → MK-NW-F-120 classEvidenceOf → MK-NW-F-011 assetClassOf → MK-NW-F-007 assetKind → MK-PL-F-086 splitBucketOf
4. assetClassOf (already above — a loop) → MK-NW-F-009 maturityClass → MK-NW-F-120 classEvidenceOf → MK-NW-F-011 assetClassOf → MK-NW-F-007 assetKind → MK-PL-F-086 splitBucketOf
5. MK-NW-F-068 prettyDay → MK-NW-F-009 maturityClass → MK-NW-F-120 classEvidenceOf → MK-NW-F-011 assetClassOf → MK-NW-F-007 assetKind → MK-PL-F-086 splitBucketOf
6. MK-XS-F-122 n → MK-CF-F-155 cash → MK-NW-F-007 assetKind → MK-PL-F-086 splitBucketOf
7. MK-CF-F-155 cash → MK-NW-F-120 classEvidenceOf → MK-NW-F-011 assetClassOf → MK-NW-F-007 assetKind → MK-NW-F-012 taxTreatmentOf → MK-PL-F-086 splitBucketOf
8. MK-NW-F-008 incomeBearingClassOf → MK-NW-F-120 classEvidenceOf → MK-NW-F-011 assetClassOf → MK-NW-F-007 assetKind → MK-NW-F-012 taxTreatmentOf → MK-PL-F-086 splitBucketOf
9. … and 2 more paths</t>
        </is>
      </c>
      <c r="S484" s="3" t="inlineStr">
        <is>
          <t>—</t>
        </is>
      </c>
      <c r="T484" s="3" t="inlineStr">
        <is>
          <t>—</t>
        </is>
      </c>
      <c r="U484" s="3" t="inlineStr">
        <is>
          <t>ACTIVE</t>
        </is>
      </c>
      <c r="V484" s="3" t="inlineStr">
        <is>
          <t>2026-10-10</t>
        </is>
      </c>
      <c r="W484" s="3" t="n"/>
      <c r="X484" s="3" t="n"/>
      <c r="Y484" s="3" t="inlineStr">
        <is>
          <t>NOTHING OPEN</t>
        </is>
      </c>
    </row>
    <row r="485" ht="60" customHeight="1">
      <c r="A485" s="3" t="inlineStr">
        <is>
          <t>MK-PL-F-087</t>
        </is>
      </c>
      <c r="B485" s="3" t="inlineStr">
        <is>
          <t>taxTypeNotStated</t>
        </is>
      </c>
      <c r="C485" s="3" t="inlineStr">
        <is>
          <t>src/domain/decumulation/index.ts</t>
        </is>
      </c>
      <c r="D485" s="3" t="n">
        <v>82</v>
      </c>
      <c r="E485" s="3" t="inlineStr">
        <is>
          <t>1 · ACTION</t>
        </is>
      </c>
      <c r="F485" s="3" t="inlineStr">
        <is>
          <t>counted taxable only because no tax type is stated on it (DEC-4105, 2026-10-10)</t>
        </is>
      </c>
      <c r="G485" s="11" t="inlineStr">
        <is>
          <t>split bucket of(a) = 'taxable' and tax treatment of(a) = 'not_stated'</t>
        </is>
      </c>
      <c r="H485" s="3" t="inlineStr">
        <is>
          <t>split bucket of(a) = 'taxable' and tax treatment of(a) = 'not_stated'</t>
        </is>
      </c>
      <c r="I485" s="3" t="inlineStr">
        <is>
          <t>READ FROM THE CODE — rendered from the expressions the function runs</t>
        </is>
      </c>
      <c r="J485" s="3" t="inlineStr">
        <is>
          <t>a: AssetAccount</t>
        </is>
      </c>
      <c r="K485" s="3" t="inlineStr">
        <is>
          <t>NOT DECLARED — the code does not say what it gives back</t>
        </is>
      </c>
      <c r="L485" s="3" t="inlineStr">
        <is>
          <t>—</t>
        </is>
      </c>
      <c r="M485" s="3" t="inlineStr">
        <is>
          <t>None found in this function — anything it assumes comes from the functions it depends on.</t>
        </is>
      </c>
      <c r="N485" s="3" t="inlineStr">
        <is>
          <t>Yes</t>
        </is>
      </c>
      <c r="O485" s="3" t="inlineStr">
        <is>
          <t>1. MK-PL-F-086 splitBucketOf
2. MK-NW-F-012 taxTreatmentOf</t>
        </is>
      </c>
      <c r="P485" s="3" t="n">
        <v>17</v>
      </c>
      <c r="Q485" s="3" t="inlineStr">
        <is>
          <t>1. MK-PL-F-086 splitBucketOf
2. MK-NW-F-012 taxTreatmentOf
3. MK-NW-F-007 assetKind
4. MK-NW-F-011 assetClassOf
5. MK-CF-F-155 cash
6. MK-NW-F-120 classEvidenceOf
7. MK-XS-F-122 n
8. MK-NW-F-008 incomeBearingClassOf
9. MK-NW-F-009 maturityClass
10. MK-ST-F-010 nameEvidence
11. MK-NW-F-068 prettyDay
12. MK-XS-F-147 call
13. MK-ST-F-056 has
14. MK-CF-F-132 map
15. MK-ST-F-027 accountId
16. MK-XS-F-064 currentIdToken
17. MK-XS-F-112 relayUrl</t>
        </is>
      </c>
      <c r="R485" s="3" t="inlineStr">
        <is>
          <t>1. MK-CF-F-155 cash → MK-NW-F-120 classEvidenceOf → MK-NW-F-011 assetClassOf → MK-NW-F-007 assetKind → MK-PL-F-086 splitBucketOf → MK-PL-F-087 taxTypeNotStated
2. MK-NW-F-008 incomeBearingClassOf → MK-NW-F-120 classEvidenceOf → MK-NW-F-011 assetClassOf → MK-NW-F-007 assetKind → MK-PL-F-086 splitBucketOf → MK-PL-F-087 taxTypeNotStated
3. MK-NW-F-009 maturityClass → MK-NW-F-120 classEvidenceOf → MK-NW-F-011 assetClassOf → MK-NW-F-007 assetKind → MK-PL-F-086 splitBucketOf → MK-PL-F-087 taxTypeNotStated
4. MK-XS-F-122 n → MK-CF-F-155 cash → MK-NW-F-007 assetKind → MK-PL-F-086 splitBucketOf → MK-PL-F-087 taxTypeNotStated
5. MK-NW-F-120 classEvidenceOf → MK-NW-F-011 assetClassOf → MK-NW-F-007 assetKind → MK-NW-F-012 taxTreatmentOf → MK-PL-F-086 splitBucketOf → MK-PL-F-087 taxTypeNotStated
6. MK-XS-F-122 n → MK-CF-F-155 cash → MK-NW-F-007 assetKind → MK-NW-F-012 taxTreatmentOf → MK-PL-F-086 splitBucketOf → MK-PL-F-087 taxTypeNotStated
7. MK-CF-F-155 cash → MK-NW-F-120 classEvidenceOf → MK-NW-F-011 assetClassOf → MK-NW-F-007 assetKind → MK-NW-F-012 taxTreatmentOf → MK-PL-F-087 taxTypeNotStated
8. MK-NW-F-008 incomeBearingClassOf → MK-NW-F-120 classEvidenceOf → MK-NW-F-011 assetClassOf → MK-NW-F-007 assetKind → MK-NW-F-012 taxTreatmentOf → MK-PL-F-087 taxTypeNotStated
9. … and 2 more paths</t>
        </is>
      </c>
      <c r="S485" s="3" t="inlineStr">
        <is>
          <t>—</t>
        </is>
      </c>
      <c r="T485" s="3" t="inlineStr">
        <is>
          <t>—</t>
        </is>
      </c>
      <c r="U485" s="3" t="inlineStr">
        <is>
          <t>ACTIVE</t>
        </is>
      </c>
      <c r="V485" s="3" t="inlineStr">
        <is>
          <t>2026-10-10</t>
        </is>
      </c>
      <c r="W485" s="3" t="n"/>
      <c r="X485" s="3" t="n"/>
      <c r="Y485" s="3" t="inlineStr">
        <is>
          <t>NOTHING OPEN</t>
        </is>
      </c>
    </row>
    <row r="486" ht="60" customHeight="1">
      <c r="A486" s="3" t="inlineStr">
        <is>
          <t>MK-PL-F-088</t>
        </is>
      </c>
      <c r="B486" s="3" t="inlineStr">
        <is>
          <t>countedTaxableLine</t>
        </is>
      </c>
      <c r="C486" s="3" t="inlineStr">
        <is>
          <t>src/domain/decumulation/index.ts</t>
        </is>
      </c>
      <c r="D486" s="3" t="n">
        <v>151</v>
      </c>
      <c r="E486" s="3" t="inlineStr">
        <is>
          <t>1 · ACTION</t>
        </is>
      </c>
      <c r="F486" s="3" t="inlineStr">
        <is>
          <t>THE LINE THAT NAMES IT (DEC-4105, 2026-10-10) — his words, one per account the split counted taxable for want of a tax type.</t>
        </is>
      </c>
      <c r="G486" s="11" t="inlineStr">
        <is>
          <t>NOT READ YET — the body is not a shape this can render faithfully, so nothing is claimed rather than something being guessed. It needs reading by hand.</t>
        </is>
      </c>
      <c r="H486" s="3" t="inlineStr">
        <is>
          <t>NOT READ YET — the body is not a shape this can render faithfully, so nothing is claimed rather than something being guessed. It needs reading by hand.</t>
        </is>
      </c>
      <c r="I486" s="3" t="inlineStr">
        <is>
          <t>NOT READ — nothing is claimed rather than something guessed</t>
        </is>
      </c>
      <c r="J486" s="3" t="inlineStr">
        <is>
          <t>name: string</t>
        </is>
      </c>
      <c r="K486" s="3" t="inlineStr">
        <is>
          <t>NOT DECLARED — the code does not say what it gives back</t>
        </is>
      </c>
      <c r="L486" s="3" t="inlineStr">
        <is>
          <t>—</t>
        </is>
      </c>
      <c r="M486" s="3" t="inlineStr">
        <is>
          <t>None found in this function — anything it assumes comes from the functions it depends on.</t>
        </is>
      </c>
      <c r="N486" s="3" t="inlineStr">
        <is>
          <t>Yes</t>
        </is>
      </c>
      <c r="O486" s="3" t="inlineStr">
        <is>
          <t>—</t>
        </is>
      </c>
      <c r="P486" s="3" t="n">
        <v>0</v>
      </c>
      <c r="Q486" s="3" t="inlineStr">
        <is>
          <t>None — no dependent function stands behind it</t>
        </is>
      </c>
      <c r="R486" s="3" t="inlineStr">
        <is>
          <t>No dependent function — it reads its inputs and answers</t>
        </is>
      </c>
      <c r="S486" s="3" t="inlineStr">
        <is>
          <t>—</t>
        </is>
      </c>
      <c r="T486" s="3" t="inlineStr">
        <is>
          <t>—</t>
        </is>
      </c>
      <c r="U486" s="3" t="inlineStr">
        <is>
          <t>ACTIVE</t>
        </is>
      </c>
      <c r="V486" s="3" t="inlineStr">
        <is>
          <t>2026-10-10</t>
        </is>
      </c>
      <c r="W486" s="3" t="n"/>
      <c r="X486" s="3" t="n"/>
      <c r="Y486" s="3" t="inlineStr">
        <is>
          <t>NOTHING OPEN</t>
        </is>
      </c>
    </row>
    <row r="487" ht="60" customHeight="1">
      <c r="A487" s="3" t="inlineStr">
        <is>
          <t>MK-ST-F-001</t>
        </is>
      </c>
      <c r="B487" s="3" t="inlineStr">
        <is>
          <t>looksFixedIncome</t>
        </is>
      </c>
      <c r="C487" s="3" t="inlineStr">
        <is>
          <t>Calculation Module code/engines/classify.ts</t>
        </is>
      </c>
      <c r="D487" s="3" t="n">
        <v>270</v>
      </c>
      <c r="E487" s="3" t="inlineStr">
        <is>
          <t>3 · DEPENDENT (feeds an action only)</t>
        </is>
      </c>
      <c r="F487" s="3" t="inlineStr">
        <is>
          <t>Fixed income by its words.</t>
        </is>
      </c>
      <c r="G487" s="11"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487"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487" s="3" t="inlineStr">
        <is>
          <t>PARTLY READ — some of the code is still showing through; needs a hand pass</t>
        </is>
      </c>
      <c r="J487" s="3" t="inlineStr">
        <is>
          <t>text: string</t>
        </is>
      </c>
      <c r="K487" s="3" t="inlineStr">
        <is>
          <t>boolean</t>
        </is>
      </c>
      <c r="L487" s="3" t="inlineStr">
        <is>
          <t>—</t>
        </is>
      </c>
      <c r="M487" s="3" t="inlineStr">
        <is>
          <t>None found in this function — anything it assumes comes from the functions it depends on.</t>
        </is>
      </c>
      <c r="N487" s="3" t="inlineStr">
        <is>
          <t>No</t>
        </is>
      </c>
      <c r="O487" s="3" t="inlineStr">
        <is>
          <t>—</t>
        </is>
      </c>
      <c r="P487" s="3" t="n">
        <v>0</v>
      </c>
      <c r="Q487" s="3" t="inlineStr">
        <is>
          <t>None — no dependent function stands behind it</t>
        </is>
      </c>
      <c r="R487" s="3" t="inlineStr">
        <is>
          <t>No dependent function — it reads its inputs and answers</t>
        </is>
      </c>
      <c r="S487" s="3" t="inlineStr">
        <is>
          <t>—</t>
        </is>
      </c>
      <c r="T487" s="3" t="inlineStr">
        <is>
          <t>—</t>
        </is>
      </c>
      <c r="U487" s="3" t="inlineStr">
        <is>
          <t>ACTIVE</t>
        </is>
      </c>
      <c r="V487" s="3" t="inlineStr">
        <is>
          <t>2026-08-27</t>
        </is>
      </c>
      <c r="W487" s="3" t="n"/>
      <c r="X487" s="3" t="n"/>
      <c r="Y487" s="3" t="inlineStr">
        <is>
          <t>NOTHING OPEN</t>
        </is>
      </c>
    </row>
    <row r="488" ht="45" customHeight="1">
      <c r="A488" s="3" t="inlineStr">
        <is>
          <t>MK-ST-F-002</t>
        </is>
      </c>
      <c r="B488" s="3" t="inlineStr">
        <is>
          <t>monthWords</t>
        </is>
      </c>
      <c r="C488" s="3" t="inlineStr">
        <is>
          <t>Calculation Module code/engines/coverage.ts</t>
        </is>
      </c>
      <c r="D488" s="3" t="n">
        <v>55</v>
      </c>
      <c r="E488" s="3" t="inlineStr">
        <is>
          <t>3 · DEPENDENT</t>
        </is>
      </c>
      <c r="F488" s="3" t="inlineStr">
        <is>
          <t>"March 2022" — a month a person reads, not a date stamp.</t>
        </is>
      </c>
      <c r="G488" s="11" t="inlineStr">
        <is>
          <t>''   when iso is missing
`${MONTHS[m − 1]} ${y}`   if m
string(y)   otherwise</t>
        </is>
      </c>
      <c r="H488" s="3" t="inlineStr">
        <is>
          <t>When iso is missing, it answers ''. `${MONTHS[m minus 1]} ${y}` — when m; string(y) — otherwise.</t>
        </is>
      </c>
      <c r="I488" s="3" t="inlineStr">
        <is>
          <t>PARTLY READ — some of the code is still showing through; needs a hand pass</t>
        </is>
      </c>
      <c r="J488" s="3" t="inlineStr">
        <is>
          <t>iso: string | null</t>
        </is>
      </c>
      <c r="K488" s="3" t="inlineStr">
        <is>
          <t>string</t>
        </is>
      </c>
      <c r="L488" s="3" t="inlineStr">
        <is>
          <t>—</t>
        </is>
      </c>
      <c r="M488" s="3" t="inlineStr">
        <is>
          <t>None found in this function — anything it assumes comes from the functions it depends on.</t>
        </is>
      </c>
      <c r="N488" s="3" t="inlineStr">
        <is>
          <t>Yes</t>
        </is>
      </c>
      <c r="O488" s="3" t="inlineStr">
        <is>
          <t>MK-CF-F-132 map</t>
        </is>
      </c>
      <c r="P488" s="3" t="n">
        <v>1</v>
      </c>
      <c r="Q488" s="3" t="inlineStr">
        <is>
          <t>MK-CF-F-132 map</t>
        </is>
      </c>
      <c r="R488" s="3" t="inlineStr">
        <is>
          <t>MK-CF-F-132 map → MK-ST-F-002 monthWords</t>
        </is>
      </c>
      <c r="S488" s="3" t="inlineStr">
        <is>
          <t>—</t>
        </is>
      </c>
      <c r="T488" s="3" t="inlineStr">
        <is>
          <t>—</t>
        </is>
      </c>
      <c r="U488" s="3" t="inlineStr">
        <is>
          <t>ACTIVE</t>
        </is>
      </c>
      <c r="V488" s="3" t="inlineStr">
        <is>
          <t>2026-08-27</t>
        </is>
      </c>
      <c r="W488" s="3" t="n"/>
      <c r="X488" s="3" t="n"/>
      <c r="Y488" s="3" t="inlineStr">
        <is>
          <t>NOTHING OPEN</t>
        </is>
      </c>
    </row>
    <row r="489" ht="45" customHeight="1">
      <c r="A489" s="3" t="inlineStr">
        <is>
          <t>MK-ST-F-003</t>
        </is>
      </c>
      <c r="B489" s="3" t="inlineStr">
        <is>
          <t>dayWords</t>
        </is>
      </c>
      <c r="C489" s="3" t="inlineStr">
        <is>
          <t>Calculation Module code/engines/coverage.ts</t>
        </is>
      </c>
      <c r="D489" s="3" t="n">
        <v>82</v>
      </c>
      <c r="E489" s="3" t="inlineStr">
        <is>
          <t>2 · DISPLAYED</t>
        </is>
      </c>
      <c r="F489" s="3" t="inlineStr">
        <is>
          <t>"14 March 2022".</t>
        </is>
      </c>
      <c r="G489" s="11" t="inlineStr">
        <is>
          <t>''   when iso is missing
`${d} ${MONTHS[m − 1]} ${y}`   if m and d
month words(iso)   otherwise</t>
        </is>
      </c>
      <c r="H489" s="3" t="inlineStr">
        <is>
          <t>When iso is missing, it answers ''. `${d} ${MONTHS[m minus 1]} ${y}` — when m and d; month words(iso) — otherwise.</t>
        </is>
      </c>
      <c r="I489" s="3" t="inlineStr">
        <is>
          <t>PARTLY READ — some of the code is still showing through; needs a hand pass</t>
        </is>
      </c>
      <c r="J489" s="3" t="inlineStr">
        <is>
          <t>iso: string | null</t>
        </is>
      </c>
      <c r="K489" s="3" t="inlineStr">
        <is>
          <t>string</t>
        </is>
      </c>
      <c r="L489" s="3" t="inlineStr">
        <is>
          <t>"Nothing received yet this month." — on the Cash flow screen, under "current ?"</t>
        </is>
      </c>
      <c r="M489" s="3" t="inlineStr">
        <is>
          <t>None found in this function — anything it assumes comes from the functions it depends on.</t>
        </is>
      </c>
      <c r="N489" s="3" t="inlineStr">
        <is>
          <t>Yes</t>
        </is>
      </c>
      <c r="O489" s="3" t="inlineStr">
        <is>
          <t>1. MK-CF-F-132 map
2. MK-ST-F-002 monthWords</t>
        </is>
      </c>
      <c r="P489" s="3" t="n">
        <v>2</v>
      </c>
      <c r="Q489" s="3" t="inlineStr">
        <is>
          <t>1. MK-CF-F-132 map
2. MK-ST-F-002 monthWords</t>
        </is>
      </c>
      <c r="R489" s="3" t="inlineStr">
        <is>
          <t>1. MK-CF-F-132 map → MK-ST-F-003 dayWords
2. MK-CF-F-132 map → MK-ST-F-002 monthWords → MK-ST-F-003 dayWords</t>
        </is>
      </c>
      <c r="S489" s="3" t="inlineStr">
        <is>
          <t>—</t>
        </is>
      </c>
      <c r="T489" s="3" t="inlineStr">
        <is>
          <t>—</t>
        </is>
      </c>
      <c r="U489" s="3" t="inlineStr">
        <is>
          <t>ACTIVE</t>
        </is>
      </c>
      <c r="V489" s="3" t="inlineStr">
        <is>
          <t>2026-10-03</t>
        </is>
      </c>
      <c r="W489" s="3" t="n"/>
      <c r="X489" s="3" t="n"/>
      <c r="Y489" s="3" t="inlineStr">
        <is>
          <t>NOTHING OPEN</t>
        </is>
      </c>
    </row>
    <row r="490" ht="60" customHeight="1">
      <c r="A490" s="3" t="inlineStr">
        <is>
          <t>MK-ST-F-004</t>
        </is>
      </c>
      <c r="B490" s="3" t="inlineStr">
        <is>
          <t>coverageFor</t>
        </is>
      </c>
      <c r="C490" s="3" t="inlineStr">
        <is>
          <t>Calculation Module code/engines/coverage.ts</t>
        </is>
      </c>
      <c r="D490" s="3" t="n">
        <v>119</v>
      </c>
      <c r="E490" s="3" t="inlineStr">
        <is>
          <t>2 · DISPLAYED</t>
        </is>
      </c>
      <c r="F490" s="3" t="inlineStr">
        <is>
          <t>What can we honestly say about a window starting on `from`?</t>
        </is>
      </c>
      <c r="G490" s="11"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490"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490" s="3" t="inlineStr">
        <is>
          <t>PARTLY READ — some of the code is still showing through; needs a hand pass</t>
        </is>
      </c>
      <c r="J490" s="3" t="inlineStr">
        <is>
          <t>1. days: Dated[]
2. from: string
3. today: string</t>
        </is>
      </c>
      <c r="K490" s="3" t="inlineStr">
        <is>
          <t>Coverage</t>
        </is>
      </c>
      <c r="L490" s="3" t="inlineStr">
        <is>
          <t>NOT FOUND — a screen calls it, but the words printed beside its answer could not be traced automatically. Needs reading.</t>
        </is>
      </c>
      <c r="M490" s="3" t="inlineStr">
        <is>
          <t>None found in this function — anything it assumes comes from the functions it depends on.</t>
        </is>
      </c>
      <c r="N490" s="3" t="inlineStr">
        <is>
          <t>Yes</t>
        </is>
      </c>
      <c r="O490" s="3" t="inlineStr">
        <is>
          <t>1. MK-ST-F-003 dayWords
2. MK-ST-F-034 firstDate
3. MK-ST-F-002 monthWords</t>
        </is>
      </c>
      <c r="P490" s="3" t="n">
        <v>4</v>
      </c>
      <c r="Q490" s="3" t="inlineStr">
        <is>
          <t>1. MK-ST-F-003 dayWords
2. MK-ST-F-034 firstDate
3. MK-ST-F-002 monthWords
4. MK-CF-F-132 map</t>
        </is>
      </c>
      <c r="R490" s="3" t="inlineStr">
        <is>
          <t>1. MK-CF-F-132 map → MK-ST-F-003 dayWords → MK-ST-F-004 coverageFor
2. MK-CF-F-132 map → MK-ST-F-002 monthWords → MK-ST-F-003 dayWords → MK-ST-F-004 coverageFor
3. MK-ST-F-034 firstDate → MK-ST-F-004 coverageFor
4. MK-CF-F-132 map → MK-ST-F-002 monthWords → MK-ST-F-004 coverageFor</t>
        </is>
      </c>
      <c r="S490" s="3" t="inlineStr">
        <is>
          <t>—</t>
        </is>
      </c>
      <c r="T490" s="3" t="inlineStr">
        <is>
          <t>—</t>
        </is>
      </c>
      <c r="U490" s="3" t="inlineStr">
        <is>
          <t>ACTIVE</t>
        </is>
      </c>
      <c r="V490" s="3" t="inlineStr">
        <is>
          <t>2026-08-27</t>
        </is>
      </c>
      <c r="W490" s="3" t="n"/>
      <c r="X490" s="3" t="n"/>
      <c r="Y490" s="3" t="inlineStr">
        <is>
          <t>NOTHING OPEN</t>
        </is>
      </c>
    </row>
    <row r="491" ht="60" customHeight="1">
      <c r="A491" s="3" t="inlineStr">
        <is>
          <t>MK-ST-F-005</t>
        </is>
      </c>
      <c r="B491" s="3" t="inlineStr">
        <is>
          <t>measuredFromLabel</t>
        </is>
      </c>
      <c r="C491" s="3" t="inlineStr">
        <is>
          <t>Calculation Module code/engines/coverage.ts</t>
        </is>
      </c>
      <c r="D491" s="3" t="n">
        <v>168</v>
      </c>
      <c r="E491" s="3" t="inlineStr">
        <is>
          <t>2 · DISPLAYED</t>
        </is>
      </c>
      <c r="F491" s="3" t="inlineStr">
        <is>
          <t>The short label that rides beside a change figure, always — whether the window is covered or not.</t>
        </is>
      </c>
      <c r="G491" s="11" t="inlineStr">
        <is>
          <t>start = first date(days)
''   when start is missing
actual = start   if start &gt; from
from   otherwise
the answer = `since ${day words(actual)}`</t>
        </is>
      </c>
      <c r="H491" s="3" t="inlineStr">
        <is>
          <t>Start is first date(days). When start is missing, it answers ''. Actual is start — when start &gt; from; from — otherwise. The answer is `since ${day words(actual)}`.</t>
        </is>
      </c>
      <c r="I491" s="3" t="inlineStr">
        <is>
          <t>PARTLY READ — some of the code is still showing through; needs a hand pass</t>
        </is>
      </c>
      <c r="J491" s="3" t="inlineStr">
        <is>
          <t>1. days: Dated[]
2. from: string</t>
        </is>
      </c>
      <c r="K491" s="3" t="inlineStr">
        <is>
          <t>string</t>
        </is>
      </c>
      <c r="L491" s="3" t="inlineStr">
        <is>
          <t>NOT FOUND — a screen calls it, but the words printed beside its answer could not be traced automatically. Needs reading.</t>
        </is>
      </c>
      <c r="M491" s="3" t="inlineStr">
        <is>
          <t>None found in this function — anything it assumes comes from the functions it depends on.</t>
        </is>
      </c>
      <c r="N491" s="3" t="inlineStr">
        <is>
          <t>Yes</t>
        </is>
      </c>
      <c r="O491" s="3" t="inlineStr">
        <is>
          <t>1. MK-ST-F-003 dayWords
2. MK-ST-F-034 firstDate</t>
        </is>
      </c>
      <c r="P491" s="3" t="n">
        <v>4</v>
      </c>
      <c r="Q491" s="3" t="inlineStr">
        <is>
          <t>1. MK-ST-F-003 dayWords
2. MK-ST-F-034 firstDate
3. MK-CF-F-132 map
4. MK-ST-F-002 monthWords</t>
        </is>
      </c>
      <c r="R491" s="3" t="inlineStr">
        <is>
          <t>1. MK-CF-F-132 map → MK-ST-F-003 dayWords → MK-ST-F-005 measuredFromLabel
2. MK-CF-F-132 map → MK-ST-F-002 monthWords → MK-ST-F-003 dayWords → MK-ST-F-005 measuredFromLabel
3. MK-ST-F-034 firstDate → MK-ST-F-005 measuredFromLabel</t>
        </is>
      </c>
      <c r="S491" s="3" t="inlineStr">
        <is>
          <t>—</t>
        </is>
      </c>
      <c r="T491" s="3" t="inlineStr">
        <is>
          <t>—</t>
        </is>
      </c>
      <c r="U491" s="3" t="inlineStr">
        <is>
          <t>ACTIVE</t>
        </is>
      </c>
      <c r="V491" s="3" t="inlineStr">
        <is>
          <t>2026-08-27</t>
        </is>
      </c>
      <c r="W491" s="3" t="n"/>
      <c r="X491" s="3" t="n"/>
      <c r="Y491" s="3" t="inlineStr">
        <is>
          <t>NOTHING OPEN</t>
        </is>
      </c>
    </row>
    <row r="492" ht="45" customHeight="1">
      <c r="A492" s="3" t="inlineStr">
        <is>
          <t>MK-ST-F-006</t>
        </is>
      </c>
      <c r="B492" s="3" t="inlineStr">
        <is>
          <t>canAnswer</t>
        </is>
      </c>
      <c r="C492" s="3" t="inlineStr">
        <is>
          <t>Calculation Module code/engines/coverage.ts</t>
        </is>
      </c>
      <c r="D492" s="3" t="n">
        <v>192</v>
      </c>
      <c r="E492" s="3" t="inlineStr">
        <is>
          <t>3 · DEPENDENT (feeds an action only)</t>
        </is>
      </c>
      <c r="F492" s="3" t="inlineStr">
        <is>
          <t>Is there any record at all on or before this date?</t>
        </is>
      </c>
      <c r="G492" s="11" t="inlineStr">
        <is>
          <t>on or before(days, from) ≠ nothing</t>
        </is>
      </c>
      <c r="H492" s="3" t="inlineStr">
        <is>
          <t>on or before(days, from) is not no answer.</t>
        </is>
      </c>
      <c r="I492" s="3" t="inlineStr">
        <is>
          <t>READ FROM THE CODE — rendered from the expressions the function runs</t>
        </is>
      </c>
      <c r="J492" s="3" t="inlineStr">
        <is>
          <t>1. days: Dated[]
2. from: string</t>
        </is>
      </c>
      <c r="K492" s="3" t="inlineStr">
        <is>
          <t>boolean</t>
        </is>
      </c>
      <c r="L492" s="3" t="inlineStr">
        <is>
          <t>—</t>
        </is>
      </c>
      <c r="M492" s="3" t="inlineStr">
        <is>
          <t>None found in this function — anything it assumes comes from the functions it depends on.</t>
        </is>
      </c>
      <c r="N492" s="3" t="inlineStr">
        <is>
          <t>No</t>
        </is>
      </c>
      <c r="O492" s="3" t="inlineStr">
        <is>
          <t>1. MK-ST-F-034 firstDate
2. MK-ST-F-033 onOrBefore</t>
        </is>
      </c>
      <c r="P492" s="3" t="n">
        <v>2</v>
      </c>
      <c r="Q492" s="3" t="inlineStr">
        <is>
          <t>1. MK-ST-F-034 firstDate
2. MK-ST-F-033 onOrBefore</t>
        </is>
      </c>
      <c r="R492" s="3" t="inlineStr">
        <is>
          <t>1. MK-ST-F-034 firstDate → MK-ST-F-006 canAnswer
2. MK-ST-F-033 onOrBefore → MK-ST-F-006 canAnswer</t>
        </is>
      </c>
      <c r="S492" s="3" t="inlineStr">
        <is>
          <t>—</t>
        </is>
      </c>
      <c r="T492" s="3" t="inlineStr">
        <is>
          <t>—</t>
        </is>
      </c>
      <c r="U492" s="3" t="inlineStr">
        <is>
          <t>ACTIVE</t>
        </is>
      </c>
      <c r="V492" s="3" t="inlineStr">
        <is>
          <t>2026-08-27</t>
        </is>
      </c>
      <c r="W492" s="3" t="n"/>
      <c r="X492" s="3" t="n"/>
      <c r="Y492" s="3" t="inlineStr">
        <is>
          <t>NOTHING OPEN</t>
        </is>
      </c>
    </row>
    <row r="493" ht="60" customHeight="1">
      <c r="A493" s="3" t="inlineStr">
        <is>
          <t>MK-ST-F-007</t>
        </is>
      </c>
      <c r="B493" s="3" t="inlineStr">
        <is>
          <t>classifyEvent</t>
        </is>
      </c>
      <c r="C493" s="3" t="inlineStr">
        <is>
          <t>Calculation Module code/engines/events.ts</t>
        </is>
      </c>
      <c r="D493" s="3" t="n">
        <v>208</v>
      </c>
      <c r="E493" s="3" t="inlineStr">
        <is>
          <t>3 · DEPENDENT (feeds an action only)</t>
        </is>
      </c>
      <c r="F493" s="3" t="inlineStr">
        <is>
          <t>Classify one institution word.</t>
        </is>
      </c>
      <c r="G493" s="11"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493"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493" s="3" t="inlineStr">
        <is>
          <t>PARTLY READ — the body has a loop the extractor cannot render; the steps shown are the ones before it. Needs a hand pass (G23).</t>
        </is>
      </c>
      <c r="J493" s="3" t="inlineStr">
        <is>
          <t>word: string | null | undefined</t>
        </is>
      </c>
      <c r="K493" s="3" t="inlineStr">
        <is>
          <t>Classified</t>
        </is>
      </c>
      <c r="L493" s="3" t="inlineStr">
        <is>
          <t>—</t>
        </is>
      </c>
      <c r="M493" s="3" t="inlineStr">
        <is>
          <t>None found in this function — anything it assumes comes from the functions it depends on.</t>
        </is>
      </c>
      <c r="N493" s="3" t="inlineStr">
        <is>
          <t>No</t>
        </is>
      </c>
      <c r="O493" s="3" t="inlineStr">
        <is>
          <t>—</t>
        </is>
      </c>
      <c r="P493" s="3" t="n">
        <v>0</v>
      </c>
      <c r="Q493" s="3" t="inlineStr">
        <is>
          <t>None — no dependent function stands behind it</t>
        </is>
      </c>
      <c r="R493" s="3" t="inlineStr">
        <is>
          <t>No dependent function — it reads its inputs and answers</t>
        </is>
      </c>
      <c r="S493" s="3" t="inlineStr">
        <is>
          <t>—</t>
        </is>
      </c>
      <c r="T493" s="3" t="inlineStr">
        <is>
          <t>—</t>
        </is>
      </c>
      <c r="U493" s="3" t="inlineStr">
        <is>
          <t>ACTIVE</t>
        </is>
      </c>
      <c r="V493" s="3" t="inlineStr">
        <is>
          <t>2026-09-08</t>
        </is>
      </c>
      <c r="W493" s="3" t="n"/>
      <c r="X493" s="3" t="n"/>
      <c r="Y493" s="3" t="inlineStr">
        <is>
          <t>NOTHING OPEN</t>
        </is>
      </c>
    </row>
    <row r="494" ht="60" customHeight="1">
      <c r="A494" s="3" t="inlineStr">
        <is>
          <t>MK-ST-F-008</t>
        </is>
      </c>
      <c r="B494" s="3" t="inlineStr">
        <is>
          <t>touches</t>
        </is>
      </c>
      <c r="C494" s="3" t="inlineStr">
        <is>
          <t>Calculation Module code/engines/events.ts</t>
        </is>
      </c>
      <c r="D494" s="3" t="n">
        <v>236</v>
      </c>
      <c r="E494" s="3" t="inlineStr">
        <is>
          <t>3 · DEPENDENT (feeds an action only)</t>
        </is>
      </c>
      <c r="F494" s="3" t="inlineStr">
        <is>
          <t>Does this event add to that total?</t>
        </is>
      </c>
      <c r="G494" s="11" t="inlineStr">
        <is>
          <t>EVENTS[e].totals.includes(total)</t>
        </is>
      </c>
      <c r="H494" s="3" t="inlineStr">
        <is>
          <t>EVENTS[e].totals.includes(total).</t>
        </is>
      </c>
      <c r="I494" s="3" t="inlineStr">
        <is>
          <t>PARTLY READ — some of the code is still showing through; needs a hand pass</t>
        </is>
      </c>
      <c r="J494" s="3" t="inlineStr">
        <is>
          <t>1. e: CanonicalEvent
2. total: 'contributions' | 'withdrawals' | 'income' | 'costs' | 'units' | 'costBasis' | 'realisedGain'</t>
        </is>
      </c>
      <c r="K494" s="3" t="inlineStr">
        <is>
          <t>boolean</t>
        </is>
      </c>
      <c r="L494" s="3" t="inlineStr">
        <is>
          <t>—</t>
        </is>
      </c>
      <c r="M494" s="3" t="inlineStr">
        <is>
          <t>None found in this function — anything it assumes comes from the functions it depends on.</t>
        </is>
      </c>
      <c r="N494" s="3" t="inlineStr">
        <is>
          <t>No</t>
        </is>
      </c>
      <c r="O494" s="3" t="inlineStr">
        <is>
          <t>—</t>
        </is>
      </c>
      <c r="P494" s="3" t="n">
        <v>0</v>
      </c>
      <c r="Q494" s="3" t="inlineStr">
        <is>
          <t>None — no dependent function stands behind it</t>
        </is>
      </c>
      <c r="R494" s="3" t="inlineStr">
        <is>
          <t>No dependent function — it reads its inputs and answers</t>
        </is>
      </c>
      <c r="S494" s="3" t="inlineStr">
        <is>
          <t>—</t>
        </is>
      </c>
      <c r="T494" s="3" t="inlineStr">
        <is>
          <t>—</t>
        </is>
      </c>
      <c r="U494" s="3" t="inlineStr">
        <is>
          <t>ACTIVE</t>
        </is>
      </c>
      <c r="V494" s="3" t="inlineStr">
        <is>
          <t>2026-08-27</t>
        </is>
      </c>
      <c r="W494" s="3" t="n"/>
      <c r="X494" s="3" t="n"/>
      <c r="Y494" s="3" t="inlineStr">
        <is>
          <t>NOTHING OPEN</t>
        </is>
      </c>
    </row>
    <row r="495" ht="45" customHeight="1">
      <c r="A495" s="3" t="inlineStr">
        <is>
          <t>MK-ST-F-009</t>
        </is>
      </c>
      <c r="B495" s="3" t="inlineStr">
        <is>
          <t>directionOf</t>
        </is>
      </c>
      <c r="C495" s="3" t="inlineStr">
        <is>
          <t>Calculation Module code/engines/events.ts</t>
        </is>
      </c>
      <c r="D495" s="3" t="n">
        <v>256</v>
      </c>
      <c r="E495" s="3" t="inlineStr">
        <is>
          <t>3 · DEPENDENT (feeds an action only)</t>
        </is>
      </c>
      <c r="F495" s="3" t="inlineStr">
        <is>
          <t>The direction an event implies, where the event itself decides it.</t>
        </is>
      </c>
      <c r="G495" s="11" t="inlineStr">
        <is>
          <t>EVENTS[e].direction (or 'NONE' when missing)</t>
        </is>
      </c>
      <c r="H495" s="3" t="inlineStr">
        <is>
          <t>EVENTS[e].direction (or 'NONE' — when missing).</t>
        </is>
      </c>
      <c r="I495" s="3" t="inlineStr">
        <is>
          <t>PARTLY READ — some of the code is still showing through; needs a hand pass</t>
        </is>
      </c>
      <c r="J495" s="3" t="inlineStr">
        <is>
          <t>e: CanonicalEvent</t>
        </is>
      </c>
      <c r="K495" s="3" t="inlineStr">
        <is>
          <t>Money['direction']</t>
        </is>
      </c>
      <c r="L495" s="3" t="inlineStr">
        <is>
          <t>—</t>
        </is>
      </c>
      <c r="M495" s="3" t="inlineStr">
        <is>
          <t>None found in this function — anything it assumes comes from the functions it depends on.</t>
        </is>
      </c>
      <c r="N495" s="3" t="inlineStr">
        <is>
          <t>No</t>
        </is>
      </c>
      <c r="O495" s="3" t="inlineStr">
        <is>
          <t>—</t>
        </is>
      </c>
      <c r="P495" s="3" t="n">
        <v>0</v>
      </c>
      <c r="Q495" s="3" t="inlineStr">
        <is>
          <t>None — no dependent function stands behind it</t>
        </is>
      </c>
      <c r="R495" s="3" t="inlineStr">
        <is>
          <t>No dependent function — it reads its inputs and answers</t>
        </is>
      </c>
      <c r="S495" s="3" t="inlineStr">
        <is>
          <t>—</t>
        </is>
      </c>
      <c r="T495" s="3" t="inlineStr">
        <is>
          <t>—</t>
        </is>
      </c>
      <c r="U495" s="3" t="inlineStr">
        <is>
          <t>ACTIVE</t>
        </is>
      </c>
      <c r="V495" s="3" t="inlineStr">
        <is>
          <t>2026-08-27</t>
        </is>
      </c>
      <c r="W495" s="3" t="n"/>
      <c r="X495" s="3" t="n"/>
      <c r="Y495" s="3" t="inlineStr">
        <is>
          <t>NOTHING OPEN</t>
        </is>
      </c>
    </row>
    <row r="496" ht="60" customHeight="1">
      <c r="A496" s="3" t="inlineStr">
        <is>
          <t>MK-ST-F-010</t>
        </is>
      </c>
      <c r="B496" s="3" t="inlineStr">
        <is>
          <t>nameEvidence</t>
        </is>
      </c>
      <c r="C496" s="3" t="inlineStr">
        <is>
          <t>Calculation Module code/engines/holding-class.ts</t>
        </is>
      </c>
      <c r="D496" s="3" t="n">
        <v>91</v>
      </c>
      <c r="E496" s="3" t="inlineStr">
        <is>
          <t>3 · DEPENDENT</t>
        </is>
      </c>
      <c r="F496" s="3" t="inlineStr">
        <is>
          <t>What the NAME (symbol + description together) says, or null when it says nothing.</t>
        </is>
      </c>
      <c r="G496" s="11" t="inlineStr">
        <is>
          <t>t = string(label ?? '').trim()
nothing   when t is missing
words = for each of split( ÷ [\s·—-]+ ÷ ): to upper case()
'stocks_etf'   when MONEY_MARKET_RE.test(t) (or words.some((w) =&gt; MONEY_MARKET_TICKERS.has(w)) when missing or zero)
'cash'   when SWEEP_RE.test(t)
'bonds'   when words.some((w) =&gt; TBILL_ETF_TICKERS.has(w))
'alternatives'   when OCC_OPTION.test(replace( ÷ \s+ ÷ g, '').to upper case())
option shape = ÷ \d{4}-\d{2}-\d{2}|\d{1,2}\ ÷ \d{1,2}(\ ÷ \d{2,4})?|\$\s?\d|\b\d+(\.\d+)?\s × (c|p|call|put)s?\b ÷ test(t)
a fund = ÷ \b(etf|fund|trust|covered call)\b ÷ test(t)
'alternatives'   when DATE_STYLE_OPTION.test(t) (or ÷ \b(put|call)s?\b ÷ test(t) and option shape and !a fund when missing or zero)
'stocks_etf'   when ÷ \b(put|call)s?\b ÷ test(t) and a fund
… the first steps only — the rest of the body needs reading by hand.</t>
        </is>
      </c>
      <c r="H496" s="3" t="inlineStr">
        <is>
          <t>T is string(label ?? '').trim(). When t is missing, it answers no answer. Words is for each of split( divided by [\s·—-]+ divided by ): to upper case(). When MONEY_MARKET_RE.test(t) (or words.some((w) =&gt; MONEY_MARKET_TICKERS.has(w)) — when missing or zero), it answers 'stocks_etf'. When SWEEP_RE.test(t), it answers 'cash'. When words.some((w) =&gt; TBILL_ETF_TICKERS.has(w)), it answers 'bonds'. When OCC_OPTION.test(replace( divided by \s+ divided by g, '').to upper case()), it answers 'alternatives'. Option shape is ÷ \d{4}-\d{2}-\d{2}|\d{1,2}\ divided by \d{1,2}(\ divided by \d{2,4})?|\$\s?\d|\b\d+(\.\d+)?\s times (c|p|call|put)s?\b divided by test(t). A fund is ÷ \b(etf|fund|trust|covered call)\b divided by test(t). When DATE_STYLE_OPTION.test(t) (or divided by \b(put|call)s?\b divided by test(t) and option shape and !a fund — when missing or zero), it answers 'alternatives'. When ÷ \b(put|call)s?\b divided by test(t) and a fund, it answers 'stocks_etf'. Only the first steps are shown; the rest of the body needs reading by hand.</t>
        </is>
      </c>
      <c r="I496" s="3" t="inlineStr">
        <is>
          <t>PARTLY READ — some of the code is still showing through; needs a hand pass</t>
        </is>
      </c>
      <c r="J496" s="3" t="inlineStr">
        <is>
          <t>label?: string | null</t>
        </is>
      </c>
      <c r="K496" s="3" t="inlineStr">
        <is>
          <t>HoldingClass | null</t>
        </is>
      </c>
      <c r="L496" s="3" t="inlineStr">
        <is>
          <t>—</t>
        </is>
      </c>
      <c r="M496" s="3" t="inlineStr">
        <is>
          <t>None found in this function — anything it assumes comes from the functions it depends on.</t>
        </is>
      </c>
      <c r="N496" s="3" t="inlineStr">
        <is>
          <t>Yes</t>
        </is>
      </c>
      <c r="O496" s="3" t="inlineStr">
        <is>
          <t>1. MK-XS-F-147 call
2. MK-ST-F-056 has
3. MK-CF-F-132 map</t>
        </is>
      </c>
      <c r="P496" s="3" t="n">
        <v>6</v>
      </c>
      <c r="Q496" s="3" t="inlineStr">
        <is>
          <t>1. MK-XS-F-147 call
2. MK-ST-F-056 has
3. MK-CF-F-132 map
4. MK-ST-F-027 accountId
5. MK-XS-F-064 currentIdToken
6. MK-XS-F-112 relayUrl</t>
        </is>
      </c>
      <c r="R496" s="3" t="inlineStr">
        <is>
          <t>1. MK-ST-F-027 accountId → MK-XS-F-147 call → MK-ST-F-010 nameEvidence
2. MK-XS-F-064 currentIdToken → MK-XS-F-147 call → MK-ST-F-010 nameEvidence
3. MK-XS-F-112 relayUrl → MK-XS-F-147 call → MK-ST-F-010 nameEvidence
4. MK-ST-F-056 has → MK-ST-F-010 nameEvidence
5. MK-CF-F-132 map → MK-ST-F-010 nameEvidence</t>
        </is>
      </c>
      <c r="S496" s="3" t="inlineStr">
        <is>
          <t>—</t>
        </is>
      </c>
      <c r="T496" s="3" t="inlineStr">
        <is>
          <t>—</t>
        </is>
      </c>
      <c r="U496" s="3" t="inlineStr">
        <is>
          <t>ACTIVE</t>
        </is>
      </c>
      <c r="V496" s="3" t="inlineStr">
        <is>
          <t>2026-10-07</t>
        </is>
      </c>
      <c r="W496" s="3" t="n"/>
      <c r="X496" s="3" t="n"/>
      <c r="Y496" s="3" t="inlineStr">
        <is>
          <t>NOTHING OPEN</t>
        </is>
      </c>
    </row>
    <row r="497" ht="60" customHeight="1">
      <c r="A497" s="3" t="inlineStr">
        <is>
          <t>MK-ST-F-011</t>
        </is>
      </c>
      <c r="B497" s="3" t="inlineStr">
        <is>
          <t>classifyHoldingClass</t>
        </is>
      </c>
      <c r="C497" s="3" t="inlineStr">
        <is>
          <t>Calculation Module code/engines/holding-class.ts</t>
        </is>
      </c>
      <c r="D497" s="3" t="n">
        <v>207</v>
      </c>
      <c r="E497" s="3" t="inlineStr">
        <is>
          <t>3 · DEPENDENT</t>
        </is>
      </c>
      <c r="F497" s="3" t="inlineStr">
        <is>
          <t>NOT DETERMINED — the code carries no note saying what this is for, and it has no row in the old inventory. Needs reading.</t>
        </is>
      </c>
      <c r="G497" s="11"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date and string(maturity date).trim()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497"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date and string(maturity date).trim(),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497" s="3" t="inlineStr">
        <is>
          <t>PARTLY READ — some of the code is still showing through; needs a hand pass</t>
        </is>
      </c>
      <c r="J497" s="3" t="inlineStr">
        <is>
          <t>e: ClassEvidence</t>
        </is>
      </c>
      <c r="K497" s="3" t="inlineStr">
        <is>
          <t>ClassVerdict</t>
        </is>
      </c>
      <c r="L497" s="3" t="inlineStr">
        <is>
          <t>—</t>
        </is>
      </c>
      <c r="M497" s="3" t="inlineStr">
        <is>
          <t>None found in this function — anything it assumes comes from the functions it depends on.</t>
        </is>
      </c>
      <c r="N497" s="3" t="inlineStr">
        <is>
          <t>Yes</t>
        </is>
      </c>
      <c r="O497" s="3" t="inlineStr">
        <is>
          <t>MK-ST-F-010 nameEvidence</t>
        </is>
      </c>
      <c r="P497" s="3" t="n">
        <v>7</v>
      </c>
      <c r="Q497" s="3" t="inlineStr">
        <is>
          <t>1. MK-ST-F-010 nameEvidence
2. MK-XS-F-147 call
3. MK-ST-F-056 has
4. MK-CF-F-132 map
5. MK-ST-F-027 accountId
6. MK-XS-F-064 currentIdToken
7. MK-XS-F-112 relayUrl</t>
        </is>
      </c>
      <c r="R497" s="3" t="inlineStr">
        <is>
          <t>1. MK-ST-F-027 accountId → MK-XS-F-147 call → MK-ST-F-010 nameEvidence → MK-ST-F-011 classifyHoldingClass
2. MK-XS-F-064 currentIdToken → MK-XS-F-147 call → MK-ST-F-010 nameEvidence → MK-ST-F-011 classifyHoldingClass
3. MK-XS-F-112 relayUrl → MK-XS-F-147 call → MK-ST-F-010 nameEvidence → MK-ST-F-011 classifyHoldingClass
4. MK-ST-F-056 has → MK-ST-F-010 nameEvidence → MK-ST-F-011 classifyHoldingClass
5. MK-CF-F-132 map → MK-ST-F-010 nameEvidence → MK-ST-F-011 classifyHoldingClass</t>
        </is>
      </c>
      <c r="S497" s="3" t="inlineStr">
        <is>
          <t>—</t>
        </is>
      </c>
      <c r="T497" s="3" t="inlineStr">
        <is>
          <t>—</t>
        </is>
      </c>
      <c r="U497" s="3" t="inlineStr">
        <is>
          <t>ACTIVE</t>
        </is>
      </c>
      <c r="V497" s="3" t="inlineStr">
        <is>
          <t>2026-08-27</t>
        </is>
      </c>
      <c r="W497" s="3" t="n"/>
      <c r="X497" s="3" t="n"/>
      <c r="Y497" s="3" t="inlineStr">
        <is>
          <t>NOTHING OPEN</t>
        </is>
      </c>
    </row>
    <row r="498" ht="60" customHeight="1">
      <c r="A498" s="3" t="inlineStr">
        <is>
          <t>MK-ST-F-012</t>
        </is>
      </c>
      <c r="B498" s="3" t="inlineStr">
        <is>
          <t>toLedgerRow</t>
        </is>
      </c>
      <c r="C498" s="3" t="inlineStr">
        <is>
          <t>Calculation Module code/engines/ledger.ts</t>
        </is>
      </c>
      <c r="D498" s="3" t="n">
        <v>131</v>
      </c>
      <c r="E498" s="3" t="inlineStr">
        <is>
          <t>3 · DEPENDENT (feeds an action only)</t>
        </is>
      </c>
      <c r="F498" s="3" t="inlineStr">
        <is>
          <t>Read one institution row into one ledger row.</t>
        </is>
      </c>
      <c r="G498" s="11" t="inlineStr">
        <is>
          <t>c = classify event(raw.word)
money = read money(raw.amount, convention, rule.direction)
units = number or undefined(raw.units)
legacy = TO_LEGACY[event]
is trade = legacy = 'BUY' (or legacy = 'SELL' when missing or zero)</t>
        </is>
      </c>
      <c r="H498" s="3" t="inlineStr">
        <is>
          <t>C is classify event(raw.word). Money is read money(raw.amount, convention, rule.direction). Units is number or undefined(raw.units). Legacy is TO_LEGACY[event]. Is trade is legacy = 'BUY' (or legacy = 'SELL' — when missing or zero).</t>
        </is>
      </c>
      <c r="I498" s="3" t="inlineStr">
        <is>
          <t>PARTLY READ — some of the code is still showing through; needs a hand pass</t>
        </is>
      </c>
      <c r="J498" s="3" t="inlineStr">
        <is>
          <t>1. raw: RawActivity
2. convention: SignConvention</t>
        </is>
      </c>
      <c r="K498" s="3" t="inlineStr">
        <is>
          <t>LedgerRow</t>
        </is>
      </c>
      <c r="L498" s="3" t="inlineStr">
        <is>
          <t>—</t>
        </is>
      </c>
      <c r="M498" s="3" t="inlineStr">
        <is>
          <t>None found in this function — anything it assumes comes from the functions it depends on.</t>
        </is>
      </c>
      <c r="N498" s="3" t="inlineStr">
        <is>
          <t>No</t>
        </is>
      </c>
      <c r="O498" s="3" t="inlineStr">
        <is>
          <t>1. MK-ST-F-007 classifyEvent
2. MK-ST-F-053 money
3. MK-ST-F-058 numberOrUndefined
4. MK-ST-F-018 readMoney
5. MK-ST-F-019 signed
6. MK-ST-F-021 toNumber</t>
        </is>
      </c>
      <c r="P498" s="3" t="n">
        <v>11</v>
      </c>
      <c r="Q498" s="3" t="inlineStr">
        <is>
          <t>1. MK-ST-F-007 classifyEvent
2. MK-ST-F-053 money
3. MK-ST-F-058 numberOrUndefined
4. MK-ST-F-018 readMoney
5. MK-ST-F-019 signed
6. MK-ST-F-021 toNumber
7. MK-ST-F-049 formatMoney
8. MK-XS-F-122 n
9. MK-ST-F-048 currencySymbol
10. MK-ST-F-039 on
11. MK-ST-F-047 activeCurrency</t>
        </is>
      </c>
      <c r="R498" s="3" t="inlineStr">
        <is>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is>
      </c>
      <c r="S498" s="3" t="inlineStr">
        <is>
          <t>—</t>
        </is>
      </c>
      <c r="T498" s="3" t="inlineStr">
        <is>
          <t>—</t>
        </is>
      </c>
      <c r="U498" s="3" t="inlineStr">
        <is>
          <t>ACTIVE</t>
        </is>
      </c>
      <c r="V498" s="3" t="inlineStr">
        <is>
          <t>2026-08-27</t>
        </is>
      </c>
      <c r="W498" s="3" t="n"/>
      <c r="X498" s="3" t="n"/>
      <c r="Y498" s="3" t="inlineStr">
        <is>
          <t>NOTHING OPEN</t>
        </is>
      </c>
    </row>
    <row r="499" ht="60" customHeight="1">
      <c r="A499" s="3" t="inlineStr">
        <is>
          <t>MK-ST-F-013</t>
        </is>
      </c>
      <c r="B499" s="3" t="inlineStr">
        <is>
          <t>personalFlowTotals</t>
        </is>
      </c>
      <c r="C499" s="3" t="inlineStr">
        <is>
          <t>Calculation Module code/engines/ledger.ts</t>
        </is>
      </c>
      <c r="D499" s="3" t="n">
        <v>227</v>
      </c>
      <c r="E499" s="3" t="inlineStr">
        <is>
          <t>2 · DISPLAYED</t>
        </is>
      </c>
      <c r="F499" s="3" t="inlineStr">
        <is>
          <t>NOT DETERMINED — the code carries no note saying what this is for, and it has no row in the old inventory. Needs reading.</t>
        </is>
      </c>
      <c r="G499" s="11" t="inlineStr">
        <is>
          <t>bucket = STORED_TYPE_BUCKET[string(type ?? '')] (or 'none' when missing)
d = dec.parse(amount)
the answer = t</t>
        </is>
      </c>
      <c r="H499" s="3" t="inlineStr">
        <is>
          <t>Bucket is STORED_TYPE_BUCKET[string(type ?? '')] (or 'none' — when missing). D is dec.parse(amount). The answer is t.</t>
        </is>
      </c>
      <c r="I499" s="3" t="inlineStr">
        <is>
          <t>PARTLY READ — some of the code is still showing through; needs a hand pass</t>
        </is>
      </c>
      <c r="J499" s="3" t="inlineStr">
        <is>
          <t>rows: StoredFlowRow[]</t>
        </is>
      </c>
      <c r="K499" s="3" t="inlineStr">
        <is>
          <t>PersonalFlowTotals</t>
        </is>
      </c>
      <c r="L499" s="3" t="inlineStr">
        <is>
          <t>NOT FOUND — a screen calls it, but the words printed beside its answer could not be traced automatically. Needs reading.</t>
        </is>
      </c>
      <c r="M499" s="3" t="inlineStr">
        <is>
          <t>None found in this function — anything it assumes comes from the functions it depends on.</t>
        </is>
      </c>
      <c r="N499" s="3" t="inlineStr">
        <is>
          <t>Yes</t>
        </is>
      </c>
      <c r="O499" s="3" t="inlineStr">
        <is>
          <t>—</t>
        </is>
      </c>
      <c r="P499" s="3" t="n">
        <v>0</v>
      </c>
      <c r="Q499" s="3" t="inlineStr">
        <is>
          <t>None — no dependent function stands behind it</t>
        </is>
      </c>
      <c r="R499" s="3" t="inlineStr">
        <is>
          <t>No dependent function — it reads its inputs and answers</t>
        </is>
      </c>
      <c r="S499" s="3" t="inlineStr">
        <is>
          <t>—</t>
        </is>
      </c>
      <c r="T499" s="3" t="inlineStr">
        <is>
          <t>—</t>
        </is>
      </c>
      <c r="U499" s="3" t="inlineStr">
        <is>
          <t>ACTIVE</t>
        </is>
      </c>
      <c r="V499" s="3" t="inlineStr">
        <is>
          <t>2026-08-27</t>
        </is>
      </c>
      <c r="W499" s="3" t="n"/>
      <c r="X499" s="3" t="n"/>
      <c r="Y499" s="3" t="inlineStr">
        <is>
          <t>NOTHING OPEN</t>
        </is>
      </c>
    </row>
    <row r="500" ht="60" customHeight="1">
      <c r="A500" s="3" t="inlineStr">
        <is>
          <t>MK-ST-F-014</t>
        </is>
      </c>
      <c r="B500" s="3" t="inlineStr">
        <is>
          <t>importKey</t>
        </is>
      </c>
      <c r="C500" s="3" t="inlineStr">
        <is>
          <t>Calculation Module code/engines/ledger.ts</t>
        </is>
      </c>
      <c r="D500" s="3" t="n">
        <v>279</v>
      </c>
      <c r="E500" s="3" t="inlineStr">
        <is>
          <t>3 · DEPENDENT (feeds an action only)</t>
        </is>
      </c>
      <c r="F500" s="3" t="inlineStr">
        <is>
          <t>NOT DETERMINED — the code carries no note saying what this is for, and it has no row in the old inventory. Needs reading.</t>
        </is>
      </c>
      <c r="G500" s="11" t="inlineStr">
        <is>
          <t>the answer = account | date | WORD | amount | units | security | ref | description, joined with '|' (missing parts empty)</t>
        </is>
      </c>
      <c r="H500"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500" s="3" t="inlineStr">
        <is>
          <t>READ BY HAND 2026-08-26 — checked line by line against the code</t>
        </is>
      </c>
      <c r="J500" s="3" t="inlineStr">
        <is>
          <t>id: ImportIdentity</t>
        </is>
      </c>
      <c r="K500" s="3" t="inlineStr">
        <is>
          <t>string</t>
        </is>
      </c>
      <c r="L500" s="3" t="inlineStr">
        <is>
          <t>—</t>
        </is>
      </c>
      <c r="M500" s="3" t="inlineStr">
        <is>
          <t>None found in this function — anything it assumes comes from the functions it depends on.</t>
        </is>
      </c>
      <c r="N500" s="3" t="inlineStr">
        <is>
          <t>No</t>
        </is>
      </c>
      <c r="O500" s="3" t="inlineStr">
        <is>
          <t>—</t>
        </is>
      </c>
      <c r="P500" s="3" t="n">
        <v>0</v>
      </c>
      <c r="Q500" s="3" t="inlineStr">
        <is>
          <t>None — no dependent function stands behind it</t>
        </is>
      </c>
      <c r="R500" s="3" t="inlineStr">
        <is>
          <t>No dependent function — it reads its inputs and answers</t>
        </is>
      </c>
      <c r="S500" s="3" t="inlineStr">
        <is>
          <t>—</t>
        </is>
      </c>
      <c r="T500" s="3" t="inlineStr">
        <is>
          <t>—</t>
        </is>
      </c>
      <c r="U500" s="3" t="inlineStr">
        <is>
          <t>ACTIVE</t>
        </is>
      </c>
      <c r="V500" s="3" t="inlineStr">
        <is>
          <t>2026-09-12</t>
        </is>
      </c>
      <c r="W500" s="3" t="n"/>
      <c r="X500" s="3" t="n"/>
      <c r="Y500" s="3" t="inlineStr">
        <is>
          <t>NOTHING OPEN</t>
        </is>
      </c>
    </row>
    <row r="501" ht="60" customHeight="1">
      <c r="A501" s="3" t="inlineStr">
        <is>
          <t>MK-ST-F-015</t>
        </is>
      </c>
      <c r="B501" s="3" t="inlineStr">
        <is>
          <t>rowsFor</t>
        </is>
      </c>
      <c r="C501" s="3" t="inlineStr">
        <is>
          <t>Calculation Module code/engines/ledger.ts</t>
        </is>
      </c>
      <c r="D501" s="3" t="n">
        <v>310</v>
      </c>
      <c r="E501" s="3" t="inlineStr">
        <is>
          <t>3 · DEPENDENT (feeds an action only)</t>
        </is>
      </c>
      <c r="F501" s="3" t="inlineStr">
        <is>
          <t>NOT DETERMINED — the code carries no note saying what this is for, and it has no row in the old inventory. Needs reading.</t>
        </is>
      </c>
      <c r="G501" s="11" t="inlineStr">
        <is>
          <t>rows where EVENTS[event].totals.includes(total)</t>
        </is>
      </c>
      <c r="H501" s="3" t="inlineStr">
        <is>
          <t>rows where EVENTS[event].totals.includes(total).</t>
        </is>
      </c>
      <c r="I501" s="3" t="inlineStr">
        <is>
          <t>PARTLY READ — some of the code is still showing through; needs a hand pass</t>
        </is>
      </c>
      <c r="J501" s="3" t="inlineStr">
        <is>
          <t>Nothing is handed to it</t>
        </is>
      </c>
      <c r="K501" s="3" t="inlineStr">
        <is>
          <t>NOT DECLARED — the code does not say what it gives back</t>
        </is>
      </c>
      <c r="L501" s="3" t="inlineStr">
        <is>
          <t>—</t>
        </is>
      </c>
      <c r="M501" s="3" t="inlineStr">
        <is>
          <t>None found in this function — anything it assumes comes from the functions it depends on.</t>
        </is>
      </c>
      <c r="N501" s="3" t="inlineStr">
        <is>
          <t>No</t>
        </is>
      </c>
      <c r="O501" s="3" t="inlineStr">
        <is>
          <t>—</t>
        </is>
      </c>
      <c r="P501" s="3" t="n">
        <v>0</v>
      </c>
      <c r="Q501" s="3" t="inlineStr">
        <is>
          <t>None — no dependent function stands behind it</t>
        </is>
      </c>
      <c r="R501" s="3" t="inlineStr">
        <is>
          <t>No dependent function — it reads its inputs and answers</t>
        </is>
      </c>
      <c r="S501" s="3" t="inlineStr">
        <is>
          <t>—</t>
        </is>
      </c>
      <c r="T501" s="3" t="inlineStr">
        <is>
          <t>—</t>
        </is>
      </c>
      <c r="U501" s="3" t="inlineStr">
        <is>
          <t>ACTIVE</t>
        </is>
      </c>
      <c r="V501" s="3" t="inlineStr">
        <is>
          <t>2026-08-27</t>
        </is>
      </c>
      <c r="W501" s="3" t="n"/>
      <c r="X501" s="3" t="n"/>
      <c r="Y501" s="3" t="inlineStr">
        <is>
          <t>NOTHING OPEN</t>
        </is>
      </c>
    </row>
    <row r="502" ht="45" customHeight="1">
      <c r="A502" s="3" t="inlineStr">
        <is>
          <t>MK-ST-F-016</t>
        </is>
      </c>
      <c r="B502" s="3" t="inlineStr">
        <is>
          <t>totalOf</t>
        </is>
      </c>
      <c r="C502" s="3" t="inlineStr">
        <is>
          <t>Calculation Module code/engines/ledger.ts</t>
        </is>
      </c>
      <c r="D502" s="3" t="n">
        <v>334</v>
      </c>
      <c r="E502" s="3" t="inlineStr">
        <is>
          <t>3 · DEPENDENT (feeds an action only)</t>
        </is>
      </c>
      <c r="F502" s="3" t="inlineStr">
        <is>
          <t>A total, summed SIGNED and EXACT — a reversal reduces its total instead of inflating it.</t>
        </is>
      </c>
      <c r="G502" s="11" t="inlineStr">
        <is>
          <t>dec.sum(rows for(rows, total).map((r) =&gt; signed amount))</t>
        </is>
      </c>
      <c r="H502" s="3" t="inlineStr">
        <is>
          <t>dec.sum(rows for(rows, total).map((r) =&gt; signed amount)).</t>
        </is>
      </c>
      <c r="I502" s="3" t="inlineStr">
        <is>
          <t>PARTLY READ — some of the code is still showing through; needs a hand pass</t>
        </is>
      </c>
      <c r="J502" s="3" t="inlineStr">
        <is>
          <t>1. rows: LedgerRow[]
2. total: 'contributions' | 'withdrawals' | 'income' | 'costs'</t>
        </is>
      </c>
      <c r="K502" s="3" t="inlineStr">
        <is>
          <t>Dec</t>
        </is>
      </c>
      <c r="L502" s="3" t="inlineStr">
        <is>
          <t>—</t>
        </is>
      </c>
      <c r="M502" s="3" t="inlineStr">
        <is>
          <t>None found in this function — anything it assumes comes from the functions it depends on.</t>
        </is>
      </c>
      <c r="N502" s="3" t="inlineStr">
        <is>
          <t>No</t>
        </is>
      </c>
      <c r="O502" s="3" t="inlineStr">
        <is>
          <t>1. MK-CF-F-132 map
2. MK-ST-F-015 rowsFor</t>
        </is>
      </c>
      <c r="P502" s="3" t="n">
        <v>2</v>
      </c>
      <c r="Q502" s="3" t="inlineStr">
        <is>
          <t>1. MK-CF-F-132 map
2. MK-ST-F-015 rowsFor</t>
        </is>
      </c>
      <c r="R502" s="3" t="inlineStr">
        <is>
          <t>1. MK-CF-F-132 map → MK-ST-F-016 totalOf
2. MK-ST-F-015 rowsFor → MK-ST-F-016 totalOf</t>
        </is>
      </c>
      <c r="S502" s="3" t="inlineStr">
        <is>
          <t>—</t>
        </is>
      </c>
      <c r="T502" s="3" t="inlineStr">
        <is>
          <t>—</t>
        </is>
      </c>
      <c r="U502" s="3" t="inlineStr">
        <is>
          <t>ACTIVE</t>
        </is>
      </c>
      <c r="V502" s="3" t="inlineStr">
        <is>
          <t>2026-08-27</t>
        </is>
      </c>
      <c r="W502" s="3" t="n"/>
      <c r="X502" s="3" t="n"/>
      <c r="Y502" s="3" t="inlineStr">
        <is>
          <t>NOTHING OPEN</t>
        </is>
      </c>
    </row>
    <row r="503" ht="45" customHeight="1">
      <c r="A503" s="3" t="inlineStr">
        <is>
          <t>MK-ST-F-017</t>
        </is>
      </c>
      <c r="B503" s="3" t="inlineStr">
        <is>
          <t>unclassified</t>
        </is>
      </c>
      <c r="C503" s="3" t="inlineStr">
        <is>
          <t>Calculation Module code/engines/ledger.ts</t>
        </is>
      </c>
      <c r="D503" s="3" t="n">
        <v>354</v>
      </c>
      <c r="E503" s="3" t="inlineStr">
        <is>
          <t>3 · DEPENDENT (feeds an action only)</t>
        </is>
      </c>
      <c r="F503" s="3" t="inlineStr">
        <is>
          <t>Everything we could not name, for the honest line on screen: "12 entries we could not classify".</t>
        </is>
      </c>
      <c r="G503" s="11" t="inlineStr">
        <is>
          <t>rows where recognised is missing</t>
        </is>
      </c>
      <c r="H503" s="3" t="inlineStr">
        <is>
          <t>rows where recognised is missing.</t>
        </is>
      </c>
      <c r="I503" s="3" t="inlineStr">
        <is>
          <t>READ FROM THE CODE — rendered from the expressions the function runs</t>
        </is>
      </c>
      <c r="J503" s="3" t="inlineStr">
        <is>
          <t>rows: LedgerRow[]</t>
        </is>
      </c>
      <c r="K503" s="3" t="inlineStr">
        <is>
          <t>LedgerRow[]</t>
        </is>
      </c>
      <c r="L503" s="3" t="inlineStr">
        <is>
          <t>—</t>
        </is>
      </c>
      <c r="M503" s="3" t="inlineStr">
        <is>
          <t>None found in this function — anything it assumes comes from the functions it depends on.</t>
        </is>
      </c>
      <c r="N503" s="3" t="inlineStr">
        <is>
          <t>No</t>
        </is>
      </c>
      <c r="O503" s="3" t="inlineStr">
        <is>
          <t>—</t>
        </is>
      </c>
      <c r="P503" s="3" t="n">
        <v>0</v>
      </c>
      <c r="Q503" s="3" t="inlineStr">
        <is>
          <t>None — no dependent function stands behind it</t>
        </is>
      </c>
      <c r="R503" s="3" t="inlineStr">
        <is>
          <t>No dependent function — it reads its inputs and answers</t>
        </is>
      </c>
      <c r="S503" s="3" t="inlineStr">
        <is>
          <t>—</t>
        </is>
      </c>
      <c r="T503" s="3" t="inlineStr">
        <is>
          <t>—</t>
        </is>
      </c>
      <c r="U503" s="3" t="inlineStr">
        <is>
          <t>ACTIVE</t>
        </is>
      </c>
      <c r="V503" s="3" t="inlineStr">
        <is>
          <t>2026-08-27</t>
        </is>
      </c>
      <c r="W503" s="3" t="n"/>
      <c r="X503" s="3" t="n"/>
      <c r="Y503" s="3" t="inlineStr">
        <is>
          <t>NOTHING OPEN</t>
        </is>
      </c>
    </row>
    <row r="504" ht="60" customHeight="1">
      <c r="A504" s="3" t="inlineStr">
        <is>
          <t>MK-ST-F-018</t>
        </is>
      </c>
      <c r="B504" s="3" t="inlineStr">
        <is>
          <t>readMoney</t>
        </is>
      </c>
      <c r="C504" s="3" t="inlineStr">
        <is>
          <t>Calculation Module code/engines/money.ts</t>
        </is>
      </c>
      <c r="D504" s="3" t="n">
        <v>65</v>
      </c>
      <c r="E504" s="3" t="inlineStr">
        <is>
          <t>3 · DEPENDENT (feeds an action only)</t>
        </is>
      </c>
      <c r="F504" s="3" t="inlineStr">
        <is>
          <t>Read a raw amount into a Money, given how that source signs things.</t>
        </is>
      </c>
      <c r="G504" s="11"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504"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504" s="3" t="inlineStr">
        <is>
          <t>PARTLY READ — some of the code is still showing through; needs a hand pass</t>
        </is>
      </c>
      <c r="J504" s="3" t="inlineStr">
        <is>
          <t>Nothing is handed to it</t>
        </is>
      </c>
      <c r="K504" s="3" t="inlineStr">
        <is>
          <t>NOT DECLARED — the code does not say what it gives back</t>
        </is>
      </c>
      <c r="L504" s="3" t="inlineStr">
        <is>
          <t>—</t>
        </is>
      </c>
      <c r="M504" s="3" t="inlineStr">
        <is>
          <t>None found in this function — anything it assumes comes from the functions it depends on.</t>
        </is>
      </c>
      <c r="N504" s="3" t="inlineStr">
        <is>
          <t>No</t>
        </is>
      </c>
      <c r="O504" s="3" t="inlineStr">
        <is>
          <t>—</t>
        </is>
      </c>
      <c r="P504" s="3" t="n">
        <v>0</v>
      </c>
      <c r="Q504" s="3" t="inlineStr">
        <is>
          <t>None — no dependent function stands behind it</t>
        </is>
      </c>
      <c r="R504" s="3" t="inlineStr">
        <is>
          <t>No dependent function — it reads its inputs and answers</t>
        </is>
      </c>
      <c r="S504" s="3" t="inlineStr">
        <is>
          <t>—</t>
        </is>
      </c>
      <c r="T504" s="3" t="inlineStr">
        <is>
          <t>—</t>
        </is>
      </c>
      <c r="U504" s="3" t="inlineStr">
        <is>
          <t>ACTIVE</t>
        </is>
      </c>
      <c r="V504" s="3" t="inlineStr">
        <is>
          <t>2026-08-27</t>
        </is>
      </c>
      <c r="W504" s="3" t="n"/>
      <c r="X504" s="3" t="n"/>
      <c r="Y504" s="3" t="inlineStr">
        <is>
          <t>NOTHING OPEN</t>
        </is>
      </c>
    </row>
    <row r="505" ht="60" customHeight="1">
      <c r="A505" s="3" t="inlineStr">
        <is>
          <t>MK-ST-F-019</t>
        </is>
      </c>
      <c r="B505" s="3" t="inlineStr">
        <is>
          <t>signed</t>
        </is>
      </c>
      <c r="C505" s="3" t="inlineStr">
        <is>
          <t>Calculation Module code/engines/money.ts</t>
        </is>
      </c>
      <c r="D505" s="3" t="n">
        <v>108</v>
      </c>
      <c r="E505" s="3" t="inlineStr">
        <is>
          <t>2 · DISPLAYED</t>
        </is>
      </c>
      <c r="F505" s="3" t="inlineStr">
        <is>
          <t>The signed value, for arithmetic.</t>
        </is>
      </c>
      <c r="G505" s="11" t="inlineStr">
        <is>
          <t>amount.neg()   if direction = 'OUT'
amount   if direction = 'IN'
dec.ZERO   otherwise   otherwise</t>
        </is>
      </c>
      <c r="H505" s="3" t="inlineStr">
        <is>
          <t>amount.neg() — when direction = 'OUT'; amount — when direction = 'IN'; dec.ZERO — otherwise — otherwise.</t>
        </is>
      </c>
      <c r="I505" s="3" t="inlineStr">
        <is>
          <t>PARTLY READ — some of the code is still showing through; needs a hand pass</t>
        </is>
      </c>
      <c r="J505" s="3" t="inlineStr">
        <is>
          <t>m: Money</t>
        </is>
      </c>
      <c r="K505" s="3" t="inlineStr">
        <is>
          <t>Dec</t>
        </is>
      </c>
      <c r="L505" s="3" t="inlineStr">
        <is>
          <t>1. "ACTUAL
2. SO FAR" — on the Cash flow screen, under "ACTUAL
3. SO FAR"
4. "Surplus after your budget" — on the Cash flow screen, under "PLANNED
5. $"</t>
        </is>
      </c>
      <c r="M505" s="3" t="inlineStr">
        <is>
          <t>None found in this function — anything it assumes comes from the functions it depends on.</t>
        </is>
      </c>
      <c r="N505" s="3" t="inlineStr">
        <is>
          <t>Yes</t>
        </is>
      </c>
      <c r="O505" s="3" t="inlineStr">
        <is>
          <t>—</t>
        </is>
      </c>
      <c r="P505" s="3" t="n">
        <v>0</v>
      </c>
      <c r="Q505" s="3" t="inlineStr">
        <is>
          <t>None — no dependent function stands behind it</t>
        </is>
      </c>
      <c r="R505" s="3" t="inlineStr">
        <is>
          <t>No dependent function — it reads its inputs and answers</t>
        </is>
      </c>
      <c r="S505" s="3" t="inlineStr">
        <is>
          <t>—</t>
        </is>
      </c>
      <c r="T505" s="3" t="inlineStr">
        <is>
          <t>—</t>
        </is>
      </c>
      <c r="U505" s="3" t="inlineStr">
        <is>
          <t>ACTIVE</t>
        </is>
      </c>
      <c r="V505" s="3" t="inlineStr">
        <is>
          <t>2026-10-03</t>
        </is>
      </c>
      <c r="W505" s="3" t="n"/>
      <c r="X505" s="3" t="n"/>
      <c r="Y505" s="3" t="inlineStr">
        <is>
          <t>NOTHING OPEN</t>
        </is>
      </c>
    </row>
    <row r="506" ht="60" customHeight="1">
      <c r="A506" s="3" t="inlineStr">
        <is>
          <t>MK-ST-F-020</t>
        </is>
      </c>
      <c r="B506" s="3" t="inlineStr">
        <is>
          <t>sumSigned</t>
        </is>
      </c>
      <c r="C506" s="3" t="inlineStr">
        <is>
          <t>Calculation Module code/engines/money.ts</t>
        </is>
      </c>
      <c r="D506" s="3" t="n">
        <v>129</v>
      </c>
      <c r="E506" s="3" t="inlineStr">
        <is>
          <t>3 · DEPENDENT (feeds an action only)</t>
        </is>
      </c>
      <c r="F506" s="3" t="inlineStr">
        <is>
          <t>Add money SIGNED and EXACTLY — a credit and its reversal cancel to true zero, so a reconciliation can assert equality rather than a tolerance.</t>
        </is>
      </c>
      <c r="G506" s="11" t="inlineStr">
        <is>
          <t>dec.sum(items.map(signed))</t>
        </is>
      </c>
      <c r="H506" s="3" t="inlineStr">
        <is>
          <t>dec.sum(items.map(signed)).</t>
        </is>
      </c>
      <c r="I506" s="3" t="inlineStr">
        <is>
          <t>PARTLY READ — some of the code is still showing through; needs a hand pass</t>
        </is>
      </c>
      <c r="J506" s="3" t="inlineStr">
        <is>
          <t>items: Money[]</t>
        </is>
      </c>
      <c r="K506" s="3" t="inlineStr">
        <is>
          <t>Dec</t>
        </is>
      </c>
      <c r="L506" s="3" t="inlineStr">
        <is>
          <t>—</t>
        </is>
      </c>
      <c r="M506" s="3" t="inlineStr">
        <is>
          <t>None found in this function — anything it assumes comes from the functions it depends on.</t>
        </is>
      </c>
      <c r="N506" s="3" t="inlineStr">
        <is>
          <t>No</t>
        </is>
      </c>
      <c r="O506" s="3" t="inlineStr">
        <is>
          <t>1. MK-CF-F-132 map
2. MK-ST-F-019 signed</t>
        </is>
      </c>
      <c r="P506" s="3" t="n">
        <v>2</v>
      </c>
      <c r="Q506" s="3" t="inlineStr">
        <is>
          <t>1. MK-CF-F-132 map
2. MK-ST-F-019 signed</t>
        </is>
      </c>
      <c r="R506" s="3" t="inlineStr">
        <is>
          <t>1. MK-CF-F-132 map → MK-ST-F-020 sumSigned
2. MK-ST-F-019 signed → MK-ST-F-020 sumSigned</t>
        </is>
      </c>
      <c r="S506" s="3" t="inlineStr">
        <is>
          <t>—</t>
        </is>
      </c>
      <c r="T506" s="3" t="inlineStr">
        <is>
          <t>—</t>
        </is>
      </c>
      <c r="U506" s="3" t="inlineStr">
        <is>
          <t>ACTIVE</t>
        </is>
      </c>
      <c r="V506" s="3" t="inlineStr">
        <is>
          <t>2026-08-27</t>
        </is>
      </c>
      <c r="W506" s="3" t="n"/>
      <c r="X506" s="3" t="n"/>
      <c r="Y506" s="3" t="inlineStr">
        <is>
          <t>NOTHING OPEN</t>
        </is>
      </c>
    </row>
    <row r="507" ht="60" customHeight="1">
      <c r="A507" s="3" t="inlineStr">
        <is>
          <t>MK-ST-F-021</t>
        </is>
      </c>
      <c r="B507" s="3" t="inlineStr">
        <is>
          <t>toNumber</t>
        </is>
      </c>
      <c r="C507" s="3" t="inlineStr">
        <is>
          <t>Calculation Module code/engines/money.ts</t>
        </is>
      </c>
      <c r="D507" s="3" t="n">
        <v>172</v>
      </c>
      <c r="E507" s="3" t="inlineStr">
        <is>
          <t>2 · DISPLAYED</t>
        </is>
      </c>
      <c r="F507" s="3" t="inlineStr">
        <is>
          <t>Institution files write money as text: "$8,502.00 ", "($0.53)", "--", "1,234.56".</t>
        </is>
      </c>
      <c r="G507" s="11"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507"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507" s="3" t="inlineStr">
        <is>
          <t>PARTLY READ — some of the code is still showing through; needs a hand pass</t>
        </is>
      </c>
      <c r="J507" s="3" t="inlineStr">
        <is>
          <t>raw: number | string | null | undefined</t>
        </is>
      </c>
      <c r="K507" s="3" t="inlineStr">
        <is>
          <t>number | null</t>
        </is>
      </c>
      <c r="L507" s="3" t="inlineStr">
        <is>
          <t>NOT FOUND — a screen calls it, but the words printed beside its answer could not be traced automatically. Needs reading.</t>
        </is>
      </c>
      <c r="M507" s="3" t="inlineStr">
        <is>
          <t>None found in this function — anything it assumes comes from the functions it depends on.</t>
        </is>
      </c>
      <c r="N507" s="3" t="inlineStr">
        <is>
          <t>Yes</t>
        </is>
      </c>
      <c r="O507" s="3" t="inlineStr">
        <is>
          <t>MK-XS-F-122 n</t>
        </is>
      </c>
      <c r="P507" s="3" t="n">
        <v>1</v>
      </c>
      <c r="Q507" s="3" t="inlineStr">
        <is>
          <t>MK-XS-F-122 n</t>
        </is>
      </c>
      <c r="R507" s="3" t="inlineStr">
        <is>
          <t>MK-XS-F-122 n → MK-ST-F-021 toNumber</t>
        </is>
      </c>
      <c r="S507" s="3" t="inlineStr">
        <is>
          <t>—</t>
        </is>
      </c>
      <c r="T507" s="3" t="inlineStr">
        <is>
          <t>—</t>
        </is>
      </c>
      <c r="U507" s="3" t="inlineStr">
        <is>
          <t>ACTIVE</t>
        </is>
      </c>
      <c r="V507" s="3" t="inlineStr">
        <is>
          <t>2026-08-27</t>
        </is>
      </c>
      <c r="W507" s="3" t="n"/>
      <c r="X507" s="3" t="n"/>
      <c r="Y507" s="3" t="inlineStr">
        <is>
          <t>NOTHING OPEN</t>
        </is>
      </c>
    </row>
    <row r="508" ht="60" customHeight="1">
      <c r="A508" s="3" t="inlineStr">
        <is>
          <t>MK-ST-F-022</t>
        </is>
      </c>
      <c r="B508" s="3" t="inlineStr">
        <is>
          <t>reconcileAccountTotal</t>
        </is>
      </c>
      <c r="C508" s="3" t="inlineStr">
        <is>
          <t>Calculation Module code/engines/reconcile.ts</t>
        </is>
      </c>
      <c r="D508" s="3" t="n">
        <v>82</v>
      </c>
      <c r="E508" s="3" t="inlineStr">
        <is>
          <t>3 · DEPENDENT (feeds an action only)</t>
        </is>
      </c>
      <c r="F508" s="3" t="inlineStr">
        <is>
          <t>ASSERTION 1 — holdings + cash = the broker's stated total.</t>
        </is>
      </c>
      <c r="G508" s="11" t="inlineStr">
        <is>
          <t>stated = dec.parse(stated total) (or dec.ZERO when missing)
the answer = verdict(parts, stated, 'what the account holds and the broker\'s own total')</t>
        </is>
      </c>
      <c r="H508" s="3" t="inlineStr">
        <is>
          <t>Stated is dec.parse(stated total) (or dec.ZERO — when missing). The answer is verdict(parts, stated, 'what the account holds and the broker\'s own total').</t>
        </is>
      </c>
      <c r="I508" s="3" t="inlineStr">
        <is>
          <t>PARTLY READ — some of the code is still showing through; needs a hand pass</t>
        </is>
      </c>
      <c r="J508" s="3" t="inlineStr">
        <is>
          <t>Nothing is handed to it</t>
        </is>
      </c>
      <c r="K508" s="3" t="inlineStr">
        <is>
          <t>NOT DECLARED — the code does not say what it gives back</t>
        </is>
      </c>
      <c r="L508" s="3" t="inlineStr">
        <is>
          <t>—</t>
        </is>
      </c>
      <c r="M508" s="3" t="inlineStr">
        <is>
          <t>None found in this function — anything it assumes comes from the functions it depends on.</t>
        </is>
      </c>
      <c r="N508" s="3" t="inlineStr">
        <is>
          <t>No</t>
        </is>
      </c>
      <c r="O508" s="3" t="inlineStr">
        <is>
          <t>1. MK-CF-F-132 map
2. MK-ST-F-060 verdict</t>
        </is>
      </c>
      <c r="P508" s="3" t="n">
        <v>2</v>
      </c>
      <c r="Q508" s="3" t="inlineStr">
        <is>
          <t>1. MK-CF-F-132 map
2. MK-ST-F-060 verdict</t>
        </is>
      </c>
      <c r="R508" s="3" t="inlineStr">
        <is>
          <t>1. MK-CF-F-132 map → MK-ST-F-022 reconcileAccountTotal
2. MK-ST-F-060 verdict → MK-ST-F-022 reconcileAccountTotal</t>
        </is>
      </c>
      <c r="S508" s="3" t="inlineStr">
        <is>
          <t>—</t>
        </is>
      </c>
      <c r="T508" s="3" t="inlineStr">
        <is>
          <t>—</t>
        </is>
      </c>
      <c r="U508" s="3" t="inlineStr">
        <is>
          <t>ACTIVE</t>
        </is>
      </c>
      <c r="V508" s="3" t="inlineStr">
        <is>
          <t>2026-08-27</t>
        </is>
      </c>
      <c r="W508" s="3" t="n"/>
      <c r="X508" s="3" t="n"/>
      <c r="Y508" s="3" t="inlineStr">
        <is>
          <t>NOTHING OPEN</t>
        </is>
      </c>
    </row>
    <row r="509" ht="60" customHeight="1">
      <c r="A509" s="3" t="inlineStr">
        <is>
          <t>MK-ST-F-023</t>
        </is>
      </c>
      <c r="B509" s="3" t="inlineStr">
        <is>
          <t>reconcileLedgerIdentity</t>
        </is>
      </c>
      <c r="C509" s="3" t="inlineStr">
        <is>
          <t>Calculation Module code/engines/reconcile.ts</t>
        </is>
      </c>
      <c r="D509" s="3" t="n">
        <v>110</v>
      </c>
      <c r="E509" s="3" t="inlineStr">
        <is>
          <t>3 · DEPENDENT (feeds an action only)</t>
        </is>
      </c>
      <c r="F509" s="3" t="inlineStr">
        <is>
          <t>ASSERTION 2 — the accounting identity every statement satisfies, exactly.</t>
        </is>
      </c>
      <c r="G509" s="11" t="inlineStr">
        <is>
          <t>d = (v: unknown) =&gt; dec.parse(v) (or dec.ZERO when missing)
the answer = verdict(computed, D(ending), 'the change walk and the ending value')</t>
        </is>
      </c>
      <c r="H509" s="3" t="inlineStr">
        <is>
          <t>D is (v: unknown) =&gt; dec.parse(v) (or dec.ZERO — when missing). The answer is verdict(computed, D(ending), 'the change walk and the ending value').</t>
        </is>
      </c>
      <c r="I509" s="3" t="inlineStr">
        <is>
          <t>PARTLY READ — some of the code is still showing through; needs a hand pass</t>
        </is>
      </c>
      <c r="J509" s="3" t="inlineStr">
        <is>
          <t>Nothing is handed to it</t>
        </is>
      </c>
      <c r="K509" s="3" t="inlineStr">
        <is>
          <t>NOT DECLARED — the code does not say what it gives back</t>
        </is>
      </c>
      <c r="L509" s="3" t="inlineStr">
        <is>
          <t>—</t>
        </is>
      </c>
      <c r="M509" s="3" t="inlineStr">
        <is>
          <t>None found in this function — anything it assumes comes from the functions it depends on.</t>
        </is>
      </c>
      <c r="N509" s="3" t="inlineStr">
        <is>
          <t>No</t>
        </is>
      </c>
      <c r="O509" s="3" t="inlineStr">
        <is>
          <t>MK-ST-F-060 verdict</t>
        </is>
      </c>
      <c r="P509" s="3" t="n">
        <v>1</v>
      </c>
      <c r="Q509" s="3" t="inlineStr">
        <is>
          <t>MK-ST-F-060 verdict</t>
        </is>
      </c>
      <c r="R509" s="3" t="inlineStr">
        <is>
          <t>MK-ST-F-060 verdict → MK-ST-F-023 reconcileLedgerIdentity</t>
        </is>
      </c>
      <c r="S509" s="3" t="inlineStr">
        <is>
          <t>—</t>
        </is>
      </c>
      <c r="T509" s="3" t="inlineStr">
        <is>
          <t>—</t>
        </is>
      </c>
      <c r="U509" s="3" t="inlineStr">
        <is>
          <t>ACTIVE</t>
        </is>
      </c>
      <c r="V509" s="3" t="inlineStr">
        <is>
          <t>2026-08-27</t>
        </is>
      </c>
      <c r="W509" s="3" t="n"/>
      <c r="X509" s="3" t="n"/>
      <c r="Y509" s="3" t="inlineStr">
        <is>
          <t>NOTHING OPEN</t>
        </is>
      </c>
    </row>
    <row r="510" ht="60" customHeight="1">
      <c r="A510" s="3" t="inlineStr">
        <is>
          <t>MK-ST-F-024</t>
        </is>
      </c>
      <c r="B510" s="3" t="inlineStr">
        <is>
          <t>rmdStartAge</t>
        </is>
      </c>
      <c r="C510" s="3" t="inlineStr">
        <is>
          <t>Calculation Module code/engines/rmd.ts</t>
        </is>
      </c>
      <c r="D510" s="3" t="n">
        <v>55</v>
      </c>
      <c r="E510" s="3" t="inlineStr">
        <is>
          <t>2 · DISPLAYED</t>
        </is>
      </c>
      <c r="F510" s="3" t="inlineStr">
        <is>
          <t>The age required withdrawals begin, by birth year.</t>
        </is>
      </c>
      <c r="G510" s="11" t="inlineStr">
        <is>
          <t>start age = 75   when born 1960 or later
            73   otherwise</t>
        </is>
      </c>
      <c r="H510" s="3" t="inlineStr">
        <is>
          <t>The age required withdrawals begin. Born 1960 or later, 75; everyone else, 73 — including birth years before 1951, whose real start age was 72 or 70 and a half. An unknown birth year silently answers 73 rather than refusing. Finding A36.</t>
        </is>
      </c>
      <c r="I510" s="3" t="inlineStr">
        <is>
          <t>READ BY HAND 2026-08-26 — checked line by line against the code</t>
        </is>
      </c>
      <c r="J510" s="3" t="inlineStr">
        <is>
          <t>birthYear?: number | null</t>
        </is>
      </c>
      <c r="K510" s="3" t="inlineStr">
        <is>
          <t>number</t>
        </is>
      </c>
      <c r="L510" s="3" t="inlineStr">
        <is>
          <t>1. "Everything taken out, as a share of your gross" — on the setup questions, which appear on more than one screen
2. "Operating expense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510" s="3" t="inlineStr">
        <is>
          <t>· When the birth year is missing the start age is taken as 73 — the rule for those born 1951–1959, the middle of the 55–70 audience (A36). The whole schedule is coded: 70½ before 1949, 72 for 1949–1950, 73 for 1951–1959, 75 from 1960.</t>
        </is>
      </c>
      <c r="N510" s="3" t="inlineStr">
        <is>
          <t>Yes</t>
        </is>
      </c>
      <c r="O510" s="3" t="inlineStr">
        <is>
          <t>MK-ST-F-056 has</t>
        </is>
      </c>
      <c r="P510" s="3" t="n">
        <v>1</v>
      </c>
      <c r="Q510" s="3" t="inlineStr">
        <is>
          <t>MK-ST-F-056 has</t>
        </is>
      </c>
      <c r="R510" s="3" t="inlineStr">
        <is>
          <t>MK-ST-F-056 has → MK-ST-F-024 rmdStartAge</t>
        </is>
      </c>
      <c r="S510" s="3" t="inlineStr">
        <is>
          <t>—</t>
        </is>
      </c>
      <c r="T510" s="3" t="inlineStr">
        <is>
          <t>—</t>
        </is>
      </c>
      <c r="U510" s="3" t="inlineStr">
        <is>
          <t>ACTIVE</t>
        </is>
      </c>
      <c r="V510" s="3" t="inlineStr">
        <is>
          <t>2026-08-27</t>
        </is>
      </c>
      <c r="W510" s="3" t="n"/>
      <c r="X510" s="3" t="n"/>
      <c r="Y510" s="3" t="inlineStr">
        <is>
          <t>NOTHING OPEN</t>
        </is>
      </c>
    </row>
    <row r="511" ht="60" customHeight="1">
      <c r="A511" s="3" t="inlineStr">
        <is>
          <t>MK-ST-F-025</t>
        </is>
      </c>
      <c r="B511" s="3" t="inlineStr">
        <is>
          <t>rmdStartAgeFromAge</t>
        </is>
      </c>
      <c r="C511" s="3" t="inlineStr">
        <is>
          <t>Calculation Module code/engines/rmd.ts</t>
        </is>
      </c>
      <c r="D511" s="3" t="n">
        <v>94</v>
      </c>
      <c r="E511" s="3" t="inlineStr">
        <is>
          <t>3 · DEPENDENT</t>
        </is>
      </c>
      <c r="F511" s="3" t="inlineStr">
        <is>
          <t>The same rule when only an age is known (birth year ≈ this year − age; ±1 year of precision, which is what an age-only caller has).</t>
        </is>
      </c>
      <c r="G511" s="11" t="inlineStr">
        <is>
          <t>rmd start age(now year − age)</t>
        </is>
      </c>
      <c r="H511" s="3" t="inlineStr">
        <is>
          <t>rmd start age(now year minus age).</t>
        </is>
      </c>
      <c r="I511" s="3" t="inlineStr">
        <is>
          <t>READ FROM THE CODE — rendered from the expressions the function runs</t>
        </is>
      </c>
      <c r="J511" s="3" t="inlineStr">
        <is>
          <t>1. age: number
2. nowYear: number</t>
        </is>
      </c>
      <c r="K511" s="3" t="inlineStr">
        <is>
          <t>number</t>
        </is>
      </c>
      <c r="L511" s="3" t="inlineStr">
        <is>
          <t>—</t>
        </is>
      </c>
      <c r="M511" s="3" t="inlineStr">
        <is>
          <t>None found in this function — anything it assumes comes from the functions it depends on.</t>
        </is>
      </c>
      <c r="N511" s="3" t="inlineStr">
        <is>
          <t>Yes</t>
        </is>
      </c>
      <c r="O511" s="3" t="inlineStr">
        <is>
          <t>MK-ST-F-024 rmdStartAge</t>
        </is>
      </c>
      <c r="P511" s="3" t="n">
        <v>2</v>
      </c>
      <c r="Q511" s="3" t="inlineStr">
        <is>
          <t>1. MK-ST-F-024 rmdStartAge
2. MK-ST-F-056 has</t>
        </is>
      </c>
      <c r="R511" s="3" t="inlineStr">
        <is>
          <t>MK-ST-F-056 has → MK-ST-F-024 rmdStartAge → MK-ST-F-025 rmdStartAgeFromAge</t>
        </is>
      </c>
      <c r="S511" s="3" t="inlineStr">
        <is>
          <t>—</t>
        </is>
      </c>
      <c r="T511" s="3" t="inlineStr">
        <is>
          <t>—</t>
        </is>
      </c>
      <c r="U511" s="3" t="inlineStr">
        <is>
          <t>ACTIVE</t>
        </is>
      </c>
      <c r="V511" s="3" t="inlineStr">
        <is>
          <t>2026-08-27</t>
        </is>
      </c>
      <c r="W511" s="3" t="n"/>
      <c r="X511" s="3" t="n"/>
      <c r="Y511" s="3" t="inlineStr">
        <is>
          <t>NOTHING OPEN</t>
        </is>
      </c>
    </row>
    <row r="512" ht="60" customHeight="1">
      <c r="A512" s="3" t="inlineStr">
        <is>
          <t>MK-ST-F-026</t>
        </is>
      </c>
      <c r="B512" s="3" t="inlineStr">
        <is>
          <t>holdingId</t>
        </is>
      </c>
      <c r="C512" s="3" t="inlineStr">
        <is>
          <t>Calculation Module code/engines/snapshots.ts</t>
        </is>
      </c>
      <c r="D512" s="3" t="n">
        <v>81</v>
      </c>
      <c r="E512" s="3" t="inlineStr">
        <is>
          <t>1 · ACTION</t>
        </is>
      </c>
      <c r="F512" s="3" t="inlineStr">
        <is>
          <t>NOT DETERMINED — the code carries no note saying what this is for, and it has no row in the old inventory. Needs reading.</t>
        </is>
      </c>
      <c r="G512" s="11" t="inlineStr">
        <is>
          <t>the answer = date | account id | security key</t>
        </is>
      </c>
      <c r="H512" s="3" t="inlineStr">
        <is>
          <t>The identity of one holding snapshot: its date, account and security, joined with vertical bars. No arithmetic.</t>
        </is>
      </c>
      <c r="I512" s="3" t="inlineStr">
        <is>
          <t>READ BY HAND 2026-08-26 — checked line by line against the code</t>
        </is>
      </c>
      <c r="J512" s="3" t="inlineStr">
        <is>
          <t>s: Pick&lt;HoldingSnapshot, 'date' | 'accountId' | 'securityKey'&gt;</t>
        </is>
      </c>
      <c r="K512" s="3" t="inlineStr">
        <is>
          <t>string</t>
        </is>
      </c>
      <c r="L512" s="3" t="inlineStr">
        <is>
          <t>—</t>
        </is>
      </c>
      <c r="M512" s="3" t="inlineStr">
        <is>
          <t>None found in this function — anything it assumes comes from the functions it depends on.</t>
        </is>
      </c>
      <c r="N512" s="3" t="inlineStr">
        <is>
          <t>No</t>
        </is>
      </c>
      <c r="O512" s="3" t="inlineStr">
        <is>
          <t>—</t>
        </is>
      </c>
      <c r="P512" s="3" t="n">
        <v>0</v>
      </c>
      <c r="Q512" s="3" t="inlineStr">
        <is>
          <t>None — no dependent function stands behind it</t>
        </is>
      </c>
      <c r="R512" s="3" t="inlineStr">
        <is>
          <t>No dependent function — it reads its inputs and answers</t>
        </is>
      </c>
      <c r="S512" s="3" t="inlineStr">
        <is>
          <t>—</t>
        </is>
      </c>
      <c r="T512" s="3" t="inlineStr">
        <is>
          <t>—</t>
        </is>
      </c>
      <c r="U512" s="3" t="inlineStr">
        <is>
          <t>ACTIVE</t>
        </is>
      </c>
      <c r="V512" s="3" t="inlineStr">
        <is>
          <t>2026-09-12</t>
        </is>
      </c>
      <c r="W512" s="3" t="n"/>
      <c r="X512" s="3" t="n"/>
      <c r="Y512" s="3" t="inlineStr">
        <is>
          <t>NOTHING OPEN</t>
        </is>
      </c>
    </row>
    <row r="513" ht="60" customHeight="1">
      <c r="A513" s="3" t="inlineStr">
        <is>
          <t>MK-ST-F-027</t>
        </is>
      </c>
      <c r="B513" s="3" t="inlineStr">
        <is>
          <t>accountId</t>
        </is>
      </c>
      <c r="C513" s="3" t="inlineStr">
        <is>
          <t>Calculation Module code/engines/snapshots.ts</t>
        </is>
      </c>
      <c r="D513" s="3" t="n">
        <v>119</v>
      </c>
      <c r="E513" s="3" t="inlineStr">
        <is>
          <t>1 · ACTION</t>
        </is>
      </c>
      <c r="F513" s="3" t="inlineStr">
        <is>
          <t>NOT DETERMINED — the code carries no note saying what this is for, and it has no row in the old inventory. Needs reading.</t>
        </is>
      </c>
      <c r="G513" s="11" t="inlineStr">
        <is>
          <t>the answer = date | account id</t>
        </is>
      </c>
      <c r="H513" s="3" t="inlineStr">
        <is>
          <t>The identity of one account snapshot: its date and account, joined with a vertical bar. No arithmetic.</t>
        </is>
      </c>
      <c r="I513" s="3" t="inlineStr">
        <is>
          <t>READ BY HAND 2026-08-26 — checked line by line against the code</t>
        </is>
      </c>
      <c r="J513" s="3" t="inlineStr">
        <is>
          <t>s: Pick&lt;AccountSnapshot, 'date' | 'accountId'&gt;</t>
        </is>
      </c>
      <c r="K513" s="3" t="inlineStr">
        <is>
          <t>string</t>
        </is>
      </c>
      <c r="L513" s="3" t="inlineStr">
        <is>
          <t>—</t>
        </is>
      </c>
      <c r="M513" s="3" t="inlineStr">
        <is>
          <t>None found in this function — anything it assumes comes from the functions it depends on.</t>
        </is>
      </c>
      <c r="N513" s="3" t="inlineStr">
        <is>
          <t>No</t>
        </is>
      </c>
      <c r="O513" s="3" t="inlineStr">
        <is>
          <t>—</t>
        </is>
      </c>
      <c r="P513" s="3" t="n">
        <v>0</v>
      </c>
      <c r="Q513" s="3" t="inlineStr">
        <is>
          <t>None — no dependent function stands behind it</t>
        </is>
      </c>
      <c r="R513" s="3" t="inlineStr">
        <is>
          <t>No dependent function — it reads its inputs and answers</t>
        </is>
      </c>
      <c r="S513" s="3" t="inlineStr">
        <is>
          <t>—</t>
        </is>
      </c>
      <c r="T513" s="3" t="inlineStr">
        <is>
          <t>—</t>
        </is>
      </c>
      <c r="U513" s="3" t="inlineStr">
        <is>
          <t>ACTIVE</t>
        </is>
      </c>
      <c r="V513" s="3" t="inlineStr">
        <is>
          <t>2026-09-12</t>
        </is>
      </c>
      <c r="W513" s="3" t="n"/>
      <c r="X513" s="3" t="n"/>
      <c r="Y513" s="3" t="inlineStr">
        <is>
          <t>NOTHING OPEN</t>
        </is>
      </c>
    </row>
    <row r="514" ht="60" customHeight="1">
      <c r="A514" s="3" t="inlineStr">
        <is>
          <t>MK-ST-F-028</t>
        </is>
      </c>
      <c r="B514" s="3" t="inlineStr">
        <is>
          <t>buildDayFromAccounts</t>
        </is>
      </c>
      <c r="C514" s="3" t="inlineStr">
        <is>
          <t>Calculation Module code/engines/snapshots.ts</t>
        </is>
      </c>
      <c r="D514" s="3" t="n">
        <v>193</v>
      </c>
      <c r="E514" s="3" t="inlineStr">
        <is>
          <t>3 · DEPENDENT</t>
        </is>
      </c>
      <c r="F514" s="3" t="inlineStr">
        <is>
          <t>Today's SnapshotDay, observed from the live account state.</t>
        </is>
      </c>
      <c r="G514" s="11"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514"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514" s="3" t="inlineStr">
        <is>
          <t>READ FROM THE CODE — rendered from the expressions the function runs</t>
        </is>
      </c>
      <c r="J514" s="3" t="inlineStr">
        <is>
          <t>1. accounts: AccountLike[]
2. date: string
3. writtenAt: string</t>
        </is>
      </c>
      <c r="K514" s="3" t="inlineStr">
        <is>
          <t>SnapshotDay</t>
        </is>
      </c>
      <c r="L514" s="3" t="inlineStr">
        <is>
          <t>—</t>
        </is>
      </c>
      <c r="M514"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t>
        </is>
      </c>
      <c r="N514" s="3" t="inlineStr">
        <is>
          <t>Yes</t>
        </is>
      </c>
      <c r="O514" s="3" t="inlineStr">
        <is>
          <t>—</t>
        </is>
      </c>
      <c r="P514" s="3" t="n">
        <v>0</v>
      </c>
      <c r="Q514" s="3" t="inlineStr">
        <is>
          <t>None — no dependent function stands behind it</t>
        </is>
      </c>
      <c r="R514" s="3" t="inlineStr">
        <is>
          <t>No dependent function — it reads its inputs and answers</t>
        </is>
      </c>
      <c r="S514" s="3" t="inlineStr">
        <is>
          <t>—</t>
        </is>
      </c>
      <c r="T514" s="3" t="inlineStr">
        <is>
          <t>—</t>
        </is>
      </c>
      <c r="U514" s="3" t="inlineStr">
        <is>
          <t>ACTIVE</t>
        </is>
      </c>
      <c r="V514" s="3" t="inlineStr">
        <is>
          <t>2026-09-12</t>
        </is>
      </c>
      <c r="W514" s="3" t="n"/>
      <c r="X514" s="3" t="n"/>
      <c r="Y514" s="3" t="inlineStr">
        <is>
          <t>NOTHING OPEN</t>
        </is>
      </c>
    </row>
    <row r="515" ht="60" customHeight="1">
      <c r="A515" s="3" t="inlineStr">
        <is>
          <t>MK-ST-F-029</t>
        </is>
      </c>
      <c r="B515" s="3" t="inlineStr">
        <is>
          <t>prune</t>
        </is>
      </c>
      <c r="C515" s="3" t="inlineStr">
        <is>
          <t>Calculation Module code/engines/snapshots.ts</t>
        </is>
      </c>
      <c r="D515" s="3" t="n">
        <v>327</v>
      </c>
      <c r="E515" s="3" t="inlineStr">
        <is>
          <t>3 · DEPENDENT (feeds an action only)</t>
        </is>
      </c>
      <c r="F515" s="3" t="inlineStr">
        <is>
          <t>Which days survive.</t>
        </is>
      </c>
      <c r="G515" s="11" t="inlineStr">
        <is>
          <t>cutoff key = daily window start(today)
all = a list with no repeats of for each of days: date
the answer = days where date ≥ cutoff key (or is month end(date, all) when missing or zero)</t>
        </is>
      </c>
      <c r="H515" s="3" t="inlineStr">
        <is>
          <t>Cutoff key is daily window start(today). All is a list with no repeats of for each of days: date. The answer is days where date is at least cutoff key (or is month end(date, all) — when missing or zero).</t>
        </is>
      </c>
      <c r="I515" s="3" t="inlineStr">
        <is>
          <t>READ FROM THE CODE — rendered from the expressions the function runs</t>
        </is>
      </c>
      <c r="J515" s="3" t="inlineStr">
        <is>
          <t>1. days: SnapshotDay[]
2. today: string</t>
        </is>
      </c>
      <c r="K515" s="3" t="inlineStr">
        <is>
          <t>SnapshotDay[]</t>
        </is>
      </c>
      <c r="L515" s="3" t="inlineStr">
        <is>
          <t>—</t>
        </is>
      </c>
      <c r="M515" s="3" t="inlineStr">
        <is>
          <t>None found in this function — anything it assumes comes from the functions it depends on.</t>
        </is>
      </c>
      <c r="N515" s="3" t="inlineStr">
        <is>
          <t>No</t>
        </is>
      </c>
      <c r="O515" s="3" t="inlineStr">
        <is>
          <t>1. MK-ST-F-079 dailyWindowStart
2. MK-ST-F-061 isMonthEnd
3. MK-CF-F-132 map</t>
        </is>
      </c>
      <c r="P515" s="3" t="n">
        <v>4</v>
      </c>
      <c r="Q515" s="3" t="inlineStr">
        <is>
          <t>1. MK-ST-F-079 dailyWindowStart
2. MK-ST-F-061 isMonthEnd
3. MK-CF-F-132 map
4. MK-ST-F-056 has</t>
        </is>
      </c>
      <c r="R515" s="3" t="inlineStr">
        <is>
          <t>1. MK-ST-F-079 dailyWindowStart → MK-ST-F-029 prune
2. MK-ST-F-056 has → MK-ST-F-061 isMonthEnd → MK-ST-F-029 prune
3. MK-CF-F-132 map → MK-ST-F-061 isMonthEnd → MK-ST-F-029 prune
4. MK-CF-F-132 map → MK-ST-F-029 prune</t>
        </is>
      </c>
      <c r="S515" s="3" t="inlineStr">
        <is>
          <t>—</t>
        </is>
      </c>
      <c r="T515" s="3" t="inlineStr">
        <is>
          <t>—</t>
        </is>
      </c>
      <c r="U515" s="3" t="inlineStr">
        <is>
          <t>ACTIVE</t>
        </is>
      </c>
      <c r="V515" s="3" t="inlineStr">
        <is>
          <t>2026-10-03</t>
        </is>
      </c>
      <c r="W515" s="3" t="n"/>
      <c r="X515" s="3" t="n"/>
      <c r="Y515" s="3" t="inlineStr">
        <is>
          <t>NOTHING OPEN</t>
        </is>
      </c>
    </row>
    <row r="516" ht="45" customHeight="1">
      <c r="A516" s="3" t="inlineStr">
        <is>
          <t>MK-ST-F-030</t>
        </is>
      </c>
      <c r="B516" s="3" t="inlineStr">
        <is>
          <t>record</t>
        </is>
      </c>
      <c r="C516" s="3" t="inlineStr">
        <is>
          <t>Calculation Module code/engines/snapshots.ts</t>
        </is>
      </c>
      <c r="D516" s="3" t="n">
        <v>369</v>
      </c>
      <c r="E516" s="3" t="inlineStr">
        <is>
          <t>2 · DISPLAYED</t>
        </is>
      </c>
      <c r="F516" s="3" t="inlineStr">
        <is>
          <t>── writing ───────────────────────────────────────────────────────────────────────────────────── Add a day.</t>
        </is>
      </c>
      <c r="G516" s="11" t="inlineStr">
        <is>
          <t>rest = days where date ! = day.date
the answer = [...rest, day].sort((a, b) =&gt; date.locale compare(date))</t>
        </is>
      </c>
      <c r="H516" s="3" t="inlineStr">
        <is>
          <t>Rest is days where date ! = day.date. The answer is [...rest, day].sort((a, b) =&gt; date.locale compare(date)).</t>
        </is>
      </c>
      <c r="I516" s="3" t="inlineStr">
        <is>
          <t>PARTLY READ — some of the code is still showing through; needs a hand pass</t>
        </is>
      </c>
      <c r="J516" s="3" t="inlineStr">
        <is>
          <t>1. days: SnapshotDay[]
2. day: SnapshotDay</t>
        </is>
      </c>
      <c r="K516" s="3" t="inlineStr">
        <is>
          <t>SnapshotDay[]</t>
        </is>
      </c>
      <c r="L516" s="3" t="inlineStr">
        <is>
          <t>NOT FOUND — a screen calls it, but the words printed beside its answer could not be traced automatically. Needs reading.</t>
        </is>
      </c>
      <c r="M516" s="3" t="inlineStr">
        <is>
          <t>None found in this function — anything it assumes comes from the functions it depends on.</t>
        </is>
      </c>
      <c r="N516" s="3" t="inlineStr">
        <is>
          <t>Yes</t>
        </is>
      </c>
      <c r="O516" s="3" t="inlineStr">
        <is>
          <t>—</t>
        </is>
      </c>
      <c r="P516" s="3" t="n">
        <v>0</v>
      </c>
      <c r="Q516" s="3" t="inlineStr">
        <is>
          <t>None — no dependent function stands behind it</t>
        </is>
      </c>
      <c r="R516" s="3" t="inlineStr">
        <is>
          <t>No dependent function — it reads its inputs and answers</t>
        </is>
      </c>
      <c r="S516" s="3" t="inlineStr">
        <is>
          <t>—</t>
        </is>
      </c>
      <c r="T516" s="3" t="inlineStr">
        <is>
          <t>—</t>
        </is>
      </c>
      <c r="U516" s="3" t="inlineStr">
        <is>
          <t>ACTIVE</t>
        </is>
      </c>
      <c r="V516" s="3" t="inlineStr">
        <is>
          <t>2026-09-25</t>
        </is>
      </c>
      <c r="W516" s="3" t="n"/>
      <c r="X516" s="3" t="n"/>
      <c r="Y516" s="3" t="inlineStr">
        <is>
          <t>NOTHING OPEN</t>
        </is>
      </c>
    </row>
    <row r="517" ht="60" customHeight="1">
      <c r="A517" s="3" t="inlineStr">
        <is>
          <t>MK-ST-F-031</t>
        </is>
      </c>
      <c r="B517" s="3" t="inlineStr">
        <is>
          <t>valueOn</t>
        </is>
      </c>
      <c r="C517" s="3" t="inlineStr">
        <is>
          <t>Calculation Module code/engines/snapshots.ts</t>
        </is>
      </c>
      <c r="D517" s="3" t="n">
        <v>411</v>
      </c>
      <c r="E517" s="3" t="inlineStr">
        <is>
          <t>2 · DISPLAYED</t>
        </is>
      </c>
      <c r="F517" s="3" t="inlineStr">
        <is>
          <t>── reading ───────────────────────────────────────────────────────────────────────────────────── What one account was worth on a date — the figure the old code had to back-solve.</t>
        </is>
      </c>
      <c r="G517" s="11" t="inlineStr">
        <is>
          <t>day = on or before(days, date)
nothing   when day is missing
in set = (id: string) =&gt; account ids.size = 0 (or account ids.has(id) when missing or zero)
each = account values on(day, in set)
nothing   when each.size = 0
total = 0; for (const v of each.values()) total += v
[LOOP — the answer is found inside a loop the extractor cannot render; the steps above are the ones before it. Read by hand.]</t>
        </is>
      </c>
      <c r="H517" s="3" t="inlineStr">
        <is>
          <t>Day is on or before(days, date). When day is missing, it answers no answer. In set is (id: string) =&gt; account ids.size = 0 (or account ids.has(id) — when missing or zero). Each is account values on(day, in set). When each.size = 0, it answers no answer. Total is 0; for (const v of each.values()) total += v. The answer is total. The answer is found inside a loop that cannot be rendered here; read the code by hand.</t>
        </is>
      </c>
      <c r="I517" s="3" t="inlineStr">
        <is>
          <t>PARTLY READ — the body has a loop the extractor cannot render; the steps shown are the ones before it. Needs a hand pass (G23).</t>
        </is>
      </c>
      <c r="J517" s="3" t="inlineStr">
        <is>
          <t>1. days: SnapshotDay[]
2. accountIds: Set&lt;string&gt;
3. date: string</t>
        </is>
      </c>
      <c r="K517" s="3" t="inlineStr">
        <is>
          <t>number | null</t>
        </is>
      </c>
      <c r="L517" s="3" t="inlineStr">
        <is>
          <t>NOT FOUND — a screen calls it, but the words printed beside its answer could not be traced automatically. Needs reading.</t>
        </is>
      </c>
      <c r="M517" s="3" t="inlineStr">
        <is>
          <t>· Uses a built-in total of 0.</t>
        </is>
      </c>
      <c r="N517" s="3" t="inlineStr">
        <is>
          <t>Yes</t>
        </is>
      </c>
      <c r="O517" s="3" t="inlineStr">
        <is>
          <t>1. MK-ST-F-083 accountValuesOn
2. MK-ST-F-056 has
3. MK-ST-F-033 onOrBefore</t>
        </is>
      </c>
      <c r="P517" s="3" t="n">
        <v>4</v>
      </c>
      <c r="Q517" s="3" t="inlineStr">
        <is>
          <t>1. MK-ST-F-083 accountValuesOn
2. MK-ST-F-056 has
3. MK-ST-F-033 onOrBefore
4. MK-ST-F-027 accountId</t>
        </is>
      </c>
      <c r="R517" s="3" t="inlineStr">
        <is>
          <t>1. MK-ST-F-027 accountId → MK-ST-F-083 accountValuesOn → MK-ST-F-031 valueOn
2. MK-ST-F-056 has → MK-ST-F-083 accountValuesOn → MK-ST-F-031 valueOn
3. MK-ST-F-056 has → MK-ST-F-031 valueOn
4. MK-ST-F-033 onOrBefore → MK-ST-F-031 valueOn</t>
        </is>
      </c>
      <c r="S517" s="3" t="inlineStr">
        <is>
          <t>MK-PF-M-001 · MK-PF-M-004</t>
        </is>
      </c>
      <c r="T517" s="3" t="inlineStr">
        <is>
          <t>—</t>
        </is>
      </c>
      <c r="U517" s="3" t="inlineStr">
        <is>
          <t>ACTIVE</t>
        </is>
      </c>
      <c r="V517" s="3" t="inlineStr">
        <is>
          <t>2026-10-04</t>
        </is>
      </c>
      <c r="W517" s="3" t="n"/>
      <c r="X517" s="3" t="n"/>
      <c r="Y517" s="3" t="inlineStr">
        <is>
          <t>NOTHING OPEN</t>
        </is>
      </c>
    </row>
    <row r="518" ht="60" customHeight="1">
      <c r="A518" s="3" t="inlineStr">
        <is>
          <t>MK-ST-F-032</t>
        </is>
      </c>
      <c r="B518" s="3" t="inlineStr">
        <is>
          <t>unitsOn</t>
        </is>
      </c>
      <c r="C518" s="3" t="inlineStr">
        <is>
          <t>Calculation Module code/engines/snapshots.ts</t>
        </is>
      </c>
      <c r="D518" s="3" t="n">
        <v>495</v>
      </c>
      <c r="E518" s="3" t="inlineStr">
        <is>
          <t>3 · DEPENDENT (feeds an action only)</t>
        </is>
      </c>
      <c r="F518" s="3" t="inlineStr">
        <is>
          <t>How many units of one holding were held on a date — what the trend chart needs and never had.</t>
        </is>
      </c>
      <c r="G518" s="11" t="inlineStr">
        <is>
          <t>day = on or before(days, date)
h = day.holdings.find((x) =&gt; account id = acc id and security key = security key)
the answer:
units   if h
nothing   otherwise</t>
        </is>
      </c>
      <c r="H518" s="3" t="inlineStr">
        <is>
          <t>Day is on or before(days, date). H is day.holdings.find((x) =&gt; account id = acc id and security key = security key). The answer is units — when h; no answer — otherwise.</t>
        </is>
      </c>
      <c r="I518" s="3" t="inlineStr">
        <is>
          <t>PARTLY READ — some of the code is still showing through; needs a hand pass</t>
        </is>
      </c>
      <c r="J518" s="3" t="inlineStr">
        <is>
          <t>1. days: SnapshotDay[]
2. accId: string
3. securityKey: string
4. date: string</t>
        </is>
      </c>
      <c r="K518" s="3" t="inlineStr">
        <is>
          <t>number | null</t>
        </is>
      </c>
      <c r="L518" s="3" t="inlineStr">
        <is>
          <t>—</t>
        </is>
      </c>
      <c r="M518" s="3" t="inlineStr">
        <is>
          <t>None found in this function — anything it assumes comes from the functions it depends on.</t>
        </is>
      </c>
      <c r="N518" s="3" t="inlineStr">
        <is>
          <t>No</t>
        </is>
      </c>
      <c r="O518" s="3" t="inlineStr">
        <is>
          <t>MK-ST-F-033 onOrBefore</t>
        </is>
      </c>
      <c r="P518" s="3" t="n">
        <v>1</v>
      </c>
      <c r="Q518" s="3" t="inlineStr">
        <is>
          <t>MK-ST-F-033 onOrBefore</t>
        </is>
      </c>
      <c r="R518" s="3" t="inlineStr">
        <is>
          <t>MK-ST-F-033 onOrBefore → MK-ST-F-032 unitsOn</t>
        </is>
      </c>
      <c r="S518" s="3" t="inlineStr">
        <is>
          <t>—</t>
        </is>
      </c>
      <c r="T518" s="3" t="inlineStr">
        <is>
          <t>—</t>
        </is>
      </c>
      <c r="U518" s="3" t="inlineStr">
        <is>
          <t>ACTIVE</t>
        </is>
      </c>
      <c r="V518" s="3" t="inlineStr">
        <is>
          <t>2026-08-27</t>
        </is>
      </c>
      <c r="W518" s="3" t="n"/>
      <c r="X518" s="3" t="n"/>
      <c r="Y518" s="3" t="inlineStr">
        <is>
          <t>NOTHING OPEN</t>
        </is>
      </c>
    </row>
    <row r="519" ht="60" customHeight="1">
      <c r="A519" s="3" t="inlineStr">
        <is>
          <t>MK-ST-F-033</t>
        </is>
      </c>
      <c r="B519" s="3" t="inlineStr">
        <is>
          <t>onOrBefore</t>
        </is>
      </c>
      <c r="C519" s="3" t="inlineStr">
        <is>
          <t>Calculation Module code/engines/snapshots.ts</t>
        </is>
      </c>
      <c r="D519" s="3" t="n">
        <v>526</v>
      </c>
      <c r="E519" s="3" t="inlineStr">
        <is>
          <t>3 · DEPENDENT</t>
        </is>
      </c>
      <c r="F519" s="3" t="inlineStr">
        <is>
          <t>The latest day at or before a date, or nothing when the record does not reach back that far.</t>
        </is>
      </c>
      <c r="G519" s="11" t="inlineStr">
        <is>
          <t>best = nothing
[LOOP — the answer is found inside a loop the extractor cannot render; the steps above are the ones before it. Read by hand.]</t>
        </is>
      </c>
      <c r="H519" s="3" t="inlineStr">
        <is>
          <t>Best is no answer. The answer is best. The answer is found inside a loop that cannot be rendered here; read the code by hand.</t>
        </is>
      </c>
      <c r="I519" s="3" t="inlineStr">
        <is>
          <t>PARTLY READ — the body has a loop the extractor cannot render; the steps shown are the ones before it. Needs a hand pass (G23).</t>
        </is>
      </c>
      <c r="J519" s="3" t="inlineStr">
        <is>
          <t>1. days: T[]
2. date: string</t>
        </is>
      </c>
      <c r="K519" s="3" t="inlineStr">
        <is>
          <t>T | null</t>
        </is>
      </c>
      <c r="L519" s="3" t="inlineStr">
        <is>
          <t>—</t>
        </is>
      </c>
      <c r="M519" s="3" t="inlineStr">
        <is>
          <t>None found in this function — anything it assumes comes from the functions it depends on.</t>
        </is>
      </c>
      <c r="N519" s="3" t="inlineStr">
        <is>
          <t>Yes</t>
        </is>
      </c>
      <c r="O519" s="3" t="inlineStr">
        <is>
          <t>—</t>
        </is>
      </c>
      <c r="P519" s="3" t="n">
        <v>0</v>
      </c>
      <c r="Q519" s="3" t="inlineStr">
        <is>
          <t>None — no dependent function stands behind it</t>
        </is>
      </c>
      <c r="R519" s="3" t="inlineStr">
        <is>
          <t>No dependent function — it reads its inputs and answers</t>
        </is>
      </c>
      <c r="S519" s="3" t="inlineStr">
        <is>
          <t>—</t>
        </is>
      </c>
      <c r="T519" s="3" t="inlineStr">
        <is>
          <t>—</t>
        </is>
      </c>
      <c r="U519" s="3" t="inlineStr">
        <is>
          <t>ACTIVE</t>
        </is>
      </c>
      <c r="V519" s="3" t="inlineStr">
        <is>
          <t>2026-09-08</t>
        </is>
      </c>
      <c r="W519" s="3" t="n"/>
      <c r="X519" s="3" t="n"/>
      <c r="Y519" s="3" t="inlineStr">
        <is>
          <t>NOTHING OPEN</t>
        </is>
      </c>
    </row>
    <row r="520" ht="60" customHeight="1">
      <c r="A520" s="3" t="inlineStr">
        <is>
          <t>MK-ST-F-034</t>
        </is>
      </c>
      <c r="B520" s="3" t="inlineStr">
        <is>
          <t>firstDate</t>
        </is>
      </c>
      <c r="C520" s="3" t="inlineStr">
        <is>
          <t>Calculation Module code/engines/snapshots.ts</t>
        </is>
      </c>
      <c r="D520" s="3" t="n">
        <v>563</v>
      </c>
      <c r="E520" s="3" t="inlineStr">
        <is>
          <t>3 · DEPENDENT</t>
        </is>
      </c>
      <c r="F520" s="3" t="inlineStr">
        <is>
          <t>The first date the record covers — so a change figure can say what it is measured FROM, rather than presenting a figure measured from install day as though it covered the year.</t>
        </is>
      </c>
      <c r="G520" s="11" t="inlineStr">
        <is>
          <t>days.reduce((a, b) =&gt; (date &lt; date ? a : b)).date   if count of days
nothing   otherwise</t>
        </is>
      </c>
      <c r="H520" s="3" t="inlineStr">
        <is>
          <t>days.reduce((a, b) =&gt; (date &lt; date ? a : b)).date — when how many days there are; no answer — otherwise.</t>
        </is>
      </c>
      <c r="I520" s="3" t="inlineStr">
        <is>
          <t>PARTLY READ — some of the code is still showing through; needs a hand pass</t>
        </is>
      </c>
      <c r="J520" s="3" t="inlineStr">
        <is>
          <t>days: T[]</t>
        </is>
      </c>
      <c r="K520" s="3" t="inlineStr">
        <is>
          <t>string | null</t>
        </is>
      </c>
      <c r="L520" s="3" t="inlineStr">
        <is>
          <t>—</t>
        </is>
      </c>
      <c r="M520" s="3" t="inlineStr">
        <is>
          <t>None found in this function — anything it assumes comes from the functions it depends on.</t>
        </is>
      </c>
      <c r="N520" s="3" t="inlineStr">
        <is>
          <t>Yes</t>
        </is>
      </c>
      <c r="O520" s="3" t="inlineStr">
        <is>
          <t>—</t>
        </is>
      </c>
      <c r="P520" s="3" t="n">
        <v>0</v>
      </c>
      <c r="Q520" s="3" t="inlineStr">
        <is>
          <t>None — no dependent function stands behind it</t>
        </is>
      </c>
      <c r="R520" s="3" t="inlineStr">
        <is>
          <t>No dependent function — it reads its inputs and answers</t>
        </is>
      </c>
      <c r="S520" s="3" t="inlineStr">
        <is>
          <t>—</t>
        </is>
      </c>
      <c r="T520" s="3" t="inlineStr">
        <is>
          <t>—</t>
        </is>
      </c>
      <c r="U520" s="3" t="inlineStr">
        <is>
          <t>ACTIVE</t>
        </is>
      </c>
      <c r="V520" s="3" t="inlineStr">
        <is>
          <t>2026-08-27</t>
        </is>
      </c>
      <c r="W520" s="3" t="n"/>
      <c r="X520" s="3" t="n"/>
      <c r="Y520" s="3" t="inlineStr">
        <is>
          <t>NOTHING OPEN</t>
        </is>
      </c>
    </row>
    <row r="521" ht="45" customHeight="1">
      <c r="A521" s="3" t="inlineStr">
        <is>
          <t>MK-ST-F-035</t>
        </is>
      </c>
      <c r="B521" s="3" t="inlineStr">
        <is>
          <t>covers</t>
        </is>
      </c>
      <c r="C521" s="3" t="inlineStr">
        <is>
          <t>Calculation Module code/engines/snapshots.ts</t>
        </is>
      </c>
      <c r="D521" s="3" t="n">
        <v>599</v>
      </c>
      <c r="E521" s="3" t="inlineStr">
        <is>
          <t>3 · DEPENDENT (feeds an action only)</t>
        </is>
      </c>
      <c r="F521" s="3" t="inlineStr">
        <is>
          <t>Does the record actually cover this window?</t>
        </is>
      </c>
      <c r="G521" s="11" t="inlineStr">
        <is>
          <t>f = first date(days)
the answer = f ≠ nothing and f ≤ from</t>
        </is>
      </c>
      <c r="H521" s="3" t="inlineStr">
        <is>
          <t>F is first date(days). The answer is f is not no answer and f is at most from.</t>
        </is>
      </c>
      <c r="I521" s="3" t="inlineStr">
        <is>
          <t>READ FROM THE CODE — rendered from the expressions the function runs</t>
        </is>
      </c>
      <c r="J521" s="3" t="inlineStr">
        <is>
          <t>1. days: SnapshotDay[]
2. from: string</t>
        </is>
      </c>
      <c r="K521" s="3" t="inlineStr">
        <is>
          <t>boolean</t>
        </is>
      </c>
      <c r="L521" s="3" t="inlineStr">
        <is>
          <t>—</t>
        </is>
      </c>
      <c r="M521" s="3" t="inlineStr">
        <is>
          <t>None found in this function — anything it assumes comes from the functions it depends on.</t>
        </is>
      </c>
      <c r="N521" s="3" t="inlineStr">
        <is>
          <t>No</t>
        </is>
      </c>
      <c r="O521" s="3" t="inlineStr">
        <is>
          <t>MK-ST-F-034 firstDate</t>
        </is>
      </c>
      <c r="P521" s="3" t="n">
        <v>1</v>
      </c>
      <c r="Q521" s="3" t="inlineStr">
        <is>
          <t>MK-ST-F-034 firstDate</t>
        </is>
      </c>
      <c r="R521" s="3" t="inlineStr">
        <is>
          <t>MK-ST-F-034 firstDate → MK-ST-F-035 covers</t>
        </is>
      </c>
      <c r="S521" s="3" t="inlineStr">
        <is>
          <t>—</t>
        </is>
      </c>
      <c r="T521" s="3" t="inlineStr">
        <is>
          <t>—</t>
        </is>
      </c>
      <c r="U521" s="3" t="inlineStr">
        <is>
          <t>ACTIVE</t>
        </is>
      </c>
      <c r="V521" s="3" t="inlineStr">
        <is>
          <t>2026-08-27</t>
        </is>
      </c>
      <c r="W521" s="3" t="n"/>
      <c r="X521" s="3" t="n"/>
      <c r="Y521" s="3" t="inlineStr">
        <is>
          <t>NOTHING OPEN</t>
        </is>
      </c>
    </row>
    <row r="522" ht="60" customHeight="1">
      <c r="A522" s="3" t="inlineStr">
        <is>
          <t>MK-ST-F-036</t>
        </is>
      </c>
      <c r="B522" s="3" t="inlineStr">
        <is>
          <t>reconcile</t>
        </is>
      </c>
      <c r="C522" s="3" t="inlineStr">
        <is>
          <t>Calculation Module code/engines/snapshots.ts</t>
        </is>
      </c>
      <c r="D522" s="3" t="n">
        <v>643</v>
      </c>
      <c r="E522" s="3" t="inlineStr">
        <is>
          <t>3 · DEPENDENT (feeds an action only)</t>
        </is>
      </c>
      <c r="F522" s="3" t="inlineStr">
        <is>
          <t>── the outside check ─────────────────────────────────────────────────────────────────────────── Our figure against the broker's own stated total.</t>
        </is>
      </c>
      <c r="G522" s="11" t="inlineStr">
        <is>
          <t>theirs = day.accounts.find((a) =&gt; account id = acc id).stated total (or nothing when missing)
the answer:
ours = ours
theirs = theirs
difference = nothing   if theirs = nothing
ours − theirs   otherwise</t>
        </is>
      </c>
      <c r="H522" s="3" t="inlineStr">
        <is>
          <t>Theirs is day.accounts.find((a) =&gt; account id = acc id).stated total (or no answer — when missing). The answer is ours = ours; theirs = theirs; difference is missing — when theirs is missing; ours minus theirs — otherwise.</t>
        </is>
      </c>
      <c r="I522" s="3" t="inlineStr">
        <is>
          <t>PARTLY READ — some of the code is still showing through; needs a hand pass</t>
        </is>
      </c>
      <c r="J522" s="3" t="inlineStr">
        <is>
          <t>1. day: SnapshotDay
2. accId: string</t>
        </is>
      </c>
      <c r="K522" s="3" t="inlineStr">
        <is>
          <t>NOT DECLARED — the code does not say what it gives back</t>
        </is>
      </c>
      <c r="L522" s="3" t="inlineStr">
        <is>
          <t>—</t>
        </is>
      </c>
      <c r="M522" s="3" t="inlineStr">
        <is>
          <t>· If cash is missing it uses 0.</t>
        </is>
      </c>
      <c r="N522" s="3" t="inlineStr">
        <is>
          <t>No</t>
        </is>
      </c>
      <c r="O522" s="3" t="inlineStr">
        <is>
          <t>—</t>
        </is>
      </c>
      <c r="P522" s="3" t="n">
        <v>0</v>
      </c>
      <c r="Q522" s="3" t="inlineStr">
        <is>
          <t>None — no dependent function stands behind it</t>
        </is>
      </c>
      <c r="R522" s="3" t="inlineStr">
        <is>
          <t>No dependent function — it reads its inputs and answers</t>
        </is>
      </c>
      <c r="S522" s="3" t="inlineStr">
        <is>
          <t>—</t>
        </is>
      </c>
      <c r="T522" s="3" t="inlineStr">
        <is>
          <t>—</t>
        </is>
      </c>
      <c r="U522" s="3" t="inlineStr">
        <is>
          <t>ACTIVE</t>
        </is>
      </c>
      <c r="V522" s="3" t="inlineStr">
        <is>
          <t>2026-09-09</t>
        </is>
      </c>
      <c r="W522" s="3" t="n"/>
      <c r="X522" s="3" t="n"/>
      <c r="Y522" s="3" t="inlineStr">
        <is>
          <t>NOTHING OPEN</t>
        </is>
      </c>
    </row>
    <row r="523" ht="60" customHeight="1">
      <c r="A523" s="3" t="inlineStr">
        <is>
          <t>MK-ST-F-037</t>
        </is>
      </c>
      <c r="B523" s="3" t="inlineStr">
        <is>
          <t>pendingUpload</t>
        </is>
      </c>
      <c r="C523" s="3" t="inlineStr">
        <is>
          <t>Calculation Module code/engines/snapshots.ts</t>
        </is>
      </c>
      <c r="D523" s="3" t="n">
        <v>671</v>
      </c>
      <c r="E523" s="3" t="inlineStr">
        <is>
          <t>3 · DEPENDENT (feeds an action only)</t>
        </is>
      </c>
      <c r="F523" s="3" t="inlineStr">
        <is>
          <t>── the later cloud sync ──────────────────────────────────────────────────────────────────────── Everything not yet uploaded, oldest first.</t>
        </is>
      </c>
      <c r="G523" s="11" t="inlineStr">
        <is>
          <t>days where last uploaded is missing (or date &gt; last uploaded when missing or zero)</t>
        </is>
      </c>
      <c r="H523" s="3" t="inlineStr">
        <is>
          <t>days where last uploaded is missing (or date &gt; last uploaded — when missing or zero).</t>
        </is>
      </c>
      <c r="I523" s="3" t="inlineStr">
        <is>
          <t>READ FROM THE CODE — rendered from the expressions the function runs</t>
        </is>
      </c>
      <c r="J523" s="3" t="inlineStr">
        <is>
          <t>1. days: SnapshotDay[]
2. lastUploaded: string | null</t>
        </is>
      </c>
      <c r="K523" s="3" t="inlineStr">
        <is>
          <t>SnapshotDay[]</t>
        </is>
      </c>
      <c r="L523" s="3" t="inlineStr">
        <is>
          <t>—</t>
        </is>
      </c>
      <c r="M523" s="3" t="inlineStr">
        <is>
          <t>None found in this function — anything it assumes comes from the functions it depends on.</t>
        </is>
      </c>
      <c r="N523" s="3" t="inlineStr">
        <is>
          <t>No</t>
        </is>
      </c>
      <c r="O523" s="3" t="inlineStr">
        <is>
          <t>—</t>
        </is>
      </c>
      <c r="P523" s="3" t="n">
        <v>0</v>
      </c>
      <c r="Q523" s="3" t="inlineStr">
        <is>
          <t>None — no dependent function stands behind it</t>
        </is>
      </c>
      <c r="R523" s="3" t="inlineStr">
        <is>
          <t>No dependent function — it reads its inputs and answers</t>
        </is>
      </c>
      <c r="S523" s="3" t="inlineStr">
        <is>
          <t>—</t>
        </is>
      </c>
      <c r="T523" s="3" t="inlineStr">
        <is>
          <t>—</t>
        </is>
      </c>
      <c r="U523" s="3" t="inlineStr">
        <is>
          <t>ACTIVE</t>
        </is>
      </c>
      <c r="V523" s="3" t="inlineStr">
        <is>
          <t>2026-08-27</t>
        </is>
      </c>
      <c r="W523" s="3" t="n"/>
      <c r="X523" s="3" t="n"/>
      <c r="Y523" s="3" t="inlineStr">
        <is>
          <t>NOTHING OPEN</t>
        </is>
      </c>
    </row>
    <row r="524" ht="60" customHeight="1">
      <c r="A524" s="3" t="inlineStr">
        <is>
          <t>MK-ST-F-038</t>
        </is>
      </c>
      <c r="B524" s="3" t="inlineStr">
        <is>
          <t>windowBounds</t>
        </is>
      </c>
      <c r="C524" s="3" t="inlineStr">
        <is>
          <t>Calculation Module code/engines/window-return.ts</t>
        </is>
      </c>
      <c r="D524" s="3" t="n">
        <v>89</v>
      </c>
      <c r="E524" s="3" t="inlineStr">
        <is>
          <t>2 · DISPLAYED</t>
        </is>
      </c>
      <c r="F524" s="3" t="inlineStr">
        <is>
          <t>NOT DETERMINED — the code carries no note saying what this is for, and it has no row in the old inventory. Needs reading.</t>
        </is>
      </c>
      <c r="G524" s="11" t="inlineStr">
        <is>
          <t>beginning as of = the day before the start
days = round((end − start) in days) + 1</t>
        </is>
      </c>
      <c r="H524" s="3" t="inlineStr">
        <is>
          <t>The bounds of a return window: the beginning value is read on the day BEFORE the start, and the window's length counts both boundary days (brief D3, 2026-08-20).</t>
        </is>
      </c>
      <c r="I524" s="3" t="inlineStr">
        <is>
          <t>READ BY HAND 2026-08-26 — checked line by line against the code</t>
        </is>
      </c>
      <c r="J524" s="3" t="inlineStr">
        <is>
          <t>1. start: string
2. end: string</t>
        </is>
      </c>
      <c r="K524" s="3" t="inlineStr">
        <is>
          <t>WindowBounds</t>
        </is>
      </c>
      <c r="L524" s="3" t="inlineStr">
        <is>
          <t>NOT FOUND — a screen calls it, but the words printed beside its answer could not be traced automatically. Needs reading.</t>
        </is>
      </c>
      <c r="M524" s="3" t="inlineStr">
        <is>
          <t>· Rounds the answer to a whole number.</t>
        </is>
      </c>
      <c r="N524" s="3" t="inlineStr">
        <is>
          <t>Yes</t>
        </is>
      </c>
      <c r="O524" s="3" t="inlineStr">
        <is>
          <t>1. MK-ST-F-063 shiftDay
2. MK-ST-F-062 toUtc</t>
        </is>
      </c>
      <c r="P524" s="3" t="n">
        <v>2</v>
      </c>
      <c r="Q524" s="3" t="inlineStr">
        <is>
          <t>1. MK-ST-F-063 shiftDay
2. MK-ST-F-062 toUtc</t>
        </is>
      </c>
      <c r="R524" s="3" t="inlineStr">
        <is>
          <t>1. MK-ST-F-062 toUtc → MK-ST-F-063 shiftDay → MK-ST-F-038 windowBounds
2. MK-ST-F-062 toUtc → MK-ST-F-038 windowBounds</t>
        </is>
      </c>
      <c r="S524" s="3" t="inlineStr">
        <is>
          <t>—</t>
        </is>
      </c>
      <c r="T524" s="3" t="inlineStr">
        <is>
          <t>—</t>
        </is>
      </c>
      <c r="U524" s="3" t="inlineStr">
        <is>
          <t>ACTIVE</t>
        </is>
      </c>
      <c r="V524" s="3" t="inlineStr">
        <is>
          <t>2026-09-12</t>
        </is>
      </c>
      <c r="W524" s="3" t="n"/>
      <c r="X524" s="3" t="n"/>
      <c r="Y524" s="3" t="inlineStr">
        <is>
          <t>NOTHING OPEN</t>
        </is>
      </c>
    </row>
    <row r="525" ht="60" customHeight="1">
      <c r="A525" s="3" t="inlineStr">
        <is>
          <t>MK-ST-F-039</t>
        </is>
      </c>
      <c r="B525" s="3" t="inlineStr">
        <is>
          <t>on</t>
        </is>
      </c>
      <c r="C525" s="3" t="inlineStr">
        <is>
          <t>src/domain/_shared/eventBus.ts</t>
        </is>
      </c>
      <c r="D525" s="3" t="n">
        <v>43</v>
      </c>
      <c r="E525" s="3" t="inlineStr">
        <is>
          <t>2 · DISPLAYED</t>
        </is>
      </c>
      <c r="F525" s="3" t="inlineStr">
        <is>
          <t>NOT DETERMINED — the code carries no note saying what this is for, and it has no row in the old inventory. Needs reading.</t>
        </is>
      </c>
      <c r="G525" s="11" t="inlineStr">
        <is>
          <t>() =&gt; handlers[event type].delete(handler as handler)</t>
        </is>
      </c>
      <c r="H525" s="3" t="inlineStr">
        <is>
          <t>() =&gt; handlers[event type].delete(handler as handler).</t>
        </is>
      </c>
      <c r="I525" s="3" t="inlineStr">
        <is>
          <t>PARTLY READ — some of the code is still showing through; needs a hand pass</t>
        </is>
      </c>
      <c r="J525" s="3" t="inlineStr">
        <is>
          <t>1. eventType: string
2. handler: Handler&lt;T&gt;</t>
        </is>
      </c>
      <c r="K525" s="3" t="inlineStr">
        <is>
          <t>()</t>
        </is>
      </c>
      <c r="L525" s="3" t="inlineStr">
        <is>
          <t>NOT FOUND — a screen calls it, but the words printed beside its answer could not be traced automatically. Needs reading.</t>
        </is>
      </c>
      <c r="M525" s="3" t="inlineStr">
        <is>
          <t>None found in this function — anything it assumes comes from the functions it depends on.</t>
        </is>
      </c>
      <c r="N525" s="3" t="inlineStr">
        <is>
          <t>Yes</t>
        </is>
      </c>
      <c r="O525" s="3" t="inlineStr">
        <is>
          <t>—</t>
        </is>
      </c>
      <c r="P525" s="3" t="n">
        <v>0</v>
      </c>
      <c r="Q525" s="3" t="inlineStr">
        <is>
          <t>None — no dependent function stands behind it</t>
        </is>
      </c>
      <c r="R525" s="3" t="inlineStr">
        <is>
          <t>No dependent function — it reads its inputs and answers</t>
        </is>
      </c>
      <c r="S525" s="3" t="inlineStr">
        <is>
          <t>—</t>
        </is>
      </c>
      <c r="T525" s="3" t="inlineStr">
        <is>
          <t>—</t>
        </is>
      </c>
      <c r="U525" s="3" t="inlineStr">
        <is>
          <t>ACTIVE</t>
        </is>
      </c>
      <c r="V525" s="3" t="inlineStr">
        <is>
          <t>2026-08-27</t>
        </is>
      </c>
      <c r="W525" s="3" t="n"/>
      <c r="X525" s="3" t="n"/>
      <c r="Y525" s="3" t="inlineStr">
        <is>
          <t>NOTHING OPEN</t>
        </is>
      </c>
    </row>
    <row r="526" ht="60" customHeight="1">
      <c r="A526" s="3" t="inlineStr">
        <is>
          <t>MK-ST-F-040</t>
        </is>
      </c>
      <c r="B526" s="3" t="inlineStr">
        <is>
          <t>emit</t>
        </is>
      </c>
      <c r="C526" s="3" t="inlineStr">
        <is>
          <t>src/domain/_shared/eventBus.ts</t>
        </is>
      </c>
      <c r="D526" s="3" t="n">
        <v>70</v>
      </c>
      <c r="E526" s="3" t="inlineStr">
        <is>
          <t>1 · ACTION</t>
        </is>
      </c>
      <c r="F526" s="3" t="inlineStr">
        <is>
          <t>NOT DETERMINED — the code carries no note saying what this is for, and it has no row in the old inventory. Needs reading.</t>
        </is>
      </c>
      <c r="G526" s="11" t="inlineStr">
        <is>
          <t>It records or announces something and returns no figure — no arithmetic of its own.</t>
        </is>
      </c>
      <c r="H526" s="3" t="inlineStr">
        <is>
          <t>It records or announces something and returns no figure — no arithmetic of its own.</t>
        </is>
      </c>
      <c r="I526" s="3" t="inlineStr">
        <is>
          <t>NO ARITHMETIC — there is no formula to state</t>
        </is>
      </c>
      <c r="J526" s="3" t="inlineStr">
        <is>
          <t>1. eventType: string
2. payload: T</t>
        </is>
      </c>
      <c r="K526" s="3" t="inlineStr">
        <is>
          <t>void</t>
        </is>
      </c>
      <c r="L526" s="3" t="inlineStr">
        <is>
          <t>—</t>
        </is>
      </c>
      <c r="M526" s="3" t="inlineStr">
        <is>
          <t>None found in this function — anything it assumes comes from the functions it depends on.</t>
        </is>
      </c>
      <c r="N526" s="3" t="inlineStr">
        <is>
          <t>Yes</t>
        </is>
      </c>
      <c r="O526" s="3" t="inlineStr">
        <is>
          <t>—</t>
        </is>
      </c>
      <c r="P526" s="3" t="n">
        <v>0</v>
      </c>
      <c r="Q526" s="3" t="inlineStr">
        <is>
          <t>None — no dependent function stands behind it</t>
        </is>
      </c>
      <c r="R526" s="3" t="inlineStr">
        <is>
          <t>No dependent function — it reads its inputs and answers</t>
        </is>
      </c>
      <c r="S526" s="3" t="inlineStr">
        <is>
          <t>—</t>
        </is>
      </c>
      <c r="T526" s="3" t="inlineStr">
        <is>
          <t>—</t>
        </is>
      </c>
      <c r="U526" s="3" t="inlineStr">
        <is>
          <t>ACTIVE</t>
        </is>
      </c>
      <c r="V526" s="3" t="inlineStr">
        <is>
          <t>2026-08-27</t>
        </is>
      </c>
      <c r="W526" s="3" t="n"/>
      <c r="X526" s="3" t="n"/>
      <c r="Y526" s="3" t="inlineStr">
        <is>
          <t>NOTHING OPEN</t>
        </is>
      </c>
    </row>
    <row r="527" ht="60" customHeight="1">
      <c r="A527" s="3" t="inlineStr">
        <is>
          <t>MK-ST-F-041</t>
        </is>
      </c>
      <c r="B527" s="3" t="inlineStr">
        <is>
          <t>getUserDoc</t>
        </is>
      </c>
      <c r="C527" s="3" t="inlineStr">
        <is>
          <t>src/domain/_shared/firestore.ts</t>
        </is>
      </c>
      <c r="D527" s="3" t="n">
        <v>27</v>
      </c>
      <c r="E527" s="3" t="inlineStr">
        <is>
          <t>4 · BRINGS DATA IN</t>
        </is>
      </c>
      <c r="F527" s="3" t="inlineStr">
        <is>
          <t>Read a single-document-per-user collection (e.g.</t>
        </is>
      </c>
      <c r="G527" s="11" t="inlineStr">
        <is>
          <t>snap = await get doc(doc(db, collection name, uid))
the answer:
snap.data() as T   if snap.exists()
nothing   otherwise</t>
        </is>
      </c>
      <c r="H527" s="3" t="inlineStr">
        <is>
          <t>Snap is await get doc(doc(db, collection name, uid)). The answer is snap.data() as T — when snap.exists(); no answer — otherwise.</t>
        </is>
      </c>
      <c r="I527" s="3" t="inlineStr">
        <is>
          <t>PARTLY READ — some of the code is still showing through; needs a hand pass</t>
        </is>
      </c>
      <c r="J527" s="3" t="inlineStr">
        <is>
          <t>1. collectionName: string
2. uid: UserId</t>
        </is>
      </c>
      <c r="K527" s="3" t="inlineStr">
        <is>
          <t>Promise&lt;T | null&gt;</t>
        </is>
      </c>
      <c r="L527" s="3" t="inlineStr">
        <is>
          <t>—</t>
        </is>
      </c>
      <c r="M527" s="3" t="inlineStr">
        <is>
          <t>None found in this function — anything it assumes comes from the functions it depends on.</t>
        </is>
      </c>
      <c r="N527" s="3" t="inlineStr">
        <is>
          <t>No</t>
        </is>
      </c>
      <c r="O527" s="3" t="inlineStr">
        <is>
          <t>MK-XS-F-175 uid</t>
        </is>
      </c>
      <c r="P527" s="3" t="n">
        <v>88</v>
      </c>
      <c r="Q52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MK-NW-F-009 maturityClass
79. MK-ST-F-010 nameEvidence
80. MK-CF-F-075 retirementIncomeMonthly
81. MK-ST-F-047 activeCurrency
82. MK-CF-F-099 deductionFor
83. MK-NW-F-011 assetClassOf
84. MK-NW-F-068 prettyDay
85. MK-XS-F-147 call
86. MK-CF-F-187 seniorDeductionFor
87. MK-XS-F-064 currentIdToken
88. MK-XS-F-112 relayUrl</t>
        </is>
      </c>
      <c r="R527" s="3" t="inlineStr">
        <is>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is>
      </c>
      <c r="S527" s="3" t="inlineStr">
        <is>
          <t>—</t>
        </is>
      </c>
      <c r="T527" s="3" t="inlineStr">
        <is>
          <t>—</t>
        </is>
      </c>
      <c r="U527" s="3" t="inlineStr">
        <is>
          <t>ACTIVE</t>
        </is>
      </c>
      <c r="V527" s="3" t="inlineStr">
        <is>
          <t>2026-08-27</t>
        </is>
      </c>
      <c r="W527" s="3" t="n"/>
      <c r="X527" s="3" t="n"/>
      <c r="Y527" s="3" t="inlineStr">
        <is>
          <t>NOTHING OPEN</t>
        </is>
      </c>
    </row>
    <row r="528" ht="60" customHeight="1">
      <c r="A528" s="3" t="inlineStr">
        <is>
          <t>MK-ST-F-042</t>
        </is>
      </c>
      <c r="B528" s="3" t="inlineStr">
        <is>
          <t>setUserDoc</t>
        </is>
      </c>
      <c r="C528" s="3" t="inlineStr">
        <is>
          <t>src/domain/_shared/firestore.ts</t>
        </is>
      </c>
      <c r="D528" s="3" t="n">
        <v>55</v>
      </c>
      <c r="E528" s="3" t="inlineStr">
        <is>
          <t>1 · ACTION</t>
        </is>
      </c>
      <c r="F528" s="3" t="inlineStr">
        <is>
          <t>Write/merge a single-document-per-user collection, stamping last_updated.</t>
        </is>
      </c>
      <c r="G528" s="11" t="inlineStr">
        <is>
          <t>It reaches outside the app for data and hands back what came back — no arithmetic of its own.</t>
        </is>
      </c>
      <c r="H528" s="3" t="inlineStr">
        <is>
          <t>It reaches outside the app for data and hands back what came back — no arithmetic of its own.</t>
        </is>
      </c>
      <c r="I528" s="3" t="inlineStr">
        <is>
          <t>NO ARITHMETIC — there is no formula to state</t>
        </is>
      </c>
      <c r="J528" s="3" t="inlineStr">
        <is>
          <t>1. collectionName: string
2. uid: UserId
3. data: T</t>
        </is>
      </c>
      <c r="K528" s="3" t="inlineStr">
        <is>
          <t>Promise&lt;void&gt;</t>
        </is>
      </c>
      <c r="L528" s="3" t="inlineStr">
        <is>
          <t>—</t>
        </is>
      </c>
      <c r="M528" s="3" t="inlineStr">
        <is>
          <t>None found in this function — anything it assumes comes from the functions it depends on.</t>
        </is>
      </c>
      <c r="N528" s="3" t="inlineStr">
        <is>
          <t>Yes</t>
        </is>
      </c>
      <c r="O528" s="3" t="inlineStr">
        <is>
          <t>MK-XS-F-175 uid</t>
        </is>
      </c>
      <c r="P528" s="3" t="n">
        <v>88</v>
      </c>
      <c r="Q528"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MK-NW-F-009 maturityClass
79. MK-ST-F-010 nameEvidence
80. MK-CF-F-075 retirementIncomeMonthly
81. MK-ST-F-047 activeCurrency
82. MK-CF-F-099 deductionFor
83. MK-NW-F-011 assetClassOf
84. MK-NW-F-068 prettyDay
85. MK-XS-F-147 call
86. MK-CF-F-187 seniorDeductionFor
87. MK-XS-F-064 currentIdToken
88. MK-XS-F-112 relayUrl</t>
        </is>
      </c>
      <c r="R528" s="3" t="inlineStr">
        <is>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is>
      </c>
      <c r="S528" s="3" t="inlineStr">
        <is>
          <t>—</t>
        </is>
      </c>
      <c r="T528" s="3" t="inlineStr">
        <is>
          <t>—</t>
        </is>
      </c>
      <c r="U528" s="3" t="inlineStr">
        <is>
          <t>ACTIVE</t>
        </is>
      </c>
      <c r="V528" s="3" t="inlineStr">
        <is>
          <t>2026-08-27</t>
        </is>
      </c>
      <c r="W528" s="3" t="n"/>
      <c r="X528" s="3" t="n"/>
      <c r="Y528" s="3" t="inlineStr">
        <is>
          <t>NOTHING OPEN</t>
        </is>
      </c>
    </row>
    <row r="529" ht="45" customHeight="1">
      <c r="A529" s="3" t="inlineStr">
        <is>
          <t>MK-ST-F-043</t>
        </is>
      </c>
      <c r="B529" s="3" t="inlineStr">
        <is>
          <t>newEntityId</t>
        </is>
      </c>
      <c r="C529" s="3" t="inlineStr">
        <is>
          <t>src/domain/_shared/ids.ts</t>
        </is>
      </c>
      <c r="D529" s="3" t="n">
        <v>40</v>
      </c>
      <c r="E529" s="3" t="inlineStr">
        <is>
          <t>2 · DISPLAYED</t>
        </is>
      </c>
      <c r="F529" s="3" t="inlineStr">
        <is>
          <t>What do we call this new thing?</t>
        </is>
      </c>
      <c r="G529" s="11" t="inlineStr">
        <is>
          <t>`${prefix}_${date.now().to string(36)}${math.random().to string(36).slice(2, 8)}`</t>
        </is>
      </c>
      <c r="H529" s="3" t="inlineStr">
        <is>
          <t>`${prefix}_${date.now().to string(36)}${math.random().to string(36).slice(2, 8)}`.</t>
        </is>
      </c>
      <c r="I529" s="3" t="inlineStr">
        <is>
          <t>PARTLY READ — some of the code is still showing through; needs a hand pass</t>
        </is>
      </c>
      <c r="J529" s="3" t="inlineStr">
        <is>
          <t>prefix: string</t>
        </is>
      </c>
      <c r="K529" s="3" t="inlineStr">
        <is>
          <t>EntityId</t>
        </is>
      </c>
      <c r="L529" s="3" t="inlineStr">
        <is>
          <t>NOT FOUND — a screen calls it, but the words printed beside its answer could not be traced automatically. Needs reading.</t>
        </is>
      </c>
      <c r="M529" s="3" t="inlineStr">
        <is>
          <t>· Uses today's date from the device clock, so the answer changes by itself overnight.</t>
        </is>
      </c>
      <c r="N529" s="3" t="inlineStr">
        <is>
          <t>Yes</t>
        </is>
      </c>
      <c r="O529" s="3" t="inlineStr">
        <is>
          <t>—</t>
        </is>
      </c>
      <c r="P529" s="3" t="n">
        <v>0</v>
      </c>
      <c r="Q529" s="3" t="inlineStr">
        <is>
          <t>None — no dependent function stands behind it</t>
        </is>
      </c>
      <c r="R529" s="3" t="inlineStr">
        <is>
          <t>No dependent function — it reads its inputs and answers</t>
        </is>
      </c>
      <c r="S529" s="3" t="inlineStr">
        <is>
          <t>—</t>
        </is>
      </c>
      <c r="T529" s="3" t="inlineStr">
        <is>
          <t>NEW_ID</t>
        </is>
      </c>
      <c r="U529" s="3" t="inlineStr">
        <is>
          <t>ACTIVE</t>
        </is>
      </c>
      <c r="V529" s="3" t="inlineStr">
        <is>
          <t>2026-08-27</t>
        </is>
      </c>
      <c r="W529" s="3" t="n"/>
      <c r="X529" s="3" t="n"/>
      <c r="Y529" s="3" t="inlineStr">
        <is>
          <t>NOTHING OPEN</t>
        </is>
      </c>
    </row>
    <row r="530" ht="60" customHeight="1">
      <c r="A530" s="3" t="inlineStr">
        <is>
          <t>MK-ST-F-044</t>
        </is>
      </c>
      <c r="B530" s="3" t="inlineStr">
        <is>
          <t>setMoneyFormat</t>
        </is>
      </c>
      <c r="C530" s="3" t="inlineStr">
        <is>
          <t>src/domain/_shared/money.ts</t>
        </is>
      </c>
      <c r="D530" s="3" t="n">
        <v>56</v>
      </c>
      <c r="E530" s="3" t="inlineStr">
        <is>
          <t>1 · ACTION</t>
        </is>
      </c>
      <c r="F530" s="3" t="inlineStr">
        <is>
          <t>NOT DETERMINED — the code carries no note saying what this is for, and it has no row in the old inventory. Needs reading.</t>
        </is>
      </c>
      <c r="G530" s="11" t="inlineStr">
        <is>
          <t>c = CURRENCIES.find((x) =&gt; code = currency)</t>
        </is>
      </c>
      <c r="H530" s="3" t="inlineStr">
        <is>
          <t>C is CURRENCIES.find((x) =&gt; code = currency).</t>
        </is>
      </c>
      <c r="I530" s="3" t="inlineStr">
        <is>
          <t>PARTLY READ — some of the code is still showing through; needs a hand pass</t>
        </is>
      </c>
      <c r="J530" s="3" t="inlineStr">
        <is>
          <t>1. currency?: string | null
2. locale?: string | null</t>
        </is>
      </c>
      <c r="K530" s="3" t="inlineStr">
        <is>
          <t>NOT DECLARED — the code does not say what it gives back</t>
        </is>
      </c>
      <c r="L530" s="3" t="inlineStr">
        <is>
          <t>—</t>
        </is>
      </c>
      <c r="M530" s="3" t="inlineStr">
        <is>
          <t>None found in this function — anything it assumes comes from the functions it depends on.</t>
        </is>
      </c>
      <c r="N530" s="3" t="inlineStr">
        <is>
          <t>Yes</t>
        </is>
      </c>
      <c r="O530" s="3" t="inlineStr">
        <is>
          <t>1. MK-ST-F-053 money
2. MK-ST-F-055 round2</t>
        </is>
      </c>
      <c r="P530" s="3" t="n">
        <v>7</v>
      </c>
      <c r="Q530" s="3" t="inlineStr">
        <is>
          <t>1. MK-ST-F-053 money
2. MK-ST-F-055 round2
3. MK-ST-F-049 formatMoney
4. MK-XS-F-122 n
5. MK-ST-F-048 currencySymbol
6. MK-ST-F-039 on
7. MK-ST-F-047 activeCurrency</t>
        </is>
      </c>
      <c r="R530"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530" s="3" t="inlineStr">
        <is>
          <t>—</t>
        </is>
      </c>
      <c r="T530" s="3" t="inlineStr">
        <is>
          <t>—</t>
        </is>
      </c>
      <c r="U530" s="3" t="inlineStr">
        <is>
          <t>ACTIVE</t>
        </is>
      </c>
      <c r="V530" s="3" t="inlineStr">
        <is>
          <t>2026-08-27</t>
        </is>
      </c>
      <c r="W530" s="3" t="n"/>
      <c r="X530" s="3" t="n"/>
      <c r="Y530" s="3" t="inlineStr">
        <is>
          <t>NOTHING OPEN</t>
        </is>
      </c>
    </row>
    <row r="531" ht="60" customHeight="1">
      <c r="A531" s="3" t="inlineStr">
        <is>
          <t>MK-ST-F-045</t>
        </is>
      </c>
      <c r="B531" s="3" t="inlineStr">
        <is>
          <t>setHideBalances</t>
        </is>
      </c>
      <c r="C531" s="3" t="inlineStr">
        <is>
          <t>src/domain/_shared/money.ts</t>
        </is>
      </c>
      <c r="D531" s="3" t="n">
        <v>88</v>
      </c>
      <c r="E531" s="3" t="inlineStr">
        <is>
          <t>1 · ACTION</t>
        </is>
      </c>
      <c r="F531" s="3" t="inlineStr">
        <is>
          <t>NOT DETERMINED — the code carries no note saying what this is for, and it has no row in the old inventory. Needs reading.</t>
        </is>
      </c>
      <c r="G531" s="11" t="inlineStr">
        <is>
          <t>It records or announces something and returns no figure — no arithmetic of its own.</t>
        </is>
      </c>
      <c r="H531" s="3" t="inlineStr">
        <is>
          <t>It records or announces something and returns no figure — no arithmetic of its own.</t>
        </is>
      </c>
      <c r="I531" s="3" t="inlineStr">
        <is>
          <t>NO ARITHMETIC — there is no formula to state</t>
        </is>
      </c>
      <c r="J531" s="3" t="inlineStr">
        <is>
          <t>b: boolean</t>
        </is>
      </c>
      <c r="K531" s="3" t="inlineStr">
        <is>
          <t>NOT DECLARED — the code does not say what it gives back</t>
        </is>
      </c>
      <c r="L531" s="3" t="inlineStr">
        <is>
          <t>—</t>
        </is>
      </c>
      <c r="M531" s="3" t="inlineStr">
        <is>
          <t>None found in this function — anything it assumes comes from the functions it depends on.</t>
        </is>
      </c>
      <c r="N531" s="3" t="inlineStr">
        <is>
          <t>Yes</t>
        </is>
      </c>
      <c r="O531" s="3" t="inlineStr">
        <is>
          <t>—</t>
        </is>
      </c>
      <c r="P531" s="3" t="n">
        <v>0</v>
      </c>
      <c r="Q531" s="3" t="inlineStr">
        <is>
          <t>None — no dependent function stands behind it</t>
        </is>
      </c>
      <c r="R531" s="3" t="inlineStr">
        <is>
          <t>No dependent function — it reads its inputs and answers</t>
        </is>
      </c>
      <c r="S531" s="3" t="inlineStr">
        <is>
          <t>—</t>
        </is>
      </c>
      <c r="T531" s="3" t="inlineStr">
        <is>
          <t>—</t>
        </is>
      </c>
      <c r="U531" s="3" t="inlineStr">
        <is>
          <t>ACTIVE</t>
        </is>
      </c>
      <c r="V531" s="3" t="inlineStr">
        <is>
          <t>2026-08-27</t>
        </is>
      </c>
      <c r="W531" s="3" t="n"/>
      <c r="X531" s="3" t="n"/>
      <c r="Y531" s="3" t="inlineStr">
        <is>
          <t>NOTHING OPEN</t>
        </is>
      </c>
    </row>
    <row r="532" ht="60" customHeight="1">
      <c r="A532" s="3" t="inlineStr">
        <is>
          <t>MK-ST-F-046</t>
        </is>
      </c>
      <c r="B532" s="3" t="inlineStr">
        <is>
          <t>balancesHidden</t>
        </is>
      </c>
      <c r="C532" s="3" t="inlineStr">
        <is>
          <t>src/domain/_shared/money.ts</t>
        </is>
      </c>
      <c r="D532" s="3" t="n">
        <v>104</v>
      </c>
      <c r="E532" s="3" t="inlineStr">
        <is>
          <t>3 · DEPENDENT (feeds an action only)</t>
        </is>
      </c>
      <c r="F532" s="3" t="inlineStr">
        <is>
          <t>NOT DETERMINED — the code carries no note saying what this is for, and it has no row in the old inventory. Needs reading.</t>
        </is>
      </c>
      <c r="G532" s="11" t="inlineStr">
        <is>
          <t>the answer = the hide-balances switch</t>
        </is>
      </c>
      <c r="H532" s="3" t="inlineStr">
        <is>
          <t>Whether the person has hidden balances on screen. No arithmetic.</t>
        </is>
      </c>
      <c r="I532" s="3" t="inlineStr">
        <is>
          <t>READ BY HAND 2026-08-26 — checked line by line against the code</t>
        </is>
      </c>
      <c r="J532" s="3" t="inlineStr">
        <is>
          <t>Nothing is handed to it</t>
        </is>
      </c>
      <c r="K532" s="3" t="inlineStr">
        <is>
          <t>boolean</t>
        </is>
      </c>
      <c r="L532" s="3" t="inlineStr">
        <is>
          <t>—</t>
        </is>
      </c>
      <c r="M532" s="3" t="inlineStr">
        <is>
          <t>None found in this function — anything it assumes comes from the functions it depends on.</t>
        </is>
      </c>
      <c r="N532" s="3" t="inlineStr">
        <is>
          <t>No</t>
        </is>
      </c>
      <c r="O532" s="3" t="inlineStr">
        <is>
          <t>—</t>
        </is>
      </c>
      <c r="P532" s="3" t="n">
        <v>0</v>
      </c>
      <c r="Q532" s="3" t="inlineStr">
        <is>
          <t>None — no dependent function stands behind it</t>
        </is>
      </c>
      <c r="R532" s="3" t="inlineStr">
        <is>
          <t>No dependent function — it reads its inputs and answers</t>
        </is>
      </c>
      <c r="S532" s="3" t="inlineStr">
        <is>
          <t>—</t>
        </is>
      </c>
      <c r="T532" s="3" t="inlineStr">
        <is>
          <t>—</t>
        </is>
      </c>
      <c r="U532" s="3" t="inlineStr">
        <is>
          <t>ACTIVE</t>
        </is>
      </c>
      <c r="V532" s="3" t="inlineStr">
        <is>
          <t>2026-09-12</t>
        </is>
      </c>
      <c r="W532" s="3" t="n"/>
      <c r="X532" s="3" t="n"/>
      <c r="Y532" s="3" t="inlineStr">
        <is>
          <t>NOTHING OPEN</t>
        </is>
      </c>
    </row>
    <row r="533" ht="45" customHeight="1">
      <c r="A533" s="3" t="inlineStr">
        <is>
          <t>MK-ST-F-047</t>
        </is>
      </c>
      <c r="B533" s="3" t="inlineStr">
        <is>
          <t>activeCurrency</t>
        </is>
      </c>
      <c r="C533" s="3" t="inlineStr">
        <is>
          <t>src/domain/_shared/money.ts</t>
        </is>
      </c>
      <c r="D533" s="3" t="n">
        <v>133</v>
      </c>
      <c r="E533" s="3" t="inlineStr">
        <is>
          <t>3 · DEPENDENT</t>
        </is>
      </c>
      <c r="F533" s="3" t="inlineStr">
        <is>
          <t>Which currency is the app showing?</t>
        </is>
      </c>
      <c r="G533" s="11" t="inlineStr">
        <is>
          <t>the first of CURRENCIES.find((c) =&gt; code = code) (or CURRENCIES when missing)</t>
        </is>
      </c>
      <c r="H533" s="3" t="inlineStr">
        <is>
          <t>the first of CURRENCIES.find((c) =&gt; code = code) (or CURRENCIES — when missing).</t>
        </is>
      </c>
      <c r="I533" s="3" t="inlineStr">
        <is>
          <t>PARTLY READ — some of the code is still showing through; needs a hand pass</t>
        </is>
      </c>
      <c r="J533" s="3" t="inlineStr">
        <is>
          <t>Nothing is handed to it</t>
        </is>
      </c>
      <c r="K533" s="3" t="inlineStr">
        <is>
          <t>Currency</t>
        </is>
      </c>
      <c r="L533" s="3" t="inlineStr">
        <is>
          <t>—</t>
        </is>
      </c>
      <c r="M533" s="3" t="inlineStr">
        <is>
          <t>None found in this function — anything it assumes comes from the functions it depends on.</t>
        </is>
      </c>
      <c r="N533" s="3" t="inlineStr">
        <is>
          <t>Yes</t>
        </is>
      </c>
      <c r="O533" s="3" t="inlineStr">
        <is>
          <t>—</t>
        </is>
      </c>
      <c r="P533" s="3" t="n">
        <v>0</v>
      </c>
      <c r="Q533" s="3" t="inlineStr">
        <is>
          <t>None — no dependent function stands behind it</t>
        </is>
      </c>
      <c r="R533" s="3" t="inlineStr">
        <is>
          <t>No dependent function — it reads its inputs and answers</t>
        </is>
      </c>
      <c r="S533" s="3" t="inlineStr">
        <is>
          <t>—</t>
        </is>
      </c>
      <c r="T533" s="3" t="inlineStr">
        <is>
          <t>CURRENCY</t>
        </is>
      </c>
      <c r="U533" s="3" t="inlineStr">
        <is>
          <t>ACTIVE</t>
        </is>
      </c>
      <c r="V533" s="3" t="inlineStr">
        <is>
          <t>2026-08-27</t>
        </is>
      </c>
      <c r="W533" s="3" t="n"/>
      <c r="X533" s="3" t="n"/>
      <c r="Y533" s="3" t="inlineStr">
        <is>
          <t>NOTHING OPEN</t>
        </is>
      </c>
    </row>
    <row r="534" ht="60" customHeight="1">
      <c r="A534" s="3" t="inlineStr">
        <is>
          <t>MK-ST-F-048</t>
        </is>
      </c>
      <c r="B534" s="3" t="inlineStr">
        <is>
          <t>currencySymbol</t>
        </is>
      </c>
      <c r="C534" s="3" t="inlineStr">
        <is>
          <t>src/domain/_shared/money.ts</t>
        </is>
      </c>
      <c r="D534" s="3" t="n">
        <v>164</v>
      </c>
      <c r="E534" s="3" t="inlineStr">
        <is>
          <t>2 · DISPLAYED</t>
        </is>
      </c>
      <c r="F534" s="3" t="inlineStr">
        <is>
          <t>NOT DETERMINED — the code carries no note saying what this is for, and it has no row in the old inventory. Needs reading.</t>
        </is>
      </c>
      <c r="G534" s="11" t="inlineStr">
        <is>
          <t>active currency().symbol</t>
        </is>
      </c>
      <c r="H534" s="3" t="inlineStr">
        <is>
          <t>active currency().symbol.</t>
        </is>
      </c>
      <c r="I534" s="3" t="inlineStr">
        <is>
          <t>PARTLY READ — some of the code is still showing through; needs a hand pass</t>
        </is>
      </c>
      <c r="J534" s="3" t="inlineStr">
        <is>
          <t>Nothing is handed to it</t>
        </is>
      </c>
      <c r="K534" s="3" t="inlineStr">
        <is>
          <t>string</t>
        </is>
      </c>
      <c r="L534" s="3" t="inlineStr">
        <is>
          <t>1. "Amount" — on the Look back screen
2. "Estimated benefit" — on the Retirement cockpit screen
3. "HOW MUCH WILL YOU INVEST PER YEAR?" — on the setup questions, which appear on more than one screen
4. "How much (this disbursement)" — on the setup questions, which appear on more than one screen
5. "How much per month" — on the setup questions, which appear on more than one screen
6. "How often?" — on the setup questions, which appear on more than one screen</t>
        </is>
      </c>
      <c r="M534" s="3" t="inlineStr">
        <is>
          <t>None found in this function — anything it assumes comes from the functions it depends on.</t>
        </is>
      </c>
      <c r="N534" s="3" t="inlineStr">
        <is>
          <t>Yes</t>
        </is>
      </c>
      <c r="O534" s="3" t="inlineStr">
        <is>
          <t>MK-ST-F-047 activeCurrency</t>
        </is>
      </c>
      <c r="P534" s="3" t="n">
        <v>1</v>
      </c>
      <c r="Q534" s="3" t="inlineStr">
        <is>
          <t>MK-ST-F-047 activeCurrency</t>
        </is>
      </c>
      <c r="R534" s="3" t="inlineStr">
        <is>
          <t>MK-ST-F-047 activeCurrency → MK-ST-F-048 currencySymbol</t>
        </is>
      </c>
      <c r="S534" s="3" t="inlineStr">
        <is>
          <t>—</t>
        </is>
      </c>
      <c r="T534" s="3" t="inlineStr">
        <is>
          <t>—</t>
        </is>
      </c>
      <c r="U534" s="3" t="inlineStr">
        <is>
          <t>ACTIVE</t>
        </is>
      </c>
      <c r="V534" s="3" t="inlineStr">
        <is>
          <t>2026-08-27</t>
        </is>
      </c>
      <c r="W534" s="3" t="n"/>
      <c r="X534" s="3" t="n"/>
      <c r="Y534" s="3" t="inlineStr">
        <is>
          <t>NOTHING OPEN</t>
        </is>
      </c>
    </row>
    <row r="535" ht="60" customHeight="1">
      <c r="A535" s="3" t="inlineStr">
        <is>
          <t>MK-ST-F-049</t>
        </is>
      </c>
      <c r="B535" s="3" t="inlineStr">
        <is>
          <t>formatMoney</t>
        </is>
      </c>
      <c r="C535" s="3" t="inlineStr">
        <is>
          <t>src/domain/_shared/money.ts</t>
        </is>
      </c>
      <c r="D535" s="3" t="n">
        <v>208</v>
      </c>
      <c r="E535" s="3" t="inlineStr">
        <is>
          <t>2 · DISPLAYED</t>
        </is>
      </c>
      <c r="F535" s="3" t="inlineStr">
        <is>
          <t>Full amount, no minor units (matches the app's whole-number money style), locale-grouped.</t>
        </is>
      </c>
      <c r="G535" s="11" t="inlineStr">
        <is>
          <t>BALANCE_MASK   when hide
NOT_A_NUMBER   when !number.is finite(n)
v = round(n)
the answer = new intl.number format(locale, { style: 'currency', currency: code, maximum fraction digits: 0 }).format(v)
neg = '-'   if v &lt; 0
''   otherwise</t>
        </is>
      </c>
      <c r="H535" s="3" t="inlineStr">
        <is>
          <t>When hide, it answers BALANCE_MASK. When !number.is finite(n), it answers NOT_A_NUMBER. V is n, to a whole number. The answer is new intl.number format(locale, { style: 'currency', currency: code, maximum fraction digits: 0 }).format(v). Neg is '-' — when v &lt; 0; '' — otherwise.</t>
        </is>
      </c>
      <c r="I535" s="3" t="inlineStr">
        <is>
          <t>PARTLY READ — some of the code is still showing through; needs a hand pass</t>
        </is>
      </c>
      <c r="J535" s="3" t="inlineStr">
        <is>
          <t>n: number</t>
        </is>
      </c>
      <c r="K535" s="3" t="inlineStr">
        <is>
          <t>string</t>
        </is>
      </c>
      <c r="L535" s="3" t="inlineStr">
        <is>
          <t>NOT FOUND — a screen calls it, but the words printed beside its answer could not be traced automatically. Needs reading.</t>
        </is>
      </c>
      <c r="M535" s="3" t="inlineStr">
        <is>
          <t>· Rounds the answer to a whole number.</t>
        </is>
      </c>
      <c r="N535" s="3" t="inlineStr">
        <is>
          <t>Yes</t>
        </is>
      </c>
      <c r="O535" s="3" t="inlineStr">
        <is>
          <t>1. MK-ST-F-048 currencySymbol
2. MK-XS-F-122 n
3. MK-ST-F-039 on</t>
        </is>
      </c>
      <c r="P535" s="3" t="n">
        <v>4</v>
      </c>
      <c r="Q535" s="3" t="inlineStr">
        <is>
          <t>1. MK-ST-F-048 currencySymbol
2. MK-XS-F-122 n
3. MK-ST-F-039 on
4. MK-ST-F-047 activeCurrency</t>
        </is>
      </c>
      <c r="R535" s="3" t="inlineStr">
        <is>
          <t>1. MK-ST-F-047 activeCurrency → MK-ST-F-048 currencySymbol → MK-ST-F-049 formatMoney
2. MK-XS-F-122 n → MK-ST-F-049 formatMoney
3. MK-ST-F-039 on → MK-ST-F-049 formatMoney</t>
        </is>
      </c>
      <c r="S535" s="3" t="inlineStr">
        <is>
          <t>—</t>
        </is>
      </c>
      <c r="T535" s="3" t="inlineStr">
        <is>
          <t>MONEY_IN_WORDS</t>
        </is>
      </c>
      <c r="U535" s="3" t="inlineStr">
        <is>
          <t>ACTIVE</t>
        </is>
      </c>
      <c r="V535" s="3" t="inlineStr">
        <is>
          <t>2026-08-27</t>
        </is>
      </c>
      <c r="W535" s="3" t="n"/>
      <c r="X535" s="3" t="n"/>
      <c r="Y535" s="3" t="inlineStr">
        <is>
          <t>NOTHING OPEN</t>
        </is>
      </c>
    </row>
    <row r="536" ht="60" customHeight="1">
      <c r="A536" s="3" t="inlineStr">
        <is>
          <t>MK-ST-F-050</t>
        </is>
      </c>
      <c r="B536" s="3" t="inlineStr">
        <is>
          <t>formatMoneyCents</t>
        </is>
      </c>
      <c r="C536" s="3" t="inlineStr">
        <is>
          <t>src/domain/_shared/money.ts</t>
        </is>
      </c>
      <c r="D536" s="3" t="n">
        <v>247</v>
      </c>
      <c r="E536" s="3" t="inlineStr">
        <is>
          <t>3 · DEPENDENT</t>
        </is>
      </c>
      <c r="F536" s="3" t="inlineStr">
        <is>
          <t>Same as formatMoney but keeps 2 decimal places — for precise amounts (transactions, holdings, recurring lines).</t>
        </is>
      </c>
      <c r="G536" s="11" t="inlineStr">
        <is>
          <t>BALANCE_MASK   when hide
NOT_A_NUMBER   when !number.is finite(n)
v = n
the answer = new intl.number format(locale, { style: 'currency', currency: code, minimum fraction digits: 2, maximum fraction digits: 2 }).format(v)
neg = '-'   if v &lt; 0
''   otherwise</t>
        </is>
      </c>
      <c r="H536"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536" s="3" t="inlineStr">
        <is>
          <t>PARTLY READ — some of the code is still showing through; needs a hand pass</t>
        </is>
      </c>
      <c r="J536" s="3" t="inlineStr">
        <is>
          <t>n: number</t>
        </is>
      </c>
      <c r="K536" s="3" t="inlineStr">
        <is>
          <t>string</t>
        </is>
      </c>
      <c r="L536" s="3" t="inlineStr">
        <is>
          <t>—</t>
        </is>
      </c>
      <c r="M536" s="3" t="inlineStr">
        <is>
          <t>None found in this function — anything it assumes comes from the functions it depends on.</t>
        </is>
      </c>
      <c r="N536" s="3" t="inlineStr">
        <is>
          <t>Yes</t>
        </is>
      </c>
      <c r="O536" s="3" t="inlineStr">
        <is>
          <t>1. MK-ST-F-048 currencySymbol
2. MK-XS-F-122 n</t>
        </is>
      </c>
      <c r="P536" s="3" t="n">
        <v>3</v>
      </c>
      <c r="Q536" s="3" t="inlineStr">
        <is>
          <t>1. MK-ST-F-048 currencySymbol
2. MK-XS-F-122 n
3. MK-ST-F-047 activeCurrency</t>
        </is>
      </c>
      <c r="R536" s="3" t="inlineStr">
        <is>
          <t>1. MK-ST-F-047 activeCurrency → MK-ST-F-048 currencySymbol → MK-ST-F-050 formatMoneyCents
2. MK-XS-F-122 n → MK-ST-F-050 formatMoneyCents</t>
        </is>
      </c>
      <c r="S536" s="3" t="inlineStr">
        <is>
          <t>—</t>
        </is>
      </c>
      <c r="T536" s="3" t="inlineStr">
        <is>
          <t>MONEY_IN_WORDS_WITH_CENTS</t>
        </is>
      </c>
      <c r="U536" s="3" t="inlineStr">
        <is>
          <t>ACTIVE</t>
        </is>
      </c>
      <c r="V536" s="3" t="inlineStr">
        <is>
          <t>2026-08-27</t>
        </is>
      </c>
      <c r="W536" s="3" t="n"/>
      <c r="X536" s="3" t="n"/>
      <c r="Y536" s="3" t="inlineStr">
        <is>
          <t>NOTHING OPEN</t>
        </is>
      </c>
    </row>
    <row r="537" ht="60" customHeight="1">
      <c r="A537" s="3" t="inlineStr">
        <is>
          <t>MK-ST-F-051</t>
        </is>
      </c>
      <c r="B537" s="3" t="inlineStr">
        <is>
          <t>moneyCompact</t>
        </is>
      </c>
      <c r="C537" s="3" t="inlineStr">
        <is>
          <t>src/domain/_shared/money.ts</t>
        </is>
      </c>
      <c r="D537" s="3" t="n">
        <v>290</v>
      </c>
      <c r="E537" s="3" t="inlineStr">
        <is>
          <t>2 · DISPLAYED</t>
        </is>
      </c>
      <c r="F537" s="3" t="inlineStr">
        <is>
          <t>Compact form for tight spaces (chart labels, donut center).</t>
        </is>
      </c>
      <c r="G537" s="11" t="inlineStr">
        <is>
          <t>BALANCE_MASK   when hide
s = currency symbol()
neg = '-'   if n &lt; 0
''   otherwise
a = size of(n)
`${neg}${s}${(a ÷ 1e6).to fixed(2).replace( ÷ \.?0+$ ÷ , '')}${style}`   when a ≥ 1e6
`${neg}${s}${math.round(a ÷ 1e3)}K`   when a ≥ 1e3
the answer = `${neg}${s}${math.round(a)}`</t>
        </is>
      </c>
      <c r="H537"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537" s="3" t="inlineStr">
        <is>
          <t>PARTLY READ — some of the code is still showing through; needs a hand pass</t>
        </is>
      </c>
      <c r="J537" s="3" t="inlineStr">
        <is>
          <t>1. n: number
2. style: 'M' | 'MM' = 'MM'</t>
        </is>
      </c>
      <c r="K537" s="3" t="inlineStr">
        <is>
          <t>string</t>
        </is>
      </c>
      <c r="L537"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537" s="3" t="inlineStr">
        <is>
          <t>1. Rounds the answer to a whole number.
2. Shows 2 decimal places.</t>
        </is>
      </c>
      <c r="N537" s="3" t="inlineStr">
        <is>
          <t>Yes</t>
        </is>
      </c>
      <c r="O537" s="3" t="inlineStr">
        <is>
          <t>1. MK-ST-F-048 currencySymbol
2. MK-XS-F-122 n</t>
        </is>
      </c>
      <c r="P537" s="3" t="n">
        <v>3</v>
      </c>
      <c r="Q537" s="3" t="inlineStr">
        <is>
          <t>1. MK-ST-F-048 currencySymbol
2. MK-XS-F-122 n
3. MK-ST-F-047 activeCurrency</t>
        </is>
      </c>
      <c r="R537" s="3" t="inlineStr">
        <is>
          <t>1. MK-ST-F-047 activeCurrency → MK-ST-F-048 currencySymbol → MK-ST-F-051 moneyCompact
2. MK-XS-F-122 n → MK-ST-F-051 moneyCompact</t>
        </is>
      </c>
      <c r="S537" s="3" t="inlineStr">
        <is>
          <t>—</t>
        </is>
      </c>
      <c r="T537" s="3" t="inlineStr">
        <is>
          <t>—</t>
        </is>
      </c>
      <c r="U537" s="3" t="inlineStr">
        <is>
          <t>ACTIVE</t>
        </is>
      </c>
      <c r="V537" s="3" t="inlineStr">
        <is>
          <t>2026-08-27</t>
        </is>
      </c>
      <c r="W537" s="3" t="n"/>
      <c r="X537" s="3" t="n"/>
      <c r="Y537" s="3" t="inlineStr">
        <is>
          <t>NOTHING OPEN</t>
        </is>
      </c>
    </row>
    <row r="538" ht="60" customHeight="1">
      <c r="A538" s="3" t="inlineStr">
        <is>
          <t>MK-ST-F-052</t>
        </is>
      </c>
      <c r="B538" s="3" t="inlineStr">
        <is>
          <t>toNum</t>
        </is>
      </c>
      <c r="C538" s="3" t="inlineStr">
        <is>
          <t>src/domain/_shared/num.ts</t>
        </is>
      </c>
      <c r="D538" s="3" t="n">
        <v>66</v>
      </c>
      <c r="E538" s="3" t="inlineStr">
        <is>
          <t>3 · DEPENDENT</t>
        </is>
      </c>
      <c r="F538" s="3" t="inlineStr">
        <is>
          <t>What number did the person actually type?</t>
        </is>
      </c>
      <c r="G538" s="11" t="inlineStr">
        <is>
          <t>n = parse float(string(v ?? '').replace( ÷ [^0 − 9.\-] ÷ g, ''))
the answer:
n   if number.is finite(n)
0   otherwise</t>
        </is>
      </c>
      <c r="H538" s="3" t="inlineStr">
        <is>
          <t>N is parse float(string(v ?? '').replace( divided by [^0 minus 9.\-] divided by g, '')). The answer is n — when number.is finite(n); 0 — otherwise.</t>
        </is>
      </c>
      <c r="I538" s="3" t="inlineStr">
        <is>
          <t>PARTLY READ — some of the code is still showing through; needs a hand pass</t>
        </is>
      </c>
      <c r="J538" s="3" t="inlineStr">
        <is>
          <t>v: any</t>
        </is>
      </c>
      <c r="K538" s="3" t="inlineStr">
        <is>
          <t>number</t>
        </is>
      </c>
      <c r="L538" s="3" t="inlineStr">
        <is>
          <t>—</t>
        </is>
      </c>
      <c r="M538" s="3" t="inlineStr">
        <is>
          <t>None found in this function — anything it assumes comes from the functions it depends on.</t>
        </is>
      </c>
      <c r="N538" s="3" t="inlineStr">
        <is>
          <t>Yes</t>
        </is>
      </c>
      <c r="O538" s="3" t="inlineStr">
        <is>
          <t>MK-XS-F-122 n</t>
        </is>
      </c>
      <c r="P538" s="3" t="n">
        <v>1</v>
      </c>
      <c r="Q538" s="3" t="inlineStr">
        <is>
          <t>MK-XS-F-122 n</t>
        </is>
      </c>
      <c r="R538" s="3" t="inlineStr">
        <is>
          <t>MK-XS-F-122 n → MK-ST-F-052 toNum</t>
        </is>
      </c>
      <c r="S538" s="3" t="inlineStr">
        <is>
          <t>—</t>
        </is>
      </c>
      <c r="T538" s="3" t="inlineStr">
        <is>
          <t>READ_A_NUMBER</t>
        </is>
      </c>
      <c r="U538" s="3" t="inlineStr">
        <is>
          <t>ACTIVE</t>
        </is>
      </c>
      <c r="V538" s="3" t="inlineStr">
        <is>
          <t>2026-08-27</t>
        </is>
      </c>
      <c r="W538" s="3" t="n"/>
      <c r="X538" s="3" t="n"/>
      <c r="Y538" s="3" t="inlineStr">
        <is>
          <t>NOTHING OPEN</t>
        </is>
      </c>
    </row>
    <row r="539" ht="60" customHeight="1">
      <c r="A539" s="3" t="inlineStr">
        <is>
          <t>MK-ST-F-053</t>
        </is>
      </c>
      <c r="B539" s="3" t="inlineStr">
        <is>
          <t>money</t>
        </is>
      </c>
      <c r="C539" s="3" t="inlineStr">
        <is>
          <t>src/domain/_shared/num.ts</t>
        </is>
      </c>
      <c r="D539" s="3" t="n">
        <v>155</v>
      </c>
      <c r="E539" s="3" t="inlineStr">
        <is>
          <t>1 · ACTION</t>
        </is>
      </c>
      <c r="F539" s="3" t="inlineStr">
        <is>
          <t>Currency/locale-aware (delegates to the active money format; defaults to USD/en-US).</t>
        </is>
      </c>
      <c r="G539" s="11" t="inlineStr">
        <is>
          <t>format money(n)</t>
        </is>
      </c>
      <c r="H539" s="3" t="inlineStr">
        <is>
          <t>format money(n)</t>
        </is>
      </c>
      <c r="I539" s="3" t="inlineStr">
        <is>
          <t>READ FROM THE CODE — rendered from the expressions the function runs</t>
        </is>
      </c>
      <c r="J539" s="3" t="inlineStr">
        <is>
          <t>n: number</t>
        </is>
      </c>
      <c r="K539" s="3" t="inlineStr">
        <is>
          <t>string</t>
        </is>
      </c>
      <c r="L539" s="3" t="inlineStr">
        <is>
          <t>1. "ACCOUNTS (year-end)" — on the Tax organiser screen, under "ACCOUNTS (year-end)"
2. "Allocate to this goal ›" — on the Goals screen, under "YOUR GOALS"
3. "Annual vesting cash flow" — on the setup questions, which appear on more than one screen
4. "Annuity / other" — on the setup questions, which appear on more than one screen
5. "Available /year" — on the setup questions, which appear on more than one screen
6. "Capital needed" — on the setup questions, which appear on more than one screen</t>
        </is>
      </c>
      <c r="M539" s="3" t="inlineStr">
        <is>
          <t>None found in this function — anything it assumes comes from the functions it depends on.</t>
        </is>
      </c>
      <c r="N539" s="3" t="inlineStr">
        <is>
          <t>Yes</t>
        </is>
      </c>
      <c r="O539" s="3" t="inlineStr">
        <is>
          <t>1. MK-ST-F-049 formatMoney
2. MK-XS-F-122 n</t>
        </is>
      </c>
      <c r="P539" s="3" t="n">
        <v>5</v>
      </c>
      <c r="Q539" s="3" t="inlineStr">
        <is>
          <t>1. MK-ST-F-049 formatMoney
2. MK-XS-F-122 n
3. MK-ST-F-048 currencySymbol
4. MK-ST-F-039 on
5. MK-ST-F-047 activeCurrency</t>
        </is>
      </c>
      <c r="R539" s="3" t="inlineStr">
        <is>
          <t>1. MK-ST-F-047 activeCurrency → MK-ST-F-048 currencySymbol → MK-ST-F-049 formatMoney → MK-ST-F-053 money
2. MK-XS-F-122 n → MK-ST-F-049 formatMoney → MK-ST-F-053 money
3. MK-ST-F-039 on → MK-ST-F-049 formatMoney → MK-ST-F-053 money
4. MK-XS-F-122 n → MK-ST-F-053 money</t>
        </is>
      </c>
      <c r="S539" s="3" t="inlineStr">
        <is>
          <t>—</t>
        </is>
      </c>
      <c r="T539" s="3" t="inlineStr">
        <is>
          <t>—</t>
        </is>
      </c>
      <c r="U539" s="3" t="inlineStr">
        <is>
          <t>ACTIVE</t>
        </is>
      </c>
      <c r="V539" s="3" t="inlineStr">
        <is>
          <t>2026-08-27</t>
        </is>
      </c>
      <c r="W539" s="3" t="n"/>
      <c r="X539" s="3" t="n"/>
      <c r="Y539" s="3" t="inlineStr">
        <is>
          <t>NOTHING OPEN</t>
        </is>
      </c>
    </row>
    <row r="540" ht="60" customHeight="1">
      <c r="A540" s="3" t="inlineStr">
        <is>
          <t>MK-ST-F-054</t>
        </is>
      </c>
      <c r="B540" s="3" t="inlineStr">
        <is>
          <t>money2</t>
        </is>
      </c>
      <c r="C540" s="3" t="inlineStr">
        <is>
          <t>src/domain/_shared/num.ts</t>
        </is>
      </c>
      <c r="D540" s="3" t="n">
        <v>172</v>
      </c>
      <c r="E540" s="3" t="inlineStr">
        <is>
          <t>1 · ACTION</t>
        </is>
      </c>
      <c r="F540" s="3" t="inlineStr">
        <is>
          <t>Same, but keeps cents — for precise amounts (transactions, holdings).</t>
        </is>
      </c>
      <c r="G540" s="11" t="inlineStr">
        <is>
          <t>format money cents(n)</t>
        </is>
      </c>
      <c r="H540" s="3" t="inlineStr">
        <is>
          <t>format money cents(n)</t>
        </is>
      </c>
      <c r="I540" s="3" t="inlineStr">
        <is>
          <t>READ FROM THE CODE — rendered from the expressions the function runs</t>
        </is>
      </c>
      <c r="J540" s="3" t="inlineStr">
        <is>
          <t>n: number</t>
        </is>
      </c>
      <c r="K540" s="3" t="inlineStr">
        <is>
          <t>string</t>
        </is>
      </c>
      <c r="L540" s="3" t="inlineStr">
        <is>
          <t>1. "Total" — on the Import holdings screen
2. "Value" — on the Import holdings screen, under "REVIEW YOUR HOLDINGS"</t>
        </is>
      </c>
      <c r="M540" s="3" t="inlineStr">
        <is>
          <t>None found in this function — anything it assumes comes from the functions it depends on.</t>
        </is>
      </c>
      <c r="N540" s="3" t="inlineStr">
        <is>
          <t>Yes</t>
        </is>
      </c>
      <c r="O540" s="3" t="inlineStr">
        <is>
          <t>1. MK-ST-F-050 formatMoneyCents
2. MK-XS-F-122 n</t>
        </is>
      </c>
      <c r="P540" s="3" t="n">
        <v>4</v>
      </c>
      <c r="Q540" s="3" t="inlineStr">
        <is>
          <t>1. MK-ST-F-050 formatMoneyCents
2. MK-XS-F-122 n
3. MK-ST-F-048 currencySymbol
4. MK-ST-F-047 activeCurrency</t>
        </is>
      </c>
      <c r="R540" s="3" t="inlineStr">
        <is>
          <t>1. MK-ST-F-047 activeCurrency → MK-ST-F-048 currencySymbol → MK-ST-F-050 formatMoneyCents → MK-ST-F-054 money2
2. MK-XS-F-122 n → MK-ST-F-050 formatMoneyCents → MK-ST-F-054 money2
3. MK-XS-F-122 n → MK-ST-F-054 money2</t>
        </is>
      </c>
      <c r="S540" s="3" t="inlineStr">
        <is>
          <t>—</t>
        </is>
      </c>
      <c r="T540" s="3" t="inlineStr">
        <is>
          <t>—</t>
        </is>
      </c>
      <c r="U540" s="3" t="inlineStr">
        <is>
          <t>ACTIVE</t>
        </is>
      </c>
      <c r="V540" s="3" t="inlineStr">
        <is>
          <t>2026-08-27</t>
        </is>
      </c>
      <c r="W540" s="3" t="n"/>
      <c r="X540" s="3" t="n"/>
      <c r="Y540" s="3" t="inlineStr">
        <is>
          <t>NOTHING OPEN</t>
        </is>
      </c>
    </row>
    <row r="541" ht="60" customHeight="1">
      <c r="A541" s="3" t="inlineStr">
        <is>
          <t>MK-ST-F-055</t>
        </is>
      </c>
      <c r="B541" s="3" t="inlineStr">
        <is>
          <t>round2</t>
        </is>
      </c>
      <c r="C541" s="3" t="inlineStr">
        <is>
          <t>Calculation Module code/engines/money.ts</t>
        </is>
      </c>
      <c r="D541" s="3" t="n">
        <v>217</v>
      </c>
      <c r="E541" s="3" t="inlineStr">
        <is>
          <t>3 · DEPENDENT</t>
        </is>
      </c>
      <c r="F541" s="3" t="inlineStr">
        <is>
          <t>Rounds a money figure to the cent — two decimals.</t>
        </is>
      </c>
      <c r="G541" s="11" t="inlineStr">
        <is>
          <t>round2(n) = round(n × 100) ÷ 100</t>
        </is>
      </c>
      <c r="H541" s="3" t="inlineStr">
        <is>
          <t>Rounds to two decimal places — the cent. The hundred is the rounding scale, nothing to do with percentages or with an option contract being a hundred shares.</t>
        </is>
      </c>
      <c r="I541" s="3" t="inlineStr">
        <is>
          <t>READ BY HAND 2026-08-26 — checked line by line against the code</t>
        </is>
      </c>
      <c r="J541" s="3" t="inlineStr">
        <is>
          <t>n: number</t>
        </is>
      </c>
      <c r="K541" s="3" t="inlineStr">
        <is>
          <t>number</t>
        </is>
      </c>
      <c r="L541" s="3" t="inlineStr">
        <is>
          <t>—</t>
        </is>
      </c>
      <c r="M541" s="3" t="inlineStr">
        <is>
          <t>· Rounds the answer to two decimals (cents).</t>
        </is>
      </c>
      <c r="N541" s="3" t="inlineStr">
        <is>
          <t>Yes</t>
        </is>
      </c>
      <c r="O541" s="3" t="inlineStr">
        <is>
          <t>—</t>
        </is>
      </c>
      <c r="P541" s="3" t="n">
        <v>0</v>
      </c>
      <c r="Q541" s="3" t="inlineStr">
        <is>
          <t>None — no dependent function stands behind it</t>
        </is>
      </c>
      <c r="R541" s="3" t="inlineStr">
        <is>
          <t>No dependent function — it reads its inputs and answers</t>
        </is>
      </c>
      <c r="S541" s="3" t="inlineStr">
        <is>
          <t>—</t>
        </is>
      </c>
      <c r="T541" s="3" t="inlineStr">
        <is>
          <t>—</t>
        </is>
      </c>
      <c r="U541" s="3" t="inlineStr">
        <is>
          <t>ACTIVE</t>
        </is>
      </c>
      <c r="V541" s="3" t="inlineStr">
        <is>
          <t>2026-09-08</t>
        </is>
      </c>
      <c r="W541" s="3" t="inlineStr">
        <is>
          <t>[from MK-NW-M-043, Assumptions; typed A15] does it round to 2 decimals or a whole number? Two contradicting statements.</t>
        </is>
      </c>
      <c r="X541" s="6" t="inlineStr">
        <is>
          <t>Two decimals: round(n × 100) ÷ 100. Both file lines are false (A15, C4); the generator misreads the idiom. Fix the generator and re-extract; the row then reads 'Rounds to two decimals (cents)'. Code right.</t>
        </is>
      </c>
      <c r="Y541" s="6" t="inlineStr">
        <is>
          <t>WAITING ON YOU — answer to read · CODED, NOT TESTED (C4)</t>
        </is>
      </c>
    </row>
    <row r="542" ht="60" customHeight="1">
      <c r="A542" s="3" t="inlineStr">
        <is>
          <t>MK-ST-F-056</t>
        </is>
      </c>
      <c r="B542" s="3" t="inlineStr">
        <is>
          <t>has</t>
        </is>
      </c>
      <c r="C542" s="3" t="inlineStr">
        <is>
          <t>Calculation Module code/engines/classify.ts</t>
        </is>
      </c>
      <c r="D542" s="3" t="n">
        <v>125</v>
      </c>
      <c r="E542" s="3" t="inlineStr">
        <is>
          <t>1 · ACTION</t>
        </is>
      </c>
      <c r="F542" s="3" t="inlineStr">
        <is>
          <t>NOT DETERMINED — the code carries no note saying what this is for, and it has no row in the old inventory. Needs reading.</t>
        </is>
      </c>
      <c r="G542" s="11" t="inlineStr">
        <is>
          <t>re.test(s)</t>
        </is>
      </c>
      <c r="H542" s="3" t="inlineStr">
        <is>
          <t>re.test(s)</t>
        </is>
      </c>
      <c r="I542" s="3" t="inlineStr">
        <is>
          <t>PARTLY READ — some of the code is still showing through; needs a hand pass</t>
        </is>
      </c>
      <c r="J542" s="3" t="inlineStr">
        <is>
          <t>1. s: string
2. re: RegExp</t>
        </is>
      </c>
      <c r="K542" s="3" t="inlineStr">
        <is>
          <t>NOT DECLARED — the code does not say what it gives back</t>
        </is>
      </c>
      <c r="L542" s="3" t="inlineStr">
        <is>
          <t>—</t>
        </is>
      </c>
      <c r="M542" s="3" t="inlineStr">
        <is>
          <t>None found in this function — anything it assumes comes from the functions it depends on.</t>
        </is>
      </c>
      <c r="N542" s="3" t="inlineStr">
        <is>
          <t>Yes</t>
        </is>
      </c>
      <c r="O542" s="3" t="inlineStr">
        <is>
          <t>—</t>
        </is>
      </c>
      <c r="P542" s="3" t="n">
        <v>0</v>
      </c>
      <c r="Q542" s="3" t="inlineStr">
        <is>
          <t>None — no dependent function stands behind it</t>
        </is>
      </c>
      <c r="R542" s="3" t="inlineStr">
        <is>
          <t>No dependent function — it reads its inputs and answers</t>
        </is>
      </c>
      <c r="S542" s="3" t="inlineStr">
        <is>
          <t>—</t>
        </is>
      </c>
      <c r="T542" s="3" t="inlineStr">
        <is>
          <t>—</t>
        </is>
      </c>
      <c r="U542" s="3" t="inlineStr">
        <is>
          <t>ACTIVE</t>
        </is>
      </c>
      <c r="V542" s="3" t="inlineStr">
        <is>
          <t>2026-08-27</t>
        </is>
      </c>
      <c r="W542" s="3" t="n"/>
      <c r="X542" s="3" t="n"/>
      <c r="Y542" s="3" t="inlineStr">
        <is>
          <t>NOTHING OPEN</t>
        </is>
      </c>
    </row>
    <row r="543" ht="60" customHeight="1">
      <c r="A543" s="3" t="inlineStr">
        <is>
          <t>MK-ST-F-057</t>
        </is>
      </c>
      <c r="B543" s="3" t="inlineStr">
        <is>
          <t>divRounded</t>
        </is>
      </c>
      <c r="C543" s="3" t="inlineStr">
        <is>
          <t>Calculation Module code/engines/decimal.ts</t>
        </is>
      </c>
      <c r="D543" s="3" t="n">
        <v>127</v>
      </c>
      <c r="E543" s="3" t="inlineStr">
        <is>
          <t>3 · DEPENDENT (feeds an action only)</t>
        </is>
      </c>
      <c r="F543" s="3" t="inlineStr">
        <is>
          <t>Round-half-even division on bigints.</t>
        </is>
      </c>
      <c r="G543" s="11" t="inlineStr">
        <is>
          <t>negative = (num &lt; 0n) ! = (den &lt; 0n)
n = -num   if num &lt; 0n
-den   if num, d = den &lt; 0n
den   otherwise   otherwise
q = n ÷ d, r = (n % d) × 2n
out = q
the answer:
-out   if negative
out   otherwise</t>
        </is>
      </c>
      <c r="H543" s="3" t="inlineStr">
        <is>
          <t>Negative is (num &lt; 0n) ! = (den &lt; 0n). N is -num — when num &lt; 0n; -den — when num, d = den &lt; 0n; den — otherwise — otherwise. Q is n divided by d, r = (n % d) times 2n. Out is q. The answer is -out — when negative; out — otherwise.</t>
        </is>
      </c>
      <c r="I543" s="3" t="inlineStr">
        <is>
          <t>READ FROM THE CODE — rendered from the expressions the function runs</t>
        </is>
      </c>
      <c r="J543" s="3" t="inlineStr">
        <is>
          <t>1. num: bigint
2. den: bigint</t>
        </is>
      </c>
      <c r="K543" s="3" t="inlineStr">
        <is>
          <t>bigint</t>
        </is>
      </c>
      <c r="L543" s="3" t="inlineStr">
        <is>
          <t>—</t>
        </is>
      </c>
      <c r="M543" s="3" t="inlineStr">
        <is>
          <t>None found in this function — anything it assumes comes from the functions it depends on.</t>
        </is>
      </c>
      <c r="N543" s="3" t="inlineStr">
        <is>
          <t>No</t>
        </is>
      </c>
      <c r="O543" s="3" t="inlineStr">
        <is>
          <t>—</t>
        </is>
      </c>
      <c r="P543" s="3" t="n">
        <v>0</v>
      </c>
      <c r="Q543" s="3" t="inlineStr">
        <is>
          <t>None — no dependent function stands behind it</t>
        </is>
      </c>
      <c r="R543" s="3" t="inlineStr">
        <is>
          <t>No dependent function — it reads its inputs and answers</t>
        </is>
      </c>
      <c r="S543" s="3" t="inlineStr">
        <is>
          <t>—</t>
        </is>
      </c>
      <c r="T543" s="3" t="inlineStr">
        <is>
          <t>—</t>
        </is>
      </c>
      <c r="U543" s="3" t="inlineStr">
        <is>
          <t>ACTIVE</t>
        </is>
      </c>
      <c r="V543" s="3" t="inlineStr">
        <is>
          <t>2026-08-27</t>
        </is>
      </c>
      <c r="W543" s="3" t="n"/>
      <c r="X543" s="3" t="n"/>
      <c r="Y543" s="3" t="inlineStr">
        <is>
          <t>NOTHING OPEN</t>
        </is>
      </c>
    </row>
    <row r="544" ht="60" customHeight="1">
      <c r="A544" s="3" t="inlineStr">
        <is>
          <t>MK-ST-F-058</t>
        </is>
      </c>
      <c r="B544" s="3" t="inlineStr">
        <is>
          <t>numberOrUndefined</t>
        </is>
      </c>
      <c r="C544" s="3" t="inlineStr">
        <is>
          <t>Calculation Module code/engines/ledger.ts</t>
        </is>
      </c>
      <c r="D544" s="3" t="n">
        <v>381</v>
      </c>
      <c r="E544" s="3" t="inlineStr">
        <is>
          <t>3 · DEPENDENT (feeds an action only)</t>
        </is>
      </c>
      <c r="F544" s="3" t="inlineStr">
        <is>
          <t>NOT DETERMINED — the code carries no note saying what this is for, and it has no row in the old inventory. Needs reading.</t>
        </is>
      </c>
      <c r="G544" s="11" t="inlineStr">
        <is>
          <t>n = v   if v is a number
na n   if v = nothing
parse float(string(v).replace( ÷ [$,\s] ÷ g, ''))   otherwise   otherwise
the answer:
n   if number.is finite(n)
undefined   otherwise</t>
        </is>
      </c>
      <c r="H544" s="3" t="inlineStr">
        <is>
          <t>N is v — when v is a number; na n — when v is missing; parse float(string(v).replace( divided by [$,\s] divided by g, '')) — otherwise — otherwise. The answer is n — when number.is finite(n); undefined — otherwise.</t>
        </is>
      </c>
      <c r="I544" s="3" t="inlineStr">
        <is>
          <t>PARTLY READ — some of the code is still showing through; needs a hand pass</t>
        </is>
      </c>
      <c r="J544" s="3" t="inlineStr">
        <is>
          <t>v: unknown</t>
        </is>
      </c>
      <c r="K544" s="3" t="inlineStr">
        <is>
          <t>number | undefined</t>
        </is>
      </c>
      <c r="L544" s="3" t="inlineStr">
        <is>
          <t>—</t>
        </is>
      </c>
      <c r="M544" s="3" t="inlineStr">
        <is>
          <t>None found in this function — anything it assumes comes from the functions it depends on.</t>
        </is>
      </c>
      <c r="N544" s="3" t="inlineStr">
        <is>
          <t>No</t>
        </is>
      </c>
      <c r="O544" s="3" t="inlineStr">
        <is>
          <t>MK-XS-F-122 n</t>
        </is>
      </c>
      <c r="P544" s="3" t="n">
        <v>1</v>
      </c>
      <c r="Q544" s="3" t="inlineStr">
        <is>
          <t>MK-XS-F-122 n</t>
        </is>
      </c>
      <c r="R544" s="3" t="inlineStr">
        <is>
          <t>MK-XS-F-122 n → MK-ST-F-058 numberOrUndefined</t>
        </is>
      </c>
      <c r="S544" s="3" t="inlineStr">
        <is>
          <t>—</t>
        </is>
      </c>
      <c r="T544" s="3" t="inlineStr">
        <is>
          <t>—</t>
        </is>
      </c>
      <c r="U544" s="3" t="inlineStr">
        <is>
          <t>ACTIVE</t>
        </is>
      </c>
      <c r="V544" s="3" t="inlineStr">
        <is>
          <t>2026-08-27</t>
        </is>
      </c>
      <c r="W544" s="3" t="n"/>
      <c r="X544" s="3" t="n"/>
      <c r="Y544" s="3" t="inlineStr">
        <is>
          <t>NOTHING OPEN</t>
        </is>
      </c>
    </row>
    <row r="545" ht="60" customHeight="1">
      <c r="A545" s="3" t="inlineStr">
        <is>
          <t>MK-ST-F-059</t>
        </is>
      </c>
      <c r="B545" s="3" t="inlineStr">
        <is>
          <t>round8</t>
        </is>
      </c>
      <c r="C545" s="3" t="inlineStr">
        <is>
          <t>Calculation Module code/engines/ledger.ts</t>
        </is>
      </c>
      <c r="D545" s="3" t="n">
        <v>403</v>
      </c>
      <c r="E545" s="3" t="inlineStr">
        <is>
          <t>1 · ACTION</t>
        </is>
      </c>
      <c r="F545" s="3" t="inlineStr">
        <is>
          <t>NOT DETERMINED — the code carries no note saying what this is for, and it has no row in the old inventory. Needs reading.</t>
        </is>
      </c>
      <c r="G545" s="11" t="inlineStr">
        <is>
          <t>round(n × 1e8) ÷ 1e8</t>
        </is>
      </c>
      <c r="H545" s="3" t="inlineStr">
        <is>
          <t>n times 1e8, to a whole number divided by 1e8</t>
        </is>
      </c>
      <c r="I545" s="3" t="inlineStr">
        <is>
          <t>READ FROM THE CODE — rendered from the expressions the function runs</t>
        </is>
      </c>
      <c r="J545" s="3" t="inlineStr">
        <is>
          <t>n: number</t>
        </is>
      </c>
      <c r="K545" s="3" t="inlineStr">
        <is>
          <t>NOT DECLARED — the code does not say what it gives back</t>
        </is>
      </c>
      <c r="L545" s="3" t="inlineStr">
        <is>
          <t>—</t>
        </is>
      </c>
      <c r="M545" s="3" t="inlineStr">
        <is>
          <t>· Rounds the answer to 8 decimal places.</t>
        </is>
      </c>
      <c r="N545" s="3" t="inlineStr">
        <is>
          <t>No</t>
        </is>
      </c>
      <c r="O545" s="3" t="inlineStr">
        <is>
          <t>—</t>
        </is>
      </c>
      <c r="P545" s="3" t="n">
        <v>0</v>
      </c>
      <c r="Q545" s="3" t="inlineStr">
        <is>
          <t>None — no dependent function stands behind it</t>
        </is>
      </c>
      <c r="R545" s="3" t="inlineStr">
        <is>
          <t>No dependent function — it reads its inputs and answers</t>
        </is>
      </c>
      <c r="S545" s="3" t="inlineStr">
        <is>
          <t>—</t>
        </is>
      </c>
      <c r="T545" s="3" t="inlineStr">
        <is>
          <t>—</t>
        </is>
      </c>
      <c r="U545" s="3" t="inlineStr">
        <is>
          <t>ACTIVE</t>
        </is>
      </c>
      <c r="V545" s="3" t="inlineStr">
        <is>
          <t>2026-08-27</t>
        </is>
      </c>
      <c r="W545" s="3" t="n"/>
      <c r="X545" s="3" t="n"/>
      <c r="Y545" s="3" t="inlineStr">
        <is>
          <t>NOTHING OPEN</t>
        </is>
      </c>
    </row>
    <row r="546" ht="60" customHeight="1">
      <c r="A546" s="3" t="inlineStr">
        <is>
          <t>MK-ST-F-060</t>
        </is>
      </c>
      <c r="B546" s="3" t="inlineStr">
        <is>
          <t>verdict</t>
        </is>
      </c>
      <c r="C546" s="3" t="inlineStr">
        <is>
          <t>Calculation Module code/engines/reconcile.ts</t>
        </is>
      </c>
      <c r="D546" s="3" t="n">
        <v>50</v>
      </c>
      <c r="E546" s="3" t="inlineStr">
        <is>
          <t>2 · DISPLAYED</t>
        </is>
      </c>
      <c r="F546" s="3" t="inlineStr">
        <is>
          <t>NOT DETERMINED — the code carries no note saying what this is for, and it has no row in the old inventory. Needs reading.</t>
        </is>
      </c>
      <c r="G546" s="11" t="inlineStr">
        <is>
          <t>difference = computed.sub(stated)</t>
        </is>
      </c>
      <c r="H546" s="3" t="inlineStr">
        <is>
          <t>Difference is computed.sub(stated).</t>
        </is>
      </c>
      <c r="I546" s="3" t="inlineStr">
        <is>
          <t>PARTLY READ — some of the code is still showing through; needs a hand pass</t>
        </is>
      </c>
      <c r="J546" s="3" t="inlineStr">
        <is>
          <t>1. computed: Dec
2. stated: Dec
3. what: string</t>
        </is>
      </c>
      <c r="K546" s="3" t="inlineStr">
        <is>
          <t>Reconciliation</t>
        </is>
      </c>
      <c r="L546" s="3" t="inlineStr">
        <is>
          <t>NOT FOUND — a screen calls it, but the words printed beside its answer could not be traced automatically. Needs reading.</t>
        </is>
      </c>
      <c r="M546" s="3" t="inlineStr">
        <is>
          <t>None found in this function — anything it assumes comes from the functions it depends on.</t>
        </is>
      </c>
      <c r="N546" s="3" t="inlineStr">
        <is>
          <t>Yes</t>
        </is>
      </c>
      <c r="O546" s="3" t="inlineStr">
        <is>
          <t>—</t>
        </is>
      </c>
      <c r="P546" s="3" t="n">
        <v>0</v>
      </c>
      <c r="Q546" s="3" t="inlineStr">
        <is>
          <t>None — no dependent function stands behind it</t>
        </is>
      </c>
      <c r="R546" s="3" t="inlineStr">
        <is>
          <t>No dependent function — it reads its inputs and answers</t>
        </is>
      </c>
      <c r="S546" s="3" t="inlineStr">
        <is>
          <t>—</t>
        </is>
      </c>
      <c r="T546" s="3" t="inlineStr">
        <is>
          <t>—</t>
        </is>
      </c>
      <c r="U546" s="3" t="inlineStr">
        <is>
          <t>ACTIVE</t>
        </is>
      </c>
      <c r="V546" s="3" t="inlineStr">
        <is>
          <t>2026-08-27</t>
        </is>
      </c>
      <c r="W546" s="3" t="n"/>
      <c r="X546" s="3" t="n"/>
      <c r="Y546" s="3" t="inlineStr">
        <is>
          <t>NOTHING OPEN</t>
        </is>
      </c>
    </row>
    <row r="547" ht="60" customHeight="1">
      <c r="A547" s="3" t="inlineStr">
        <is>
          <t>MK-ST-F-061</t>
        </is>
      </c>
      <c r="B547" s="3" t="inlineStr">
        <is>
          <t>isMonthEnd</t>
        </is>
      </c>
      <c r="C547" s="3" t="inlineStr">
        <is>
          <t>Calculation Module code/engines/snapshots.ts</t>
        </is>
      </c>
      <c r="D547" s="3" t="n">
        <v>296</v>
      </c>
      <c r="E547" s="3" t="inlineStr">
        <is>
          <t>3 · DEPENDENT (feeds an action only)</t>
        </is>
      </c>
      <c r="F547" s="3" t="inlineStr">
        <is>
          <t>NOT DETERMINED — the code carries no note saying what this is for, and it has no row in the old inventory. Needs reading.</t>
        </is>
      </c>
      <c r="G547" s="11" t="inlineStr">
        <is>
          <t>last = the date y, m, 0).get date(
false   when the first 7)}-${string(d).pad start(2, '0')}` of all dates.has(`${date
the answer = true</t>
        </is>
      </c>
      <c r="H547" s="3" t="inlineStr">
        <is>
          <t>Last: the date y, m, 0).get date(. When the first 7)}-${string(d).pad start(2, '0')}` of all dates.has(`${date, it answers false. The answer is true.</t>
        </is>
      </c>
      <c r="I547" s="3" t="inlineStr">
        <is>
          <t>PARTLY READ — some of the code is still showing through; needs a hand pass</t>
        </is>
      </c>
      <c r="J547" s="3" t="inlineStr">
        <is>
          <t>1. date: string
2. allDates: Set&lt;string&gt;</t>
        </is>
      </c>
      <c r="K547" s="3" t="inlineStr">
        <is>
          <t>boolean</t>
        </is>
      </c>
      <c r="L547" s="3" t="inlineStr">
        <is>
          <t>—</t>
        </is>
      </c>
      <c r="M547" s="3" t="inlineStr">
        <is>
          <t>None found in this function — anything it assumes comes from the functions it depends on.</t>
        </is>
      </c>
      <c r="N547" s="3" t="inlineStr">
        <is>
          <t>No</t>
        </is>
      </c>
      <c r="O547" s="3" t="inlineStr">
        <is>
          <t>1. MK-ST-F-056 has
2. MK-CF-F-132 map</t>
        </is>
      </c>
      <c r="P547" s="3" t="n">
        <v>2</v>
      </c>
      <c r="Q547" s="3" t="inlineStr">
        <is>
          <t>1. MK-ST-F-056 has
2. MK-CF-F-132 map</t>
        </is>
      </c>
      <c r="R547" s="3" t="inlineStr">
        <is>
          <t>1. MK-ST-F-056 has → MK-ST-F-061 isMonthEnd
2. MK-CF-F-132 map → MK-ST-F-061 isMonthEnd</t>
        </is>
      </c>
      <c r="S547" s="3" t="inlineStr">
        <is>
          <t>—</t>
        </is>
      </c>
      <c r="T547" s="3" t="inlineStr">
        <is>
          <t>—</t>
        </is>
      </c>
      <c r="U547" s="3" t="inlineStr">
        <is>
          <t>ACTIVE</t>
        </is>
      </c>
      <c r="V547" s="3" t="inlineStr">
        <is>
          <t>2026-08-27</t>
        </is>
      </c>
      <c r="W547" s="3" t="n"/>
      <c r="X547" s="3" t="n"/>
      <c r="Y547" s="3" t="inlineStr">
        <is>
          <t>NOTHING OPEN</t>
        </is>
      </c>
    </row>
    <row r="548" ht="60" customHeight="1">
      <c r="A548" s="3" t="inlineStr">
        <is>
          <t>MK-ST-F-062</t>
        </is>
      </c>
      <c r="B548" s="3" t="inlineStr">
        <is>
          <t>toUtc</t>
        </is>
      </c>
      <c r="C548" s="3" t="inlineStr">
        <is>
          <t>Calculation Module code/engines/window-return.ts</t>
        </is>
      </c>
      <c r="D548" s="3" t="n">
        <v>35</v>
      </c>
      <c r="E548" s="3" t="inlineStr">
        <is>
          <t>1 · ACTION</t>
        </is>
      </c>
      <c r="F548" s="3" t="inlineStr">
        <is>
          <t>NOT DETERMINED — the code carries no note saying what this is for, and it has no row in the old inventory. Needs reading.</t>
        </is>
      </c>
      <c r="G548" s="11" t="inlineStr">
        <is>
          <t>the answer = the milliseconds since 1970 of the date at midnight UTC</t>
        </is>
      </c>
      <c r="H548" s="3" t="inlineStr">
        <is>
          <t>A 'YYYY-MM-DD' text as a moment in time at midnight UTC, so day arithmetic is unaffected by the device's timezone.</t>
        </is>
      </c>
      <c r="I548" s="3" t="inlineStr">
        <is>
          <t>READ BY HAND 2026-08-26 — checked line by line against the code</t>
        </is>
      </c>
      <c r="J548" s="3" t="inlineStr">
        <is>
          <t>d: string</t>
        </is>
      </c>
      <c r="K548" s="3" t="inlineStr">
        <is>
          <t>00:00Z`);</t>
        </is>
      </c>
      <c r="L548" s="3" t="inlineStr">
        <is>
          <t>—</t>
        </is>
      </c>
      <c r="M548" s="3" t="inlineStr">
        <is>
          <t>None found in this function — anything it assumes comes from the functions it depends on.</t>
        </is>
      </c>
      <c r="N548" s="3" t="inlineStr">
        <is>
          <t>Yes</t>
        </is>
      </c>
      <c r="O548" s="3" t="inlineStr">
        <is>
          <t>—</t>
        </is>
      </c>
      <c r="P548" s="3" t="n">
        <v>0</v>
      </c>
      <c r="Q548" s="3" t="inlineStr">
        <is>
          <t>None — no dependent function stands behind it</t>
        </is>
      </c>
      <c r="R548" s="3" t="inlineStr">
        <is>
          <t>No dependent function — it reads its inputs and answers</t>
        </is>
      </c>
      <c r="S548" s="3" t="inlineStr">
        <is>
          <t>—</t>
        </is>
      </c>
      <c r="T548" s="3" t="inlineStr">
        <is>
          <t>—</t>
        </is>
      </c>
      <c r="U548" s="3" t="inlineStr">
        <is>
          <t>ACTIVE</t>
        </is>
      </c>
      <c r="V548" s="3" t="inlineStr">
        <is>
          <t>2026-09-12</t>
        </is>
      </c>
      <c r="W548" s="3" t="n"/>
      <c r="X548" s="3" t="n"/>
      <c r="Y548" s="3" t="inlineStr">
        <is>
          <t>NOTHING OPEN</t>
        </is>
      </c>
    </row>
    <row r="549" ht="60" customHeight="1">
      <c r="A549" s="3" t="inlineStr">
        <is>
          <t>MK-ST-F-063</t>
        </is>
      </c>
      <c r="B549" s="3" t="inlineStr">
        <is>
          <t>shiftDay</t>
        </is>
      </c>
      <c r="C549" s="3" t="inlineStr">
        <is>
          <t>Calculation Module code/engines/window-return.ts</t>
        </is>
      </c>
      <c r="D549" s="3" t="n">
        <v>56</v>
      </c>
      <c r="E549" s="3" t="inlineStr">
        <is>
          <t>1 · ACTION</t>
        </is>
      </c>
      <c r="F549" s="3" t="inlineStr">
        <is>
          <t>NOT DETERMINED — the code carries no note saying what this is for, and it has no row in the old inventory. Needs reading.</t>
        </is>
      </c>
      <c r="G549" s="11" t="inlineStr">
        <is>
          <t>the first 10 of the date to utc(d) + by × day ms).to isostring(</t>
        </is>
      </c>
      <c r="H549" s="3" t="inlineStr">
        <is>
          <t>the first 10 of the date to utc(d) plus by times day ms).to isostring(</t>
        </is>
      </c>
      <c r="I549" s="3" t="inlineStr">
        <is>
          <t>PARTLY READ — some of the code is still showing through; needs a hand pass</t>
        </is>
      </c>
      <c r="J549" s="3" t="inlineStr">
        <is>
          <t>1. d: string
2. by: number</t>
        </is>
      </c>
      <c r="K549" s="3" t="inlineStr">
        <is>
          <t>NOT DECLARED — the code does not say what it gives back</t>
        </is>
      </c>
      <c r="L549" s="3" t="inlineStr">
        <is>
          <t>—</t>
        </is>
      </c>
      <c r="M549" s="3" t="inlineStr">
        <is>
          <t>None found in this function — anything it assumes comes from the functions it depends on.</t>
        </is>
      </c>
      <c r="N549" s="3" t="inlineStr">
        <is>
          <t>Yes</t>
        </is>
      </c>
      <c r="O549" s="3" t="inlineStr">
        <is>
          <t>MK-ST-F-062 toUtc</t>
        </is>
      </c>
      <c r="P549" s="3" t="n">
        <v>1</v>
      </c>
      <c r="Q549" s="3" t="inlineStr">
        <is>
          <t>MK-ST-F-062 toUtc</t>
        </is>
      </c>
      <c r="R549" s="3" t="inlineStr">
        <is>
          <t>MK-ST-F-062 toUtc → MK-ST-F-063 shiftDay</t>
        </is>
      </c>
      <c r="S549" s="3" t="inlineStr">
        <is>
          <t>—</t>
        </is>
      </c>
      <c r="T549" s="3" t="inlineStr">
        <is>
          <t>—</t>
        </is>
      </c>
      <c r="U549" s="3" t="inlineStr">
        <is>
          <t>ACTIVE</t>
        </is>
      </c>
      <c r="V549" s="3" t="inlineStr">
        <is>
          <t>2026-08-27</t>
        </is>
      </c>
      <c r="W549" s="3" t="n"/>
      <c r="X549" s="3" t="n"/>
      <c r="Y549" s="3" t="inlineStr">
        <is>
          <t>NOTHING OPEN</t>
        </is>
      </c>
    </row>
    <row r="550" ht="60" customHeight="1">
      <c r="A550" s="3" t="inlineStr">
        <is>
          <t>MK-ST-F-065</t>
        </is>
      </c>
      <c r="B550" s="3" t="inlineStr">
        <is>
          <t>isoLocalDate</t>
        </is>
      </c>
      <c r="C550" s="3" t="inlineStr">
        <is>
          <t>src/domain/_shared/dates.ts</t>
        </is>
      </c>
      <c r="D550" s="3" t="n">
        <v>38</v>
      </c>
      <c r="E550" s="3" t="inlineStr">
        <is>
          <t>2 · DISPLAYED</t>
        </is>
      </c>
      <c r="F550" s="3" t="inlineStr">
        <is>
          <t>THE DATE A PERSON IS LIVING IN, not the one UTC is.</t>
        </is>
      </c>
      <c r="G550" s="11" t="inlineStr">
        <is>
          <t>`${get full year()}-${string(get month() + 1).pad start(2, '0')}-${string(get date()).pad start(2, '0')}`</t>
        </is>
      </c>
      <c r="H550" s="3" t="inlineStr">
        <is>
          <t>`${get full year()}-${string(get month() plus 1).pad start(2, '0')}-${string(get date()).pad start(2, '0')}`.</t>
        </is>
      </c>
      <c r="I550" s="3" t="inlineStr">
        <is>
          <t>PARTLY READ — some of the code is still showing through; needs a hand pass</t>
        </is>
      </c>
      <c r="J550" s="3" t="inlineStr">
        <is>
          <t>d: Date</t>
        </is>
      </c>
      <c r="K550" s="3" t="inlineStr">
        <is>
          <t>string</t>
        </is>
      </c>
      <c r="L550" s="3" t="inlineStr">
        <is>
          <t>1. "Date (opt)" — on the Performance screen
2. "Matures (CDs and dated bonds count under Bonds &amp; CDs)" — on the Net worth screen
3. "Matures (optional)" — on the Net worth screen
4. "Nothing needs you today — nice." — on the Home screen, under "CHIEF OF STAFF — WHAT NEEDS YOU $"
5. "Performance" — on the Performance screen</t>
        </is>
      </c>
      <c r="M550" s="3" t="inlineStr">
        <is>
          <t>None found in this function — anything it assumes comes from the functions it depends on.</t>
        </is>
      </c>
      <c r="N550" s="3" t="inlineStr">
        <is>
          <t>Yes</t>
        </is>
      </c>
      <c r="O550" s="3" t="inlineStr">
        <is>
          <t>—</t>
        </is>
      </c>
      <c r="P550" s="3" t="n">
        <v>0</v>
      </c>
      <c r="Q550" s="3" t="inlineStr">
        <is>
          <t>None — no dependent function stands behind it</t>
        </is>
      </c>
      <c r="R550" s="3" t="inlineStr">
        <is>
          <t>No dependent function — it reads its inputs and answers</t>
        </is>
      </c>
      <c r="S550" s="3" t="inlineStr">
        <is>
          <t>—</t>
        </is>
      </c>
      <c r="T550" s="3" t="inlineStr">
        <is>
          <t>—</t>
        </is>
      </c>
      <c r="U550" s="3" t="inlineStr">
        <is>
          <t>ACTIVE</t>
        </is>
      </c>
      <c r="V550" s="3" t="inlineStr">
        <is>
          <t>2026-08-27</t>
        </is>
      </c>
      <c r="W550" s="3" t="n"/>
      <c r="X550" s="3" t="n"/>
      <c r="Y550" s="3" t="inlineStr">
        <is>
          <t>NOTHING OPEN</t>
        </is>
      </c>
    </row>
    <row r="551" ht="60" customHeight="1">
      <c r="A551" s="3" t="inlineStr">
        <is>
          <t>MK-ST-F-066</t>
        </is>
      </c>
      <c r="B551" s="3" t="inlineStr">
        <is>
          <t>isDayKey</t>
        </is>
      </c>
      <c r="C551" s="3" t="inlineStr">
        <is>
          <t>Calculation Module code/engines/rebuild-history.ts</t>
        </is>
      </c>
      <c r="D551" s="3" t="n">
        <v>72</v>
      </c>
      <c r="E551" s="3" t="inlineStr">
        <is>
          <t>1 · ACTION</t>
        </is>
      </c>
      <c r="F551" s="3" t="inlineStr">
        <is>
          <t>NOT DETERMINED — the code carries no note saying what this is for, and it has no row in the old inventory. Needs reading.</t>
        </is>
      </c>
      <c r="G551" s="11" t="inlineStr">
        <is>
          <t>NOT READ YET — the body is not a shape this can render faithfully, so nothing is claimed rather than something being guessed. It needs reading by hand.</t>
        </is>
      </c>
      <c r="H551" s="3" t="inlineStr">
        <is>
          <t>NOT READ YET — the body is not a shape this can render faithfully, so nothing is claimed rather than something being guessed. It needs reading by hand.</t>
        </is>
      </c>
      <c r="I551" s="3" t="inlineStr">
        <is>
          <t>NOT READ — nothing is claimed rather than something guessed</t>
        </is>
      </c>
      <c r="J551" s="3" t="inlineStr">
        <is>
          <t>d: unknown</t>
        </is>
      </c>
      <c r="K551" s="3" t="inlineStr">
        <is>
          <t>d is string</t>
        </is>
      </c>
      <c r="L551" s="3" t="inlineStr">
        <is>
          <t>—</t>
        </is>
      </c>
      <c r="M551" s="3" t="inlineStr">
        <is>
          <t>None found in this function — anything it assumes comes from the functions it depends on.</t>
        </is>
      </c>
      <c r="N551" s="3" t="inlineStr">
        <is>
          <t>Yes</t>
        </is>
      </c>
      <c r="O551" s="3" t="inlineStr">
        <is>
          <t>—</t>
        </is>
      </c>
      <c r="P551" s="3" t="n">
        <v>0</v>
      </c>
      <c r="Q551" s="3" t="inlineStr">
        <is>
          <t>None — no dependent function stands behind it</t>
        </is>
      </c>
      <c r="R551" s="3" t="inlineStr">
        <is>
          <t>No dependent function — it reads its inputs and answers</t>
        </is>
      </c>
      <c r="S551" s="3" t="inlineStr">
        <is>
          <t>—</t>
        </is>
      </c>
      <c r="T551" s="3" t="inlineStr">
        <is>
          <t>—</t>
        </is>
      </c>
      <c r="U551" s="3" t="inlineStr">
        <is>
          <t>ACTIVE</t>
        </is>
      </c>
      <c r="V551" s="3" t="inlineStr">
        <is>
          <t>2026-09-25</t>
        </is>
      </c>
      <c r="W551" s="3" t="n"/>
      <c r="X551" s="3" t="n"/>
      <c r="Y551" s="3" t="inlineStr">
        <is>
          <t>NOTHING OPEN</t>
        </is>
      </c>
    </row>
    <row r="552" ht="60" customHeight="1">
      <c r="A552" s="3" t="inlineStr">
        <is>
          <t>MK-ST-F-067</t>
        </is>
      </c>
      <c r="B552" s="3" t="inlineStr">
        <is>
          <t>utcOfDay</t>
        </is>
      </c>
      <c r="C552" s="3" t="inlineStr">
        <is>
          <t>Calculation Module code/engines/rebuild-history.ts</t>
        </is>
      </c>
      <c r="D552" s="3" t="n">
        <v>100</v>
      </c>
      <c r="E552" s="3" t="inlineStr">
        <is>
          <t>1 · ACTION</t>
        </is>
      </c>
      <c r="F552" s="3" t="inlineStr">
        <is>
          <t>NOT DETERMINED — the code carries no note saying what this is for, and it has no row in the old inventory. Needs reading.</t>
        </is>
      </c>
      <c r="G552" s="11" t="inlineStr">
        <is>
          <t>the first 4), +slice(5, 7) − 1, +slice(8, 10) of date.UTC(+d</t>
        </is>
      </c>
      <c r="H552" s="3" t="inlineStr">
        <is>
          <t>the first 4), +slice(5, 7) minus 1, +slice(8, 10) of date.UTC(+d</t>
        </is>
      </c>
      <c r="I552" s="3" t="inlineStr">
        <is>
          <t>PARTLY READ — some of the code is still showing through; needs a hand pass</t>
        </is>
      </c>
      <c r="J552" s="3" t="inlineStr">
        <is>
          <t>d: string</t>
        </is>
      </c>
      <c r="K552" s="3" t="inlineStr">
        <is>
          <t>NOT DECLARED — the code does not say what it gives back</t>
        </is>
      </c>
      <c r="L552" s="3" t="inlineStr">
        <is>
          <t>—</t>
        </is>
      </c>
      <c r="M552" s="3" t="inlineStr">
        <is>
          <t>None found in this function — anything it assumes comes from the functions it depends on.</t>
        </is>
      </c>
      <c r="N552" s="3" t="inlineStr">
        <is>
          <t>Yes</t>
        </is>
      </c>
      <c r="O552" s="3" t="inlineStr">
        <is>
          <t>—</t>
        </is>
      </c>
      <c r="P552" s="3" t="n">
        <v>0</v>
      </c>
      <c r="Q552" s="3" t="inlineStr">
        <is>
          <t>None — no dependent function stands behind it</t>
        </is>
      </c>
      <c r="R552" s="3" t="inlineStr">
        <is>
          <t>No dependent function — it reads its inputs and answers</t>
        </is>
      </c>
      <c r="S552" s="3" t="inlineStr">
        <is>
          <t>—</t>
        </is>
      </c>
      <c r="T552" s="3" t="inlineStr">
        <is>
          <t>—</t>
        </is>
      </c>
      <c r="U552" s="3" t="inlineStr">
        <is>
          <t>ACTIVE</t>
        </is>
      </c>
      <c r="V552" s="3" t="inlineStr">
        <is>
          <t>2026-09-25</t>
        </is>
      </c>
      <c r="W552" s="3" t="n"/>
      <c r="X552" s="3" t="n"/>
      <c r="Y552" s="3" t="inlineStr">
        <is>
          <t>NOTHING OPEN</t>
        </is>
      </c>
    </row>
    <row r="553" ht="60" customHeight="1">
      <c r="A553" s="3" t="inlineStr">
        <is>
          <t>MK-ST-F-068</t>
        </is>
      </c>
      <c r="B553" s="3" t="inlineStr">
        <is>
          <t>stepDay</t>
        </is>
      </c>
      <c r="C553" s="3" t="inlineStr">
        <is>
          <t>Calculation Module code/engines/rebuild-history.ts</t>
        </is>
      </c>
      <c r="D553" s="3" t="n">
        <v>128</v>
      </c>
      <c r="E553" s="3" t="inlineStr">
        <is>
          <t>1 · ACTION</t>
        </is>
      </c>
      <c r="F553" s="3" t="inlineStr">
        <is>
          <t>NOT DETERMINED — the code carries no note saying what this is for, and it has no row in the old inventory. Needs reading.</t>
        </is>
      </c>
      <c r="G553" s="11" t="inlineStr">
        <is>
          <t>the first 10 of the date utc of day(d) + days × DAY).to isostring(</t>
        </is>
      </c>
      <c r="H553" s="3" t="inlineStr">
        <is>
          <t>the first 10 of the date utc of day(d) plus days times DAY).to isostring(</t>
        </is>
      </c>
      <c r="I553" s="3" t="inlineStr">
        <is>
          <t>PARTLY READ — some of the code is still showing through; needs a hand pass</t>
        </is>
      </c>
      <c r="J553" s="3" t="inlineStr">
        <is>
          <t>1. d: string
2. days: number</t>
        </is>
      </c>
      <c r="K553" s="3" t="inlineStr">
        <is>
          <t>NOT DECLARED — the code does not say what it gives back</t>
        </is>
      </c>
      <c r="L553" s="3" t="inlineStr">
        <is>
          <t>—</t>
        </is>
      </c>
      <c r="M553" s="3" t="inlineStr">
        <is>
          <t>None found in this function — anything it assumes comes from the functions it depends on.</t>
        </is>
      </c>
      <c r="N553" s="3" t="inlineStr">
        <is>
          <t>Yes</t>
        </is>
      </c>
      <c r="O553" s="3" t="inlineStr">
        <is>
          <t>MK-ST-F-067 utcOfDay</t>
        </is>
      </c>
      <c r="P553" s="3" t="n">
        <v>1</v>
      </c>
      <c r="Q553" s="3" t="inlineStr">
        <is>
          <t>MK-ST-F-067 utcOfDay</t>
        </is>
      </c>
      <c r="R553" s="3" t="inlineStr">
        <is>
          <t>MK-ST-F-067 utcOfDay → MK-ST-F-068 stepDay</t>
        </is>
      </c>
      <c r="S553" s="3" t="inlineStr">
        <is>
          <t>—</t>
        </is>
      </c>
      <c r="T553" s="3" t="inlineStr">
        <is>
          <t>—</t>
        </is>
      </c>
      <c r="U553" s="3" t="inlineStr">
        <is>
          <t>ACTIVE</t>
        </is>
      </c>
      <c r="V553" s="3" t="inlineStr">
        <is>
          <t>2026-09-25</t>
        </is>
      </c>
      <c r="W553" s="3" t="n"/>
      <c r="X553" s="3" t="n"/>
      <c r="Y553" s="3" t="inlineStr">
        <is>
          <t>NOTHING OPEN</t>
        </is>
      </c>
    </row>
    <row r="554" ht="60" customHeight="1">
      <c r="A554" s="3" t="inlineStr">
        <is>
          <t>MK-ST-F-069</t>
        </is>
      </c>
      <c r="B554" s="3" t="inlineStr">
        <is>
          <t>amountOf</t>
        </is>
      </c>
      <c r="C554" s="3" t="inlineStr">
        <is>
          <t>Calculation Module code/engines/rebuild-history.ts</t>
        </is>
      </c>
      <c r="D554" s="3" t="n">
        <v>157</v>
      </c>
      <c r="E554" s="3" t="inlineStr">
        <is>
          <t>1 · ACTION</t>
        </is>
      </c>
      <c r="F554" s="3" t="inlineStr">
        <is>
          <t>NOT DETERMINED — the code carries no note saying what this is for, and it has no row in the old inventory. Needs reading.</t>
        </is>
      </c>
      <c r="G554" s="11" t="inlineStr">
        <is>
          <t>v   if typeof v = 'number' and number.is finite(v)
0   otherwise</t>
        </is>
      </c>
      <c r="H554" s="3" t="inlineStr">
        <is>
          <t>v — when typeof v = 'number' and number.is finite(v); 0 — otherwise</t>
        </is>
      </c>
      <c r="I554" s="3" t="inlineStr">
        <is>
          <t>PARTLY READ — some of the code is still showing through; needs a hand pass</t>
        </is>
      </c>
      <c r="J554" s="3" t="inlineStr">
        <is>
          <t>v: unknown</t>
        </is>
      </c>
      <c r="K554" s="3" t="inlineStr">
        <is>
          <t>0);</t>
        </is>
      </c>
      <c r="L554"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554" s="3" t="inlineStr">
        <is>
          <t>None found in this function — anything it assumes comes from the functions it depends on.</t>
        </is>
      </c>
      <c r="N554" s="3" t="inlineStr">
        <is>
          <t>Yes</t>
        </is>
      </c>
      <c r="O554" s="3" t="inlineStr">
        <is>
          <t>—</t>
        </is>
      </c>
      <c r="P554" s="3" t="n">
        <v>0</v>
      </c>
      <c r="Q554" s="3" t="inlineStr">
        <is>
          <t>None — no dependent function stands behind it</t>
        </is>
      </c>
      <c r="R554" s="3" t="inlineStr">
        <is>
          <t>No dependent function — it reads its inputs and answers</t>
        </is>
      </c>
      <c r="S554" s="3" t="inlineStr">
        <is>
          <t>—</t>
        </is>
      </c>
      <c r="T554" s="3" t="inlineStr">
        <is>
          <t>—</t>
        </is>
      </c>
      <c r="U554" s="3" t="inlineStr">
        <is>
          <t>ACTIVE</t>
        </is>
      </c>
      <c r="V554" s="3" t="inlineStr">
        <is>
          <t>2026-09-28</t>
        </is>
      </c>
      <c r="W554" s="3" t="n"/>
      <c r="X554" s="3" t="n"/>
      <c r="Y554" s="3" t="inlineStr">
        <is>
          <t>NOTHING OPEN</t>
        </is>
      </c>
    </row>
    <row r="555" ht="45" customHeight="1">
      <c r="A555" s="3" t="inlineStr">
        <is>
          <t>MK-ST-F-070</t>
        </is>
      </c>
      <c r="B555" s="3" t="inlineStr">
        <is>
          <t>isOpening</t>
        </is>
      </c>
      <c r="C555" s="3" t="inlineStr">
        <is>
          <t>Calculation Module code/engines/rebuild-history.ts</t>
        </is>
      </c>
      <c r="D555" s="3" t="n">
        <v>188</v>
      </c>
      <c r="E555" s="3" t="inlineStr">
        <is>
          <t>1 · ACTION</t>
        </is>
      </c>
      <c r="F555" s="3" t="inlineStr">
        <is>
          <t>An opening row is the first capture of something that already existed — proof that the records do NOT reach behind it.</t>
        </is>
      </c>
      <c r="G555" s="11" t="inlineStr">
        <is>
          <t>type = 'OPENING_POSITION' (or type = 'OPENING_CASH' when missing or zero)</t>
        </is>
      </c>
      <c r="H555" s="3" t="inlineStr">
        <is>
          <t>type = 'OPENING_POSITION' (or type = 'OPENING_CASH' — when missing or zero)</t>
        </is>
      </c>
      <c r="I555" s="3" t="inlineStr">
        <is>
          <t>READ FROM THE CODE — rendered from the expressions the function runs</t>
        </is>
      </c>
      <c r="J555" s="3" t="inlineStr">
        <is>
          <t>t: RebuildTxn</t>
        </is>
      </c>
      <c r="K555" s="3" t="inlineStr">
        <is>
          <t>NOT DECLARED — the code does not say what it gives back</t>
        </is>
      </c>
      <c r="L555" s="3" t="inlineStr">
        <is>
          <t>—</t>
        </is>
      </c>
      <c r="M555" s="3" t="inlineStr">
        <is>
          <t>None found in this function — anything it assumes comes from the functions it depends on.</t>
        </is>
      </c>
      <c r="N555" s="3" t="inlineStr">
        <is>
          <t>Yes</t>
        </is>
      </c>
      <c r="O555" s="3" t="inlineStr">
        <is>
          <t>—</t>
        </is>
      </c>
      <c r="P555" s="3" t="n">
        <v>0</v>
      </c>
      <c r="Q555" s="3" t="inlineStr">
        <is>
          <t>None — no dependent function stands behind it</t>
        </is>
      </c>
      <c r="R555" s="3" t="inlineStr">
        <is>
          <t>No dependent function — it reads its inputs and answers</t>
        </is>
      </c>
      <c r="S555" s="3" t="inlineStr">
        <is>
          <t>—</t>
        </is>
      </c>
      <c r="T555" s="3" t="inlineStr">
        <is>
          <t>—</t>
        </is>
      </c>
      <c r="U555" s="3" t="inlineStr">
        <is>
          <t>ACTIVE</t>
        </is>
      </c>
      <c r="V555" s="3" t="inlineStr">
        <is>
          <t>2026-09-25</t>
        </is>
      </c>
      <c r="W555" s="3" t="n"/>
      <c r="X555" s="3" t="n"/>
      <c r="Y555" s="3" t="inlineStr">
        <is>
          <t>NOTHING OPEN</t>
        </is>
      </c>
    </row>
    <row r="556" ht="60" customHeight="1">
      <c r="A556" s="3" t="inlineStr">
        <is>
          <t>MK-ST-F-071</t>
        </is>
      </c>
      <c r="B556" s="3" t="inlineStr">
        <is>
          <t>rebuildableFrom</t>
        </is>
      </c>
      <c r="C556" s="3" t="inlineStr">
        <is>
          <t>Calculation Module code/engines/rebuild-history.ts</t>
        </is>
      </c>
      <c r="D556" s="3" t="n">
        <v>229</v>
      </c>
      <c r="E556" s="3" t="inlineStr">
        <is>
          <t>3 · DEPENDENT</t>
        </is>
      </c>
      <c r="F556" s="3" t="inlineStr">
        <is>
          <t>The earliest day this account's past can honestly be rebuilt to: the first record it gave us, but never behind an opening capture, because nothing explains what sat there before it.</t>
        </is>
      </c>
      <c r="G556" s="11" t="inlineStr">
        <is>
          <t>first = nothing
last opening = nothing
nothing   when first = nothing
the answer:
last opening   if last opening ≠ nothing and last opening &gt; first
first   otherwise</t>
        </is>
      </c>
      <c r="H556" s="3" t="inlineStr">
        <is>
          <t>First is no answer. Last opening is no answer. When first is missing, it answers no answer. The answer is last opening — when last opening is not no answer and last opening &gt; first; first — otherwise.</t>
        </is>
      </c>
      <c r="I556" s="3" t="inlineStr">
        <is>
          <t>READ FROM THE CODE — rendered from the expressions the function runs</t>
        </is>
      </c>
      <c r="J556" s="3" t="inlineStr">
        <is>
          <t>1. txns: RebuildTxn[]
2. accountId: string</t>
        </is>
      </c>
      <c r="K556" s="3" t="inlineStr">
        <is>
          <t>string | null</t>
        </is>
      </c>
      <c r="L556" s="3" t="inlineStr">
        <is>
          <t>—</t>
        </is>
      </c>
      <c r="M556" s="3" t="inlineStr">
        <is>
          <t>None found in this function — anything it assumes comes from the functions it depends on.</t>
        </is>
      </c>
      <c r="N556" s="3" t="inlineStr">
        <is>
          <t>Yes</t>
        </is>
      </c>
      <c r="O556" s="3" t="inlineStr">
        <is>
          <t>1. MK-ST-F-066 isDayKey
2. MK-ST-F-070 isOpening</t>
        </is>
      </c>
      <c r="P556" s="3" t="n">
        <v>2</v>
      </c>
      <c r="Q556" s="3" t="inlineStr">
        <is>
          <t>1. MK-ST-F-066 isDayKey
2. MK-ST-F-070 isOpening</t>
        </is>
      </c>
      <c r="R556" s="3" t="inlineStr">
        <is>
          <t>1. MK-ST-F-066 isDayKey → MK-ST-F-071 rebuildableFrom
2. MK-ST-F-070 isOpening → MK-ST-F-071 rebuildableFrom</t>
        </is>
      </c>
      <c r="S556" s="3" t="inlineStr">
        <is>
          <t>—</t>
        </is>
      </c>
      <c r="T556" s="3" t="inlineStr">
        <is>
          <t>—</t>
        </is>
      </c>
      <c r="U556" s="3" t="inlineStr">
        <is>
          <t>ACTIVE</t>
        </is>
      </c>
      <c r="V556" s="3" t="inlineStr">
        <is>
          <t>2026-09-25</t>
        </is>
      </c>
      <c r="W556" s="3" t="n"/>
      <c r="X556" s="3" t="n"/>
      <c r="Y556" s="3" t="inlineStr">
        <is>
          <t>NOTHING OPEN</t>
        </is>
      </c>
    </row>
    <row r="557" ht="60" customHeight="1">
      <c r="A557" s="3" t="inlineStr">
        <is>
          <t>MK-ST-F-072</t>
        </is>
      </c>
      <c r="B557" s="3" t="inlineStr">
        <is>
          <t>undo</t>
        </is>
      </c>
      <c r="C557" s="3" t="inlineStr">
        <is>
          <t>Calculation Module code/engines/rebuild-history.ts</t>
        </is>
      </c>
      <c r="D557" s="3" t="n">
        <v>279</v>
      </c>
      <c r="E557" s="3" t="inlineStr">
        <is>
          <t>1 · ACTION</t>
        </is>
      </c>
      <c r="F557" s="3" t="inlineStr">
        <is>
          <t>Undo one record: take the state on the day AFTER it back to the state before it happened.</t>
        </is>
      </c>
      <c r="G557" s="11" t="inlineStr">
        <is>
          <t>acc = account id
key = (ticker ?? '').trim().to upper case()
cash = (id: string, by: number) =&gt; cash of.set(id, (cash of.get(id) ?? 0) + by)
m = `${id}|${k}`
cur = held.get(m) (or units = 0 when missing)
came = -1   if direction = 'OUT'
1   otherwise</t>
        </is>
      </c>
      <c r="H557" s="3" t="inlineStr">
        <is>
          <t>Acc is account id. Key is (ticker ?? '').trim().to upper case(). Cash is (id: string, by: number) =&gt; cash of.set(id, (cash of.get(id) ?? 0) plus by). M is `${id}|${k}`. Cur is held.get(m) (or units = 0 — when missing). Came is -1 — when direction = 'OUT'; 1 — otherwise.</t>
        </is>
      </c>
      <c r="I557" s="3" t="inlineStr">
        <is>
          <t>PARTLY READ — some of the code is still showing through; needs a hand pass</t>
        </is>
      </c>
      <c r="J557" s="3" t="inlineStr">
        <is>
          <t>1. t: RebuildTxn
2. held: Map&lt;string, Held&gt;
3. cashOf: Map&lt;string, number&gt;</t>
        </is>
      </c>
      <c r="K557" s="3" t="inlineStr">
        <is>
          <t>void</t>
        </is>
      </c>
      <c r="L557" s="3" t="inlineStr">
        <is>
          <t>—</t>
        </is>
      </c>
      <c r="M557" s="3" t="inlineStr">
        <is>
          <t>None found in this function — anything it assumes comes from the functions it depends on.</t>
        </is>
      </c>
      <c r="N557" s="3" t="inlineStr">
        <is>
          <t>Yes</t>
        </is>
      </c>
      <c r="O557" s="3" t="inlineStr">
        <is>
          <t>1. MK-ST-F-069 amountOf
2. MK-CF-F-155 cash
3. MK-ST-F-035 covers</t>
        </is>
      </c>
      <c r="P557" s="3" t="n">
        <v>5</v>
      </c>
      <c r="Q557" s="3" t="inlineStr">
        <is>
          <t>1. MK-ST-F-069 amountOf
2. MK-CF-F-155 cash
3. MK-ST-F-035 covers
4. MK-XS-F-122 n
5. MK-ST-F-034 firstDate</t>
        </is>
      </c>
      <c r="R557" s="3" t="inlineStr">
        <is>
          <t>1. MK-ST-F-069 amountOf → MK-ST-F-072 undo
2. MK-XS-F-122 n → MK-CF-F-155 cash → MK-ST-F-072 undo
3. MK-ST-F-034 firstDate → MK-ST-F-035 covers → MK-ST-F-072 undo</t>
        </is>
      </c>
      <c r="S557" s="3" t="inlineStr">
        <is>
          <t>—</t>
        </is>
      </c>
      <c r="T557" s="3" t="inlineStr">
        <is>
          <t>—</t>
        </is>
      </c>
      <c r="U557" s="3" t="inlineStr">
        <is>
          <t>ACTIVE</t>
        </is>
      </c>
      <c r="V557" s="3" t="inlineStr">
        <is>
          <t>2026-10-04</t>
        </is>
      </c>
      <c r="W557" s="3" t="n"/>
      <c r="X557" s="3" t="n"/>
      <c r="Y557" s="3" t="inlineStr">
        <is>
          <t>NOTHING OPEN</t>
        </is>
      </c>
    </row>
    <row r="558" ht="60" customHeight="1">
      <c r="A558" s="3" t="inlineStr">
        <is>
          <t>MK-ST-F-073</t>
        </is>
      </c>
      <c r="B558" s="3" t="inlineStr">
        <is>
          <t>rebuildDays</t>
        </is>
      </c>
      <c r="C558" s="3" t="inlineStr">
        <is>
          <t>Calculation Module code/engines/rebuild-history.ts</t>
        </is>
      </c>
      <c r="D558" s="3" t="n">
        <v>415</v>
      </c>
      <c r="E558" s="3" t="inlineStr">
        <is>
          <t>3 · DEPENDENT</t>
        </is>
      </c>
      <c r="F558" s="3" t="inlineStr">
        <is>
          <t>Rebuild the daily record backwards from today, for the accounts whose records can explain it.</t>
        </is>
      </c>
      <c r="G558" s="11"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558"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558" s="3" t="inlineStr">
        <is>
          <t>PARTLY READ — some of the code is still showing through; needs a hand pass</t>
        </is>
      </c>
      <c r="J558" s="3" t="inlineStr">
        <is>
          <t>input: RebuildInput</t>
        </is>
      </c>
      <c r="K558" s="3" t="inlineStr">
        <is>
          <t>RebuildResult</t>
        </is>
      </c>
      <c r="L558" s="3" t="inlineStr">
        <is>
          <t>—</t>
        </is>
      </c>
      <c r="M558" s="3" t="inlineStr">
        <is>
          <t>· Uses a built-in cursor of 0.</t>
        </is>
      </c>
      <c r="N558" s="3" t="inlineStr">
        <is>
          <t>Yes</t>
        </is>
      </c>
      <c r="O558" s="3" t="inlineStr">
        <is>
          <t>1. MK-ST-F-069 amountOf
2. MK-CF-F-133 cashOf
3. MK-ST-F-056 has
4. MK-ST-F-066 isDayKey
5. MK-ST-F-070 isOpening
6. MK-CF-F-132 map
7. MK-ST-F-039 on
8. MK-ST-F-071 rebuildableFrom
9. MK-ST-F-068 stepDay
10. MK-ST-F-072 undo</t>
        </is>
      </c>
      <c r="P558" s="3" t="n">
        <v>15</v>
      </c>
      <c r="Q558" s="3" t="inlineStr">
        <is>
          <t>1. MK-ST-F-069 amountOf
2. MK-CF-F-133 cashOf
3. MK-ST-F-056 has
4. MK-ST-F-066 isDayKey
5. MK-ST-F-070 isOpening
6. MK-CF-F-132 map
7. MK-ST-F-039 on
8. MK-ST-F-071 rebuildableFrom
9. MK-ST-F-068 stepDay
10. MK-ST-F-072 undo
11. MK-ST-F-067 utcOfDay
12. MK-CF-F-155 cash
13. MK-ST-F-035 covers
14. MK-XS-F-122 n
15. MK-ST-F-034 firstDate</t>
        </is>
      </c>
      <c r="R558" s="3" t="inlineStr">
        <is>
          <t>1. MK-ST-F-069 amountOf → MK-ST-F-073 rebuildDays
2. MK-CF-F-133 cashOf → MK-ST-F-073 rebuildDays
3. MK-ST-F-056 has → MK-ST-F-073 rebuildDays
4. MK-ST-F-066 isDayKey → MK-ST-F-073 rebuildDays
5. MK-ST-F-070 isOpening → MK-ST-F-073 rebuildDays
6. MK-CF-F-132 map → MK-ST-F-073 rebuildDays
7. MK-ST-F-039 on → MK-ST-F-073 rebuildDays
8. MK-ST-F-066 isDayKey → MK-ST-F-071 rebuildableFrom → MK-ST-F-073 rebuildDays
9. … and 4 more paths</t>
        </is>
      </c>
      <c r="S558" s="3" t="inlineStr">
        <is>
          <t>—</t>
        </is>
      </c>
      <c r="T558" s="3" t="inlineStr">
        <is>
          <t>—</t>
        </is>
      </c>
      <c r="U558" s="3" t="inlineStr">
        <is>
          <t>ACTIVE</t>
        </is>
      </c>
      <c r="V558" s="3" t="inlineStr">
        <is>
          <t>2026-09-25</t>
        </is>
      </c>
      <c r="W558" s="3" t="n"/>
      <c r="X558" s="3" t="n"/>
      <c r="Y558" s="3" t="inlineStr">
        <is>
          <t>NOTHING OPEN</t>
        </is>
      </c>
    </row>
    <row r="559" ht="60" customHeight="1">
      <c r="A559" s="3" t="inlineStr">
        <is>
          <t>MK-ST-F-074</t>
        </is>
      </c>
      <c r="B559" s="3" t="inlineStr">
        <is>
          <t>rebuiltSentence</t>
        </is>
      </c>
      <c r="C559" s="3" t="inlineStr">
        <is>
          <t>Calculation Module code/engines/rebuild-history.ts</t>
        </is>
      </c>
      <c r="D559" s="3" t="n">
        <v>605</v>
      </c>
      <c r="E559" s="3" t="inlineStr">
        <is>
          <t>2 · DISPLAYED</t>
        </is>
      </c>
      <c r="F559" s="3" t="inlineStr">
        <is>
          <t>The one sentence the screen says about a rebuilt line: where it came from and where it starts.</t>
        </is>
      </c>
      <c r="G559" s="11" t="inlineStr">
        <is>
          <t>''   when from is missing
who = (institution ?? '').trim()
day = the date `${from}T12:00:00`).to locale date string('en − US', { month: 'short', day: 'numeric', year: 'numeric' }</t>
        </is>
      </c>
      <c r="H559" s="3" t="inlineStr">
        <is>
          <t>When from is missing, it answers ''. Who is (institution ?? '').trim(). Day: the date `${from}T12:00:00`).to locale date string('en minus US', { month: 'short', day: 'numeric', year: 'numeric' }.</t>
        </is>
      </c>
      <c r="I559" s="3" t="inlineStr">
        <is>
          <t>PARTLY READ — some of the code is still showing through; needs a hand pass</t>
        </is>
      </c>
      <c r="J559" s="3" t="inlineStr">
        <is>
          <t>1. institution: string | null | undefined
2. from: string | null</t>
        </is>
      </c>
      <c r="K559" s="3" t="inlineStr">
        <is>
          <t>string</t>
        </is>
      </c>
      <c r="L559" s="3" t="inlineStr">
        <is>
          <t>NOT FOUND — a screen calls it, but the words printed beside its answer could not be traced automatically. Needs reading.</t>
        </is>
      </c>
      <c r="M559" s="3" t="inlineStr">
        <is>
          <t>None found in this function — anything it assumes comes from the functions it depends on.</t>
        </is>
      </c>
      <c r="N559" s="3" t="inlineStr">
        <is>
          <t>Yes</t>
        </is>
      </c>
      <c r="O559" s="3" t="inlineStr">
        <is>
          <t>—</t>
        </is>
      </c>
      <c r="P559" s="3" t="n">
        <v>0</v>
      </c>
      <c r="Q559" s="3" t="inlineStr">
        <is>
          <t>None — no dependent function stands behind it</t>
        </is>
      </c>
      <c r="R559" s="3" t="inlineStr">
        <is>
          <t>No dependent function — it reads its inputs and answers</t>
        </is>
      </c>
      <c r="S559" s="3" t="inlineStr">
        <is>
          <t>—</t>
        </is>
      </c>
      <c r="T559" s="3" t="inlineStr">
        <is>
          <t>—</t>
        </is>
      </c>
      <c r="U559" s="3" t="inlineStr">
        <is>
          <t>ACTIVE</t>
        </is>
      </c>
      <c r="V559" s="3" t="inlineStr">
        <is>
          <t>2026-09-25</t>
        </is>
      </c>
      <c r="W559" s="3" t="n"/>
      <c r="X559" s="3" t="n"/>
      <c r="Y559" s="3" t="inlineStr">
        <is>
          <t>NOTHING OPEN</t>
        </is>
      </c>
    </row>
    <row r="560" ht="60" customHeight="1">
      <c r="A560" s="3" t="inlineStr">
        <is>
          <t>MK-ST-F-075</t>
        </is>
      </c>
      <c r="B560" s="3" t="inlineStr">
        <is>
          <t>agoLabel</t>
        </is>
      </c>
      <c r="C560" s="3" t="inlineStr">
        <is>
          <t>src/domain/_shared/freshness.ts</t>
        </is>
      </c>
      <c r="D560" s="3" t="n">
        <v>84</v>
      </c>
      <c r="E560" s="3" t="inlineStr">
        <is>
          <t>3 · DEPENDENT</t>
        </is>
      </c>
      <c r="F560" s="3" t="inlineStr">
        <is>
          <t>How long ago, in words a person reads — never a raw date.</t>
        </is>
      </c>
      <c r="G560" s="11" t="inlineStr">
        <is>
          <t>days = days since(when, now)
nothing   when days = nothing
`${plural(days, 'day')} ago`   when days ≥ 1
hours = round down((now − (typeof when = 'number' ? when : date.parse(string(when)))) ÷ 3600000)
the answer:
`${hours}h ago`   if hours ≥ 1
'just now'   otherwise</t>
        </is>
      </c>
      <c r="H560" s="3" t="inlineStr">
        <is>
          <t>Days is days since(when, now). When days is missing, it answers no answer. When days is at least 1, it answers `${plural(days, 'day')} ago`. Hours is (now minus (typeof — when = 'number' ? — when : date.parse(string(when, rounded down))) divided by 3600000). The answer is `${hours}h ago` — when hours is at least 1; 'just now' — otherwise.</t>
        </is>
      </c>
      <c r="I560" s="3" t="inlineStr">
        <is>
          <t>PARTLY READ — some of the code is still showing through; needs a hand pass</t>
        </is>
      </c>
      <c r="J560" s="3" t="inlineStr">
        <is>
          <t>1. when: string | number | null | undefined
2. now: number</t>
        </is>
      </c>
      <c r="K560" s="3" t="inlineStr">
        <is>
          <t>string | null</t>
        </is>
      </c>
      <c r="L560" s="3" t="inlineStr">
        <is>
          <t>—</t>
        </is>
      </c>
      <c r="M560" s="3" t="inlineStr">
        <is>
          <t>None found in this function — anything it assumes comes from the functions it depends on.</t>
        </is>
      </c>
      <c r="N560" s="3" t="inlineStr">
        <is>
          <t>Yes</t>
        </is>
      </c>
      <c r="O560" s="3" t="inlineStr">
        <is>
          <t>1. MK-XS-F-170 daysSince
2. MK-NW-F-067 plural</t>
        </is>
      </c>
      <c r="P560" s="3" t="n">
        <v>3</v>
      </c>
      <c r="Q560" s="3" t="inlineStr">
        <is>
          <t>1. MK-XS-F-170 daysSince
2. MK-NW-F-067 plural
3. MK-XS-F-122 n</t>
        </is>
      </c>
      <c r="R560" s="3" t="inlineStr">
        <is>
          <t>1. MK-XS-F-170 daysSince → MK-ST-F-075 agoLabel
2. MK-XS-F-122 n → MK-NW-F-067 plural → MK-ST-F-075 agoLabel</t>
        </is>
      </c>
      <c r="S560" s="3" t="inlineStr">
        <is>
          <t>—</t>
        </is>
      </c>
      <c r="T560" s="3" t="inlineStr">
        <is>
          <t>—</t>
        </is>
      </c>
      <c r="U560" s="3" t="inlineStr">
        <is>
          <t>ACTIVE</t>
        </is>
      </c>
      <c r="V560" s="3" t="inlineStr">
        <is>
          <t>2026-10-10</t>
        </is>
      </c>
      <c r="W560" s="3" t="n"/>
      <c r="X560" s="3" t="n"/>
      <c r="Y560" s="3" t="inlineStr">
        <is>
          <t>NOTHING OPEN</t>
        </is>
      </c>
    </row>
    <row r="561" ht="60" customHeight="1">
      <c r="A561" s="3" t="inlineStr">
        <is>
          <t>MK-ST-F-076</t>
        </is>
      </c>
      <c r="B561" s="3" t="inlineStr">
        <is>
          <t>ageLabel</t>
        </is>
      </c>
      <c r="C561" s="3" t="inlineStr">
        <is>
          <t>src/domain/_shared/freshness.ts</t>
        </is>
      </c>
      <c r="D561" s="3" t="n">
        <v>124</v>
      </c>
      <c r="E561" s="3" t="inlineStr">
        <is>
          <t>3 · DEPENDENT</t>
        </is>
      </c>
      <c r="F561" s="3" t="inlineStr">
        <is>
          <t>HOW OLD, IN DAYS, IN THE WORDS HE APPROVED — 'today', 'yesterday', '3 days old'.</t>
        </is>
      </c>
      <c r="G561" s="11" t="inlineStr">
        <is>
          <t>days = days since(when, now)
nothing   when days = nothing
'today'   when days = 0
'yesterday'   when days = 1
the answer = `${days} days old`</t>
        </is>
      </c>
      <c r="H561" s="3" t="inlineStr">
        <is>
          <t>Days is days since(when, now). When days is missing, it answers no answer. When days = 0, it answers 'today'. When days = 1, it answers 'yesterday'. The answer is `${days} days old`.</t>
        </is>
      </c>
      <c r="I561" s="3" t="inlineStr">
        <is>
          <t>PARTLY READ — some of the code is still showing through; needs a hand pass</t>
        </is>
      </c>
      <c r="J561" s="3" t="inlineStr">
        <is>
          <t>1. when: string | number | null | undefined
2. now: number</t>
        </is>
      </c>
      <c r="K561" s="3" t="inlineStr">
        <is>
          <t>string | null</t>
        </is>
      </c>
      <c r="L561" s="3" t="inlineStr">
        <is>
          <t>—</t>
        </is>
      </c>
      <c r="M561" s="3" t="inlineStr">
        <is>
          <t>None found in this function — anything it assumes comes from the functions it depends on.</t>
        </is>
      </c>
      <c r="N561" s="3" t="inlineStr">
        <is>
          <t>Yes</t>
        </is>
      </c>
      <c r="O561" s="3" t="inlineStr">
        <is>
          <t>MK-XS-F-170 daysSince</t>
        </is>
      </c>
      <c r="P561" s="3" t="n">
        <v>1</v>
      </c>
      <c r="Q561" s="3" t="inlineStr">
        <is>
          <t>MK-XS-F-170 daysSince</t>
        </is>
      </c>
      <c r="R561" s="3" t="inlineStr">
        <is>
          <t>MK-XS-F-170 daysSince → MK-ST-F-076 ageLabel</t>
        </is>
      </c>
      <c r="S561" s="3" t="inlineStr">
        <is>
          <t>—</t>
        </is>
      </c>
      <c r="T561" s="3" t="inlineStr">
        <is>
          <t>—</t>
        </is>
      </c>
      <c r="U561" s="3" t="inlineStr">
        <is>
          <t>ACTIVE</t>
        </is>
      </c>
      <c r="V561" s="3" t="inlineStr">
        <is>
          <t>2026-10-01</t>
        </is>
      </c>
      <c r="W561" s="3" t="n"/>
      <c r="X561" s="3" t="n"/>
      <c r="Y561" s="3" t="inlineStr">
        <is>
          <t>NOTHING OPEN</t>
        </is>
      </c>
    </row>
    <row r="562" ht="45" customHeight="1">
      <c r="A562" s="3" t="inlineStr">
        <is>
          <t>MK-ST-F-077</t>
        </is>
      </c>
      <c r="B562" s="3" t="inlineStr">
        <is>
          <t>isStale</t>
        </is>
      </c>
      <c r="C562" s="3" t="inlineStr">
        <is>
          <t>src/domain/_shared/freshness.ts</t>
        </is>
      </c>
      <c r="D562" s="3" t="n">
        <v>155</v>
      </c>
      <c r="E562" s="3" t="inlineStr">
        <is>
          <t>3 · DEPENDENT</t>
        </is>
      </c>
      <c r="F562" s="3" t="inlineStr">
        <is>
          <t>Stale, by the one threshold.</t>
        </is>
      </c>
      <c r="G562" s="11" t="inlineStr">
        <is>
          <t>days = days since(when, now)
the answer = days = nothing (or days ≥ STALE_AFTER_DAYS when missing or zero)</t>
        </is>
      </c>
      <c r="H562" s="3" t="inlineStr">
        <is>
          <t>Days is days since(when, now). The answer is days is missing (or days is at least STALE_AFTER_DAYS — when missing or zero).</t>
        </is>
      </c>
      <c r="I562" s="3" t="inlineStr">
        <is>
          <t>READ FROM THE CODE — rendered from the expressions the function runs</t>
        </is>
      </c>
      <c r="J562" s="3" t="inlineStr">
        <is>
          <t>1. when: string | number | null | undefined
2. now: number</t>
        </is>
      </c>
      <c r="K562" s="3" t="inlineStr">
        <is>
          <t>boolean</t>
        </is>
      </c>
      <c r="L562" s="3" t="inlineStr">
        <is>
          <t>—</t>
        </is>
      </c>
      <c r="M562" s="3" t="inlineStr">
        <is>
          <t>None found in this function — anything it assumes comes from the functions it depends on.</t>
        </is>
      </c>
      <c r="N562" s="3" t="inlineStr">
        <is>
          <t>Yes</t>
        </is>
      </c>
      <c r="O562" s="3" t="inlineStr">
        <is>
          <t>MK-XS-F-170 daysSince</t>
        </is>
      </c>
      <c r="P562" s="3" t="n">
        <v>1</v>
      </c>
      <c r="Q562" s="3" t="inlineStr">
        <is>
          <t>MK-XS-F-170 daysSince</t>
        </is>
      </c>
      <c r="R562" s="3" t="inlineStr">
        <is>
          <t>MK-XS-F-170 daysSince → MK-ST-F-077 isStale</t>
        </is>
      </c>
      <c r="S562" s="3" t="inlineStr">
        <is>
          <t>—</t>
        </is>
      </c>
      <c r="T562" s="3" t="inlineStr">
        <is>
          <t>—</t>
        </is>
      </c>
      <c r="U562" s="3" t="inlineStr">
        <is>
          <t>ACTIVE</t>
        </is>
      </c>
      <c r="V562" s="3" t="inlineStr">
        <is>
          <t>2026-10-01</t>
        </is>
      </c>
      <c r="W562" s="3" t="n"/>
      <c r="X562" s="3" t="n"/>
      <c r="Y562" s="3" t="inlineStr">
        <is>
          <t>NOTHING OPEN</t>
        </is>
      </c>
    </row>
    <row r="563" ht="60" customHeight="1">
      <c r="A563" s="3" t="inlineStr">
        <is>
          <t>MK-ST-F-078</t>
        </is>
      </c>
      <c r="B563" s="3" t="inlineStr">
        <is>
          <t>dateShown</t>
        </is>
      </c>
      <c r="C563" s="3" t="inlineStr">
        <is>
          <t>src/domain/_shared/dates.ts</t>
        </is>
      </c>
      <c r="D563" s="3" t="n">
        <v>71</v>
      </c>
      <c r="E563" s="3" t="inlineStr">
        <is>
          <t>2 · DISPLAYED</t>
        </is>
      </c>
      <c r="F563" s="3" t="inlineStr">
        <is>
          <t>NOT DETERMINED — the code carries no note saying what this is for, and it has no row in the old inventory. Needs reading.</t>
        </is>
      </c>
      <c r="G563" s="11" t="inlineStr">
        <is>
          <t>''   when iso is missing
`${MONTH_SHORT[(m or 1) − 1]} ${d}, ${y}`   if y
''   otherwise</t>
        </is>
      </c>
      <c r="H563" s="3" t="inlineStr">
        <is>
          <t>When iso is missing, it answers ''. `${MONTH_SHORT[(m or 1) minus 1]} ${d}, ${y}` — when y; '' — otherwise.</t>
        </is>
      </c>
      <c r="I563" s="3" t="inlineStr">
        <is>
          <t>PARTLY READ — some of the code is still showing through; needs a hand pass</t>
        </is>
      </c>
      <c r="J563" s="3" t="inlineStr">
        <is>
          <t>iso: string | null | undefined</t>
        </is>
      </c>
      <c r="K563" s="3" t="inlineStr">
        <is>
          <t>string</t>
        </is>
      </c>
      <c r="L563" s="3" t="inlineStr">
        <is>
          <t>"Performance" — on the Performance screen</t>
        </is>
      </c>
      <c r="M563" s="3" t="inlineStr">
        <is>
          <t>None found in this function — anything it assumes comes from the functions it depends on.</t>
        </is>
      </c>
      <c r="N563" s="3" t="inlineStr">
        <is>
          <t>Yes</t>
        </is>
      </c>
      <c r="O563" s="3" t="inlineStr">
        <is>
          <t>MK-CF-F-132 map</t>
        </is>
      </c>
      <c r="P563" s="3" t="n">
        <v>1</v>
      </c>
      <c r="Q563" s="3" t="inlineStr">
        <is>
          <t>MK-CF-F-132 map</t>
        </is>
      </c>
      <c r="R563" s="3" t="inlineStr">
        <is>
          <t>MK-CF-F-132 map → MK-ST-F-078 dateShown</t>
        </is>
      </c>
      <c r="S563" s="3" t="inlineStr">
        <is>
          <t>—</t>
        </is>
      </c>
      <c r="T563" s="3" t="inlineStr">
        <is>
          <t>—</t>
        </is>
      </c>
      <c r="U563" s="3" t="inlineStr">
        <is>
          <t>ACTIVE</t>
        </is>
      </c>
      <c r="V563" s="3" t="inlineStr">
        <is>
          <t>2026-10-01</t>
        </is>
      </c>
      <c r="W563" s="3" t="n"/>
      <c r="X563" s="3" t="n"/>
      <c r="Y563" s="3" t="inlineStr">
        <is>
          <t>NOTHING OPEN</t>
        </is>
      </c>
    </row>
    <row r="564" ht="45" customHeight="1">
      <c r="A564" s="3" t="inlineStr">
        <is>
          <t>MK-ST-F-079</t>
        </is>
      </c>
      <c r="B564" s="3" t="inlineStr">
        <is>
          <t>dailyWindowStart</t>
        </is>
      </c>
      <c r="C564" s="3" t="inlineStr">
        <is>
          <t>Calculation Module code/engines/snapshots.ts</t>
        </is>
      </c>
      <c r="D564" s="3" t="n">
        <v>266</v>
      </c>
      <c r="E564" s="3" t="inlineStr">
        <is>
          <t>3 · DEPENDENT</t>
        </is>
      </c>
      <c r="F564" s="3" t="inlineStr">
        <is>
          <t>THE FIRST DAY OF THE DAILY RECORD: two years back AND THE DAY BEFORE THAT.</t>
        </is>
      </c>
      <c r="G564" s="11" t="inlineStr">
        <is>
          <t>cutoff = the first 10)}T12:00:00Z` of new date(`${today
the answer = the first 10 of cutoff.to isostring()</t>
        </is>
      </c>
      <c r="H564" s="3" t="inlineStr">
        <is>
          <t>Cutoff: the first 10)}T12:00:00Z` of new date(`${today. The answer: the first 10 of cutoff.to isostring().</t>
        </is>
      </c>
      <c r="I564" s="3" t="inlineStr">
        <is>
          <t>PARTLY READ — some of the code is still showing through; needs a hand pass</t>
        </is>
      </c>
      <c r="J564" s="3" t="inlineStr">
        <is>
          <t>today: string</t>
        </is>
      </c>
      <c r="K564" s="3" t="inlineStr">
        <is>
          <t>string</t>
        </is>
      </c>
      <c r="L564" s="3" t="inlineStr">
        <is>
          <t>—</t>
        </is>
      </c>
      <c r="M564" s="3" t="inlineStr">
        <is>
          <t>None found in this function — anything it assumes comes from the functions it depends on.</t>
        </is>
      </c>
      <c r="N564" s="3" t="inlineStr">
        <is>
          <t>Yes</t>
        </is>
      </c>
      <c r="O564" s="3" t="inlineStr">
        <is>
          <t>—</t>
        </is>
      </c>
      <c r="P564" s="3" t="n">
        <v>0</v>
      </c>
      <c r="Q564" s="3" t="inlineStr">
        <is>
          <t>None — no dependent function stands behind it</t>
        </is>
      </c>
      <c r="R564" s="3" t="inlineStr">
        <is>
          <t>No dependent function — it reads its inputs and answers</t>
        </is>
      </c>
      <c r="S564" s="3" t="inlineStr">
        <is>
          <t>—</t>
        </is>
      </c>
      <c r="T564" s="3" t="inlineStr">
        <is>
          <t>—</t>
        </is>
      </c>
      <c r="U564" s="3" t="inlineStr">
        <is>
          <t>ACTIVE</t>
        </is>
      </c>
      <c r="V564" s="3" t="inlineStr">
        <is>
          <t>2026-10-03</t>
        </is>
      </c>
      <c r="W564" s="3" t="n"/>
      <c r="X564" s="3" t="n"/>
      <c r="Y564" s="3" t="inlineStr">
        <is>
          <t>NOTHING OPEN</t>
        </is>
      </c>
    </row>
    <row r="565" ht="60" customHeight="1">
      <c r="A565" s="3" t="inlineStr">
        <is>
          <t>MK-ST-F-080</t>
        </is>
      </c>
      <c r="B565" s="3" t="inlineStr">
        <is>
          <t>isDay</t>
        </is>
      </c>
      <c r="C565" s="3" t="inlineStr">
        <is>
          <t>Calculation Module code/engines/time-weighted-return.ts</t>
        </is>
      </c>
      <c r="D565" s="3" t="n">
        <v>94</v>
      </c>
      <c r="E565" s="3" t="inlineStr">
        <is>
          <t>3 · DEPENDENT</t>
        </is>
      </c>
      <c r="F565" s="3" t="inlineStr">
        <is>
          <t>Whether a value is a calendar day written as year-month-day.</t>
        </is>
      </c>
      <c r="G565" s="11" t="inlineStr">
        <is>
          <t>NOT READ YET — the body is not a shape this can render faithfully, so nothing is claimed rather than something being guessed. It needs reading by hand.</t>
        </is>
      </c>
      <c r="H565" s="3" t="inlineStr">
        <is>
          <t>NOT READ YET — the body is not a shape this can render faithfully, so nothing is claimed rather than something being guessed. It needs reading by hand.</t>
        </is>
      </c>
      <c r="I565" s="3" t="inlineStr">
        <is>
          <t>NOT READ — nothing is claimed rather than something guessed</t>
        </is>
      </c>
      <c r="J565" s="3" t="inlineStr">
        <is>
          <t>d: unknown</t>
        </is>
      </c>
      <c r="K565" s="3" t="inlineStr">
        <is>
          <t>d is string</t>
        </is>
      </c>
      <c r="L565" s="3" t="inlineStr">
        <is>
          <t>—</t>
        </is>
      </c>
      <c r="M565" s="3" t="inlineStr">
        <is>
          <t>· Uses a built-in s a m e of 0.5%.</t>
        </is>
      </c>
      <c r="N565" s="3" t="inlineStr">
        <is>
          <t>Yes</t>
        </is>
      </c>
      <c r="O565" s="3" t="inlineStr">
        <is>
          <t>—</t>
        </is>
      </c>
      <c r="P565" s="3" t="n">
        <v>0</v>
      </c>
      <c r="Q565" s="3" t="inlineStr">
        <is>
          <t>None — no dependent function stands behind it</t>
        </is>
      </c>
      <c r="R565" s="3" t="inlineStr">
        <is>
          <t>No dependent function — it reads its inputs and answers</t>
        </is>
      </c>
      <c r="S565" s="3" t="inlineStr">
        <is>
          <t>—</t>
        </is>
      </c>
      <c r="T565" s="3" t="inlineStr">
        <is>
          <t>—</t>
        </is>
      </c>
      <c r="U565" s="3" t="inlineStr">
        <is>
          <t>ACTIVE</t>
        </is>
      </c>
      <c r="V565" s="3" t="inlineStr">
        <is>
          <t>2026-10-04</t>
        </is>
      </c>
      <c r="W565" s="3" t="n"/>
      <c r="X565" s="3" t="n"/>
      <c r="Y565" s="3" t="inlineStr">
        <is>
          <t>NOTHING OPEN</t>
        </is>
      </c>
    </row>
    <row r="566" ht="60" customHeight="1">
      <c r="A566" s="3" t="inlineStr">
        <is>
          <t>MK-ST-F-081</t>
        </is>
      </c>
      <c r="B566" s="3" t="inlineStr">
        <is>
          <t>timeWeightedReturn</t>
        </is>
      </c>
      <c r="C566" s="3" t="inlineStr">
        <is>
          <t>Calculation Module code/engines/time-weighted-return.ts</t>
        </is>
      </c>
      <c r="D566" s="3" t="n">
        <v>139</v>
      </c>
      <c r="E566" s="3" t="inlineStr">
        <is>
          <t>3 · DEPENDENT</t>
        </is>
      </c>
      <c r="F566" s="3" t="inlineStr">
        <is>
          <t>The time-weighted return of a set of accounts between two days, or the reason it cannot be measured.</t>
        </is>
      </c>
      <c r="G566" s="11" t="inlineStr">
        <is>
          <t>ids = account ids
cash = cash ids (or new set&lt;string&gt;() when missing)
refuse = (refused: time weighted refusal, day?: string): time weighted verdict =&gt; ({ rate: nothing, refused, day, measured from: nothing })
days = days (or none when missing) where is day(date) and date ≤ end.sort((x, y) =&gt; date.locale compare(date))
line = new map&lt;string, map&lt;string, number&gt;&gt;()
holds = new set&lt;string&gt;()
span = new map&lt;string, { first: string; last: string }&gt;()
values = new map&lt;string, number&gt;()
s = span.get(id)!
v = rows.get(date)
nothing   when v = nothing
[LOOP — the answer is found inside a loop the extractor cannot render; the steps above are the ones before it. Read by hand.]
… the first steps only — the rest of the body needs reading by hand.</t>
        </is>
      </c>
      <c r="H566" s="3" t="inlineStr">
        <is>
          <t>Ids is account ids. Cash is cash ids (or new set&lt;string&gt;() — when missing). Refuse is (refused: time weighted refusal, day?: string): time weighted verdict =&gt; ({ rate: no answer, refused, day, measured from: no answer }). Days is days (or none — when missing) where is day(date) and date is at most end.sort((x, y) =&gt; date.locale compare(date)). Line is new map&lt;string, map&lt;string, number&gt;&gt;(). Holds is new set&lt;string&gt;(). Span is new map&lt;string, { first: string; last: string }&gt;(). Values is new map&lt;string, number&gt;(). S is span.get(id)!. V is rows.get(date). When v is missing, it answers no answer. The answer is found inside a loop that cannot be rendered here; read the code by hand. Only the first steps are shown; the rest of the body needs reading by hand.</t>
        </is>
      </c>
      <c r="I566" s="3" t="inlineStr">
        <is>
          <t>PARTLY READ — the body has a loop the extractor cannot render; the steps shown are the ones before it. Needs a hand pass (G23).</t>
        </is>
      </c>
      <c r="J566" s="3" t="inlineStr">
        <is>
          <t>a: TimeWeightedInput</t>
        </is>
      </c>
      <c r="K566" s="3" t="inlineStr">
        <is>
          <t>TimeWeightedVerdict</t>
        </is>
      </c>
      <c r="L566" s="3" t="inlineStr">
        <is>
          <t>—</t>
        </is>
      </c>
      <c r="M566" s="3" t="inlineStr">
        <is>
          <t>1. Uses a built-in total of 0.
2. Uses a built-in growth of 1.
3. Uses a built-in money in of 0.
4. Never lets before fall below 0.</t>
        </is>
      </c>
      <c r="N566" s="3" t="inlineStr">
        <is>
          <t>Yes</t>
        </is>
      </c>
      <c r="O566" s="3" t="inlineStr">
        <is>
          <t>1. MK-ST-F-027 accountId
2. MK-ST-F-083 accountValuesOn
3. MK-ST-F-056 has
4. MK-ST-F-080 isDay
5. MK-CF-F-204 line
6. MK-ST-F-039 on</t>
        </is>
      </c>
      <c r="P566" s="3" t="n">
        <v>114</v>
      </c>
      <c r="Q566" s="3" t="inlineStr">
        <is>
          <t>1. MK-ST-F-027 accountId
2. MK-ST-F-083 accountValuesOn
3. MK-ST-F-056 has
4. MK-ST-F-080 isDay
5. MK-CF-F-204 line
6. MK-ST-F-039 on
7. MK-CF-F-203 MONTH
8. MK-XS-F-180 declareFigures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MK-NW-F-057 annualCoupon
43. MK-NW-F-056 bondInfo
44. MK-NW-F-064 bondRateSensitivity
45. MK-NW-F-061 bondSummary
46. MK-NW-F-055 isBond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MK-NW-F-131 pricedLikeBond
69. MK-NW-F-125 isPastMaturity
70. MK-ST-F-065 isoLocalDate
71. MK-NW-F-126 yearlyInterestNow
72. MK-NW-F-011 assetClassOf
73. MK-NW-F-070 accruedInterestCaveat
74. MK-NW-F-058 yearsToMaturity
75. MK-CF-F-075 retirementIncomeMonthly
76. MK-CF-F-172 hasWage
77. MK-CF-F-062 equityRowValue
78. MK-CF-F-070 benefitAnnual
79. MK-CF-F-176 sumMonthsOverEarners
80. MK-CF-F-090 effectiveRate
81. MK-CF-F-180 enteredLandsAnnual
82. MK-CF-F-085 filingStatusOf
83. MK-CF-F-089 over65CountOf
84. MK-CF-F-082 salaryAnnual
85. MK-CF-F-086 stateRateOf
86. MK-CF-F-101 taxOwedFor
87. MK-CF-F-084 taxableAnnual
88. MK-CF-F-067 rentalList
89. MK-CF-F-063 rowVestYear
90. MK-CF-F-130 enteredMonthlyRaw
91. MK-CF-F-166 hasMonthlySalaryTable
92. MK-ST-F-036 reconcile
93. MK-CF-F-167 salaryCalendarYear
94. MK-CF-F-120 pctBaseMonthly
95. MK-CF-F-004 spendBuckets
96. MK-NW-F-119 estimatedAccrued
97. MK-NW-F-124 maturityParts
98. MK-NW-F-120 classEvidenceOf
99. MK-NW-F-067 plural
100. MK-CF-F-100 taxableIncomeFor
101. MK-CF-F-074 tipsAnnual
102. MK-ST-F-085 rentFigure
103. MK-CF-F-165 salaryMonths
104. MK-CF-F-003 categoryMonthly
105. MK-NW-F-008 incomeBearingClassOf
106. MK-NW-F-009 maturityClass
107. MK-CF-F-099 deductionFor
108. MK-CF-F-081 salaryActiveMonths
109. MK-ST-F-010 nameEvidence
110. MK-NW-F-068 prettyDay
111. MK-CF-F-187 seniorDeductionFor
112. MK-XS-F-147 call
113. MK-XS-F-064 currentIdToken
114. MK-XS-F-112 relayUrl</t>
        </is>
      </c>
      <c r="R566" s="3" t="inlineStr">
        <is>
          <t>1. MK-ST-F-027 accountId → MK-ST-F-081 timeWeightedReturn
2. MK-ST-F-027 accountId → MK-ST-F-083 accountValuesOn → MK-ST-F-081 timeWeightedReturn
3. MK-ST-F-056 has → MK-ST-F-083 accountValuesOn → MK-ST-F-081 timeWeightedReturn
4. MK-ST-F-056 has → MK-ST-F-081 timeWeightedReturn
5. MK-ST-F-080 isDay → MK-ST-F-081 timeWeightedReturn
6. MONTH (already above — a loop) → MK-CF-O-010 theMonth → MK-CF-F-203 MONTH → MK-CF-F-204 line → MK-ST-F-081 timeWeightedReturn
7. MK-XS-F-122 n → MK-CF-F-155 cash → MK-CF-O-010 theMonth → MK-CF-F-203 MONTH → MK-CF-F-204 line → MK-ST-F-081 timeWeightedReturn
8. MK-CF-F-151 actualSpending → MK-CF-O-002 expenses → MK-CF-O-010 theMonth → MK-CF-F-203 MONTH → MK-CF-F-204 line → MK-ST-F-081 timeWeightedReturn
9. … and 5 more paths</t>
        </is>
      </c>
      <c r="S566" s="3" t="inlineStr">
        <is>
          <t>—</t>
        </is>
      </c>
      <c r="T566" s="3" t="inlineStr">
        <is>
          <t>—</t>
        </is>
      </c>
      <c r="U566" s="3" t="inlineStr">
        <is>
          <t>ACTIVE</t>
        </is>
      </c>
      <c r="V566" s="3" t="inlineStr">
        <is>
          <t>2026-10-04</t>
        </is>
      </c>
      <c r="W566" s="3" t="n"/>
      <c r="X566" s="3" t="n"/>
      <c r="Y566" s="3" t="inlineStr">
        <is>
          <t>NOTHING OPEN</t>
        </is>
      </c>
    </row>
    <row r="567" ht="60" customHeight="1">
      <c r="A567" s="3" t="inlineStr">
        <is>
          <t>MK-ST-F-082</t>
        </is>
      </c>
      <c r="B567" s="3" t="inlineStr">
        <is>
          <t>movementsOf</t>
        </is>
      </c>
      <c r="C567" s="3" t="inlineStr">
        <is>
          <t>Calculation Module code/engines/time-weighted-return.ts</t>
        </is>
      </c>
      <c r="D567" s="3" t="n">
        <v>255</v>
      </c>
      <c r="E567" s="3" t="inlineStr">
        <is>
          <t>3 · DEPENDENT</t>
        </is>
      </c>
      <c r="F567" s="3" t="inlineStr">
        <is>
          <t>Which of a household's records are money moving in or out of the measured accounts, which are interest, and on which days shares were moved.</t>
        </is>
      </c>
      <c r="G567" s="11" t="inlineStr">
        <is>
          <t>flows = [], interest: dated amount[] = [], shares moved: string[] = []
date = the first 10 of string(date ?? '')
acc = string(account id)   if account id ≠ nothing
''   otherwise
other = string(counter account id)   if counter account id ≠ nothing
''   otherwise
amount = amount read as a number (or 0 when missing or zero)
the answer = { flows, interest, shares moved }</t>
        </is>
      </c>
      <c r="H567" s="3" t="inlineStr">
        <is>
          <t>Flows is [], interest: dated amount[] = [], shares moved: string[] = []. Date: the first 10 of string(date ?? ''). Acc is string(account id) — when account id is not no answer; '' — otherwise. Other is string(counter account id) — when counter account id is not no answer; '' — otherwise. Amount is amount read as a number (or 0 — when missing or zero). The answer is { flows, interest, shares moved }.</t>
        </is>
      </c>
      <c r="I567" s="3" t="inlineStr">
        <is>
          <t>PARTLY READ — some of the code is still showing through; needs a hand pass</t>
        </is>
      </c>
      <c r="J567" s="3" t="inlineStr">
        <is>
          <t>1. transactions: any[]
2. ids: Set&lt;string&gt;</t>
        </is>
      </c>
      <c r="K567" s="3" t="inlineStr">
        <is>
          <t>NOT DECLARED — the code does not say what it gives back</t>
        </is>
      </c>
      <c r="L567" s="3" t="inlineStr">
        <is>
          <t>—</t>
        </is>
      </c>
      <c r="M567" s="3" t="inlineStr">
        <is>
          <t>None found in this function — anything it assumes comes from the functions it depends on.</t>
        </is>
      </c>
      <c r="N567" s="3" t="inlineStr">
        <is>
          <t>Yes</t>
        </is>
      </c>
      <c r="O567" s="3" t="inlineStr">
        <is>
          <t>MK-ST-F-056 has</t>
        </is>
      </c>
      <c r="P567" s="3" t="n">
        <v>1</v>
      </c>
      <c r="Q567" s="3" t="inlineStr">
        <is>
          <t>MK-ST-F-056 has</t>
        </is>
      </c>
      <c r="R567" s="3" t="inlineStr">
        <is>
          <t>MK-ST-F-056 has → MK-ST-F-082 movementsOf</t>
        </is>
      </c>
      <c r="S567" s="3" t="inlineStr">
        <is>
          <t>—</t>
        </is>
      </c>
      <c r="T567" s="3" t="inlineStr">
        <is>
          <t>—</t>
        </is>
      </c>
      <c r="U567" s="3" t="inlineStr">
        <is>
          <t>ACTIVE</t>
        </is>
      </c>
      <c r="V567" s="3" t="inlineStr">
        <is>
          <t>2026-10-04</t>
        </is>
      </c>
      <c r="W567" s="3" t="n"/>
      <c r="X567" s="3" t="n"/>
      <c r="Y567" s="3" t="inlineStr">
        <is>
          <t>NOTHING OPEN</t>
        </is>
      </c>
    </row>
    <row r="568" ht="60" customHeight="1">
      <c r="A568" s="3" t="inlineStr">
        <is>
          <t>MK-ST-F-083</t>
        </is>
      </c>
      <c r="B568" s="3" t="inlineStr">
        <is>
          <t>accountValuesOn</t>
        </is>
      </c>
      <c r="C568" s="3" t="inlineStr">
        <is>
          <t>Calculation Module code/engines/snapshots.ts</t>
        </is>
      </c>
      <c r="D568" s="3" t="n">
        <v>456</v>
      </c>
      <c r="E568" s="3" t="inlineStr">
        <is>
          <t>3 · DEPENDENT</t>
        </is>
      </c>
      <c r="F568" s="3" t="inlineStr">
        <is>
          <t>What each account was worth on one recorded day: its holdings, its cash and its typed balance added up — and, for an account the record holds nothing else for, the broker's own stated total.</t>
        </is>
      </c>
      <c r="G568" s="11" t="inlineStr">
        <is>
          <t>out = new map&lt;string, number&gt;()
held = new set&lt;string&gt;()
own = cash + (typed value ?? 0)
value = stated total as number   if !held.has(account id) and own = 0 and (stated total ?? 0) &gt; 0
own   otherwise
the answer = out</t>
        </is>
      </c>
      <c r="H568" s="3" t="inlineStr">
        <is>
          <t>Out is new map&lt;string, number&gt;(). Held is new set&lt;string&gt;(). Own is cash plus (typed value ?? 0). Value is stated total as number — when !held.has(account id) and own = 0 and (stated total ?? 0) &gt; 0; own — otherwise. The answer is out.</t>
        </is>
      </c>
      <c r="I568" s="3" t="inlineStr">
        <is>
          <t>PARTLY READ — some of the code is still showing through; needs a hand pass</t>
        </is>
      </c>
      <c r="J568" s="3" t="inlineStr">
        <is>
          <t>1. day: SnapshotDay
2. wanted: (accountId: string) =&gt; boolean</t>
        </is>
      </c>
      <c r="K568" s="3" t="inlineStr">
        <is>
          <t>Map&lt;string, number&gt;</t>
        </is>
      </c>
      <c r="L568" s="3" t="inlineStr">
        <is>
          <t>—</t>
        </is>
      </c>
      <c r="M568" s="3" t="inlineStr">
        <is>
          <t>1. If typed value is missing it uses 0.
2. If stated total is missing it uses 0.</t>
        </is>
      </c>
      <c r="N568" s="3" t="inlineStr">
        <is>
          <t>Yes</t>
        </is>
      </c>
      <c r="O568" s="3" t="inlineStr">
        <is>
          <t>1. MK-ST-F-027 accountId
2. MK-ST-F-056 has</t>
        </is>
      </c>
      <c r="P568" s="3" t="n">
        <v>2</v>
      </c>
      <c r="Q568" s="3" t="inlineStr">
        <is>
          <t>1. MK-ST-F-027 accountId
2. MK-ST-F-056 has</t>
        </is>
      </c>
      <c r="R568" s="3" t="inlineStr">
        <is>
          <t>1. MK-ST-F-027 accountId → MK-ST-F-083 accountValuesOn
2. MK-ST-F-056 has → MK-ST-F-083 accountValuesOn</t>
        </is>
      </c>
      <c r="S568" s="3" t="inlineStr">
        <is>
          <t>—</t>
        </is>
      </c>
      <c r="T568" s="3" t="inlineStr">
        <is>
          <t>—</t>
        </is>
      </c>
      <c r="U568" s="3" t="inlineStr">
        <is>
          <t>ACTIVE</t>
        </is>
      </c>
      <c r="V568" s="3" t="inlineStr">
        <is>
          <t>2026-10-04</t>
        </is>
      </c>
      <c r="W568" s="3" t="n"/>
      <c r="X568" s="3" t="n"/>
      <c r="Y568" s="3" t="inlineStr">
        <is>
          <t>NOTHING OPEN</t>
        </is>
      </c>
    </row>
    <row r="569" ht="60" customHeight="1">
      <c r="A569" s="3" t="inlineStr">
        <is>
          <t>MK-ST-F-084</t>
        </is>
      </c>
      <c r="B569" s="3" t="inlineStr">
        <is>
          <t>fillBetweenObservations</t>
        </is>
      </c>
      <c r="C569" s="3" t="inlineStr">
        <is>
          <t>Calculation Module code/engines/rebuild-history.ts</t>
        </is>
      </c>
      <c r="D569" s="3" t="n">
        <v>542</v>
      </c>
      <c r="E569" s="3" t="inlineStr">
        <is>
          <t>3 · DEPENDENT</t>
        </is>
      </c>
      <c r="F569" s="3" t="inlineStr">
        <is>
          <t>A hand-entered account's value on the rebuilt days between two days it was observed on, when it held exactly the same things on both.</t>
        </is>
      </c>
      <c r="G569" s="11" t="inlineStr">
        <is>
          <t>out = [...(days ?? [])].sort((x, y) =&gt; date.locale compare(date))
observed = out where origin = 'observed'
ids = a list with no repeats of observed.flat map((d) =&gt; (holdings ?? []).map((h) =&gt; account id))
a = observed[k], b = observed[k + 1]
ha = holdings where account id = id, hb = holdings where account id = id
ra = accounts.find((r) =&gt; account id = id), rb = accounts.find((r) =&gt; account id = id)
the answer = out</t>
        </is>
      </c>
      <c r="H569" s="3" t="inlineStr">
        <is>
          <t>Out is [...(days ?? [])].sort((x, y) =&gt; date.locale compare(date)). Observed is out where origin = 'observed'. Ids is a list with no repeats of observed.flat map((d) =&gt; (holdings ?? []).map((h) =&gt; account id)). A is observed[k], b = observed[k plus 1]. Ha is holdings where account id = id, hb = holdings where account id = id. Ra is accounts.find((r) =&gt; account id = id), rb = accounts.find((r) =&gt; account id = id). The answer is out.</t>
        </is>
      </c>
      <c r="I569" s="3" t="inlineStr">
        <is>
          <t>PARTLY READ — some of the code is still showing through; needs a hand pass</t>
        </is>
      </c>
      <c r="J569" s="3" t="inlineStr">
        <is>
          <t>1. days: SnapshotDay[]
2. priceOn: (securityKey: string, day: string) =&gt; number | null</t>
        </is>
      </c>
      <c r="K569" s="3" t="inlineStr">
        <is>
          <t>SnapshotDay[]</t>
        </is>
      </c>
      <c r="L569" s="3" t="inlineStr">
        <is>
          <t>—</t>
        </is>
      </c>
      <c r="M569" s="3" t="inlineStr">
        <is>
          <t>None found in this function — anything it assumes comes from the functions it depends on.</t>
        </is>
      </c>
      <c r="N569" s="3" t="inlineStr">
        <is>
          <t>Yes</t>
        </is>
      </c>
      <c r="O569" s="3" t="inlineStr">
        <is>
          <t>1. MK-ST-F-027 accountId
2. MK-CF-F-132 map</t>
        </is>
      </c>
      <c r="P569" s="3" t="n">
        <v>2</v>
      </c>
      <c r="Q569" s="3" t="inlineStr">
        <is>
          <t>1. MK-ST-F-027 accountId
2. MK-CF-F-132 map</t>
        </is>
      </c>
      <c r="R569" s="3" t="inlineStr">
        <is>
          <t>1. MK-ST-F-027 accountId → MK-ST-F-084 fillBetweenObservations
2. MK-CF-F-132 map → MK-ST-F-084 fillBetweenObservations</t>
        </is>
      </c>
      <c r="S569" s="3" t="inlineStr">
        <is>
          <t>—</t>
        </is>
      </c>
      <c r="T569" s="3" t="inlineStr">
        <is>
          <t>—</t>
        </is>
      </c>
      <c r="U569" s="3" t="inlineStr">
        <is>
          <t>ACTIVE</t>
        </is>
      </c>
      <c r="V569" s="3" t="inlineStr">
        <is>
          <t>2026-10-04</t>
        </is>
      </c>
      <c r="W569" s="3" t="n"/>
      <c r="X569" s="3" t="n"/>
      <c r="Y569" s="3" t="inlineStr">
        <is>
          <t>NOTHING OPEN</t>
        </is>
      </c>
    </row>
    <row r="570" ht="60" customHeight="1">
      <c r="A570" s="3" t="inlineStr">
        <is>
          <t>MK-ST-F-085</t>
        </is>
      </c>
      <c r="B570" s="3" t="inlineStr">
        <is>
          <t>rentFigure</t>
        </is>
      </c>
      <c r="C570" s="3" t="inlineStr">
        <is>
          <t>src/domain/_shared/num.ts</t>
        </is>
      </c>
      <c r="D570" s="3" t="n">
        <v>113</v>
      </c>
      <c r="E570" s="3" t="inlineStr">
        <is>
          <t>3 · DEPENDENT</t>
        </is>
      </c>
      <c r="F570" s="3" t="inlineStr">
        <is>
          <t>A rent or running-cost figure as the person typed it: a plain number, or null when it is not one.</t>
        </is>
      </c>
      <c r="G570" s="11" t="inlineStr">
        <is>
          <t>v   if number.is finite(v)
nothing   otherwise   when v is a number
nothing   when v = nothing
t = string(v).trim()
nothing   when ! ÷ ^\$?\s × (?=[\d.])[\d,\s] × (\.\d × )?$ ÷ .test(t) (or ! ÷ \d ÷ .test(t) when missing or zero)
n = parse float(replace( ÷ [$,\s] ÷ g, ''))
the answer:
n   if number.is finite(n)
nothing   otherwise</t>
        </is>
      </c>
      <c r="H570" s="3" t="inlineStr">
        <is>
          <t>When v is a number, it answers v — when number.is finite(v); no answer — otherwise. When v is missing, it answers no answer. T is string(v).trim(). When ! divided by ^\$?\s times (?=[\d.])[\d,\s] times (\.\d times )?$ divided by .test(t) (or ! divided by \d divided by .test(t) — when missing or zero), it answers no answer. N is parse float(replace( divided by [$,\s] divided by g, '')). The answer is n — when number.is finite(n); no answer — otherwise.</t>
        </is>
      </c>
      <c r="I570" s="3" t="inlineStr">
        <is>
          <t>PARTLY READ — some of the code is still showing through; needs a hand pass</t>
        </is>
      </c>
      <c r="J570" s="3" t="inlineStr">
        <is>
          <t>v: any</t>
        </is>
      </c>
      <c r="K570" s="3" t="inlineStr">
        <is>
          <t>number | null</t>
        </is>
      </c>
      <c r="L570" s="3" t="inlineStr">
        <is>
          <t>—</t>
        </is>
      </c>
      <c r="M570" s="3" t="inlineStr">
        <is>
          <t>None found in this function — anything it assumes comes from the functions it depends on.</t>
        </is>
      </c>
      <c r="N570" s="3" t="inlineStr">
        <is>
          <t>Yes</t>
        </is>
      </c>
      <c r="O570" s="3" t="inlineStr">
        <is>
          <t>MK-XS-F-122 n</t>
        </is>
      </c>
      <c r="P570" s="3" t="n">
        <v>1</v>
      </c>
      <c r="Q570" s="3" t="inlineStr">
        <is>
          <t>MK-XS-F-122 n</t>
        </is>
      </c>
      <c r="R570" s="3" t="inlineStr">
        <is>
          <t>MK-XS-F-122 n → MK-ST-F-085 rentFigure</t>
        </is>
      </c>
      <c r="S570" s="3" t="inlineStr">
        <is>
          <t>—</t>
        </is>
      </c>
      <c r="T570" s="3" t="inlineStr">
        <is>
          <t>—</t>
        </is>
      </c>
      <c r="U570" s="3" t="inlineStr">
        <is>
          <t>ACTIVE</t>
        </is>
      </c>
      <c r="V570" s="3" t="inlineStr">
        <is>
          <t>2026-10-10</t>
        </is>
      </c>
      <c r="W570" s="3" t="n"/>
      <c r="X570" s="3" t="n"/>
      <c r="Y570" s="3" t="inlineStr">
        <is>
          <t>NOTHING OPEN</t>
        </is>
      </c>
    </row>
    <row r="571" ht="60" customHeight="1">
      <c r="A571" s="3" t="inlineStr">
        <is>
          <t>MK-XS-F-001</t>
        </is>
      </c>
      <c r="B571" s="3" t="inlineStr">
        <is>
          <t>planCompleteness</t>
        </is>
      </c>
      <c r="C571" s="3" t="inlineStr">
        <is>
          <t>src/domain/completeness/index.ts</t>
        </is>
      </c>
      <c r="D571" s="3" t="n">
        <v>40</v>
      </c>
      <c r="E571" s="3" t="inlineStr">
        <is>
          <t>2 · DISPLAYED</t>
        </is>
      </c>
      <c r="F571" s="3" t="inlineStr">
        <is>
          <t>NOT DETERMINED — the code carries no note saying what this is for, and it has no row in the old inventory. Needs reading.</t>
        </is>
      </c>
      <c r="G571" s="11" t="inlineStr">
        <is>
          <t>done count = checks where donecount of 
total = count of checks
the answer:
checks = checks
done count = done count
total = total
pct = round((done count ÷ total) × 100)</t>
        </is>
      </c>
      <c r="H571" s="3" t="inlineStr">
        <is>
          <t>Done count is checks where donecount of. Total: how many checks there are. The answer is checks = checks; done count = done count; total = total; pct = (done count divided by total, to a whole number times 100).</t>
        </is>
      </c>
      <c r="I571" s="3" t="inlineStr">
        <is>
          <t>READ FROM THE CODE — rendered from the expressions the function runs</t>
        </is>
      </c>
      <c r="J571" s="3" t="inlineStr">
        <is>
          <t>i: CompletenessInput</t>
        </is>
      </c>
      <c r="K571" s="3" t="inlineStr">
        <is>
          <t>NOT DECLARED — the code does not say what it gives back</t>
        </is>
      </c>
      <c r="L571" s="3" t="inlineStr">
        <is>
          <t>NOT FOUND — a screen calls it, but the words printed beside its answer could not be traced automatically. Needs reading.</t>
        </is>
      </c>
      <c r="M571" s="3" t="inlineStr">
        <is>
          <t>· Rounds the answer to a whole number.</t>
        </is>
      </c>
      <c r="N571" s="3" t="inlineStr">
        <is>
          <t>Yes</t>
        </is>
      </c>
      <c r="O571" s="3" t="inlineStr">
        <is>
          <t>—</t>
        </is>
      </c>
      <c r="P571" s="3" t="n">
        <v>0</v>
      </c>
      <c r="Q571" s="3" t="inlineStr">
        <is>
          <t>None — no dependent function stands behind it</t>
        </is>
      </c>
      <c r="R571" s="3" t="inlineStr">
        <is>
          <t>No dependent function — it reads its inputs and answers</t>
        </is>
      </c>
      <c r="S571" s="3" t="inlineStr">
        <is>
          <t>—</t>
        </is>
      </c>
      <c r="T571" s="3" t="inlineStr">
        <is>
          <t>—</t>
        </is>
      </c>
      <c r="U571" s="3" t="inlineStr">
        <is>
          <t>ACTIVE</t>
        </is>
      </c>
      <c r="V571" s="3" t="inlineStr">
        <is>
          <t>2026-08-27</t>
        </is>
      </c>
      <c r="W571" s="3" t="n"/>
      <c r="X571" s="3" t="n"/>
      <c r="Y571" s="3" t="inlineStr">
        <is>
          <t>NOTHING OPEN</t>
        </is>
      </c>
    </row>
    <row r="572" ht="60" customHeight="1">
      <c r="A572" s="3" t="inlineStr">
        <is>
          <t>MK-XS-F-002</t>
        </is>
      </c>
      <c r="B572" s="3" t="inlineStr">
        <is>
          <t>dataGaps</t>
        </is>
      </c>
      <c r="C572" s="3" t="inlineStr">
        <is>
          <t>src/domain/gaps/index.ts</t>
        </is>
      </c>
      <c r="D572" s="3" t="n">
        <v>157</v>
      </c>
      <c r="E572" s="3" t="inlineStr">
        <is>
          <t>2 · DISPLAYED</t>
        </is>
      </c>
      <c r="F572" s="3" t="inlineStr">
        <is>
          <t>Every incomplete promise across the given accounts.</t>
        </is>
      </c>
      <c r="G572" s="11"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who = label.trim() (or institution.trim() (or 'A debt' when missing or zero) when missing or zero)
the answer = gaps
… the first steps only — the rest of the body needs reading by hand.</t>
        </is>
      </c>
      <c r="H572"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Who is label.trim() (or institution.trim() (or 'A debt' — when missing or zero) — when missing or zero). The answer is gaps. Only the first steps are shown; the rest of the body needs reading by hand.</t>
        </is>
      </c>
      <c r="I572" s="3" t="inlineStr">
        <is>
          <t>PARTLY READ — some of the code is still showing through; needs a hand pass</t>
        </is>
      </c>
      <c r="J572" s="3" t="inlineStr">
        <is>
          <t>Nothing is handed to it</t>
        </is>
      </c>
      <c r="K572" s="3" t="inlineStr">
        <is>
          <t>NOT DECLARED — the code does not say what it gives back</t>
        </is>
      </c>
      <c r="L572" s="3" t="inlineStr">
        <is>
          <t>NOT FOUND — a screen calls it, but the words printed beside its answer could not be traced automatically. Needs reading.</t>
        </is>
      </c>
      <c r="M572" s="3" t="inlineStr">
        <is>
          <t>1. If shares is missing it uses 0.
2. Treats a year as 365 days.
3. Uses today's date from the device clock, so the answer changes by itself overnight.</t>
        </is>
      </c>
      <c r="N572" s="3" t="inlineStr">
        <is>
          <t>Yes</t>
        </is>
      </c>
      <c r="O572" s="3" t="inlineStr">
        <is>
          <t>1. MK-XS-F-170 daysSince
2. MK-NW-F-046 historyCoverage
3. MK-CF-F-204 line
4. MK-XS-F-120 nameOf
5. MK-XS-F-119 namesFor
6. MK-NW-F-067 plural
7. MK-XS-F-118 prettyDate</t>
        </is>
      </c>
      <c r="P572" s="3" t="n">
        <v>123</v>
      </c>
      <c r="Q572" s="3" t="inlineStr">
        <is>
          <t>1. MK-XS-F-170 daysSince
2. MK-NW-F-046 historyCoverage
3. MK-CF-F-204 line
4. MK-XS-F-120 nameOf
5. MK-XS-F-119 namesFor
6. MK-NW-F-067 plural
7. MK-XS-F-118 prettyDate
8. MK-CF-F-203 MONTH
9. MK-ST-F-065 isoLocalDate
10. MK-CF-F-132 map
11. MK-NW-F-068 prettyDay
12. MK-XS-F-180 declareFigures
13. MK-NW-F-026 accountDisplayNames
14. MK-XS-F-122 n
15. MK-CF-O-010 theMonth
16. MK-NW-F-025 accountDisplayName
17. MK-ST-F-056 has
18. MK-CF-F-155 cash
19. MK-CF-O-002 expenses
20. MK-CF-O-003 thisMonth
21. MK-NW-F-024 accountLastFour
22. MK-ST-F-039 on
23. MK-NW-F-012 taxTreatmentOf
24. MK-NW-F-023 wrapperWord
25. MK-CF-F-151 actualSpending
26. MK-CF-F-150 debtPaymentsCountedAsExpenses
27. MK-CF-F-153 radar
28. MK-CF-F-149 recurringDebtPayments
29. MK-CF-F-005 actualMonthFlow
30. MK-CF-F-156 plannedMonthFlow
31. MK-NW-F-007 assetKind
32. MK-CF-F-148 inMonth
33. MK-ST-F-052 toNum
34. MK-CF-F-191 ym
35. MK-CF-F-022 paymentShape
36. MK-CF-F-152 isRadarItem
37. MK-CF-F-023 requiredPayment
38. MK-NW-F-078 ONE
39. MK-CF-F-157 debtPaymentsByDebt
40. MK-CF-F-192 inflowLabel
41. MK-XS-F-027 takeHomeMonthly
42. MK-NW-F-011 assetClassOf
43. MK-CF-F-021 defaultPaymentType
44. MK-NW-F-077 ALL
45. MK-NW-F-059 currentYield
46. MK-ST-F-049 formatMoney
47. MK-ST-F-053 money
48. MK-NW-O-001 theBonds
49. MK-CF-F-193 inflowSourceWord
50. MK-CF-F-092 incomeMonthlyGrid
51. MK-CF-F-011 savingsByMonth
52. MK-NW-F-120 classEvidenceOf
53. MK-NW-F-112 yearlyInterest
54. MK-ST-F-048 currencySymbol
55. MK-ST-F-027 accountId
56. MK-NW-F-057 annualCoupon
57. MK-NW-F-056 bondInfo
58. MK-NW-F-064 bondRateSensitivity
59. MK-NW-F-061 bondSummary
60. MK-NW-F-055 isBond
61. MK-NW-F-072 rowOf
62. MK-CF-F-069 benefitActiveMonths
63. MK-CF-F-072 currentRetirementIncomeMonthly
64. MK-CF-F-173 earnerWages
65. MK-CF-F-065 equityVestWeights
66. MK-CF-F-071 extraIncome
67. MK-CF-F-206 householdK401ByMonth
68. MK-CF-F-087 monthlyTaxRates
69. MK-CF-F-073 otherIncomeMonth
70. MK-CF-F-181 rateInForce
71. MK-CF-F-068 rentalNetAnnual
72. MK-CF-F-066 rsuAnnual
73. MK-CF-F-060 salaryGrossByMonth
74. MK-CF-F-077 scholarshipByCalendarMonth
75. MK-CF-F-088 taxableByCalendarMonth
76. MK-CF-F-177 wageGrossByMonth
77. MK-PL-F-012 waterfall
78. MK-CF-F-008 spendByMonth
79. MK-NW-F-008 incomeBearingClassOf
80. MK-NW-F-009 maturityClass
81. MK-ST-F-047 activeCurrency
82. MK-NW-F-060 approxYTM
83. MK-NW-F-069 priceAtYield
84. MK-NW-F-131 pricedLikeBond
85. MK-NW-F-125 isPastMaturity
86. MK-NW-F-126 yearlyInterestNow
87. MK-NW-F-070 accruedInterestCaveat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MK-ST-F-010 nameEvidence
111. MK-NW-F-119 estimatedAccrued
112. MK-NW-F-124 maturityParts
113. MK-CF-F-100 taxableIncomeFor
114. MK-CF-F-074 tipsAnnual
115. MK-ST-F-085 rentFigure
116. MK-CF-F-165 salaryMonths
117. MK-CF-F-003 categoryMonthly
118. MK-XS-F-147 call
119. MK-CF-F-099 deductionFor
120. MK-CF-F-081 salaryActiveMonths
121. MK-XS-F-064 currentIdToken
122. MK-XS-F-112 relayUrl
123. MK-CF-F-187 seniorDeductionFor</t>
        </is>
      </c>
      <c r="R572" s="3" t="inlineStr">
        <is>
          <t>1. MK-XS-F-170 daysSince → MK-XS-F-002 dataGaps
2. MONTH (already above — a loop) → MK-CF-O-010 theMonth → MK-CF-F-203 MONTH → MK-NW-F-046 historyCoverage → MK-XS-F-002 dataGaps
3. MK-XS-F-122 n → MK-CF-F-155 cash → MK-CF-O-010 theMonth → MK-CF-F-203 MONTH → MK-NW-F-046 historyCoverage → MK-XS-F-002 dataGaps
4. MK-CF-F-151 actualSpending → MK-CF-O-002 expenses → MK-CF-O-010 theMonth → MK-CF-F-203 MONTH → MK-NW-F-046 historyCoverage → MK-XS-F-002 dataGaps
5. MK-CF-F-150 debtPaymentsCountedAsExpenses → MK-CF-O-002 expenses → MK-CF-O-010 theMonth → MK-CF-F-203 MONTH → MK-NW-F-046 historyCoverage → MK-XS-F-002 dataGaps
6. MK-CF-F-153 radar → MK-CF-O-002 expenses → MK-CF-O-010 theMonth → MK-CF-F-203 MONTH → MK-NW-F-046 historyCoverage → MK-XS-F-002 dataGaps
7. MK-CF-F-149 recurringDebtPayments → MK-CF-O-002 expenses → MK-CF-O-010 theMonth → MK-CF-F-203 MONTH → MK-NW-F-046 historyCoverage → MK-XS-F-002 dataGaps
8. MK-CF-F-005 actualMonthFlow → MK-CF-O-003 thisMonth → MK-CF-O-010 theMonth → MK-CF-F-203 MONTH → MK-NW-F-046 historyCoverage → MK-XS-F-002 dataGaps
9. … and 5 more paths</t>
        </is>
      </c>
      <c r="S572" s="3" t="inlineStr">
        <is>
          <t>—</t>
        </is>
      </c>
      <c r="T572" s="3" t="inlineStr">
        <is>
          <t>WHAT_IS_MISSING</t>
        </is>
      </c>
      <c r="U572" s="3" t="inlineStr">
        <is>
          <t>ACTIVE</t>
        </is>
      </c>
      <c r="V572" s="3" t="inlineStr">
        <is>
          <t>2026-10-09</t>
        </is>
      </c>
      <c r="W572" s="3" t="n"/>
      <c r="X572" s="3" t="n"/>
      <c r="Y572" s="3" t="inlineStr">
        <is>
          <t>NOTHING OPEN</t>
        </is>
      </c>
    </row>
    <row r="573" ht="60" customHeight="1">
      <c r="A573" s="3" t="inlineStr">
        <is>
          <t>MK-XS-F-003</t>
        </is>
      </c>
      <c r="B573" s="3" t="inlineStr">
        <is>
          <t>gapsHeadline</t>
        </is>
      </c>
      <c r="C573" s="3" t="inlineStr">
        <is>
          <t>src/domain/gaps/index.ts</t>
        </is>
      </c>
      <c r="D573" s="3" t="n">
        <v>299</v>
      </c>
      <c r="E573" s="3" t="inlineStr">
        <is>
          <t>2 · DISPLAYED (presentation only)</t>
        </is>
      </c>
      <c r="F573" s="3" t="inlineStr">
        <is>
          <t>The banner sentence — plural-correct, and absent (null) when nothing is missing.</t>
        </is>
      </c>
      <c r="G573" s="11" t="inlineStr">
        <is>
          <t>nothing   when count of gaps is missing
`${plural(gaps.length, 'number')} ${gaps.length = 1 ? 'needs' : 'need'} more information`</t>
        </is>
      </c>
      <c r="H573" s="3" t="inlineStr">
        <is>
          <t>When how many gaps is missing there are, it answers no answer. `${plural(gaps.length, 'number')} ${gaps.length = 1 ? 'needs' : 'need'} more information`.</t>
        </is>
      </c>
      <c r="I573" s="3" t="inlineStr">
        <is>
          <t>PARTLY READ — some of the code is still showing through; needs a hand pass</t>
        </is>
      </c>
      <c r="J573" s="3" t="inlineStr">
        <is>
          <t>gaps: DataGap[]</t>
        </is>
      </c>
      <c r="K573" s="3" t="inlineStr">
        <is>
          <t>string | null</t>
        </is>
      </c>
      <c r="L573" s="3" t="inlineStr">
        <is>
          <t>NOT FOUND — a screen calls it, but the words printed beside its answer could not be traced automatically. Needs reading.</t>
        </is>
      </c>
      <c r="M573" s="3" t="inlineStr">
        <is>
          <t>None found in this function — anything it assumes comes from the functions it depends on.</t>
        </is>
      </c>
      <c r="N573" s="3" t="inlineStr">
        <is>
          <t>Yes</t>
        </is>
      </c>
      <c r="O573" s="3" t="inlineStr">
        <is>
          <t>MK-NW-F-067 plural</t>
        </is>
      </c>
      <c r="P573" s="3" t="n">
        <v>2</v>
      </c>
      <c r="Q573" s="3" t="inlineStr">
        <is>
          <t>1. MK-NW-F-067 plural
2. MK-XS-F-122 n</t>
        </is>
      </c>
      <c r="R573" s="3" t="inlineStr">
        <is>
          <t>MK-XS-F-122 n → MK-NW-F-067 plural → MK-XS-F-003 gapsHeadline</t>
        </is>
      </c>
      <c r="S573" s="3" t="inlineStr">
        <is>
          <t>—</t>
        </is>
      </c>
      <c r="T573" s="3" t="inlineStr">
        <is>
          <t>—</t>
        </is>
      </c>
      <c r="U573" s="3" t="inlineStr">
        <is>
          <t>ACTIVE</t>
        </is>
      </c>
      <c r="V573" s="3" t="inlineStr">
        <is>
          <t>2026-10-10</t>
        </is>
      </c>
      <c r="W573" s="3" t="n"/>
      <c r="X573" s="3" t="n"/>
      <c r="Y573" s="3" t="inlineStr">
        <is>
          <t>NOTHING OPEN</t>
        </is>
      </c>
    </row>
    <row r="574" ht="60" customHeight="1">
      <c r="A574" s="3" t="inlineStr">
        <is>
          <t>MK-XS-F-004</t>
        </is>
      </c>
      <c r="B574" s="3" t="inlineStr">
        <is>
          <t>buildDatedGrid</t>
        </is>
      </c>
      <c r="C574" s="3" t="inlineStr">
        <is>
          <t>src/domain/grid/index.ts</t>
        </is>
      </c>
      <c r="D574" s="3" t="n">
        <v>114</v>
      </c>
      <c r="E574" s="3" t="inlineStr">
        <is>
          <t>2 · DISPLAYED</t>
        </is>
      </c>
      <c r="F574" s="3" t="inlineStr">
        <is>
          <t>Build the dated 12-month grid.</t>
        </is>
      </c>
      <c r="G574" s="11"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574"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574" s="3" t="inlineStr">
        <is>
          <t>PARTLY READ — the body has a loop the extractor cannot render; the steps shown are the ones before it. Needs a hand pass (G23).</t>
        </is>
      </c>
      <c r="J574" s="3" t="inlineStr">
        <is>
          <t>1. op: OnboardingProfile | null
2. opts: GridOptions = {}</t>
        </is>
      </c>
      <c r="K574" s="3" t="inlineStr">
        <is>
          <t>DatedGrid</t>
        </is>
      </c>
      <c r="L574" s="3" t="inlineStr">
        <is>
          <t>NOT FOUND — a screen calls it, but the words printed beside its answer could not be traced automatically. Needs reading.</t>
        </is>
      </c>
      <c r="M574"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574" s="3" t="inlineStr">
        <is>
          <t>Yes</t>
        </is>
      </c>
      <c r="O574"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t>
        </is>
      </c>
      <c r="P574" s="3" t="n">
        <v>114</v>
      </c>
      <c r="Q574"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
17. MK-CF-F-075 retirementIncomeMonthly
18. MK-CF-F-062 equityRowValue
19. MK-CF-F-066 rsuAnnual
20. MK-CF-F-121 zero12
21. MK-CF-F-151 actualSpending
22. MK-CF-F-150 debtPaymentsCountedAsExpenses
23. MK-CF-F-153 radar
24. MK-CF-F-149 recurringDebtPayments
25. MK-CF-F-203 MONTH
26. MK-XS-F-180 declareFigures
27. MK-ST-F-049 formatMoney
28. MK-XS-F-122 n
29. MK-CF-F-090 effectiveRate
30. MK-ST-F-039 on
31. MK-CF-F-021 defaultPaymentType
32. MK-CF-F-067 rentalList
33. MK-CF-F-176 sumMonthsOverEarners
34. MK-CF-F-177 wageGrossByMonth
35. MK-CF-F-120 pctBaseMonthly
36. MK-CF-F-004 spendBuckets
37. MK-CF-F-063 rowVestYear
38. MK-CF-F-148 inMonth
39. MK-CF-F-191 ym
40. MK-CF-F-152 isRadarItem
41. MK-CF-O-010 theMonth
42. MK-ST-F-048 currencySymbol
43. MK-CF-F-181 rateInForce
44. MK-ST-F-085 rentFigure
45. MK-CF-F-173 earnerWages
46. MK-CF-F-130 enteredMonthlyRaw
47. MK-CF-F-166 hasMonthlySalaryTable
48. MK-ST-F-036 reconcile
49. MK-CF-F-167 salaryCalendarYear
50. MK-CF-F-092 incomeMonthlyGrid
51. MK-CF-F-003 categoryMonthly
52. MK-CF-F-155 cash
53. MK-CF-O-003 thisMonth
54. MK-ST-F-047 activeCurrency
55. MK-CF-F-180 enteredLandsAnnual
56. MK-CF-F-085 filingStatusOf
57. MK-CF-F-206 householdK401ByMonth
58. MK-CF-F-089 over65CountOf
59. MK-CF-F-082 salaryAnnual
60. MK-CF-F-086 stateRateOf
61. MK-CF-F-101 taxOwedFor
62. MK-CF-F-084 taxableAnnual
63. MK-CF-F-172 hasWage
64. MK-CF-F-165 salaryMonths
65. MK-CF-F-065 equityVestWeights
66. MK-CF-F-071 extraIncome
67. MK-CF-F-077 scholarshipByCalendarMonth
68. MK-CF-F-088 taxableByCalendarMonth
69. MK-PL-F-012 waterfall
70. MK-XS-F-027 takeHomeMonthly
71. MK-CF-F-005 actualMonthFlow
72. MK-CF-F-156 plannedMonthFlow
73. MK-CF-F-100 taxableIncomeFor
74. MK-CF-F-074 tipsAnnual
75. MK-CF-F-070 benefitAnnual
76. MK-CF-F-011 savingsByMonth
77. MK-NW-F-078 ONE
78. MK-CF-F-157 debtPaymentsByDebt
79. MK-CF-F-192 inflowLabel
80. MK-CF-F-099 deductionFor
81. MK-CF-F-081 salaryActiveMonths
82. MK-NW-F-077 ALL
83. MK-NW-F-059 currentYield
84. MK-NW-O-001 theBonds
85. MK-CF-F-193 inflowSourceWord
86. MK-CF-F-187 seniorDeductionFor
87. MK-NW-F-112 yearlyInterest
88. MK-ST-F-027 accountId
89. MK-NW-F-057 annualCoupon
90. MK-NW-F-056 bondInfo
91. MK-NW-F-064 bondRateSensitivity
92. MK-NW-F-061 bondSummary
93. MK-NW-F-055 isBond
94. MK-NW-F-072 rowOf
95. MK-NW-F-060 approxYTM
96. MK-NW-F-069 priceAtYield
97. MK-NW-F-131 pricedLikeBond
98. MK-NW-F-125 isPastMaturity
99. MK-ST-F-065 isoLocalDate
100. MK-NW-F-126 yearlyInterestNow
101. MK-NW-F-011 assetClassOf
102. MK-NW-F-070 accruedInterestCaveat
103. MK-NW-F-058 yearsToMaturity
104. MK-NW-F-119 estimatedAccrued
105. MK-NW-F-124 maturityParts
106. MK-NW-F-120 classEvidenceOf
107. MK-NW-F-067 plural
108. MK-NW-F-008 incomeBearingClassOf
109. MK-NW-F-009 maturityClass
110. MK-ST-F-010 nameEvidence
111. MK-NW-F-068 prettyDay
112. MK-XS-F-147 call
113. MK-XS-F-064 currentIdToken
114. MK-XS-F-112 relayUrl</t>
        </is>
      </c>
      <c r="R574"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574" s="3" t="inlineStr">
        <is>
          <t>—</t>
        </is>
      </c>
      <c r="T574" s="3" t="inlineStr">
        <is>
          <t>—</t>
        </is>
      </c>
      <c r="U574" s="3" t="inlineStr">
        <is>
          <t>ACTIVE</t>
        </is>
      </c>
      <c r="V574" s="3" t="inlineStr">
        <is>
          <t>2026-09-08</t>
        </is>
      </c>
      <c r="W574" s="3" t="n"/>
      <c r="X574" s="3" t="n"/>
      <c r="Y574" s="3" t="inlineStr">
        <is>
          <t>NOTHING OPEN</t>
        </is>
      </c>
    </row>
    <row r="575" ht="60" customHeight="1">
      <c r="A575" s="3" t="inlineStr">
        <is>
          <t>MK-XS-F-005</t>
        </is>
      </c>
      <c r="B575" s="3" t="inlineStr">
        <is>
          <t>trendPoints</t>
        </is>
      </c>
      <c r="C575" s="3" t="inlineStr">
        <is>
          <t>src/domain/history.ts</t>
        </is>
      </c>
      <c r="D575" s="3" t="n">
        <v>64</v>
      </c>
      <c r="E575" s="3" t="inlineStr">
        <is>
          <t>2 · DISPLAYED</t>
        </is>
      </c>
      <c r="F575" s="3" t="inlineStr">
        <is>
          <t>Chart series = monthly snapshots + daily points, chronological ('YYYY-MM' sorts before its days).</t>
        </is>
      </c>
      <c r="G575" s="11" t="inlineStr">
        <is>
          <t>pts = for each of read history(monthly): key = month
nw = net worth
the answer = pts.sort((a, b) =&gt; key.locale compare(key))</t>
        </is>
      </c>
      <c r="H575" s="3" t="inlineStr">
        <is>
          <t>Pts is for each of read history(monthly): key = month; nw = net worth. The answer is pts.sort((a, b) =&gt; key.locale compare(key)).</t>
        </is>
      </c>
      <c r="I575" s="3" t="inlineStr">
        <is>
          <t>PARTLY READ — some of the code is still showing through; needs a hand pass</t>
        </is>
      </c>
      <c r="J575" s="3" t="inlineStr">
        <is>
          <t>Nothing is handed to it</t>
        </is>
      </c>
      <c r="K575" s="3" t="inlineStr">
        <is>
          <t>NOT DECLARED — the code does not say what it gives back</t>
        </is>
      </c>
      <c r="L575" s="3" t="inlineStr">
        <is>
          <t>NOT FOUND — a screen calls it, but the words printed beside its answer could not be traced automatically. Needs reading.</t>
        </is>
      </c>
      <c r="M575" s="3" t="inlineStr">
        <is>
          <t>None found in this function — anything it assumes comes from the functions it depends on.</t>
        </is>
      </c>
      <c r="N575" s="3" t="inlineStr">
        <is>
          <t>Yes</t>
        </is>
      </c>
      <c r="O575" s="3" t="inlineStr">
        <is>
          <t>1. MK-CF-F-132 map
2. MK-XS-F-009 readHistory</t>
        </is>
      </c>
      <c r="P575" s="3" t="n">
        <v>7</v>
      </c>
      <c r="Q575" s="3" t="inlineStr">
        <is>
          <t>1. MK-CF-F-132 map
2. MK-XS-F-009 readHistory
3. MK-XS-F-008 normalizeSnapshot
4. MK-ST-F-030 record
5. MK-CF-F-191 ym
6. MK-XS-F-121 isYm
7. MK-XS-F-122 n</t>
        </is>
      </c>
      <c r="R575"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MK-ST-F-030 record → MK-XS-F-009 readHistory → MK-XS-F-005 trendPoints
7. MK-CF-F-191 ym → MK-XS-F-009 readHistory → MK-XS-F-005 trendPoints</t>
        </is>
      </c>
      <c r="S575" s="3" t="inlineStr">
        <is>
          <t>—</t>
        </is>
      </c>
      <c r="T575" s="3" t="inlineStr">
        <is>
          <t>TREND_SERIES</t>
        </is>
      </c>
      <c r="U575" s="3" t="inlineStr">
        <is>
          <t>ACTIVE</t>
        </is>
      </c>
      <c r="V575" s="3" t="inlineStr">
        <is>
          <t>2026-08-27</t>
        </is>
      </c>
      <c r="W575" s="3" t="n"/>
      <c r="X575" s="3" t="n"/>
      <c r="Y575" s="3" t="inlineStr">
        <is>
          <t>NOTHING OPEN</t>
        </is>
      </c>
    </row>
    <row r="576" ht="60" customHeight="1">
      <c r="A576" s="3" t="inlineStr">
        <is>
          <t>MK-XS-F-006</t>
        </is>
      </c>
      <c r="B576" s="3" t="inlineStr">
        <is>
          <t>pruneDaily</t>
        </is>
      </c>
      <c r="C576" s="3" t="inlineStr">
        <is>
          <t>src/domain/history.ts</t>
        </is>
      </c>
      <c r="D576" s="3" t="n">
        <v>106</v>
      </c>
      <c r="E576" s="3" t="inlineStr">
        <is>
          <t>3 · DEPENDENT</t>
        </is>
      </c>
      <c r="F576" s="3" t="inlineStr">
        <is>
          <t>Prune helper for the store writer: newest DAILY_KEEP days survive.</t>
        </is>
      </c>
      <c r="G576" s="11" t="inlineStr">
        <is>
          <t>keys = the names in daily, in order
daily   when keys.length ≤ DAILY_KEEP
keep = a list with no repeats of keys.slice(-DAILY_KEEP)
the answer = object.from entries(object.entries(daily).filter(([k]) =&gt; keep.has(k)))</t>
        </is>
      </c>
      <c r="H576" s="3" t="inlineStr">
        <is>
          <t>Keys: the names in daily, in order. When keys.length is at most DAILY_KEEP, it answers daily. Keep is a list with no repeats of keys.slice(-DAILY_KEEP). The answer is object.from entries(object.entries(daily).filter(([k]) =&gt; keep.has(k))).</t>
        </is>
      </c>
      <c r="I576" s="3" t="inlineStr">
        <is>
          <t>PARTLY READ — some of the code is still showing through; needs a hand pass</t>
        </is>
      </c>
      <c r="J576" s="3" t="inlineStr">
        <is>
          <t>daily: Record&lt;string, number&gt;</t>
        </is>
      </c>
      <c r="K576" s="3" t="inlineStr">
        <is>
          <t>Record&lt;string, number&gt;</t>
        </is>
      </c>
      <c r="L576" s="3" t="inlineStr">
        <is>
          <t>—</t>
        </is>
      </c>
      <c r="M576" s="3" t="inlineStr">
        <is>
          <t>None found in this function — anything it assumes comes from the functions it depends on.</t>
        </is>
      </c>
      <c r="N576" s="3" t="inlineStr">
        <is>
          <t>Yes</t>
        </is>
      </c>
      <c r="O576" s="3" t="inlineStr">
        <is>
          <t>MK-ST-F-056 has</t>
        </is>
      </c>
      <c r="P576" s="3" t="n">
        <v>1</v>
      </c>
      <c r="Q576" s="3" t="inlineStr">
        <is>
          <t>MK-ST-F-056 has</t>
        </is>
      </c>
      <c r="R576" s="3" t="inlineStr">
        <is>
          <t>MK-ST-F-056 has → MK-XS-F-006 pruneDaily</t>
        </is>
      </c>
      <c r="S576" s="3" t="inlineStr">
        <is>
          <t>—</t>
        </is>
      </c>
      <c r="T576" s="3" t="inlineStr">
        <is>
          <t>—</t>
        </is>
      </c>
      <c r="U576" s="3" t="inlineStr">
        <is>
          <t>ACTIVE</t>
        </is>
      </c>
      <c r="V576" s="3" t="inlineStr">
        <is>
          <t>2026-09-12</t>
        </is>
      </c>
      <c r="W576" s="3" t="n"/>
      <c r="X576" s="3" t="n"/>
      <c r="Y576" s="3" t="inlineStr">
        <is>
          <t>NOTHING OPEN</t>
        </is>
      </c>
    </row>
    <row r="577" ht="60" customHeight="1">
      <c r="A577" s="3" t="inlineStr">
        <is>
          <t>MK-XS-F-007</t>
        </is>
      </c>
      <c r="B577" s="3" t="inlineStr">
        <is>
          <t>makeMonthlySnapshot</t>
        </is>
      </c>
      <c r="C577" s="3" t="inlineStr">
        <is>
          <t>src/domain/history.ts</t>
        </is>
      </c>
      <c r="D577" s="3" t="n">
        <v>195</v>
      </c>
      <c r="E577" s="3" t="inlineStr">
        <is>
          <t>2 · DISPLAYED</t>
        </is>
      </c>
      <c r="F577" s="3" t="inlineStr">
        <is>
          <t>The ONE writer — stamps the version and keeps the arithmetic identity by construction.</t>
        </is>
      </c>
      <c r="G577" s="11" t="inlineStr">
        <is>
          <t>net worth = gross assets − gross debt
v = the snapshot version</t>
        </is>
      </c>
      <c r="H577" s="3" t="inlineStr">
        <is>
          <t>Builds a month-end snapshot: net worth is assets minus debts, computed here and never stored as a third figure that could disagree with its own halves.</t>
        </is>
      </c>
      <c r="I577" s="3" t="inlineStr">
        <is>
          <t>READ BY HAND 2026-08-26 — checked line by line against the code</t>
        </is>
      </c>
      <c r="J577" s="3" t="inlineStr">
        <is>
          <t>i: Omit&lt;MonthlySnapshot, 'v' | 'net_worth'&gt; &amp; { net_worth?: number }</t>
        </is>
      </c>
      <c r="K577" s="3" t="inlineStr">
        <is>
          <t>MonthlySnapshot</t>
        </is>
      </c>
      <c r="L577" s="3" t="inlineStr">
        <is>
          <t>NOT FOUND — a screen calls it, but the words printed beside its answer could not be traced automatically. Needs reading.</t>
        </is>
      </c>
      <c r="M577" s="3" t="inlineStr">
        <is>
          <t>None found in this function — anything it assumes comes from the functions it depends on.</t>
        </is>
      </c>
      <c r="N577" s="3" t="inlineStr">
        <is>
          <t>Yes</t>
        </is>
      </c>
      <c r="O577" s="3" t="inlineStr">
        <is>
          <t>MK-XS-F-122 n</t>
        </is>
      </c>
      <c r="P577" s="3" t="n">
        <v>1</v>
      </c>
      <c r="Q577" s="3" t="inlineStr">
        <is>
          <t>MK-XS-F-122 n</t>
        </is>
      </c>
      <c r="R577" s="3" t="inlineStr">
        <is>
          <t>MK-XS-F-122 n → MK-XS-F-007 makeMonthlySnapshot</t>
        </is>
      </c>
      <c r="S577" s="3" t="inlineStr">
        <is>
          <t>—</t>
        </is>
      </c>
      <c r="T577" s="3" t="inlineStr">
        <is>
          <t>—</t>
        </is>
      </c>
      <c r="U577" s="3" t="inlineStr">
        <is>
          <t>ACTIVE</t>
        </is>
      </c>
      <c r="V577" s="3" t="inlineStr">
        <is>
          <t>2026-09-12</t>
        </is>
      </c>
      <c r="W577" s="3" t="n"/>
      <c r="X577" s="3" t="n"/>
      <c r="Y577" s="3" t="inlineStr">
        <is>
          <t>NOTHING OPEN</t>
        </is>
      </c>
    </row>
    <row r="578" ht="60" customHeight="1">
      <c r="A578" s="3" t="inlineStr">
        <is>
          <t>MK-XS-F-008</t>
        </is>
      </c>
      <c r="B578" s="3" t="inlineStr">
        <is>
          <t>normalizeSnapshot</t>
        </is>
      </c>
      <c r="C578" s="3" t="inlineStr">
        <is>
          <t>src/domain/history.ts</t>
        </is>
      </c>
      <c r="D578" s="3" t="n">
        <v>235</v>
      </c>
      <c r="E578" s="3" t="inlineStr">
        <is>
          <t>3 · DEPENDENT</t>
        </is>
      </c>
      <c r="F578" s="3" t="inlineStr">
        <is>
          <t>Normalize ONE stored entry: v1 passes validated; a legacy blob (no `v`) maps best-effort; anything without a real month + net worth is dropped (null), never charted.</t>
        </is>
      </c>
      <c r="G578" s="11"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578"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578" s="3" t="inlineStr">
        <is>
          <t>PARTLY READ — some of the code is still showing through; needs a hand pass</t>
        </is>
      </c>
      <c r="J578" s="3" t="inlineStr">
        <is>
          <t>1. ym: string
2. raw: unknown</t>
        </is>
      </c>
      <c r="K578" s="3" t="inlineStr">
        <is>
          <t>MonthlySnapshot | null</t>
        </is>
      </c>
      <c r="L578" s="3" t="inlineStr">
        <is>
          <t>—</t>
        </is>
      </c>
      <c r="M578" s="3" t="inlineStr">
        <is>
          <t>None found in this function — anything it assumes comes from the functions it depends on.</t>
        </is>
      </c>
      <c r="N578" s="3" t="inlineStr">
        <is>
          <t>Yes</t>
        </is>
      </c>
      <c r="O578" s="3" t="inlineStr">
        <is>
          <t>1. MK-XS-F-121 isYm
2. MK-XS-F-122 n
3. MK-CF-F-191 ym</t>
        </is>
      </c>
      <c r="P578" s="3" t="n">
        <v>3</v>
      </c>
      <c r="Q578" s="3" t="inlineStr">
        <is>
          <t>1. MK-XS-F-121 isYm
2. MK-XS-F-122 n
3. MK-CF-F-191 ym</t>
        </is>
      </c>
      <c r="R578" s="3" t="inlineStr">
        <is>
          <t>1. MK-XS-F-121 isYm → MK-XS-F-008 normalizeSnapshot
2. MK-XS-F-122 n → MK-XS-F-008 normalizeSnapshot
3. MK-CF-F-191 ym → MK-XS-F-008 normalizeSnapshot</t>
        </is>
      </c>
      <c r="S578" s="3" t="inlineStr">
        <is>
          <t>—</t>
        </is>
      </c>
      <c r="T578" s="3" t="inlineStr">
        <is>
          <t>SNAPSHOT_READ_ONE</t>
        </is>
      </c>
      <c r="U578" s="3" t="inlineStr">
        <is>
          <t>ACTIVE</t>
        </is>
      </c>
      <c r="V578" s="3" t="inlineStr">
        <is>
          <t>2026-09-09</t>
        </is>
      </c>
      <c r="W578" s="3" t="n"/>
      <c r="X578" s="3" t="n"/>
      <c r="Y578" s="3" t="inlineStr">
        <is>
          <t>NOTHING OPEN</t>
        </is>
      </c>
    </row>
    <row r="579" ht="60" customHeight="1">
      <c r="A579" s="3" t="inlineStr">
        <is>
          <t>MK-XS-F-009</t>
        </is>
      </c>
      <c r="B579" s="3" t="inlineStr">
        <is>
          <t>readHistory</t>
        </is>
      </c>
      <c r="C579" s="3" t="inlineStr">
        <is>
          <t>src/domain/history.ts</t>
        </is>
      </c>
      <c r="D579" s="3" t="n">
        <v>286</v>
      </c>
      <c r="E579" s="3" t="inlineStr">
        <is>
          <t>2 · DISPLAYED</t>
        </is>
      </c>
      <c r="F579" s="3" t="inlineStr">
        <is>
          <t>The ONE reader every history surface uses: normalized, garbage-free, sorted by month.</t>
        </is>
      </c>
      <c r="G579" s="11" t="inlineStr">
        <is>
          <t>for each stored month: normalize snapshot(month, value); drop the unreadable ones; sort by month, oldest first</t>
        </is>
      </c>
      <c r="H579" s="3" t="inlineStr">
        <is>
          <t>Reads the stored monthly snapshots, drops any that cannot be read, and sorts them oldest first. No arithmetic beyond the ordering.</t>
        </is>
      </c>
      <c r="I579" s="3" t="inlineStr">
        <is>
          <t>READ BY HAND 2026-08-26 — checked line by line against the code</t>
        </is>
      </c>
      <c r="J579" s="3" t="inlineStr">
        <is>
          <t>raw: Record&lt;string, unknown&gt; | null | undefined</t>
        </is>
      </c>
      <c r="K579" s="3" t="inlineStr">
        <is>
          <t>MonthlySnapshot[]</t>
        </is>
      </c>
      <c r="L579" s="3" t="inlineStr">
        <is>
          <t>NOT FOUND — a screen calls it, but the words printed beside its answer could not be traced automatically. Needs reading.</t>
        </is>
      </c>
      <c r="M579" s="3" t="inlineStr">
        <is>
          <t>None found in this function — anything it assumes comes from the functions it depends on.</t>
        </is>
      </c>
      <c r="N579" s="3" t="inlineStr">
        <is>
          <t>Yes</t>
        </is>
      </c>
      <c r="O579" s="3" t="inlineStr">
        <is>
          <t>1. MK-CF-F-132 map
2. MK-XS-F-008 normalizeSnapshot
3. MK-ST-F-030 record
4. MK-CF-F-191 ym</t>
        </is>
      </c>
      <c r="P579" s="3" t="n">
        <v>6</v>
      </c>
      <c r="Q579" s="3" t="inlineStr">
        <is>
          <t>1. MK-CF-F-132 map
2. MK-XS-F-008 normalizeSnapshot
3. MK-ST-F-030 record
4. MK-CF-F-191 ym
5. MK-XS-F-121 isYm
6. MK-XS-F-122 n</t>
        </is>
      </c>
      <c r="R579" s="3" t="inlineStr">
        <is>
          <t>1. MK-CF-F-132 map → MK-XS-F-009 readHistory
2. MK-XS-F-121 isYm → MK-XS-F-008 normalizeSnapshot → MK-XS-F-009 readHistory
3. MK-XS-F-122 n → MK-XS-F-008 normalizeSnapshot → MK-XS-F-009 readHistory
4. MK-CF-F-191 ym → MK-XS-F-008 normalizeSnapshot → MK-XS-F-009 readHistory
5. MK-ST-F-030 record → MK-XS-F-009 readHistory
6. MK-CF-F-191 ym → MK-XS-F-009 readHistory</t>
        </is>
      </c>
      <c r="S579" s="3" t="inlineStr">
        <is>
          <t>—</t>
        </is>
      </c>
      <c r="T579" s="3" t="inlineStr">
        <is>
          <t>SNAPSHOT_READ_ALL</t>
        </is>
      </c>
      <c r="U579" s="3" t="inlineStr">
        <is>
          <t>ACTIVE</t>
        </is>
      </c>
      <c r="V579" s="3" t="inlineStr">
        <is>
          <t>2026-09-12</t>
        </is>
      </c>
      <c r="W579" s="3" t="n"/>
      <c r="X579" s="3" t="n"/>
      <c r="Y579" s="3" t="inlineStr">
        <is>
          <t>NOTHING OPEN</t>
        </is>
      </c>
    </row>
    <row r="580" ht="60" customHeight="1">
      <c r="A580" s="3" t="inlineStr">
        <is>
          <t>MK-XS-F-011</t>
        </is>
      </c>
      <c r="B580" s="3" t="inlineStr">
        <is>
          <t>buildChangeWalk</t>
        </is>
      </c>
      <c r="C580" s="3" t="inlineStr">
        <is>
          <t>src/domain/history.ts</t>
        </is>
      </c>
      <c r="D580" s="3" t="n">
        <v>343</v>
      </c>
      <c r="E580" s="3" t="inlineStr">
        <is>
          <t>2 · DISPLAYED</t>
        </is>
      </c>
      <c r="F580" s="3" t="inlineStr">
        <is>
          <t>My net worth changed since last time — what actually caused it?</t>
        </is>
      </c>
      <c r="G580" s="11"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is>
      </c>
      <c r="H580"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is>
      </c>
      <c r="I580" s="3" t="inlineStr">
        <is>
          <t>PARTLY READ — some of the code is still showing through; needs a hand pass</t>
        </is>
      </c>
      <c r="J580" s="3" t="inlineStr">
        <is>
          <t>Nothing is handed to it</t>
        </is>
      </c>
      <c r="K580" s="3" t="inlineStr">
        <is>
          <t>NOT DECLARED — the code does not say what it gives back</t>
        </is>
      </c>
      <c r="L580" s="3" t="inlineStr">
        <is>
          <t>NOT FOUND — a screen calls it, but the words printed beside its answer could not be traced automatically. Needs reading.</t>
        </is>
      </c>
      <c r="M580" s="3" t="inlineStr">
        <is>
          <t>1. If contributions is missing it uses 0.
2. If withdrawals is missing it uses 0.
3. If dividends is missing it uses 0.
4. If interest is missing it uses 0.
5. If debt principal is missing it uses 0.</t>
        </is>
      </c>
      <c r="N580" s="3" t="inlineStr">
        <is>
          <t>Yes</t>
        </is>
      </c>
      <c r="O580" s="3" t="inlineStr">
        <is>
          <t>—</t>
        </is>
      </c>
      <c r="P580" s="3" t="n">
        <v>0</v>
      </c>
      <c r="Q580" s="3" t="inlineStr">
        <is>
          <t>None — no dependent function stands behind it</t>
        </is>
      </c>
      <c r="R580" s="3" t="inlineStr">
        <is>
          <t>No dependent function — it reads its inputs and answers</t>
        </is>
      </c>
      <c r="S580" s="3" t="inlineStr">
        <is>
          <t>—</t>
        </is>
      </c>
      <c r="T580" s="3" t="inlineStr">
        <is>
          <t>NW_CHANGE_WALK</t>
        </is>
      </c>
      <c r="U580" s="3" t="inlineStr">
        <is>
          <t>ACTIVE</t>
        </is>
      </c>
      <c r="V580" s="3" t="inlineStr">
        <is>
          <t>2026-09-09</t>
        </is>
      </c>
      <c r="W580" s="3" t="n"/>
      <c r="X580" s="3" t="n"/>
      <c r="Y580" s="3" t="inlineStr">
        <is>
          <t>NOTHING OPEN</t>
        </is>
      </c>
    </row>
    <row r="581" ht="60" customHeight="1">
      <c r="A581" s="3" t="inlineStr">
        <is>
          <t>MK-XS-F-012</t>
        </is>
      </c>
      <c r="B581" s="3" t="inlineStr">
        <is>
          <t>decodeCsvBase64</t>
        </is>
      </c>
      <c r="C581" s="3" t="inlineStr">
        <is>
          <t>src/domain/import/holdingsImport.ts</t>
        </is>
      </c>
      <c r="D581" s="3" t="n">
        <v>149</v>
      </c>
      <c r="E581" s="3" t="inlineStr">
        <is>
          <t>2 · DISPLAYED</t>
        </is>
      </c>
      <c r="F581" s="3" t="inlineStr">
        <is>
          <t>What is the text of the file that was picked?</t>
        </is>
      </c>
      <c r="G581" s="11"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581"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581" s="3" t="inlineStr">
        <is>
          <t>PARTLY READ — the body has a loop the extractor cannot render; the steps shown are the ones before it. Needs a hand pass (G23).</t>
        </is>
      </c>
      <c r="J581" s="3" t="inlineStr">
        <is>
          <t>b64: string</t>
        </is>
      </c>
      <c r="K581" s="3" t="inlineStr">
        <is>
          <t>string</t>
        </is>
      </c>
      <c r="L581" s="3" t="inlineStr">
        <is>
          <t>NOT FOUND — a screen calls it, but the words printed beside its answer could not be traced automatically. Needs reading.</t>
        </is>
      </c>
      <c r="M581" s="3" t="inlineStr">
        <is>
          <t>1. Uses a built-in start of 0.
2. Uses a built-in nul of 0.
3. Caps length at 400.</t>
        </is>
      </c>
      <c r="N581" s="3" t="inlineStr">
        <is>
          <t>Yes</t>
        </is>
      </c>
      <c r="O581" s="3" t="inlineStr">
        <is>
          <t>1. MK-XS-F-123 base64ToBytes
2. MK-XS-F-125 decodeUtf16
3. MK-XS-F-124 decodeUtf8</t>
        </is>
      </c>
      <c r="P581" s="3" t="n">
        <v>3</v>
      </c>
      <c r="Q581" s="3" t="inlineStr">
        <is>
          <t>1. MK-XS-F-123 base64ToBytes
2. MK-XS-F-125 decodeUtf16
3. MK-XS-F-124 decodeUtf8</t>
        </is>
      </c>
      <c r="R581" s="3" t="inlineStr">
        <is>
          <t>1. MK-XS-F-123 base64ToBytes → MK-XS-F-012 decodeCsvBase64
2. MK-XS-F-125 decodeUtf16 → MK-XS-F-012 decodeCsvBase64
3. MK-XS-F-124 decodeUtf8 → MK-XS-F-012 decodeCsvBase64</t>
        </is>
      </c>
      <c r="S581" s="3" t="inlineStr">
        <is>
          <t>—</t>
        </is>
      </c>
      <c r="T581" s="3" t="inlineStr">
        <is>
          <t>FILE_DECODE</t>
        </is>
      </c>
      <c r="U581" s="3" t="inlineStr">
        <is>
          <t>ACTIVE</t>
        </is>
      </c>
      <c r="V581" s="3" t="inlineStr">
        <is>
          <t>2026-09-08</t>
        </is>
      </c>
      <c r="W581" s="3" t="n"/>
      <c r="X581" s="3" t="n"/>
      <c r="Y581" s="3" t="inlineStr">
        <is>
          <t>NOTHING OPEN</t>
        </is>
      </c>
    </row>
    <row r="582" ht="60" customHeight="1">
      <c r="A582" s="3" t="inlineStr">
        <is>
          <t>MK-XS-F-013</t>
        </is>
      </c>
      <c r="B582" s="3" t="inlineStr">
        <is>
          <t>parseCsv</t>
        </is>
      </c>
      <c r="C582" s="3" t="inlineStr">
        <is>
          <t>src/domain/import/holdingsImport.ts</t>
        </is>
      </c>
      <c r="D582" s="3" t="n">
        <v>186</v>
      </c>
      <c r="E582" s="3" t="inlineStr">
        <is>
          <t>3 · DEPENDENT</t>
        </is>
      </c>
      <c r="F582" s="3" t="inlineStr">
        <is>
          <t>Minimal RFC-4180-ish CSV parser: handles quoted fields, embedded commas, "" escapes, CR/LF, BOM.</t>
        </is>
      </c>
      <c r="G582" s="11" t="inlineStr">
        <is>
          <t>rows = []
row = []
field = ''
in quotes = false
s = (text.char code at(0) = 0xFEFF ? text.slice(1) : text).replace( ÷ \r\n ÷ g, "\n").replace( ÷ \r ÷ g, "\n")
c = s[i]
the answer = rows where some((cell) =&gt; cell.trim() ! = '')</t>
        </is>
      </c>
      <c r="H582" s="3" t="inlineStr">
        <is>
          <t>Rows is []. Row is []. Field is ''. In quotes is false. S is (text.char code at(0) = 0xFEFF ? text.slice(1) : text).replace( divided by \r\n divided by g, "\n").replace( divided by \r divided by g, "\n"). C is s[i]. The answer is rows where some((cell) =&gt; cell.trim() ! = '').</t>
        </is>
      </c>
      <c r="I582" s="3" t="inlineStr">
        <is>
          <t>PARTLY READ — some of the code is still showing through; needs a hand pass</t>
        </is>
      </c>
      <c r="J582" s="3" t="inlineStr">
        <is>
          <t>text: string</t>
        </is>
      </c>
      <c r="K582" s="3" t="inlineStr">
        <is>
          <t>string[][]</t>
        </is>
      </c>
      <c r="L582" s="3" t="inlineStr">
        <is>
          <t>—</t>
        </is>
      </c>
      <c r="M582" s="3" t="inlineStr">
        <is>
          <t>None found in this function — anything it assumes comes from the functions it depends on.</t>
        </is>
      </c>
      <c r="N582" s="3" t="inlineStr">
        <is>
          <t>Yes</t>
        </is>
      </c>
      <c r="O582" s="3" t="inlineStr">
        <is>
          <t>—</t>
        </is>
      </c>
      <c r="P582" s="3" t="n">
        <v>0</v>
      </c>
      <c r="Q582" s="3" t="inlineStr">
        <is>
          <t>None — no dependent function stands behind it</t>
        </is>
      </c>
      <c r="R582" s="3" t="inlineStr">
        <is>
          <t>No dependent function — it reads its inputs and answers</t>
        </is>
      </c>
      <c r="S582" s="3" t="inlineStr">
        <is>
          <t>—</t>
        </is>
      </c>
      <c r="T582" s="3" t="inlineStr">
        <is>
          <t>FILE_PARSE</t>
        </is>
      </c>
      <c r="U582" s="3" t="inlineStr">
        <is>
          <t>ACTIVE</t>
        </is>
      </c>
      <c r="V582" s="3" t="inlineStr">
        <is>
          <t>2026-08-27</t>
        </is>
      </c>
      <c r="W582" s="3" t="n"/>
      <c r="X582" s="3" t="n"/>
      <c r="Y582" s="3" t="inlineStr">
        <is>
          <t>NOTHING OPEN</t>
        </is>
      </c>
    </row>
    <row r="583" ht="60" customHeight="1">
      <c r="A583" s="3" t="inlineStr">
        <is>
          <t>MK-XS-F-014</t>
        </is>
      </c>
      <c r="B583" s="3" t="inlineStr">
        <is>
          <t>classifyHolding</t>
        </is>
      </c>
      <c r="C583" s="3" t="inlineStr">
        <is>
          <t>Calculation Module code/engines/classify.ts</t>
        </is>
      </c>
      <c r="D583" s="3" t="n">
        <v>155</v>
      </c>
      <c r="E583" s="3" t="inlineStr">
        <is>
          <t>3 · DEPENDENT (feeds an action only)</t>
        </is>
      </c>
      <c r="F583" s="3" t="inlineStr">
        <is>
          <t>For a line in a FILE you upload: which class is it?</t>
        </is>
      </c>
      <c r="G583" s="11"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583"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583" s="3" t="inlineStr">
        <is>
          <t>PARTLY READ — some of the code is still showing through; needs a hand pass</t>
        </is>
      </c>
      <c r="J583" s="3" t="inlineStr">
        <is>
          <t>input: ClassifyInput</t>
        </is>
      </c>
      <c r="K583" s="3" t="inlineStr">
        <is>
          <t>Classified</t>
        </is>
      </c>
      <c r="L583" s="3" t="inlineStr">
        <is>
          <t>—</t>
        </is>
      </c>
      <c r="M583" s="3" t="inlineStr">
        <is>
          <t>None found in this function — anything it assumes comes from the functions it depends on.</t>
        </is>
      </c>
      <c r="N583" s="3" t="inlineStr">
        <is>
          <t>No</t>
        </is>
      </c>
      <c r="O583" s="3" t="inlineStr">
        <is>
          <t>1. MK-XS-F-147 call
2. MK-ST-F-056 has
3. MK-ST-F-001 looksFixedIncome</t>
        </is>
      </c>
      <c r="P583" s="3" t="n">
        <v>6</v>
      </c>
      <c r="Q583" s="3" t="inlineStr">
        <is>
          <t>1. MK-XS-F-147 call
2. MK-ST-F-056 has
3. MK-ST-F-001 looksFixedIncome
4. MK-ST-F-027 accountId
5. MK-XS-F-064 currentIdToken
6. MK-XS-F-112 relayUrl</t>
        </is>
      </c>
      <c r="R583" s="3" t="inlineStr">
        <is>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is>
      </c>
      <c r="S583" s="3" t="inlineStr">
        <is>
          <t>—</t>
        </is>
      </c>
      <c r="T583" s="3" t="inlineStr">
        <is>
          <t>CLASS_FROM_FILE</t>
        </is>
      </c>
      <c r="U583" s="3" t="inlineStr">
        <is>
          <t>ACTIVE</t>
        </is>
      </c>
      <c r="V583" s="3" t="inlineStr">
        <is>
          <t>2026-08-27</t>
        </is>
      </c>
      <c r="W583" s="3" t="n"/>
      <c r="X583" s="3" t="n"/>
      <c r="Y583" s="3" t="inlineStr">
        <is>
          <t>NOTHING OPEN</t>
        </is>
      </c>
    </row>
    <row r="584" ht="60" customHeight="1">
      <c r="A584" s="3" t="inlineStr">
        <is>
          <t>MK-XS-F-015</t>
        </is>
      </c>
      <c r="B584" s="3" t="inlineStr">
        <is>
          <t>importHoldings</t>
        </is>
      </c>
      <c r="C584" s="3" t="inlineStr">
        <is>
          <t>src/domain/import/holdingsImport.ts</t>
        </is>
      </c>
      <c r="D584" s="3" t="n">
        <v>426</v>
      </c>
      <c r="E584" s="3" t="inlineStr">
        <is>
          <t>2 · DISPLAYED</t>
        </is>
      </c>
      <c r="F584" s="3" t="inlineStr">
        <is>
          <t>What holdings are in this file?</t>
        </is>
      </c>
      <c r="G584" s="11"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584"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584" s="3" t="inlineStr">
        <is>
          <t>PARTLY READ — some of the code is still showing through; needs a hand pass</t>
        </is>
      </c>
      <c r="J584" s="3" t="inlineStr">
        <is>
          <t>text: string</t>
        </is>
      </c>
      <c r="K584" s="3" t="inlineStr">
        <is>
          <t>ImportResult</t>
        </is>
      </c>
      <c r="L584" s="3" t="inlineStr">
        <is>
          <t>NOT FOUND — a screen calls it, but the words printed beside its answer could not be traced automatically. Needs reading.</t>
        </is>
      </c>
      <c r="M584" s="3" t="inlineStr">
        <is>
          <t>· Uses a built-in skipped of 0.</t>
        </is>
      </c>
      <c r="N584" s="3" t="inlineStr">
        <is>
          <t>Yes</t>
        </is>
      </c>
      <c r="O584" s="3" t="inlineStr">
        <is>
          <t>1. MK-XS-F-172 assetClassForSymbol
2. MK-XS-F-128 cleanTicker
3. MK-XS-F-126 findCol
4. MK-XS-F-129 findHeaderRow
5. MK-CF-F-132 map
6. MK-XS-F-171 numOrNaN
7. MK-XS-F-013 parseCsv
8. MK-XS-F-127 toIsoDate</t>
        </is>
      </c>
      <c r="P584" s="3" t="n">
        <v>16</v>
      </c>
      <c r="Q584" s="3" t="inlineStr">
        <is>
          <t>1. MK-XS-F-172 assetClassForSymbol
2. MK-XS-F-128 cleanTicker
3. MK-XS-F-126 findCol
4. MK-XS-F-129 findHeaderRow
5. MK-CF-F-132 map
6. MK-XS-F-171 numOrNaN
7. MK-XS-F-013 parseCsv
8. MK-XS-F-127 toIsoDate
9. MK-ST-F-011 classifyHoldingClass
10. MK-XS-F-122 n
11. MK-ST-F-010 nameEvidence
12. MK-XS-F-147 call
13. MK-ST-F-056 has
14. MK-ST-F-027 accountId
15. MK-XS-F-064 currentIdToken
16. MK-XS-F-112 relayUrl</t>
        </is>
      </c>
      <c r="R584" s="3" t="inlineStr">
        <is>
          <t>1. MK-ST-F-027 accountId → MK-XS-F-147 call → MK-ST-F-010 nameEvidence → MK-ST-F-011 classifyHoldingClass → MK-XS-F-172 assetClassForSymbol → MK-XS-F-015 importHoldings
2. MK-XS-F-064 currentIdToken → MK-XS-F-147 call → MK-ST-F-010 nameEvidence → MK-ST-F-011 classifyHoldingClass → MK-XS-F-172 assetClassForSymbol → MK-XS-F-015 importHoldings
3. MK-XS-F-112 relayUrl → MK-XS-F-147 call → MK-ST-F-010 nameEvidence → MK-ST-F-011 classifyHoldingClass → MK-XS-F-172 assetClassForSymbol → MK-XS-F-015 importHoldings
4. MK-ST-F-056 has → MK-ST-F-010 nameEvidence → MK-ST-F-011 classifyHoldingClass → MK-XS-F-172 assetClassForSymbol → MK-XS-F-015 importHoldings
5. MK-CF-F-132 map → MK-ST-F-010 nameEvidence → MK-ST-F-011 classifyHoldingClass → MK-XS-F-172 assetClassForSymbol → MK-XS-F-015 importHoldings
6. MK-XS-F-128 cleanTicker → MK-XS-F-015 importHoldings
7. MK-XS-F-126 findCol → MK-XS-F-015 importHoldings
8. MK-CF-F-132 map → MK-XS-F-129 findHeaderRow → MK-XS-F-015 importHoldings
9. … and 4 more paths</t>
        </is>
      </c>
      <c r="S584" s="3" t="inlineStr">
        <is>
          <t>—</t>
        </is>
      </c>
      <c r="T584" s="3" t="inlineStr">
        <is>
          <t>FILE_IMPORT</t>
        </is>
      </c>
      <c r="U584" s="3" t="inlineStr">
        <is>
          <t>ACTIVE</t>
        </is>
      </c>
      <c r="V584" s="3" t="inlineStr">
        <is>
          <t>2026-08-27</t>
        </is>
      </c>
      <c r="W584" s="3" t="n"/>
      <c r="X584" s="3" t="n"/>
      <c r="Y584" s="3" t="inlineStr">
        <is>
          <t>NOTHING OPEN</t>
        </is>
      </c>
    </row>
    <row r="585" ht="45" customHeight="1">
      <c r="A585" s="3" t="inlineStr">
        <is>
          <t>MK-XS-F-016</t>
        </is>
      </c>
      <c r="B585" s="3" t="inlineStr">
        <is>
          <t>matchImportAccount</t>
        </is>
      </c>
      <c r="C585" s="3" t="inlineStr">
        <is>
          <t>src/domain/import/holdingsImport.ts</t>
        </is>
      </c>
      <c r="D585" s="3" t="n">
        <v>538</v>
      </c>
      <c r="E585" s="3" t="inlineStr">
        <is>
          <t>2 · DISPLAYED</t>
        </is>
      </c>
      <c r="F585" s="3" t="inlineStr">
        <is>
          <t>The existing account a fresh import from `institution` should offer to update (or null).</t>
        </is>
      </c>
      <c r="G585" s="11" t="inlineStr">
        <is>
          <t>target = norm inst(institution)
nothing   when target is missing
nothing   when count of candidates is missing</t>
        </is>
      </c>
      <c r="H585" s="3" t="inlineStr">
        <is>
          <t>Target is norm inst(institution). When target is missing, it answers no answer. When how many candidates is missing there are, it answers no answer.</t>
        </is>
      </c>
      <c r="I585" s="3" t="inlineStr">
        <is>
          <t>READ FROM THE CODE — rendered from the expressions the function runs</t>
        </is>
      </c>
      <c r="J585" s="3" t="inlineStr">
        <is>
          <t>1. accounts: AssetAccount[]
2. institution: string</t>
        </is>
      </c>
      <c r="K585" s="3" t="inlineStr">
        <is>
          <t>AssetAccount | null</t>
        </is>
      </c>
      <c r="L585" s="3" t="inlineStr">
        <is>
          <t>"Account name" — on the Import holdings screen, under "REVIEW YOUR HOLDINGS"</t>
        </is>
      </c>
      <c r="M585" s="3" t="inlineStr">
        <is>
          <t>· If balance is missing it counts as zero, so nothing recorded and a real zero look the same.</t>
        </is>
      </c>
      <c r="N585" s="3" t="inlineStr">
        <is>
          <t>Yes</t>
        </is>
      </c>
      <c r="O585" s="3" t="inlineStr">
        <is>
          <t>MK-XS-F-130 normInst</t>
        </is>
      </c>
      <c r="P585" s="3" t="n">
        <v>1</v>
      </c>
      <c r="Q585" s="3" t="inlineStr">
        <is>
          <t>MK-XS-F-130 normInst</t>
        </is>
      </c>
      <c r="R585" s="3" t="inlineStr">
        <is>
          <t>MK-XS-F-130 normInst → MK-XS-F-016 matchImportAccount</t>
        </is>
      </c>
      <c r="S585" s="3" t="inlineStr">
        <is>
          <t>—</t>
        </is>
      </c>
      <c r="T585" s="3" t="inlineStr">
        <is>
          <t>IMPORT_ACCOUNT_MATCH</t>
        </is>
      </c>
      <c r="U585" s="3" t="inlineStr">
        <is>
          <t>ACTIVE</t>
        </is>
      </c>
      <c r="V585" s="3" t="inlineStr">
        <is>
          <t>2026-08-27</t>
        </is>
      </c>
      <c r="W585" s="3" t="n"/>
      <c r="X585" s="3" t="n"/>
      <c r="Y585" s="3" t="inlineStr">
        <is>
          <t>NOTHING OPEN</t>
        </is>
      </c>
    </row>
    <row r="586" ht="60" customHeight="1">
      <c r="A586" s="3" t="inlineStr">
        <is>
          <t>MK-XS-F-017</t>
        </is>
      </c>
      <c r="B586" s="3" t="inlineStr">
        <is>
          <t>currentAge</t>
        </is>
      </c>
      <c r="C586" s="3" t="inlineStr">
        <is>
          <t>src/domain/profile/calc.ts</t>
        </is>
      </c>
      <c r="D586" s="3" t="n">
        <v>35</v>
      </c>
      <c r="E586" s="3" t="inlineStr">
        <is>
          <t>3 · DEPENDENT</t>
        </is>
      </c>
      <c r="F586" s="3" t="inlineStr">
        <is>
          <t>Age in whole years from birth month/year, as of `asOf` (defaults to now).</t>
        </is>
      </c>
      <c r="G586" s="11" t="inlineStr">
        <is>
          <t>nothing   when birth year is missing (or birth month is missing when missing or zero)
age = as of.get full year() − birth year
month idx = birth month − 1
the answer:
age   if age ≥ 0
nothing   otherwise</t>
        </is>
      </c>
      <c r="H586" s="3" t="inlineStr">
        <is>
          <t>When birth year is missing (or birth month is missing — when missing or zero), it answers no answer. Age is as of.get full year() minus birth year. Month idx is birth month minus 1. The answer is age — when age is at least 0; no answer — otherwise.</t>
        </is>
      </c>
      <c r="I586" s="3" t="inlineStr">
        <is>
          <t>PARTLY READ — some of the code is still showing through; needs a hand pass</t>
        </is>
      </c>
      <c r="J586" s="3" t="inlineStr">
        <is>
          <t>Nothing is handed to it</t>
        </is>
      </c>
      <c r="K586" s="3" t="inlineStr">
        <is>
          <t>NOT DECLARED — the code does not say what it gives back</t>
        </is>
      </c>
      <c r="L586" s="3" t="inlineStr">
        <is>
          <t>—</t>
        </is>
      </c>
      <c r="M586" s="3" t="inlineStr">
        <is>
          <t>· Uses today's date from the device clock, so the answer changes by itself overnight.</t>
        </is>
      </c>
      <c r="N586" s="3" t="inlineStr">
        <is>
          <t>Yes</t>
        </is>
      </c>
      <c r="O586" s="3" t="inlineStr">
        <is>
          <t>—</t>
        </is>
      </c>
      <c r="P586" s="3" t="n">
        <v>0</v>
      </c>
      <c r="Q586" s="3" t="inlineStr">
        <is>
          <t>None — no dependent function stands behind it</t>
        </is>
      </c>
      <c r="R586" s="3" t="inlineStr">
        <is>
          <t>No dependent function — it reads its inputs and answers</t>
        </is>
      </c>
      <c r="S586" s="3" t="inlineStr">
        <is>
          <t>—</t>
        </is>
      </c>
      <c r="T586" s="3" t="inlineStr">
        <is>
          <t>—</t>
        </is>
      </c>
      <c r="U586" s="3" t="inlineStr">
        <is>
          <t>ACTIVE</t>
        </is>
      </c>
      <c r="V586" s="3" t="inlineStr">
        <is>
          <t>2026-08-27</t>
        </is>
      </c>
      <c r="W586" s="3" t="n"/>
      <c r="X586" s="3" t="n"/>
      <c r="Y586" s="6" t="inlineStr">
        <is>
          <t>TESTED, NOT VERIFIED (G9)</t>
        </is>
      </c>
    </row>
    <row r="587" ht="60" customHeight="1">
      <c r="A587" s="3" t="inlineStr">
        <is>
          <t>MK-XS-F-018</t>
        </is>
      </c>
      <c r="B587" s="3" t="inlineStr">
        <is>
          <t>yearsToRetirement</t>
        </is>
      </c>
      <c r="C587" s="3" t="inlineStr">
        <is>
          <t>src/domain/profile/calc.ts</t>
        </is>
      </c>
      <c r="D587" s="3" t="n">
        <v>108</v>
      </c>
      <c r="E587" s="3" t="inlineStr">
        <is>
          <t>3 · DEPENDENT</t>
        </is>
      </c>
      <c r="F587" s="3" t="inlineStr">
        <is>
          <t>Years until the target retirement age (never negative).</t>
        </is>
      </c>
      <c r="G587" s="11" t="inlineStr">
        <is>
          <t>nothing   when age = nothing (or target retirement age is missing when missing or zero)
max(0, target retirement age − age)</t>
        </is>
      </c>
      <c r="H587" s="3" t="inlineStr">
        <is>
          <t>When age is missing (or target retirement age is missing — when missing or zero), it answers no answer. target retirement age minus age, never below zero.</t>
        </is>
      </c>
      <c r="I587" s="3" t="inlineStr">
        <is>
          <t>READ FROM THE CODE — rendered from the expressions the function runs</t>
        </is>
      </c>
      <c r="J587" s="3" t="inlineStr">
        <is>
          <t>1. age: number | null
2. targetRetirementAge: number | null</t>
        </is>
      </c>
      <c r="K587" s="3" t="inlineStr">
        <is>
          <t>number | null</t>
        </is>
      </c>
      <c r="L587" s="3" t="inlineStr">
        <is>
          <t>—</t>
        </is>
      </c>
      <c r="M587" s="3" t="inlineStr">
        <is>
          <t>None found in this function — anything it assumes comes from the functions it depends on.</t>
        </is>
      </c>
      <c r="N587" s="3" t="inlineStr">
        <is>
          <t>Yes</t>
        </is>
      </c>
      <c r="O587" s="3" t="inlineStr">
        <is>
          <t>—</t>
        </is>
      </c>
      <c r="P587" s="3" t="n">
        <v>0</v>
      </c>
      <c r="Q587" s="3" t="inlineStr">
        <is>
          <t>None — no dependent function stands behind it</t>
        </is>
      </c>
      <c r="R587" s="3" t="inlineStr">
        <is>
          <t>No dependent function — it reads its inputs and answers</t>
        </is>
      </c>
      <c r="S587" s="3" t="inlineStr">
        <is>
          <t>—</t>
        </is>
      </c>
      <c r="T587" s="3" t="inlineStr">
        <is>
          <t>—</t>
        </is>
      </c>
      <c r="U587" s="3" t="inlineStr">
        <is>
          <t>ACTIVE</t>
        </is>
      </c>
      <c r="V587" s="3" t="inlineStr">
        <is>
          <t>2026-08-27</t>
        </is>
      </c>
      <c r="W587" s="3" t="n"/>
      <c r="X587" s="3" t="n"/>
      <c r="Y587" s="3" t="inlineStr">
        <is>
          <t>NOTHING OPEN</t>
        </is>
      </c>
    </row>
    <row r="588" ht="60" customHeight="1">
      <c r="A588" s="3" t="inlineStr">
        <is>
          <t>MK-XS-F-019</t>
        </is>
      </c>
      <c r="B588" s="3" t="inlineStr">
        <is>
          <t>retirementHorizonYears</t>
        </is>
      </c>
      <c r="C588" s="3" t="inlineStr">
        <is>
          <t>src/domain/profile/calc.ts</t>
        </is>
      </c>
      <c r="D588" s="3" t="n">
        <v>138</v>
      </c>
      <c r="E588" s="3" t="inlineStr">
        <is>
          <t>3 · DEPENDENT</t>
        </is>
      </c>
      <c r="F588" s="3" t="inlineStr">
        <is>
          <t>Years the money must last: retirement → plan-to age (default horizon if unset).</t>
        </is>
      </c>
      <c r="G588" s="11" t="inlineStr">
        <is>
          <t>nothing   when target retirement age is missing
horizon = (plan to age ?? DEFAULT_PLAN_TO_AGE) − target retirement age
the answer:
horizon   if horizon &gt; 0
nothing   otherwise</t>
        </is>
      </c>
      <c r="H588" s="3" t="inlineStr">
        <is>
          <t>When target retirement age is missing, it answers no answer. Horizon is (plan to age ?? DEFAULT_PLAN_TO_AGE) minus target retirement age. The answer is horizon — when horizon &gt; 0; no answer — otherwise.</t>
        </is>
      </c>
      <c r="I588" s="3" t="inlineStr">
        <is>
          <t>PARTLY READ — some of the code is still showing through; needs a hand pass</t>
        </is>
      </c>
      <c r="J588" s="3" t="inlineStr">
        <is>
          <t>1. targetRetirementAge: number | null
2. planToAge: number | null</t>
        </is>
      </c>
      <c r="K588" s="3" t="inlineStr">
        <is>
          <t>number | null</t>
        </is>
      </c>
      <c r="L588" s="3" t="inlineStr">
        <is>
          <t>—</t>
        </is>
      </c>
      <c r="M588" s="3" t="inlineStr">
        <is>
          <t>None found in this function — anything it assumes comes from the functions it depends on.</t>
        </is>
      </c>
      <c r="N588" s="3" t="inlineStr">
        <is>
          <t>Yes</t>
        </is>
      </c>
      <c r="O588" s="3" t="inlineStr">
        <is>
          <t>—</t>
        </is>
      </c>
      <c r="P588" s="3" t="n">
        <v>0</v>
      </c>
      <c r="Q588" s="3" t="inlineStr">
        <is>
          <t>None — no dependent function stands behind it</t>
        </is>
      </c>
      <c r="R588" s="3" t="inlineStr">
        <is>
          <t>No dependent function — it reads its inputs and answers</t>
        </is>
      </c>
      <c r="S588" s="3" t="inlineStr">
        <is>
          <t>—</t>
        </is>
      </c>
      <c r="T588" s="3" t="inlineStr">
        <is>
          <t>—</t>
        </is>
      </c>
      <c r="U588" s="3" t="inlineStr">
        <is>
          <t>ACTIVE</t>
        </is>
      </c>
      <c r="V588" s="3" t="inlineStr">
        <is>
          <t>2026-08-27</t>
        </is>
      </c>
      <c r="W588" s="3" t="n"/>
      <c r="X588" s="3" t="n"/>
      <c r="Y588" s="3" t="inlineStr">
        <is>
          <t>NOTHING OPEN</t>
        </is>
      </c>
    </row>
    <row r="589" ht="60" customHeight="1">
      <c r="A589" s="3" t="inlineStr">
        <is>
          <t>MK-XS-F-020</t>
        </is>
      </c>
      <c r="B589" s="3" t="inlineStr">
        <is>
          <t>toReadModel</t>
        </is>
      </c>
      <c r="C589" s="3" t="inlineStr">
        <is>
          <t>src/domain/profile/calc.ts</t>
        </is>
      </c>
      <c r="D589" s="3" t="n">
        <v>168</v>
      </c>
      <c r="E589" s="3" t="inlineStr">
        <is>
          <t>3 · DEPENDENT</t>
        </is>
      </c>
      <c r="F589" s="3" t="inlineStr">
        <is>
          <t>Build the public read-model (profile + derived planning values).</t>
        </is>
      </c>
      <c r="G589" s="11" t="inlineStr">
        <is>
          <t>age = current age(birth year, birth month, as of)</t>
        </is>
      </c>
      <c r="H589" s="3" t="inlineStr">
        <is>
          <t>Age is current age(birth year, birth month, as of).</t>
        </is>
      </c>
      <c r="I589" s="3" t="inlineStr">
        <is>
          <t>READ FROM THE CODE — rendered from the expressions the function runs</t>
        </is>
      </c>
      <c r="J589" s="3" t="inlineStr">
        <is>
          <t>1. p: Profile
2. asOf: Date = new Date()</t>
        </is>
      </c>
      <c r="K589" s="3" t="inlineStr">
        <is>
          <t>ProfileReadModel</t>
        </is>
      </c>
      <c r="L589" s="3" t="inlineStr">
        <is>
          <t>—</t>
        </is>
      </c>
      <c r="M589" s="3" t="inlineStr">
        <is>
          <t>· Uses today's date from the device clock, so the answer changes by itself overnight.</t>
        </is>
      </c>
      <c r="N589" s="3" t="inlineStr">
        <is>
          <t>Yes</t>
        </is>
      </c>
      <c r="O589" s="3" t="inlineStr">
        <is>
          <t>1. MK-XS-F-017 currentAge
2. MK-XS-F-019 retirementHorizonYears
3. MK-XS-F-018 yearsToRetirement</t>
        </is>
      </c>
      <c r="P589" s="3" t="n">
        <v>3</v>
      </c>
      <c r="Q589" s="3" t="inlineStr">
        <is>
          <t>1. MK-XS-F-017 currentAge
2. MK-XS-F-019 retirementHorizonYears
3. MK-XS-F-018 yearsToRetirement</t>
        </is>
      </c>
      <c r="R589" s="3" t="inlineStr">
        <is>
          <t>1. MK-XS-F-017 currentAge → MK-XS-F-020 toReadModel
2. MK-XS-F-019 retirementHorizonYears → MK-XS-F-020 toReadModel
3. MK-XS-F-018 yearsToRetirement → MK-XS-F-020 toReadModel</t>
        </is>
      </c>
      <c r="S589" s="3" t="inlineStr">
        <is>
          <t>—</t>
        </is>
      </c>
      <c r="T589" s="3" t="inlineStr">
        <is>
          <t>—</t>
        </is>
      </c>
      <c r="U589" s="3" t="inlineStr">
        <is>
          <t>ACTIVE</t>
        </is>
      </c>
      <c r="V589" s="3" t="inlineStr">
        <is>
          <t>2026-08-27</t>
        </is>
      </c>
      <c r="W589" s="3" t="n"/>
      <c r="X589" s="3" t="n"/>
      <c r="Y589" s="3" t="inlineStr">
        <is>
          <t>NOTHING OPEN</t>
        </is>
      </c>
    </row>
    <row r="590" ht="60" customHeight="1">
      <c r="A590" s="3" t="inlineStr">
        <is>
          <t>MK-XS-F-021</t>
        </is>
      </c>
      <c r="B590" s="3" t="inlineStr">
        <is>
          <t>loadProfile</t>
        </is>
      </c>
      <c r="C590" s="3" t="inlineStr">
        <is>
          <t>src/domain/profile/index.ts</t>
        </is>
      </c>
      <c r="D590" s="3" t="n">
        <v>35</v>
      </c>
      <c r="E590" s="3" t="inlineStr">
        <is>
          <t>3 · DEPENDENT (feeds an action only)</t>
        </is>
      </c>
      <c r="F590" s="3" t="inlineStr">
        <is>
          <t>NOT DETERMINED — the code carries no note saying what this is for, and it has no row in the old inventory. Needs reading.</t>
        </is>
      </c>
      <c r="G590" s="11" t="inlineStr">
        <is>
          <t>get user doc&lt;profile&gt;(COLLECTION, uid)</t>
        </is>
      </c>
      <c r="H590" s="3" t="inlineStr">
        <is>
          <t>get user doc&lt;profile&gt;(COLLECTION, uid).</t>
        </is>
      </c>
      <c r="I590" s="3" t="inlineStr">
        <is>
          <t>READ FROM THE CODE — rendered from the expressions the function runs</t>
        </is>
      </c>
      <c r="J590" s="3" t="inlineStr">
        <is>
          <t>uid: UserId</t>
        </is>
      </c>
      <c r="K590" s="3" t="inlineStr">
        <is>
          <t>Promise&lt;Profile | null&gt;</t>
        </is>
      </c>
      <c r="L590" s="3" t="inlineStr">
        <is>
          <t>—</t>
        </is>
      </c>
      <c r="M590" s="3" t="inlineStr">
        <is>
          <t>None found in this function — anything it assumes comes from the functions it depends on.</t>
        </is>
      </c>
      <c r="N590" s="3" t="inlineStr">
        <is>
          <t>No</t>
        </is>
      </c>
      <c r="O590" s="3" t="inlineStr">
        <is>
          <t>MK-XS-F-175 uid</t>
        </is>
      </c>
      <c r="P590" s="3" t="n">
        <v>88</v>
      </c>
      <c r="Q590"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MK-NW-F-009 maturityClass
79. MK-ST-F-010 nameEvidence
80. MK-CF-F-075 retirementIncomeMonthly
81. MK-ST-F-047 activeCurrency
82. MK-CF-F-099 deductionFor
83. MK-NW-F-011 assetClassOf
84. MK-NW-F-068 prettyDay
85. MK-XS-F-147 call
86. MK-CF-F-187 seniorDeductionFor
87. MK-XS-F-064 currentIdToken
88. MK-XS-F-112 relayUrl</t>
        </is>
      </c>
      <c r="R590" s="3" t="inlineStr">
        <is>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is>
      </c>
      <c r="S590" s="3" t="inlineStr">
        <is>
          <t>—</t>
        </is>
      </c>
      <c r="T590" s="3" t="inlineStr">
        <is>
          <t>—</t>
        </is>
      </c>
      <c r="U590" s="3" t="inlineStr">
        <is>
          <t>ACTIVE</t>
        </is>
      </c>
      <c r="V590" s="3" t="inlineStr">
        <is>
          <t>2026-08-27</t>
        </is>
      </c>
      <c r="W590" s="3" t="n"/>
      <c r="X590" s="3" t="n"/>
      <c r="Y590" s="3" t="inlineStr">
        <is>
          <t>NOTHING OPEN</t>
        </is>
      </c>
    </row>
    <row r="591" ht="60" customHeight="1">
      <c r="A591" s="3" t="inlineStr">
        <is>
          <t>MK-XS-F-022</t>
        </is>
      </c>
      <c r="B591" s="3" t="inlineStr">
        <is>
          <t>saveProfile</t>
        </is>
      </c>
      <c r="C591" s="3" t="inlineStr">
        <is>
          <t>src/domain/profile/index.ts</t>
        </is>
      </c>
      <c r="D591" s="3" t="n">
        <v>54</v>
      </c>
      <c r="E591" s="3" t="inlineStr">
        <is>
          <t>1 · ACTION</t>
        </is>
      </c>
      <c r="F591" s="3" t="inlineStr">
        <is>
          <t>NOT DETERMINED — the code carries no note saying what this is for, and it has no row in the old inventory. Needs reading.</t>
        </is>
      </c>
      <c r="G591" s="11" t="inlineStr">
        <is>
          <t>It records or announces something and returns no figure — no arithmetic of its own.</t>
        </is>
      </c>
      <c r="H591" s="3" t="inlineStr">
        <is>
          <t>It records or announces something and returns no figure — no arithmetic of its own.</t>
        </is>
      </c>
      <c r="I591" s="3" t="inlineStr">
        <is>
          <t>NO ARITHMETIC — there is no formula to state</t>
        </is>
      </c>
      <c r="J591" s="3" t="inlineStr">
        <is>
          <t>profile: Profile</t>
        </is>
      </c>
      <c r="K591" s="3" t="inlineStr">
        <is>
          <t>Promise&lt;void&gt;</t>
        </is>
      </c>
      <c r="L591" s="3" t="inlineStr">
        <is>
          <t>—</t>
        </is>
      </c>
      <c r="M591" s="3" t="inlineStr">
        <is>
          <t>None found in this function — anything it assumes comes from the functions it depends on.</t>
        </is>
      </c>
      <c r="N591" s="3" t="inlineStr">
        <is>
          <t>Yes</t>
        </is>
      </c>
      <c r="O591" s="3" t="inlineStr">
        <is>
          <t>1. MK-ST-F-040 emit
2. MK-ST-F-042 setUserDoc</t>
        </is>
      </c>
      <c r="P591" s="3" t="n">
        <v>90</v>
      </c>
      <c r="Q591"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MK-NW-F-068 prettyDay
87. MK-XS-F-147 call
88. MK-CF-F-187 seniorDeductionFor
89. MK-XS-F-064 currentIdToken
90. MK-XS-F-112 relayUrl</t>
        </is>
      </c>
      <c r="R591" s="3" t="inlineStr">
        <is>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is>
      </c>
      <c r="S591" s="3" t="inlineStr">
        <is>
          <t>—</t>
        </is>
      </c>
      <c r="T591" s="3" t="inlineStr">
        <is>
          <t>—</t>
        </is>
      </c>
      <c r="U591" s="3" t="inlineStr">
        <is>
          <t>ACTIVE</t>
        </is>
      </c>
      <c r="V591" s="3" t="inlineStr">
        <is>
          <t>2026-08-27</t>
        </is>
      </c>
      <c r="W591" s="3" t="n"/>
      <c r="X591" s="3" t="n"/>
      <c r="Y591" s="3" t="inlineStr">
        <is>
          <t>NOTHING OPEN</t>
        </is>
      </c>
    </row>
    <row r="592" ht="60" customHeight="1">
      <c r="A592" s="3" t="inlineStr">
        <is>
          <t>MK-XS-F-023</t>
        </is>
      </c>
      <c r="B592" s="3" t="inlineStr">
        <is>
          <t>getProfileReadModel</t>
        </is>
      </c>
      <c r="C592" s="3" t="inlineStr">
        <is>
          <t>src/domain/profile/index.ts</t>
        </is>
      </c>
      <c r="D592" s="3" t="n">
        <v>78</v>
      </c>
      <c r="E592" s="3" t="inlineStr">
        <is>
          <t>3 · DEPENDENT (feeds an action only)</t>
        </is>
      </c>
      <c r="F592" s="3" t="inlineStr">
        <is>
          <t>Profile + derived planning values (current age, years to retirement, horizon).</t>
        </is>
      </c>
      <c r="G592" s="11" t="inlineStr">
        <is>
          <t>p = await load profile(uid)
the answer:
to read model(p)   if p
nothing   otherwise</t>
        </is>
      </c>
      <c r="H592" s="3" t="inlineStr">
        <is>
          <t>P is await load profile(uid). The answer is to read model(p) — when p; no answer — otherwise.</t>
        </is>
      </c>
      <c r="I592" s="3" t="inlineStr">
        <is>
          <t>READ FROM THE CODE — rendered from the expressions the function runs</t>
        </is>
      </c>
      <c r="J592" s="3" t="inlineStr">
        <is>
          <t>uid: UserId</t>
        </is>
      </c>
      <c r="K592" s="3" t="inlineStr">
        <is>
          <t>Promise&lt;ProfileReadModel | null&gt;</t>
        </is>
      </c>
      <c r="L592" s="3" t="inlineStr">
        <is>
          <t>—</t>
        </is>
      </c>
      <c r="M592" s="3" t="inlineStr">
        <is>
          <t>None found in this function — anything it assumes comes from the functions it depends on.</t>
        </is>
      </c>
      <c r="N592" s="3" t="inlineStr">
        <is>
          <t>No</t>
        </is>
      </c>
      <c r="O592" s="3" t="inlineStr">
        <is>
          <t>1. MK-XS-F-021 loadProfile
2. MK-XS-F-020 toReadModel
3. MK-XS-F-175 uid</t>
        </is>
      </c>
      <c r="P592" s="3" t="n">
        <v>93</v>
      </c>
      <c r="Q592"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MK-NW-F-120 classEvidenceOf
77. MK-NW-F-008 incomeBearingClassOf
78. MK-PF-F-031 contractMultiplier
79. MK-CF-F-072 currentRetirementIncomeMonthly
80. MK-ST-F-048 currencySymbol
81. MK-CF-F-100 taxableIncomeFor
82. MK-ST-F-034 firstDate
83. MK-NW-F-009 maturityClass
84. MK-ST-F-010 nameEvidence
85. MK-CF-F-075 retirementIncomeMonthly
86. MK-ST-F-047 activeCurrency
87. MK-CF-F-099 deductionFor
88. MK-NW-F-011 assetClassOf
89. MK-NW-F-068 prettyDay
90. MK-XS-F-147 call
91. MK-CF-F-187 seniorDeductionFor
92. MK-XS-F-064 currentIdToken
93. MK-XS-F-112 relayUrl</t>
        </is>
      </c>
      <c r="R592" s="3" t="inlineStr">
        <is>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is>
      </c>
      <c r="S592" s="3" t="inlineStr">
        <is>
          <t>—</t>
        </is>
      </c>
      <c r="T592" s="3" t="inlineStr">
        <is>
          <t>—</t>
        </is>
      </c>
      <c r="U592" s="3" t="inlineStr">
        <is>
          <t>ACTIVE</t>
        </is>
      </c>
      <c r="V592" s="3" t="inlineStr">
        <is>
          <t>2026-08-27</t>
        </is>
      </c>
      <c r="W592" s="3" t="n"/>
      <c r="X592" s="3" t="n"/>
      <c r="Y592" s="3" t="inlineStr">
        <is>
          <t>NOTHING OPEN</t>
        </is>
      </c>
    </row>
    <row r="593" ht="60" customHeight="1">
      <c r="A593" s="3" t="inlineStr">
        <is>
          <t>MK-XS-F-024</t>
        </is>
      </c>
      <c r="B593" s="3" t="inlineStr">
        <is>
          <t>resolveLens</t>
        </is>
      </c>
      <c r="C593" s="3" t="inlineStr">
        <is>
          <t>src/domain/profile/lens.ts</t>
        </is>
      </c>
      <c r="D593" s="3" t="n">
        <v>48</v>
      </c>
      <c r="E593" s="3" t="inlineStr">
        <is>
          <t>2 · DISPLAYED</t>
        </is>
      </c>
      <c r="F593" s="3" t="inlineStr">
        <is>
          <t>The person's explicit choice (first-run stage question / Settings → Your setup) wins.</t>
        </is>
      </c>
      <c r="G593" s="11" t="inlineStr">
        <is>
          <t>override   when override = 'working' (or override = 'retired' when missing or zero)
status = op.status
'retired'   when status = 'retired'
'retired'   when status = 'partial' and current retirement income monthly(op ?? {}) &gt; 0
the answer = 'working'</t>
        </is>
      </c>
      <c r="H593"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593" s="3" t="inlineStr">
        <is>
          <t>PARTLY READ — some of the code is still showing through; needs a hand pass</t>
        </is>
      </c>
      <c r="J593" s="3" t="inlineStr">
        <is>
          <t>1. op: Record&lt;string, any&gt; | null | undefined
2. override?: Lens | null</t>
        </is>
      </c>
      <c r="K593" s="3" t="inlineStr">
        <is>
          <t>Lens</t>
        </is>
      </c>
      <c r="L593" s="3" t="inlineStr">
        <is>
          <t>1. "Draw from savings" — on the Cash flow screen, under "YOUR FUTURE PAYCHECK"
2. "WILL MY MONEY LAST?" — on the Home screen, under "WILL MY MONEY LAST?"
3. "YOUR FIVE TABS — same order as the bar below" — on a card used on more than one screen (TopBar)</t>
        </is>
      </c>
      <c r="M593" s="3" t="inlineStr">
        <is>
          <t>None found in this function — anything it assumes comes from the functions it depends on.</t>
        </is>
      </c>
      <c r="N593" s="3" t="inlineStr">
        <is>
          <t>Yes</t>
        </is>
      </c>
      <c r="O593" s="3" t="inlineStr">
        <is>
          <t>MK-CF-F-072 currentRetirementIncomeMonthly</t>
        </is>
      </c>
      <c r="P593" s="3" t="n">
        <v>4</v>
      </c>
      <c r="Q593" s="3" t="inlineStr">
        <is>
          <t>1. MK-CF-F-072 currentRetirementIncomeMonthly
2. MK-CF-F-075 retirementIncomeMonthly
3. MK-ST-F-052 toNum
4. MK-XS-F-122 n</t>
        </is>
      </c>
      <c r="R593" s="3" t="inlineStr">
        <is>
          <t>MK-XS-F-122 n → MK-ST-F-052 toNum → MK-CF-F-075 retirementIncomeMonthly → MK-CF-F-072 currentRetirementIncomeMonthly → MK-XS-F-024 resolveLens</t>
        </is>
      </c>
      <c r="S593" s="3" t="inlineStr">
        <is>
          <t>—</t>
        </is>
      </c>
      <c r="T593" s="3" t="inlineStr">
        <is>
          <t>WHICH_VIEW</t>
        </is>
      </c>
      <c r="U593" s="3" t="inlineStr">
        <is>
          <t>ACTIVE</t>
        </is>
      </c>
      <c r="V593" s="3" t="inlineStr">
        <is>
          <t>2026-08-27</t>
        </is>
      </c>
      <c r="W593" s="3" t="n"/>
      <c r="X593" s="3" t="n"/>
      <c r="Y593" s="3" t="inlineStr">
        <is>
          <t>NOTHING OPEN</t>
        </is>
      </c>
    </row>
    <row r="594" ht="45" customHeight="1">
      <c r="A594" s="3" t="inlineStr">
        <is>
          <t>MK-XS-F-025</t>
        </is>
      </c>
      <c r="B594" s="3" t="inlineStr">
        <is>
          <t>tabOrder</t>
        </is>
      </c>
      <c r="C594" s="3" t="inlineStr">
        <is>
          <t>src/domain/profile/lens.ts</t>
        </is>
      </c>
      <c r="D594" s="3" t="n">
        <v>79</v>
      </c>
      <c r="E594" s="3" t="inlineStr">
        <is>
          <t>2 · DISPLAYED</t>
        </is>
      </c>
      <c r="F594" s="3" t="inlineStr">
        <is>
          <t>Bottom-bar order per lens (design pin: "Tab order is set once from stage; identical across sessions").</t>
        </is>
      </c>
      <c r="G594" s="11" t="inlineStr">
        <is>
          <t>retired → home, cashflow, analytics, plan, invest
otherwise → home, analytics, invest, cashflow, plan</t>
        </is>
      </c>
      <c r="H594" s="3" t="inlineStr">
        <is>
          <t>The order of the tabs for the person's lens — cash flow comes second for someone retired. No arithmetic.</t>
        </is>
      </c>
      <c r="I594" s="3" t="inlineStr">
        <is>
          <t>READ BY HAND 2026-08-26 — checked line by line against the code</t>
        </is>
      </c>
      <c r="J594" s="3" t="inlineStr">
        <is>
          <t>lens: Lens</t>
        </is>
      </c>
      <c r="K594" s="3" t="inlineStr">
        <is>
          <t>FccTab[]</t>
        </is>
      </c>
      <c r="L594" s="3" t="inlineStr">
        <is>
          <t>"YOUR FIVE TABS — same order as the bar below" — on a card used on more than one screen (TopBar)</t>
        </is>
      </c>
      <c r="M594" s="3" t="inlineStr">
        <is>
          <t>None found in this function — anything it assumes comes from the functions it depends on.</t>
        </is>
      </c>
      <c r="N594" s="3" t="inlineStr">
        <is>
          <t>Yes</t>
        </is>
      </c>
      <c r="O594" s="3" t="inlineStr">
        <is>
          <t>—</t>
        </is>
      </c>
      <c r="P594" s="3" t="n">
        <v>0</v>
      </c>
      <c r="Q594" s="3" t="inlineStr">
        <is>
          <t>None — no dependent function stands behind it</t>
        </is>
      </c>
      <c r="R594" s="3" t="inlineStr">
        <is>
          <t>No dependent function — it reads its inputs and answers</t>
        </is>
      </c>
      <c r="S594" s="3" t="inlineStr">
        <is>
          <t>—</t>
        </is>
      </c>
      <c r="T594" s="3" t="inlineStr">
        <is>
          <t>—</t>
        </is>
      </c>
      <c r="U594" s="3" t="inlineStr">
        <is>
          <t>ACTIVE</t>
        </is>
      </c>
      <c r="V594" s="3" t="inlineStr">
        <is>
          <t>2026-09-12</t>
        </is>
      </c>
      <c r="W594" s="3" t="n"/>
      <c r="X594" s="3" t="n"/>
      <c r="Y594" s="3" t="inlineStr">
        <is>
          <t>NOTHING OPEN</t>
        </is>
      </c>
    </row>
    <row r="595" ht="60" customHeight="1">
      <c r="A595" s="3" t="inlineStr">
        <is>
          <t>MK-XS-F-026</t>
        </is>
      </c>
      <c r="B595" s="3" t="inlineStr">
        <is>
          <t>profileFromOnboarding</t>
        </is>
      </c>
      <c r="C595" s="3" t="inlineStr">
        <is>
          <t>src/domain/profile/onboarding.ts</t>
        </is>
      </c>
      <c r="D595" s="3" t="n">
        <v>55</v>
      </c>
      <c r="E595" s="3" t="inlineStr">
        <is>
          <t>2 · DISPLAYED</t>
        </is>
      </c>
      <c r="F595" s="3" t="inlineStr">
        <is>
          <t>`op` is the consolidated onboardingProfile: { status, name, ...answers }.</t>
        </is>
      </c>
      <c r="G595" s="11" t="inlineStr">
        <is>
          <t>a = op (or none when missing)</t>
        </is>
      </c>
      <c r="H595" s="3" t="inlineStr">
        <is>
          <t>A is op (or none — when missing).</t>
        </is>
      </c>
      <c r="I595" s="3" t="inlineStr">
        <is>
          <t>READ FROM THE CODE — rendered from the expressions the function runs</t>
        </is>
      </c>
      <c r="J595" s="3" t="inlineStr">
        <is>
          <t>1. uid: UserId
2. op: Record&lt;string, any&gt; | null</t>
        </is>
      </c>
      <c r="K595" s="3" t="inlineStr">
        <is>
          <t>Profile</t>
        </is>
      </c>
      <c r="L595" s="3" t="inlineStr">
        <is>
          <t>NOT FOUND — a screen calls it, but the words printed beside its answer could not be traced automatically. Needs reading.</t>
        </is>
      </c>
      <c r="M595" s="3" t="inlineStr">
        <is>
          <t>None found in this function — anything it assumes comes from the functions it depends on.</t>
        </is>
      </c>
      <c r="N595" s="3" t="inlineStr">
        <is>
          <t>Yes</t>
        </is>
      </c>
      <c r="O595" s="3" t="inlineStr">
        <is>
          <t>1. MK-XS-F-131 toInt
2. MK-XS-F-175 uid</t>
        </is>
      </c>
      <c r="P595" s="3" t="n">
        <v>89</v>
      </c>
      <c r="Q595" s="3" t="inlineStr">
        <is>
          <t>1. MK-XS-F-131 toInt
2. MK-XS-F-175 uid
3. MK-XS-F-122 n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595" s="3" t="inlineStr">
        <is>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is>
      </c>
      <c r="S595" s="3" t="inlineStr">
        <is>
          <t>—</t>
        </is>
      </c>
      <c r="T595" s="3" t="inlineStr">
        <is>
          <t>—</t>
        </is>
      </c>
      <c r="U595" s="3" t="inlineStr">
        <is>
          <t>ACTIVE</t>
        </is>
      </c>
      <c r="V595" s="3" t="inlineStr">
        <is>
          <t>2026-08-27</t>
        </is>
      </c>
      <c r="W595" s="3" t="n"/>
      <c r="X595" s="3" t="n"/>
      <c r="Y595" s="3" t="inlineStr">
        <is>
          <t>NOTHING OPEN</t>
        </is>
      </c>
    </row>
    <row r="596" ht="60" customHeight="1">
      <c r="A596" s="3" t="inlineStr">
        <is>
          <t>MK-XS-F-027</t>
        </is>
      </c>
      <c r="B596" s="3" t="inlineStr">
        <is>
          <t>takeHomeMonthly</t>
        </is>
      </c>
      <c r="C596" s="3" t="inlineStr">
        <is>
          <t>src/domain/savings/index.ts</t>
        </is>
      </c>
      <c r="D596" s="3" t="n">
        <v>42</v>
      </c>
      <c r="E596" s="3" t="inlineStr">
        <is>
          <t>2 · DISPLAYED</t>
        </is>
      </c>
      <c r="F596" s="3" t="inlineStr">
        <is>
          <t>True take-home per month: after tax AND after the 401(k) deduction (the cash that hits your account).</t>
        </is>
      </c>
      <c r="G596" s="11" t="inlineStr">
        <is>
          <t>grid = income monthly grid(op, 'available')
the answer = Σ over grid of (amount)÷ 12</t>
        </is>
      </c>
      <c r="H596" s="3" t="inlineStr">
        <is>
          <t>Grid is income monthly grid(op, 'available'). The answer: the amount added up across grid÷ 12.</t>
        </is>
      </c>
      <c r="I596" s="3" t="inlineStr">
        <is>
          <t>READ FROM THE CODE — rendered from the expressions the function runs</t>
        </is>
      </c>
      <c r="J596" s="3" t="inlineStr">
        <is>
          <t>op: OnboardingProfile | null</t>
        </is>
      </c>
      <c r="K596" s="3" t="inlineStr">
        <is>
          <t>number</t>
        </is>
      </c>
      <c r="L596" s="3" t="inlineStr">
        <is>
          <t>"Income (take-home)" — on the budget screen</t>
        </is>
      </c>
      <c r="M596" s="3" t="inlineStr">
        <is>
          <t>None found in this function — anything it assumes comes from the functions it depends on.</t>
        </is>
      </c>
      <c r="N596" s="3" t="inlineStr">
        <is>
          <t>Yes</t>
        </is>
      </c>
      <c r="O596" s="3" t="inlineStr">
        <is>
          <t>1. MK-CF-F-092 incomeMonthlyGrid
2. MK-CF-F-011 savingsByMonth</t>
        </is>
      </c>
      <c r="P596" s="3" t="n">
        <v>110</v>
      </c>
      <c r="Q596" s="3" t="inlineStr">
        <is>
          <t>1. MK-CF-F-092 incomeMonthlyGrid
2. MK-CF-F-011 savingsByMonth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MK-CF-F-008 spendByMonth
23. MK-CF-F-075 retirementIncomeMonthly
24. MK-CF-F-172 hasWage
25. MK-CF-F-062 equityRowValue
26. MK-CF-F-070 benefitAnnual
27. MK-ST-F-039 on
28. MK-CF-F-176 sumMonthsOverEarners
29. MK-CF-F-203 MONTH
30. MK-CF-F-090 effectiveRate
31. MK-CF-F-180 enteredLandsAnnual
32. MK-CF-F-085 filingStatusOf
33. MK-CF-F-089 over65CountOf
34. MK-CF-F-082 salaryAnnual
35. MK-CF-F-086 stateRateOf
36. MK-CF-F-101 taxOwedFor
37. MK-CF-F-084 taxableAnnual
38. MK-CF-O-002 expenses
39. MK-CF-F-067 rentalList
40. MK-CF-F-063 rowVestYear
41. MK-XS-F-122 n
42. MK-CF-F-130 enteredMonthlyRaw
43. MK-CF-F-166 hasMonthlySalaryTable
44. MK-ST-F-036 reconcile
45. MK-CF-F-167 salaryCalendarYear
46. MK-CF-F-120 pctBaseMonthly
47. MK-CF-F-004 spendBuckets
48. MK-CF-O-010 theMonth
49. MK-CF-F-100 taxableIncomeFor
50. MK-CF-F-074 tipsAnnual
51. MK-CF-F-151 actualSpending
52. MK-CF-F-150 debtPaymentsCountedAsExpenses
53. MK-CF-F-153 radar
54. MK-CF-F-149 recurringDebtPayments
55. MK-ST-F-085 rentFigure
56. MK-CF-F-165 salaryMonths
57. MK-CF-F-003 categoryMonthly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MK-NW-F-131 pricedLikeBond
94. MK-NW-F-125 isPastMaturity
95. MK-ST-F-065 isoLocalDate
96. MK-NW-F-126 yearlyInterestNow
97. MK-NW-F-011 assetClassOf
98. MK-NW-F-070 accruedInterestCaveat
99. MK-NW-F-058 yearsToMaturity
100. MK-NW-F-119 estimatedAccrued
101. MK-NW-F-124 maturityParts
102. MK-NW-F-120 classEvidenceOf
103. MK-NW-F-067 plural
104. MK-NW-F-008 incomeBearingClassOf
105. MK-NW-F-009 maturityClass
106. MK-ST-F-010 nameEvidence
107. MK-NW-F-068 prettyDay
108. MK-XS-F-147 call
109. MK-XS-F-064 currentIdToken
110. MK-XS-F-112 relayUrl</t>
        </is>
      </c>
      <c r="R596" s="3" t="inlineStr">
        <is>
          <t>1. MK-CF-F-069 benefitActiveMonths → MK-CF-F-092 incomeMonthlyGrid → MK-XS-F-027 takeHomeMonthly
2. MK-XS-F-122 n → MK-ST-F-052 toNum → MK-CF-F-075 retirementIncomeMonthly → MK-CF-F-072 currentRetirementIncomeMonthly → MK-CF-F-092 incomeMonthlyGrid → MK-XS-F-027 takeHomeMonthly
3. MK-ST-F-056 has → MK-CF-F-172 hasWage → MK-CF-F-173 earnerWages → MK-CF-F-092 incomeMonthlyGrid → MK-XS-F-027 takeHomeMonthly
4. MK-XS-F-122 n → MK-ST-F-052 toNum → MK-CF-F-062 equityRowValue → MK-CF-F-065 equityVestWeights → MK-CF-F-092 incomeMonthlyGrid → MK-XS-F-027 takeHomeMonthly
5. MK-CF-F-132 map → MK-CF-F-065 equityVestWeights → MK-CF-F-092 incomeMonthlyGrid → MK-XS-F-027 takeHomeMonthly
6. MK-CF-F-069 benefitActiveMonths → MK-CF-F-070 benefitAnnual → MK-CF-F-071 extraIncome → MK-CF-F-092 incomeMonthlyGrid → MK-XS-F-027 takeHomeMonthly
7. MK-XS-F-122 n → MK-ST-F-052 toNum → MK-CF-F-070 benefitAnnual → MK-CF-F-071 extraIncome → MK-CF-F-092 incomeMonthlyGrid → MK-XS-F-027 takeHomeMonthly
8. MK-ST-F-039 on → MK-CF-F-071 extraIncome → MK-CF-F-092 incomeMonthlyGrid → MK-XS-F-027 takeHomeMonthly
9. … and 5 more paths</t>
        </is>
      </c>
      <c r="S596" s="3" t="inlineStr">
        <is>
          <t>—</t>
        </is>
      </c>
      <c r="T596" s="3" t="inlineStr">
        <is>
          <t>—</t>
        </is>
      </c>
      <c r="U596" s="3" t="inlineStr">
        <is>
          <t>ACTIVE</t>
        </is>
      </c>
      <c r="V596" s="3" t="inlineStr">
        <is>
          <t>2026-09-09</t>
        </is>
      </c>
      <c r="W596" s="3" t="n"/>
      <c r="X596" s="3" t="n"/>
      <c r="Y596" s="3" t="inlineStr">
        <is>
          <t>NOTHING OPEN</t>
        </is>
      </c>
    </row>
    <row r="597" ht="60" customHeight="1">
      <c r="A597" s="3" t="inlineStr">
        <is>
          <t>MK-XS-F-028</t>
        </is>
      </c>
      <c r="B597" s="3" t="inlineStr">
        <is>
          <t>surplusByMonth</t>
        </is>
      </c>
      <c r="C597" s="3" t="inlineStr">
        <is>
          <t>src/domain/savings/index.ts</t>
        </is>
      </c>
      <c r="D597" s="3" t="n">
        <v>71</v>
      </c>
      <c r="E597" s="3" t="inlineStr">
        <is>
          <t>2 · DISPLAYED</t>
        </is>
      </c>
      <c r="F597" s="3" t="inlineStr">
        <is>
          <t>Planned SURPLUS, month by month, AFTER debt (the canonical word, per the 2026-06-23 decision).</t>
        </is>
      </c>
      <c r="G597" s="11" t="inlineStr">
        <is>
          <t>debt = actual debt payment(debts)
the answer:
for each of savings by month(op): label = label
amount = amount − debt</t>
        </is>
      </c>
      <c r="H597" s="3" t="inlineStr">
        <is>
          <t>Debt is actual debt payment(debts). The answer is for each of savings by month(op): label = label; amount = amount minus debt.</t>
        </is>
      </c>
      <c r="I597" s="3" t="inlineStr">
        <is>
          <t>READ FROM THE CODE — rendered from the expressions the function runs</t>
        </is>
      </c>
      <c r="J597" s="3" t="inlineStr">
        <is>
          <t>1. op: OnboardingProfile | null
2. debts: Debt[] = []</t>
        </is>
      </c>
      <c r="K597" s="3" t="inlineStr">
        <is>
          <t>NOT DECLARED — the code does not say what it gives back</t>
        </is>
      </c>
      <c r="L597" s="3" t="inlineStr">
        <is>
          <t>"Plan" — on the Goals screen</t>
        </is>
      </c>
      <c r="M597" s="3" t="inlineStr">
        <is>
          <t>None found in this function — anything it assumes comes from the functions it depends on.</t>
        </is>
      </c>
      <c r="N597" s="3" t="inlineStr">
        <is>
          <t>Yes</t>
        </is>
      </c>
      <c r="O597" s="3" t="inlineStr">
        <is>
          <t>1. MK-CF-F-026 actualDebtPayment
2. MK-CF-F-132 map
3. MK-ST-F-036 reconcile
4. MK-CF-F-011 savingsByMonth</t>
        </is>
      </c>
      <c r="P597" s="3" t="n">
        <v>135</v>
      </c>
      <c r="Q597" s="3" t="inlineStr">
        <is>
          <t>1. MK-CF-F-026 actualDebtPayment
2. MK-CF-F-132 map
3. MK-ST-F-036 reconcile
4. MK-CF-F-011 savingsByMonth
5. MK-CF-F-024 totalDebtMonthly
6. MK-CF-F-092 incomeMonthlyGrid
7. MK-CF-F-008 spendByMonth
8. MK-CF-F-201 INCOME
9. MK-CF-F-023 requiredPayment
10. MK-CF-F-069 benefitActiveMonths
11. MK-CF-F-072 currentRetirementIncomeMonthly
12. MK-CF-F-173 earnerWages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MK-ST-F-052 toNum
26. MK-CF-F-177 wageGrossByMonth
27. MK-PL-F-012 waterfall
28. MK-CF-F-120 pctBaseMonthly
29. MK-CF-F-004 spendBuckets
30. MK-CF-F-207 SOURCE
31. MK-CF-O-004 incomeSummary
32. MK-CF-F-022 paymentShape
33. MK-CF-F-075 retirementIncomeMonthly
34. MK-CF-F-172 hasWage
35. MK-CF-F-062 equityRowValue
36. MK-CF-F-070 benefitAnnual
37. MK-ST-F-039 on
38. MK-CF-F-176 sumMonthsOverEarners
39. MK-CF-F-203 MONTH
40. MK-CF-F-090 effectiveRate
41. MK-CF-F-180 enteredLandsAnnual
42. MK-CF-F-085 filingStatusOf
43. MK-CF-F-089 over65CountOf
44. MK-CF-F-082 salaryAnnual
45. MK-CF-F-086 stateRateOf
46. MK-CF-F-101 taxOwedFor
47. MK-CF-F-084 taxableAnnual
48. MK-CF-O-002 expenses
49. MK-CF-F-067 rentalList
50. MK-CF-F-063 rowVestYear
51. MK-XS-F-122 n
52. MK-CF-F-130 enteredMonthlyRaw
53. MK-CF-F-166 hasMonthlySalaryTable
54. MK-CF-F-167 salaryCalendarYear
55. MK-CF-F-003 categoryMonthly
56. MK-CF-O-016 incomeSources
57. MK-CF-O-001 basePay
58. MK-CF-F-179 entryFromWage
59. MK-CF-F-192 inflowLabel
60. MK-CF-F-103 marginalBracketFor
61. MK-CF-F-021 defaultPaymentType
62. MK-CF-O-010 theMonth
63. MK-CF-F-100 taxableIncomeFor
64. MK-CF-F-074 tipsAnnual
65. MK-CF-F-151 actualSpending
66. MK-CF-F-150 debtPaymentsCountedAsExpenses
67. MK-CF-F-153 radar
68. MK-CF-F-149 recurringDebtPayments
69. MK-ST-F-085 rentFigure
70. MK-CF-F-165 salaryMonths
71. MK-XS-F-027 takeHomeMonthly
72. MK-ST-F-035 covers
73. MK-CF-F-171 earnerPay
74. MK-CF-F-204 line
75. MK-ST-F-053 money
76. MK-HM-F-006 money0
77. MK-CF-F-198 payrollTaxWithheld
78. MK-CF-F-193 inflowSourceWord
79. MK-CF-F-155 cash
80. MK-CF-O-003 thisMonth
81. MK-CF-F-099 deductionFor
82. MK-CF-F-081 salaryActiveMonths
83. MK-CF-F-148 inMonth
84. MK-CF-F-191 ym
85. MK-CF-F-152 isRadarItem
86. MK-ST-F-034 firstDate
87. MK-CF-F-143 annualisedGross
88. MK-CF-F-145 deductionsFromPay
89. MK-CF-F-128 grossByMonth
90. MK-CF-F-146 payFiguresAgree
91. MK-CF-F-144 takeHomeAsEntered
92. MK-XS-F-180 declareFigures
93. MK-ST-F-049 formatMoney
94. MK-HM-F-005 pctTxt
95. MK-NW-F-067 plural
96. MK-CF-F-005 actualMonthFlow
97. MK-CF-F-156 plannedMonthFlow
98. MK-CF-F-187 seniorDeductionFor
99. MK-CF-F-142 monthsOf
100. MK-CF-F-141 perMonth
101. MK-ST-F-048 currencySymbol
102. MK-NW-F-078 ONE
103. MK-CF-F-157 debtPaymentsByDebt
104. MK-CF-F-140 periodsAYear
105. MK-ST-F-047 activeCurrency
106. MK-NW-F-077 ALL
107. MK-NW-F-059 currentYield
108. MK-NW-O-001 theBonds
109. MK-NW-F-112 yearlyInterest
110. MK-ST-F-027 accountId
111. MK-NW-F-057 annualCoupon
112. MK-NW-F-056 bondInfo
113. MK-NW-F-064 bondRateSensitivity
114. MK-NW-F-061 bondSummary
115. MK-NW-F-055 isBond
116. MK-NW-F-072 rowOf
117. MK-NW-F-060 approxYTM
118. MK-NW-F-069 priceAtYield
119. MK-NW-F-131 pricedLikeBond
120. MK-NW-F-125 isPastMaturity
121. MK-ST-F-065 isoLocalDate
122. MK-NW-F-126 yearlyInterestNow
123. MK-NW-F-011 assetClassOf
124. MK-NW-F-070 accruedInterestCaveat
125. MK-NW-F-058 yearsToMaturity
126. MK-NW-F-119 estimatedAccrued
127. MK-NW-F-124 maturityParts
128. MK-NW-F-120 classEvidenceOf
129. MK-NW-F-008 incomeBearingClassOf
130. MK-NW-F-009 maturityClass
131. MK-ST-F-010 nameEvidence
132. MK-NW-F-068 prettyDay
133. MK-XS-F-147 call
134. MK-XS-F-064 currentIdToken
135. MK-XS-F-112 relayUrl</t>
        </is>
      </c>
      <c r="R597" s="3" t="inlineStr">
        <is>
          <t>1. MK-CF-O-016 incomeSources → MK-CF-F-207 SOURCE → MK-CF-F-201 INCOME → MK-CF-F-024 totalDebtMonthly → MK-CF-F-026 actualDebtPayment → MK-XS-F-028 surplusByMonth
2. MK-CF-F-203 MONTH → MK-CF-O-004 incomeSummary → MK-CF-F-201 INCOME → MK-CF-F-024 totalDebtMonthly → MK-CF-F-026 actualDebtPayment → MK-XS-F-028 surplusByMonth
3. MK-CF-O-001 basePay → MK-CF-O-004 incomeSummary → MK-CF-F-201 INCOME → MK-CF-F-024 totalDebtMonthly → MK-CF-F-026 actualDebtPayment → MK-XS-F-028 surplusByMonth
4. MK-CF-F-069 benefitActiveMonths → MK-CF-O-004 incomeSummary → MK-CF-F-201 INCOME → MK-CF-F-024 totalDebtMonthly → MK-CF-F-026 actualDebtPayment → MK-XS-F-028 surplusByMonth
5. MK-CF-F-072 currentRetirementIncomeMonthly → MK-CF-O-004 incomeSummary → MK-CF-F-201 INCOME → MK-CF-F-024 totalDebtMonthly → MK-CF-F-026 actualDebtPayment → MK-XS-F-028 surplusByMonth
6. MK-CF-F-173 earnerWages → MK-CF-O-004 incomeSummary → MK-CF-F-201 INCOME → MK-CF-F-024 totalDebtMonthly → MK-CF-F-026 actualDebtPayment → MK-XS-F-028 surplusByMonth
7. MK-CF-F-179 entryFromWage → MK-CF-O-004 incomeSummary → MK-CF-F-201 INCOME → MK-CF-F-024 totalDebtMonthly → MK-CF-F-026 actualDebtPayment → MK-XS-F-028 surplusByMonth
8. MK-CF-F-071 extraIncome → MK-CF-O-004 incomeSummary → MK-CF-F-201 INCOME → MK-CF-F-024 totalDebtMonthly → MK-CF-F-026 actualDebtPayment → MK-XS-F-028 surplusByMonth
9. … and 5 more paths</t>
        </is>
      </c>
      <c r="S597" s="3" t="inlineStr">
        <is>
          <t>—</t>
        </is>
      </c>
      <c r="T597" s="3" t="inlineStr">
        <is>
          <t>—</t>
        </is>
      </c>
      <c r="U597" s="3" t="inlineStr">
        <is>
          <t>ACTIVE</t>
        </is>
      </c>
      <c r="V597" s="3" t="inlineStr">
        <is>
          <t>2026-09-09</t>
        </is>
      </c>
      <c r="W597" s="3" t="n"/>
      <c r="X597" s="3" t="n"/>
      <c r="Y597" s="3" t="inlineStr">
        <is>
          <t>NOTHING OPEN</t>
        </is>
      </c>
    </row>
    <row r="598" ht="60" customHeight="1">
      <c r="A598" s="3" t="inlineStr">
        <is>
          <t>MK-XS-F-029</t>
        </is>
      </c>
      <c r="B598" s="3" t="inlineStr">
        <is>
          <t>monthlySavings</t>
        </is>
      </c>
      <c r="C598" s="3" t="inlineStr">
        <is>
          <t>src/domain/savings/index.ts</t>
        </is>
      </c>
      <c r="D598" s="3" t="n">
        <v>95</v>
      </c>
      <c r="E598" s="3" t="inlineStr">
        <is>
          <t>2 · DISPLAYED</t>
        </is>
      </c>
      <c r="F598" s="3" t="inlineStr">
        <is>
          <t>Monthly savings (the FLOW) — Build-47 walk row 7: DERIVED as the 12-month average of surplusByMonth, so the flat figure and the by-month figures can never drift apart (they used to be two parallel formulas that merely CLAIMED to reconcile).</t>
        </is>
      </c>
      <c r="G598" s="11" t="inlineStr">
        <is>
          <t>months = surplus by month(op, debts)
the answer = Σ over months of (amount)÷ 12</t>
        </is>
      </c>
      <c r="H598" s="3" t="inlineStr">
        <is>
          <t>Months is surplus by month(op, debts). The answer: the amount added up across months÷ 12.</t>
        </is>
      </c>
      <c r="I598" s="3" t="inlineStr">
        <is>
          <t>READ FROM THE CODE — rendered from the expressions the function runs</t>
        </is>
      </c>
      <c r="J598" s="3" t="inlineStr">
        <is>
          <t>1. op: OnboardingProfile | null
2. debts: Debt[] = []</t>
        </is>
      </c>
      <c r="K598" s="3" t="inlineStr">
        <is>
          <t>number</t>
        </is>
      </c>
      <c r="L598" s="3" t="inlineStr">
        <is>
          <t>"Free to put to work each month" — on the Goals together screen, under "CAN YOU DO IT ALL?"</t>
        </is>
      </c>
      <c r="M598" s="3" t="inlineStr">
        <is>
          <t>None found in this function — anything it assumes comes from the functions it depends on.</t>
        </is>
      </c>
      <c r="N598" s="3" t="inlineStr">
        <is>
          <t>Yes</t>
        </is>
      </c>
      <c r="O598" s="3" t="inlineStr">
        <is>
          <t>MK-XS-F-028 surplusByMonth</t>
        </is>
      </c>
      <c r="P598" s="3" t="n">
        <v>136</v>
      </c>
      <c r="Q598" s="3" t="inlineStr">
        <is>
          <t>1. MK-XS-F-028 surplusByMonth
2. MK-CF-F-026 actualDebtPayment
3. MK-CF-F-132 map
4. MK-ST-F-036 reconcile
5. MK-CF-F-011 savingsByMonth
6. MK-CF-F-024 totalDebtMonthly
7. MK-CF-F-092 incomeMonthlyGrid
8. MK-CF-F-008 spendByMonth
9. MK-CF-F-201 INCOME
10. MK-CF-F-023 requiredPayment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MK-ST-F-052 toNum
27. MK-CF-F-177 wageGrossByMonth
28. MK-PL-F-012 waterfall
29. MK-CF-F-120 pctBaseMonthly
30. MK-CF-F-004 spendBuckets
31. MK-CF-F-207 SOURCE
32. MK-CF-O-004 incomeSummary
33. MK-CF-F-022 paymentShape
34. MK-CF-F-075 retirementIncomeMonthly
35. MK-CF-F-172 hasWage
36. MK-CF-F-062 equityRowValue
37. MK-CF-F-070 benefitAnnual
38. MK-ST-F-039 on
39. MK-CF-F-176 sumMonthsOverEarners
40. MK-CF-F-203 MONTH
41. MK-CF-F-090 effectiveRate
42. MK-CF-F-180 enteredLandsAnnual
43. MK-CF-F-085 filingStatusOf
44. MK-CF-F-089 over65CountOf
45. MK-CF-F-082 salaryAnnual
46. MK-CF-F-086 stateRateOf
47. MK-CF-F-101 taxOwedFor
48. MK-CF-F-084 taxableAnnual
49. MK-CF-O-002 expenses
50. MK-CF-F-067 rentalList
51. MK-CF-F-063 rowVestYear
52. MK-XS-F-122 n
53. MK-CF-F-130 enteredMonthlyRaw
54. MK-CF-F-166 hasMonthlySalaryTable
55. MK-CF-F-167 salaryCalendarYear
56. MK-CF-F-003 categoryMonthly
57. MK-CF-O-016 incomeSources
58. MK-CF-O-001 basePay
59. MK-CF-F-179 entryFromWage
60. MK-CF-F-192 inflowLabel
61. MK-CF-F-103 marginalBracketFor
62. MK-CF-F-021 defaultPaymentType
63. MK-CF-O-010 theMonth
64. MK-CF-F-100 taxableIncomeFor
65. MK-CF-F-074 tipsAnnual
66. MK-CF-F-151 actualSpending
67. MK-CF-F-150 debtPaymentsCountedAsExpenses
68. MK-CF-F-153 radar
69. MK-CF-F-149 recurringDebtPayments
70. MK-ST-F-085 rentFigure
71. MK-CF-F-165 salaryMonths
72. MK-XS-F-027 takeHomeMonthly
73. MK-ST-F-035 covers
74. MK-CF-F-171 earnerPay
75. MK-CF-F-204 line
76. MK-ST-F-053 money
77. MK-HM-F-006 money0
78. MK-CF-F-198 payrollTaxWithheld
79. MK-CF-F-193 inflowSourceWord
80. MK-CF-F-155 cash
81. MK-CF-O-003 thisMonth
82. MK-CF-F-099 deductionFor
83. MK-CF-F-081 salaryActiveMonths
84. MK-CF-F-148 inMonth
85. MK-CF-F-191 ym
86. MK-CF-F-152 isRadarItem
87. MK-ST-F-034 firstDate
88. MK-CF-F-143 annualisedGross
89. MK-CF-F-145 deductionsFromPay
90. MK-CF-F-128 grossByMonth
91. MK-CF-F-146 payFiguresAgree
92. MK-CF-F-144 takeHomeAsEntered
93. MK-XS-F-180 declareFigures
94. MK-ST-F-049 formatMoney
95. MK-HM-F-005 pctTxt
96. MK-NW-F-067 plural
97. MK-CF-F-005 actualMonthFlow
98. MK-CF-F-156 plannedMonthFlow
99. MK-CF-F-187 seniorDeductionFor
100. MK-CF-F-142 monthsOf
101. MK-CF-F-141 perMonth
102. MK-ST-F-048 currencySymbol
103. MK-NW-F-078 ONE
104. MK-CF-F-157 debtPaymentsByDebt
105. MK-CF-F-140 periodsAYear
106. MK-ST-F-047 activeCurrency
107. MK-NW-F-077 ALL
108. MK-NW-F-059 currentYield
109. MK-NW-O-001 theBonds
110. MK-NW-F-112 yearlyInterest
111. MK-ST-F-027 accountId
112. MK-NW-F-057 annualCoupon
113. MK-NW-F-056 bondInfo
114. MK-NW-F-064 bondRateSensitivity
115. MK-NW-F-061 bondSummary
116. MK-NW-F-055 isBond
117. MK-NW-F-072 rowOf
118. MK-NW-F-060 approxYTM
119. MK-NW-F-069 priceAtYield
120. MK-NW-F-131 pricedLikeBond
121. MK-NW-F-125 isPastMaturity
122. MK-ST-F-065 isoLocalDate
123. MK-NW-F-126 yearlyInterestNow
124. MK-NW-F-011 assetClassOf
125. MK-NW-F-070 accruedInterestCaveat
126. MK-NW-F-058 yearsToMaturity
127. MK-NW-F-119 estimatedAccrued
128. MK-NW-F-124 maturityParts
129. MK-NW-F-120 classEvidenceOf
130. MK-NW-F-008 incomeBearingClassOf
131. MK-NW-F-009 maturityClass
132. MK-ST-F-010 nameEvidence
133. MK-NW-F-068 prettyDay
134. MK-XS-F-147 call
135. MK-XS-F-064 currentIdToken
136. MK-XS-F-112 relayUrl</t>
        </is>
      </c>
      <c r="R598" s="3" t="inlineStr">
        <is>
          <t>1. MK-CF-F-207 SOURCE → MK-CF-F-201 INCOME → MK-CF-F-024 totalDebtMonthly → MK-CF-F-026 actualDebtPayment → MK-XS-F-028 surplusByMonth → MK-XS-F-029 monthlySavings
2. MK-CF-O-004 incomeSummary → MK-CF-F-201 INCOME → MK-CF-F-024 totalDebtMonthly → MK-CF-F-026 actualDebtPayment → MK-XS-F-028 surplusByMonth → MK-XS-F-029 monthlySavings
3. MK-CF-F-022 paymentShape → MK-CF-F-023 requiredPayment → MK-CF-F-024 totalDebtMonthly → MK-CF-F-026 actualDebtPayment → MK-XS-F-028 surplusByMonth → MK-XS-F-029 monthlySavings
4. MK-CF-F-132 map → MK-XS-F-028 surplusByMonth → MK-XS-F-029 monthlySavings
5. MK-ST-F-036 reconcile → MK-XS-F-028 surplusByMonth → MK-XS-F-029 monthlySavings
6. MK-CF-F-069 benefitActiveMonths → MK-CF-F-092 incomeMonthlyGrid → MK-CF-F-011 savingsByMonth → MK-XS-F-028 surplusByMonth → MK-XS-F-029 monthlySavings
7. MK-CF-F-075 retirementIncomeMonthly → MK-CF-F-072 currentRetirementIncomeMonthly → MK-CF-F-092 incomeMonthlyGrid → MK-CF-F-011 savingsByMonth → MK-XS-F-028 surplusByMonth → MK-XS-F-029 monthlySavings
8. MK-CF-F-172 hasWage → MK-CF-F-173 earnerWages → MK-CF-F-092 incomeMonthlyGrid → MK-CF-F-011 savingsByMonth → MK-XS-F-028 surplusByMonth → MK-XS-F-029 monthlySavings
9. … and 4 more paths</t>
        </is>
      </c>
      <c r="S598" s="3" t="inlineStr">
        <is>
          <t>—</t>
        </is>
      </c>
      <c r="T598" s="3" t="inlineStr">
        <is>
          <t>—</t>
        </is>
      </c>
      <c r="U598" s="3" t="inlineStr">
        <is>
          <t>ACTIVE</t>
        </is>
      </c>
      <c r="V598" s="3" t="inlineStr">
        <is>
          <t>2026-09-09</t>
        </is>
      </c>
      <c r="W598" s="3" t="n"/>
      <c r="X598" s="3" t="n"/>
      <c r="Y598" s="3" t="inlineStr">
        <is>
          <t>NOTHING OPEN</t>
        </is>
      </c>
    </row>
    <row r="599" ht="60" customHeight="1">
      <c r="A599" s="3" t="inlineStr">
        <is>
          <t>MK-XS-F-030</t>
        </is>
      </c>
      <c r="B599" s="3" t="inlineStr">
        <is>
          <t>effectiveAnnualContribution</t>
        </is>
      </c>
      <c r="C599" s="3" t="inlineStr">
        <is>
          <t>src/domain/snapshot.ts</t>
        </is>
      </c>
      <c r="D599" s="3" t="n">
        <v>65</v>
      </c>
      <c r="E599" s="3" t="inlineStr">
        <is>
          <t>3 · DEPENDENT</t>
        </is>
      </c>
      <c r="F599" s="3" t="inlineStr">
        <is>
          <t>NEGATIVE CASH FLOW DRAINS WEALTH — committed contributions don't create money.</t>
        </is>
      </c>
      <c r="G599" s="11" t="inlineStr">
        <is>
          <t>a = op (or none when missing)
stated annual = (monthly contributions from onboarding(op) ?? 0)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599" s="3" t="inlineStr">
        <is>
          <t>A is op (or none — when missing). Stated annual is (monthly contributions from onboarding(op) ?? 0)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599" s="3" t="inlineStr">
        <is>
          <t>PARTLY READ — some of the code is still showing through; needs a hand pass</t>
        </is>
      </c>
      <c r="J599" s="3" t="inlineStr">
        <is>
          <t>op: Record&lt;string, any&gt; | null</t>
        </is>
      </c>
      <c r="K599" s="3" t="inlineStr">
        <is>
          <t>number</t>
        </is>
      </c>
      <c r="L599" s="3" t="inlineStr">
        <is>
          <t>—</t>
        </is>
      </c>
      <c r="M599" s="3" t="inlineStr">
        <is>
          <t>· Turns a monthly figure into a year by multiplying by twelve.</t>
        </is>
      </c>
      <c r="N599" s="3" t="inlineStr">
        <is>
          <t>Yes</t>
        </is>
      </c>
      <c r="O599" s="3" t="inlineStr">
        <is>
          <t>1. MK-NW-F-041 monthlyContributionsFromOnboarding
2. MK-CF-F-011 savingsByMonth
3. MK-ST-F-052 toNum</t>
        </is>
      </c>
      <c r="P599" s="3" t="n">
        <v>117</v>
      </c>
      <c r="Q599" s="3" t="inlineStr">
        <is>
          <t>1. MK-NW-F-041 monthlyContributionsFromOnboarding
2. MK-CF-F-011 savingsByMonth
3. MK-ST-F-052 toNum
4. MK-CF-F-197 ageAttainedInYear
5. MK-CF-F-053 annual401kLimit
6. MK-CF-F-078 employerMatchMonthly
7. MK-ST-F-053 money
8. MK-CF-F-092 incomeMonthlyGrid
9. MK-CF-F-132 map
10. MK-CF-F-008 spendByMonth
11. MK-XS-F-122 n
12. MK-CF-F-175 sumOverEarners
13. MK-CF-F-178 wageMatchMonthly
14. MK-ST-F-049 formatMoney
15. MK-CF-F-069 benefitActiveMonths
16. MK-CF-F-072 currentRetirementIncomeMonthly
17. MK-CF-F-173 earnerWages
18. MK-CF-F-065 equityVestWeights
19. MK-CF-F-071 extraIncome
20. MK-ST-F-056 has
21. MK-CF-F-206 householdK401ByMonth
22. MK-CF-F-087 monthlyTaxRates
23. MK-CF-F-073 otherIncomeMonth
24. MK-CF-F-181 rateInForce
25. MK-CF-F-068 rentalNetAnnual
26. MK-CF-F-066 rsuAnnual
27. MK-CF-F-060 salaryGrossByMonth
28. MK-CF-F-077 scholarshipByCalendarMonth
29. MK-CF-F-088 taxableByCalendarMonth
30. MK-CF-F-177 wageGrossByMonth
31. MK-PL-F-012 waterfall
32. MK-CF-F-120 pctBaseMonthly
33. MK-CF-F-004 spendBuckets
34. MK-ST-F-048 currencySymbol
35. MK-ST-F-039 on
36. MK-CF-F-075 retirementIncomeMonthly
37. MK-CF-F-172 hasWage
38. MK-CF-F-062 equityRowValue
39. MK-CF-F-070 benefitAnnual
40. MK-CF-F-176 sumMonthsOverEarners
41. MK-CF-F-203 MONTH
42. MK-CF-F-090 effectiveRate
43. MK-CF-F-180 enteredLandsAnnual
44. MK-CF-F-085 filingStatusOf
45. MK-CF-F-089 over65CountOf
46. MK-CF-F-082 salaryAnnual
47. MK-CF-F-086 stateRateOf
48. MK-CF-F-101 taxOwedFor
49. MK-CF-F-084 taxableAnnual
50. MK-CF-O-002 expenses
51. MK-CF-F-067 rentalList
52. MK-CF-F-063 rowVestYear
53. MK-CF-F-130 enteredMonthlyRaw
54. MK-CF-F-166 hasMonthlySalaryTable
55. MK-ST-F-036 reconcile
56. MK-CF-F-167 salaryCalendarYear
57. MK-CF-F-003 categoryMonthly
58. MK-ST-F-047 activeCurrency
59. MK-CF-O-010 theMonth
60. MK-CF-F-100 taxableIncomeFor
61. MK-CF-F-074 tipsAnnual
62. MK-CF-F-151 actualSpending
63. MK-CF-F-150 debtPaymentsCountedAsExpenses
64. MK-CF-F-153 radar
65. MK-CF-F-149 recurringDebtPayments
66. MK-ST-F-085 rentFigure
67. MK-CF-F-165 salaryMonths
68. MK-XS-F-027 takeHomeMonthly
69. MK-CF-F-155 cash
70. MK-CF-O-003 thisMonth
71. MK-CF-F-099 deductionFor
72. MK-CF-F-081 salaryActiveMonths
73. MK-CF-F-148 inMonth
74. MK-CF-F-191 ym
75. MK-CF-F-022 paymentShape
76. MK-CF-F-152 isRadarItem
77. MK-CF-F-023 requiredPayment
78. MK-CF-F-005 actualMonthFlow
79. MK-CF-F-156 plannedMonthFlow
80. MK-CF-F-187 seniorDeductionFor
81. MK-CF-F-021 defaultPaymentType
82. MK-NW-F-078 ONE
83. MK-CF-F-157 debtPaymentsByDebt
84. MK-CF-F-192 inflowLabel
85. MK-NW-F-077 ALL
86. MK-NW-F-059 currentYield
87. MK-XS-F-180 declareFigures
88. MK-NW-O-001 theBonds
89. MK-CF-F-193 inflowSourceWord
90. MK-NW-F-112 yearlyInterest
91. MK-ST-F-027 accountId
92. MK-NW-F-057 annualCoupon
93. MK-NW-F-056 bondInfo
94. MK-NW-F-064 bondRateSensitivity
95. MK-NW-F-061 bondSummary
96. MK-NW-F-055 isBond
97. MK-NW-F-072 rowOf
98. MK-NW-F-060 approxYTM
99. MK-NW-F-069 priceAtYield
100. MK-NW-F-131 pricedLikeBond
101. MK-NW-F-125 isPastMaturity
102. MK-ST-F-065 isoLocalDate
103. MK-NW-F-126 yearlyInterestNow
104. MK-NW-F-011 assetClassOf
105. MK-NW-F-070 accruedInterestCaveat
106. MK-NW-F-058 yearsToMaturity
107. MK-NW-F-119 estimatedAccrued
108. MK-NW-F-124 maturityParts
109. MK-NW-F-120 classEvidenceOf
110. MK-NW-F-067 plural
111. MK-NW-F-008 incomeBearingClassOf
112. MK-NW-F-009 maturityClass
113. MK-ST-F-010 nameEvidence
114. MK-NW-F-068 prettyDay
115. MK-XS-F-147 call
116. MK-XS-F-064 currentIdToken
117. MK-XS-F-112 relayUrl</t>
        </is>
      </c>
      <c r="R599" s="3" t="inlineStr">
        <is>
          <t>1. MK-CF-F-197 ageAttainedInYear → MK-NW-F-041 monthlyContributionsFromOnboarding → MK-XS-F-030 effectiveAnnualContribution
2. MK-CF-F-053 annual401kLimit → MK-NW-F-041 monthlyContributionsFromOnboarding → MK-XS-F-030 effectiveAnnualContribution
3. MK-CF-F-172 hasWage → MK-CF-F-173 earnerWages → MK-CF-F-175 sumOverEarners → MK-CF-F-078 employerMatchMonthly → MK-NW-F-041 monthlyContributionsFromOnboarding → MK-XS-F-030 effectiveAnnualContribution
4. MK-XS-F-122 n → MK-ST-F-052 toNum → MK-CF-F-178 wageMatchMonthly → MK-CF-F-078 employerMatchMonthly → MK-NW-F-041 monthlyContributionsFromOnboarding → MK-XS-F-030 effectiveAnnualContribution
5. MK-ST-F-047 activeCurrency → MK-ST-F-048 currencySymbol → MK-ST-F-049 formatMoney → MK-ST-F-053 money → MK-NW-F-041 monthlyContributionsFromOnboarding → MK-XS-F-030 effectiveAnnualContribution
6. MK-XS-F-122 n → MK-ST-F-049 formatMoney → MK-ST-F-053 money → MK-NW-F-041 monthlyContributionsFromOnboarding → MK-XS-F-030 effectiveAnnualContribution
7. MK-ST-F-039 on → MK-ST-F-049 formatMoney → MK-ST-F-053 money → MK-NW-F-041 monthlyContributionsFromOnboarding → MK-XS-F-030 effectiveAnnualContribution
8. MK-XS-F-122 n → MK-ST-F-053 money → MK-NW-F-041 monthlyContributionsFromOnboarding → MK-XS-F-030 effectiveAnnualContribution
9. … and 5 more paths</t>
        </is>
      </c>
      <c r="S599" s="3" t="inlineStr">
        <is>
          <t>—</t>
        </is>
      </c>
      <c r="T599" s="3" t="inlineStr">
        <is>
          <t>—</t>
        </is>
      </c>
      <c r="U599" s="3" t="inlineStr">
        <is>
          <t>ACTIVE</t>
        </is>
      </c>
      <c r="V599" s="3" t="inlineStr">
        <is>
          <t>2026-10-07</t>
        </is>
      </c>
      <c r="W599" s="3" t="n"/>
      <c r="X599" s="3" t="n"/>
      <c r="Y599" s="3" t="inlineStr">
        <is>
          <t>NOTHING OPEN</t>
        </is>
      </c>
    </row>
    <row r="600" ht="60" customHeight="1">
      <c r="A600" s="3" t="inlineStr">
        <is>
          <t>MK-XS-F-031</t>
        </is>
      </c>
      <c r="B600" s="3" t="inlineStr">
        <is>
          <t>buildSnapshot</t>
        </is>
      </c>
      <c r="C600" s="3" t="inlineStr">
        <is>
          <t>src/domain/snapshot.ts</t>
        </is>
      </c>
      <c r="D600" s="3" t="n">
        <v>124</v>
      </c>
      <c r="E600" s="3" t="inlineStr">
        <is>
          <t>2 · DISPLAYED</t>
        </is>
      </c>
      <c r="F600" s="3" t="inlineStr">
        <is>
          <t>Build a snapshot from EXPLICIT net-worth rows.</t>
        </is>
      </c>
      <c r="G600" s="11"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600"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600" s="3" t="inlineStr">
        <is>
          <t>READ FROM THE CODE — rendered from the expressions the function runs</t>
        </is>
      </c>
      <c r="J600" s="3" t="inlineStr">
        <is>
          <t>Nothing is handed to it</t>
        </is>
      </c>
      <c r="K600" s="3" t="inlineStr">
        <is>
          <t>NOT DECLARED — the code does not say what it gives back</t>
        </is>
      </c>
      <c r="L600" s="3" t="inlineStr">
        <is>
          <t>NOT FOUND — a screen calls it, but the words printed beside its answer could not be traced automatically. Needs reading.</t>
        </is>
      </c>
      <c r="M600" s="3" t="inlineStr">
        <is>
          <t>1. If current age is missing it uses 35.
2. If target retirement age is missing it uses 65.
3. If plan to age is missing it uses 90.</t>
        </is>
      </c>
      <c r="N600" s="3" t="inlineStr">
        <is>
          <t>Yes</t>
        </is>
      </c>
      <c r="O600"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600" s="3" t="n">
        <v>256</v>
      </c>
      <c r="Q600"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MK-NW-F-110 primaryHomeIdOf
27. MK-CF-F-002 plannedMonthlySpend
28. MK-CF-F-004 spendBuckets
29. MK-CF-F-026 actualDebtPayment
30. MK-CF-F-204 line
31. MK-CF-F-025 minimumDebtService
32. MK-PL-F-012 waterfall
33. MK-CF-F-048 effectiveTaxRate
34. MK-CF-F-046 employerMatchAnnual
35. MK-CF-F-045 grossAnnualBaseline
36. MK-CF-F-161 monthlyGrossOfSource
37. MK-CF-F-098 progressiveMonthlyTax
38. MK-CF-F-129 round4
39. MK-PL-F-050 simulate
40. MK-XS-F-122 n
41. MK-NW-F-041 monthlyContributionsFromOnboarding
42. MK-CF-F-011 savingsByMonth
43. MK-ST-F-043 newEntityId
44. MK-CF-F-070 benefitAnnual
45. MK-CF-F-072 currentRetirementIncomeMonthly
46. MK-CF-F-078 employerMatchMonthly
47. MK-CF-F-065 equityVestWeights
48. MK-CF-O-002 expenses
49. MK-CF-F-067 rentalList
50. MK-CF-F-066 rsuAnnual
51. MK-CF-F-082 salaryAnnual
52. MK-CF-F-074 tipsAnnual
53. MK-XS-F-131 toInt
54. MK-PL-F-047 colFactor
55. MK-PL-F-001 taxBucketSplit
56. MK-XS-F-017 currentAge
57. MK-XS-F-019 retirementHorizonYears
58. MK-XS-F-018 yearsToRetirement
59. MK-ST-F-027 accountId
60. MK-CF-F-111 applyTransaction
61. MK-NW-F-040 assetsFromOnboarding
62. MK-PF-F-013 benchmarkTicker
63. MK-ST-F-028 buildDayFromAccounts
64. MK-PF-F-034 closeOnOrBefore
65. MK-CF-F-186 convertTakeHomeMode
66. MK-ST-F-079 dailyWindowStart
67. MK-CF-F-038 debtsFromOnboarding
68. MK-XS-F-083 fetchPriceSeries
69. MK-ST-F-084 fillBetweenObservations
70. MK-ST-F-056 has
71. MK-CF-F-116 inverseOf
72. MK-ST-F-065 isoLocalDate
73. MK-CF-F-112 makeTransaction
74. MK-XS-F-006 pruneDaily
75. MK-ST-F-073 rebuildDays
76. MK-NW-F-054 reclassifyAccounts
77. MK-XS-F-174 recomputeBalances
78. MK-CF-F-115 restoreUndo
79. MK-CF-F-109 reviewTransactions
80. MK-ST-F-044 setMoneyFormat
81. MK-CF-F-114 undoSnapshot
82. MK-CF-F-191 ym
83. MK-NW-F-007 assetKind
84. MK-NW-F-030 earmarkDefault
85. MK-NW-F-134 carValueNotEnteredNotes
86. MK-NW-F-133 valueEntered
87. MK-NW-F-117 propertyUseMap
88. MK-CF-F-092 incomeMonthlyGrid
89. MK-XS-F-027 takeHomeMonthly
90. MK-CF-F-003 categoryMonthly
91. MK-CF-F-024 totalDebtMonthly
92. MK-CF-F-203 MONTH
93. MK-XS-F-180 declareFigures
94. MK-CF-F-022 paymentShape
95. MK-CF-F-102 effectiveRateOnGrossFor
96. MK-CF-F-044 annualNet
97. MK-CF-F-127 isRental
98. MK-CF-F-101 taxOwedFor
99. MK-CF-F-100 taxableIncomeFor
100. MK-PL-F-074 median
101. MK-PL-F-072 mulberry32
102. MK-PL-F-073 normal
103. MK-PL-F-075 pctOfSorted
104. MK-ST-F-025 rmdStartAgeFromAge
105. MK-CF-F-197 ageAttainedInYear
106. MK-CF-F-053 annual401kLimit
107. MK-ST-F-053 money
108. MK-CF-F-008 spendByMonth
109. MK-CF-F-069 benefitActiveMonths
110. MK-CF-F-075 retirementIncomeMonthly
111. MK-CF-F-175 sumOverEarners
112. MK-CF-F-178 wageMatchMonthly
113. MK-CF-F-062 equityRowValue
114. MK-CF-F-151 actualSpending
115. MK-CF-F-150 debtPaymentsCountedAsExpenses
116. MK-CF-F-153 radar
117. MK-CF-F-149 recurringDebtPayments
118. MK-ST-F-085 rentFigure
119. MK-CF-F-063 rowVestYear
120. MK-CF-F-060 salaryGrossByMonth
121. MK-CF-F-081 salaryActiveMonths
122. MK-NW-F-026 accountDisplayNames
123. MK-PL-F-086 splitBucketOf
124. MK-PL-F-087 taxTypeNotStated
125. MK-CF-F-138 addLot
126. MK-CF-F-136 bumpCash
127. MK-CF-F-137 findPos
128. MK-CF-F-139 removeShares
129. MK-PF-F-001 totalShares
130. MK-CF-F-085 filingStatusOf
131. MK-CF-F-097 grossFromNet
132. MK-CF-F-185 needsTakeHomeConversion
133. MK-CF-F-089 over65CountOf
134. MK-CF-F-037 inferDebtType
135. MK-ST-F-069 amountOf
136. MK-CF-F-133 cashOf
137. MK-ST-F-066 isDayKey
138. MK-ST-F-070 isOpening
139. MK-ST-F-039 on
140. MK-ST-F-071 rebuildableFrom
141. MK-ST-F-068 stepDay
142. MK-ST-F-072 undo
143. MK-NW-F-053 correctClassOf
144. MK-NW-F-123 holdingNameEvidence
145. MK-NW-F-121 holdingTagClass
146. MK-NW-F-122 holdingTagFor
147. MK-PF-F-002 costBasis
148. MK-PF-F-009 latestClose
149. MK-PF-F-004 marketValue
150. MK-ST-F-030 record
151. MK-XS-F-024 resolveLens
152. MK-ST-F-055 round2
153. MK-CF-F-162 daysApart
154. MK-CF-F-108 isMoneyOut
155. MK-CF-F-131 normPayee
156. MK-CF-F-113 affectedAccountIds
157. MK-NW-F-011 assetClassOf
158. MK-NW-F-116 rentedIdsOf
159. MK-CF-F-173 earnerWages
160. MK-CF-F-071 extraIncome
161. MK-CF-F-206 householdK401ByMonth
162. MK-CF-F-087 monthlyTaxRates
163. MK-CF-F-073 otherIncomeMonth
164. MK-CF-F-181 rateInForce
165. MK-CF-F-068 rentalNetAnnual
166. MK-CF-F-077 scholarshipByCalendarMonth
167. MK-CF-F-088 taxableByCalendarMonth
168. MK-CF-F-177 wageGrossByMonth
169. MK-CF-F-120 pctBaseMonthly
170. MK-CF-F-201 INCOME
171. MK-CF-F-023 requiredPayment
172. MK-CF-O-010 theMonth
173. MK-CF-F-021 defaultPaymentType
174. MK-CF-F-099 deductionFor
175. MK-ST-F-024 rmdStartAge
176. MK-ST-F-049 formatMoney
177. MK-CF-F-148 inMonth
178. MK-CF-F-152 isRadarItem
179. MK-CF-F-176 sumMonthsOverEarners
180. MK-NW-F-025 accountDisplayName
181. MK-NW-F-012 taxTreatmentOf
182. MK-CF-F-134 usesSleeve
183. MK-ST-F-067 utcOfDay
184. MK-ST-F-035 covers
185. MK-NW-F-120 classEvidenceOf
186. MK-NW-F-008 incomeBearingClassOf
187. MK-PF-F-031 contractMultiplier
188. MK-NW-F-115 liveRent
189. MK-CF-F-172 hasWage
190. MK-CF-F-090 effectiveRate
191. MK-CF-F-180 enteredLandsAnnual
192. MK-CF-F-086 stateRateOf
193. MK-CF-F-084 taxableAnnual
194. MK-CF-F-130 enteredMonthlyRaw
195. MK-CF-F-166 hasMonthlySalaryTable
196. MK-ST-F-036 reconcile
197. MK-CF-F-167 salaryCalendarYear
198. MK-CF-F-207 SOURCE
199. MK-CF-O-004 incomeSummary
200. MK-CF-O-003 thisMonth
201. MK-CF-F-187 seniorDeductionFor
202. MK-ST-F-048 currencySymbol
203. MK-NW-F-024 accountLastFour
204. MK-NW-F-023 wrapperWord
205. MK-ST-F-034 firstDate
206. MK-NW-F-009 maturityClass
207. MK-ST-F-010 nameEvidence
208. MK-NW-F-114 rentAmount
209. MK-CF-F-165 salaryMonths
210. MK-CF-O-016 incomeSources
211. MK-CF-O-001 basePay
212. MK-CF-F-179 entryFromWage
213. MK-CF-F-192 inflowLabel
214. MK-CF-F-103 marginalBracketFor
215. MK-CF-F-005 actualMonthFlow
216. MK-CF-F-156 plannedMonthFlow
217. MK-ST-F-047 activeCurrency
218. MK-NW-F-068 prettyDay
219. MK-XS-F-147 call
220. MK-CF-F-171 earnerPay
221. MK-HM-F-006 money0
222. MK-CF-F-198 payrollTaxWithheld
223. MK-CF-F-193 inflowSourceWord
224. MK-NW-F-078 ONE
225. MK-CF-F-157 debtPaymentsByDebt
226. MK-XS-F-064 currentIdToken
227. MK-XS-F-112 relayUrl
228. MK-CF-F-143 annualisedGross
229. MK-CF-F-145 deductionsFromPay
230. MK-CF-F-128 grossByMonth
231. MK-CF-F-146 payFiguresAgree
232. MK-CF-F-144 takeHomeAsEntered
233. MK-HM-F-005 pctTxt
234. MK-NW-F-067 plural
235. MK-NW-F-077 ALL
236. MK-NW-F-059 currentYield
237. MK-NW-O-001 theBonds
238. MK-CF-F-142 monthsOf
239. MK-CF-F-141 perMonth
240. MK-NW-F-112 yearlyInterest
241. MK-NW-F-057 annualCoupon
242. MK-NW-F-056 bondInfo
243. MK-NW-F-064 bondRateSensitivity
244. MK-NW-F-061 bondSummary
245. MK-NW-F-055 isBond
246. MK-NW-F-072 rowOf
247. MK-CF-F-140 periodsAYear
248. MK-NW-F-060 approxYTM
249. MK-NW-F-069 priceAtYield
250. MK-NW-F-131 pricedLikeBond
251. MK-NW-F-125 isPastMaturity
252. MK-NW-F-126 yearlyInterestNow
253. MK-NW-F-070 accruedInterestCaveat
254. MK-NW-F-058 yearsToMaturity
255. MK-NW-F-119 estimatedAccrued
256. MK-NW-F-124 maturityParts</t>
        </is>
      </c>
      <c r="R600" s="3" t="inlineStr">
        <is>
          <t>1. MK-NW-F-120 classEvidenceOf → MK-NW-F-011 assetClassOf → MK-NW-F-007 assetKind → MK-NW-F-034 benchmarkReturn → MK-NW-F-037 blendedReturn → MK-XS-F-031 buildSnapshot
2. MK-XS-F-122 n → MK-CF-F-155 cash → MK-NW-F-007 assetKind → MK-NW-F-034 benchmarkReturn → MK-NW-F-037 blendedReturn → MK-XS-F-031 buildSnapshot
3. MK-NW-F-120 classEvidenceOf → MK-NW-F-011 assetClassOf → MK-NW-F-030 earmarkDefault → MK-NW-F-032 earmarkedAmount → MK-NW-F-037 blendedReturn → MK-XS-F-031 buildSnapshot
4. MK-CF-F-132 map → MK-NW-F-134 carValueNotEnteredNotes → MK-NW-F-031 primaryCarIdOf → MK-NW-F-037 blendedReturn → MK-XS-F-031 buildSnapshot
5. MK-ST-F-049 formatMoney → MK-ST-F-053 money → MK-NW-F-134 carValueNotEnteredNotes → MK-NW-F-031 primaryCarIdOf → MK-NW-F-037 blendedReturn → MK-XS-F-031 buildSnapshot
6. MK-XS-F-122 n → MK-ST-F-053 money → MK-NW-F-134 carValueNotEnteredNotes → MK-NW-F-031 primaryCarIdOf → MK-NW-F-037 blendedReturn → MK-XS-F-031 buildSnapshot
7. primaryCarIdOf (already above — a loop) → MK-NW-F-134 carValueNotEnteredNotes → MK-NW-F-031 primaryCarIdOf → MK-NW-F-037 blendedReturn → MK-XS-F-031 buildSnapshot
8. MK-NW-F-032 earmarkedAmount → MK-NW-F-033 retirementEarmarkedValue → MK-NW-F-134 carValueNotEnteredNotes → MK-NW-F-031 primaryCarIdOf → MK-NW-F-037 blendedReturn → MK-XS-F-031 buildSnapshot
9. … and 5 more paths</t>
        </is>
      </c>
      <c r="S600" s="3" t="inlineStr">
        <is>
          <t>—</t>
        </is>
      </c>
      <c r="T600" s="3" t="inlineStr">
        <is>
          <t>—</t>
        </is>
      </c>
      <c r="U600" s="3" t="inlineStr">
        <is>
          <t>ACTIVE</t>
        </is>
      </c>
      <c r="V600" s="3" t="inlineStr">
        <is>
          <t>2026-08-27</t>
        </is>
      </c>
      <c r="W600" s="3" t="n"/>
      <c r="X600" s="3" t="n"/>
      <c r="Y600" s="3" t="inlineStr">
        <is>
          <t>NOTHING OPEN</t>
        </is>
      </c>
    </row>
    <row r="601" ht="60" customHeight="1">
      <c r="A601" s="3" t="inlineStr">
        <is>
          <t>MK-XS-F-032</t>
        </is>
      </c>
      <c r="B601" s="3" t="inlineStr">
        <is>
          <t>snapshotFromOnboarding</t>
        </is>
      </c>
      <c r="C601" s="3" t="inlineStr">
        <is>
          <t>src/domain/snapshot.ts</t>
        </is>
      </c>
      <c r="D601" s="3" t="n">
        <v>198</v>
      </c>
      <c r="E601" s="3" t="inlineStr">
        <is>
          <t>3 · DEPENDENT (feeds an action only)</t>
        </is>
      </c>
      <c r="F601" s="3" t="inlineStr">
        <is>
          <t>Snapshot from onboarding answers alone — for headless/test callers (and any surface that runs before Net Worth is set up).</t>
        </is>
      </c>
      <c r="G601" s="11" t="inlineStr">
        <is>
          <t>build snapshot(uid, op, econ, assets from onboarding(uid, op).accounts, debts from onboarding(uid, op).debts)</t>
        </is>
      </c>
      <c r="H601" s="3" t="inlineStr">
        <is>
          <t>build snapshot(uid, op, econ, assets from onboarding(uid, op).accounts, debts from onboarding(uid, op).debts).</t>
        </is>
      </c>
      <c r="I601" s="3" t="inlineStr">
        <is>
          <t>PARTLY READ — some of the code is still showing through; needs a hand pass</t>
        </is>
      </c>
      <c r="J601" s="3" t="inlineStr">
        <is>
          <t>1. uid: UserId
2. op: Record&lt;string, any&gt; | null
3. econ: EconomicData</t>
        </is>
      </c>
      <c r="K601" s="3" t="inlineStr">
        <is>
          <t>FinancialSnapshot</t>
        </is>
      </c>
      <c r="L601" s="3" t="inlineStr">
        <is>
          <t>—</t>
        </is>
      </c>
      <c r="M601" s="3" t="inlineStr">
        <is>
          <t>None found in this function — anything it assumes comes from the functions it depends on.</t>
        </is>
      </c>
      <c r="N601" s="3" t="inlineStr">
        <is>
          <t>No</t>
        </is>
      </c>
      <c r="O601" s="3" t="inlineStr">
        <is>
          <t>1. MK-NW-F-040 assetsFromOnboarding
2. MK-XS-F-031 buildSnapshot
3. MK-CF-F-038 debtsFromOnboarding
4. MK-XS-F-175 uid</t>
        </is>
      </c>
      <c r="P601" s="3" t="n">
        <v>257</v>
      </c>
      <c r="Q601"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MK-ST-F-079 dailyWindowStart
35. MK-XS-F-083 fetchPriceSeries
36. MK-ST-F-084 fillBetweenObservations
37. MK-ST-F-056 has
38. MK-CF-F-116 inverseOf
39. MK-ST-F-065 isoLocalDate
40. MK-CF-F-112 makeTransaction
41. MK-XS-F-122 n
42. MK-XS-F-006 pruneDaily
43. MK-ST-F-073 rebuildDays
44. MK-NW-F-054 reclassifyAccounts
45. MK-XS-F-174 recomputeBalances
46. MK-CF-F-115 restoreUndo
47. MK-CF-F-109 reviewTransactions
48. MK-ST-F-044 setMoneyFormat
49. MK-CF-F-114 undoSnapshot
50. MK-CF-F-191 ym
51. MK-NW-F-034 benchmarkReturn
52. MK-NW-F-032 earmarkedAmount
53. MK-NW-F-031 primaryCarIdOf
54. MK-NW-F-110 primaryHomeIdOf
55. MK-CF-F-002 plannedMonthlySpend
56. MK-CF-F-004 spendBuckets
57. MK-CF-F-026 actualDebtPayment
58. MK-CF-F-204 line
59. MK-CF-F-025 minimumDebtService
60. MK-PL-F-012 waterfall
61. MK-CF-F-048 effectiveTaxRate
62. MK-CF-F-046 employerMatchAnnual
63. MK-CF-F-045 grossAnnualBaseline
64. MK-CF-F-161 monthlyGrossOfSource
65. MK-CF-F-098 progressiveMonthlyTax
66. MK-CF-F-129 round4
67. MK-PL-F-050 simulate
68. MK-NW-F-041 monthlyContributionsFromOnboarding
69. MK-CF-F-011 savingsByMonth
70. MK-CF-F-070 benefitAnnual
71. MK-CF-F-072 currentRetirementIncomeMonthly
72. MK-CF-F-078 employerMatchMonthly
73. MK-CF-F-065 equityVestWeights
74. MK-CF-O-002 expenses
75. MK-CF-F-067 rentalList
76. MK-CF-F-066 rsuAnnual
77. MK-CF-F-082 salaryAnnual
78. MK-CF-F-074 tipsAnnual
79. MK-XS-F-131 toInt
80. MK-PL-F-047 colFactor
81. MK-PL-F-001 taxBucketSplit
82. MK-XS-F-017 currentAge
83. MK-XS-F-019 retirementHorizonYears
84. MK-XS-F-018 yearsToRetirement
85. MK-CF-F-138 addLot
86. MK-CF-F-136 bumpCash
87. MK-CF-F-137 findPos
88. MK-CF-F-139 removeShares
89. MK-PF-F-001 totalShares
90. MK-ST-F-053 money
91. MK-CF-F-085 filingStatusOf
92. MK-CF-F-097 grossFromNet
93. MK-CF-F-185 needsTakeHomeConversion
94. MK-CF-F-089 over65CountOf
95. MK-ST-F-069 amountOf
96. MK-CF-F-133 cashOf
97. MK-ST-F-066 isDayKey
98. MK-ST-F-070 isOpening
99. MK-ST-F-039 on
100. MK-ST-F-071 rebuildableFrom
101. MK-ST-F-068 stepDay
102. MK-ST-F-072 undo
103. MK-NW-F-053 correctClassOf
104. MK-NW-F-123 holdingNameEvidence
105. MK-NW-F-121 holdingTagClass
106. MK-NW-F-122 holdingTagFor
107. MK-PF-F-002 costBasis
108. MK-PF-F-009 latestClose
109. MK-PF-F-004 marketValue
110. MK-ST-F-030 record
111. MK-XS-F-024 resolveLens
112. MK-ST-F-055 round2
113. MK-CF-F-162 daysApart
114. MK-CF-F-108 isMoneyOut
115. MK-PL-F-074 median
116. MK-CF-F-131 normPayee
117. MK-CF-F-113 affectedAccountIds
118. MK-NW-F-007 assetKind
119. MK-NW-F-030 earmarkDefault
120. MK-NW-F-134 carValueNotEnteredNotes
121. MK-NW-F-133 valueEntered
122. MK-NW-F-117 propertyUseMap
123. MK-CF-F-092 incomeMonthlyGrid
124. MK-XS-F-027 takeHomeMonthly
125. MK-CF-F-003 categoryMonthly
126. MK-CF-F-024 totalDebtMonthly
127. MK-CF-F-203 MONTH
128. MK-XS-F-180 declareFigures
129. MK-CF-F-022 paymentShape
130. MK-CF-F-102 effectiveRateOnGrossFor
131. MK-CF-F-044 annualNet
132. MK-CF-F-127 isRental
133. MK-CF-F-101 taxOwedFor
134. MK-CF-F-100 taxableIncomeFor
135. MK-PL-F-072 mulberry32
136. MK-PL-F-073 normal
137. MK-PL-F-075 pctOfSorted
138. MK-ST-F-025 rmdStartAgeFromAge
139. MK-CF-F-197 ageAttainedInYear
140. MK-CF-F-053 annual401kLimit
141. MK-CF-F-008 spendByMonth
142. MK-CF-F-069 benefitActiveMonths
143. MK-CF-F-075 retirementIncomeMonthly
144. MK-CF-F-175 sumOverEarners
145. MK-CF-F-178 wageMatchMonthly
146. MK-CF-F-062 equityRowValue
147. MK-CF-F-151 actualSpending
148. MK-CF-F-150 debtPaymentsCountedAsExpenses
149. MK-CF-F-153 radar
150. MK-CF-F-149 recurringDebtPayments
151. MK-ST-F-085 rentFigure
152. MK-CF-F-063 rowVestYear
153. MK-CF-F-060 salaryGrossByMonth
154. MK-CF-F-081 salaryActiveMonths
155. MK-NW-F-026 accountDisplayNames
156. MK-PL-F-086 splitBucketOf
157. MK-PL-F-087 taxTypeNotStated
158. MK-CF-F-134 usesSleeve
159. MK-ST-F-049 formatMoney
160. MK-ST-F-067 utcOfDay
161. MK-ST-F-035 covers
162. MK-NW-F-120 classEvidenceOf
163. MK-NW-F-008 incomeBearingClassOf
164. MK-PF-F-031 contractMultiplier
165. MK-NW-F-011 assetClassOf
166. MK-NW-F-116 rentedIdsOf
167. MK-CF-F-173 earnerWages
168. MK-CF-F-071 extraIncome
169. MK-CF-F-206 householdK401ByMonth
170. MK-CF-F-087 monthlyTaxRates
171. MK-CF-F-073 otherIncomeMonth
172. MK-CF-F-181 rateInForce
173. MK-CF-F-068 rentalNetAnnual
174. MK-CF-F-077 scholarshipByCalendarMonth
175. MK-CF-F-088 taxableByCalendarMonth
176. MK-CF-F-177 wageGrossByMonth
177. MK-CF-F-120 pctBaseMonthly
178. MK-CF-F-201 INCOME
179. MK-CF-F-023 requiredPayment
180. MK-CF-O-010 theMonth
181. MK-CF-F-021 defaultPaymentType
182. MK-CF-F-099 deductionFor
183. MK-ST-F-024 rmdStartAge
184. MK-CF-F-148 inMonth
185. MK-CF-F-152 isRadarItem
186. MK-CF-F-176 sumMonthsOverEarners
187. MK-NW-F-025 accountDisplayName
188. MK-NW-F-012 taxTreatmentOf
189. MK-ST-F-048 currencySymbol
190. MK-ST-F-034 firstDate
191. MK-NW-F-009 maturityClass
192. MK-ST-F-010 nameEvidence
193. MK-NW-F-115 liveRent
194. MK-CF-F-172 hasWage
195. MK-CF-F-090 effectiveRate
196. MK-CF-F-180 enteredLandsAnnual
197. MK-CF-F-086 stateRateOf
198. MK-CF-F-084 taxableAnnual
199. MK-CF-F-130 enteredMonthlyRaw
200. MK-CF-F-166 hasMonthlySalaryTable
201. MK-ST-F-036 reconcile
202. MK-CF-F-167 salaryCalendarYear
203. MK-CF-F-207 SOURCE
204. MK-CF-O-004 incomeSummary
205. MK-CF-O-003 thisMonth
206. MK-CF-F-187 seniorDeductionFor
207. MK-NW-F-024 accountLastFour
208. MK-NW-F-023 wrapperWord
209. MK-ST-F-047 activeCurrency
210. MK-NW-F-068 prettyDay
211. MK-XS-F-147 call
212. MK-NW-F-114 rentAmount
213. MK-CF-F-165 salaryMonths
214. MK-CF-O-016 incomeSources
215. MK-CF-O-001 basePay
216. MK-CF-F-179 entryFromWage
217. MK-CF-F-192 inflowLabel
218. MK-CF-F-103 marginalBracketFor
219. MK-CF-F-005 actualMonthFlow
220. MK-CF-F-156 plannedMonthFlow
221. MK-XS-F-064 currentIdToken
222. MK-XS-F-112 relayUrl
223. MK-CF-F-171 earnerPay
224. MK-HM-F-006 money0
225. MK-CF-F-198 payrollTaxWithheld
226. MK-CF-F-193 inflowSourceWord
227. MK-NW-F-078 ONE
228. MK-CF-F-157 debtPaymentsByDebt
229. MK-CF-F-143 annualisedGross
230. MK-CF-F-145 deductionsFromPay
231. MK-CF-F-128 grossByMonth
232. MK-CF-F-146 payFiguresAgree
233. MK-CF-F-144 takeHomeAsEntered
234. MK-HM-F-005 pctTxt
235. MK-NW-F-067 plural
236. MK-NW-F-077 ALL
237. MK-NW-F-059 currentYield
238. MK-NW-O-001 theBonds
239. MK-CF-F-142 monthsOf
240. MK-CF-F-141 perMonth
241. MK-NW-F-112 yearlyInterest
242. MK-NW-F-057 annualCoupon
243. MK-NW-F-056 bondInfo
244. MK-NW-F-064 bondRateSensitivity
245. MK-NW-F-061 bondSummary
246. MK-NW-F-055 isBond
247. MK-NW-F-072 rowOf
248. MK-CF-F-140 periodsAYear
249. MK-NW-F-060 approxYTM
250. MK-NW-F-069 priceAtYield
251. MK-NW-F-131 pricedLikeBond
252. MK-NW-F-125 isPastMaturity
253. MK-NW-F-126 yearlyInterestNow
254. MK-NW-F-070 accruedInterestCaveat
255. MK-NW-F-058 yearsToMaturity
256. MK-NW-F-119 estimatedAccrued
257. MK-NW-F-124 maturityParts</t>
        </is>
      </c>
      <c r="R601" s="3" t="inlineStr">
        <is>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is>
      </c>
      <c r="S601" s="3" t="inlineStr">
        <is>
          <t>—</t>
        </is>
      </c>
      <c r="T601" s="3" t="inlineStr">
        <is>
          <t>—</t>
        </is>
      </c>
      <c r="U601" s="3" t="inlineStr">
        <is>
          <t>ACTIVE</t>
        </is>
      </c>
      <c r="V601" s="3" t="inlineStr">
        <is>
          <t>2026-08-27</t>
        </is>
      </c>
      <c r="W601" s="3" t="n"/>
      <c r="X601" s="3" t="n"/>
      <c r="Y601" s="3" t="inlineStr">
        <is>
          <t>NOTHING OPEN</t>
        </is>
      </c>
    </row>
    <row r="602" ht="60" customHeight="1">
      <c r="A602" s="3" t="inlineStr">
        <is>
          <t>MK-XS-F-033</t>
        </is>
      </c>
      <c r="B602" s="3" t="inlineStr">
        <is>
          <t>resolveNetWorthRows</t>
        </is>
      </c>
      <c r="C602" s="3" t="inlineStr">
        <is>
          <t>src/domain/snapshot.ts</t>
        </is>
      </c>
      <c r="D602" s="3" t="n">
        <v>226</v>
      </c>
      <c r="E602" s="3" t="inlineStr">
        <is>
          <t>2 · DISPLAYED</t>
        </is>
      </c>
      <c r="F602" s="3" t="inlineStr">
        <is>
          <t>The single rule for which net-worth rows a live UI surface should use, so Home + TopBar + the Net Worth screen never disagree (B-49).</t>
        </is>
      </c>
      <c r="G602" s="11" t="inlineStr">
        <is>
          <t>use live = nw seeded (or live accounts.length &gt; 0 (or live liabilities.length &gt; 0 when missing or zero) when missing or zero)</t>
        </is>
      </c>
      <c r="H602" s="3" t="inlineStr">
        <is>
          <t>Use live is nw seeded (or live accounts.length &gt; 0 (or live liabilities.length &gt; 0 — when missing or zero) — when missing or zero).</t>
        </is>
      </c>
      <c r="I602" s="3" t="inlineStr">
        <is>
          <t>READ FROM THE CODE — rendered from the expressions the function runs</t>
        </is>
      </c>
      <c r="J602" s="3" t="inlineStr">
        <is>
          <t>Nothing is handed to it</t>
        </is>
      </c>
      <c r="K602" s="3" t="inlineStr">
        <is>
          <t>NOT DECLARED — the code does not say what it gives back</t>
        </is>
      </c>
      <c r="L602" s="3" t="inlineStr">
        <is>
          <t>NOT FOUND — a screen calls it, but the words printed beside its answer could not be traced automatically. Needs reading.</t>
        </is>
      </c>
      <c r="M602" s="3" t="inlineStr">
        <is>
          <t>None found in this function — anything it assumes comes from the functions it depends on.</t>
        </is>
      </c>
      <c r="N602" s="3" t="inlineStr">
        <is>
          <t>Yes</t>
        </is>
      </c>
      <c r="O602" s="3" t="inlineStr">
        <is>
          <t>1. MK-NW-F-040 assetsFromOnboarding
2. MK-CF-F-038 debtsFromOnboarding
3. MK-XS-F-175 uid</t>
        </is>
      </c>
      <c r="P602" s="3" t="n">
        <v>88</v>
      </c>
      <c r="Q602"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MK-XS-F-122 n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MK-ST-F-053 money
38. MK-CF-F-085 filingStatusOf
39. MK-CF-F-097 grossFromNet
40. MK-CF-F-185 needsTakeHomeConversion
41. MK-CF-F-089 over65CountOf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MK-NW-F-009 maturityClass
79. MK-ST-F-010 nameEvidence
80. MK-CF-F-075 retirementIncomeMonthly
81. MK-ST-F-047 activeCurrency
82. MK-CF-F-099 deductionFor
83. MK-NW-F-011 assetClassOf
84. MK-NW-F-068 prettyDay
85. MK-XS-F-147 call
86. MK-CF-F-187 seniorDeductionFor
87. MK-XS-F-064 currentIdToken
88. MK-XS-F-112 relayUrl</t>
        </is>
      </c>
      <c r="R602" s="3" t="inlineStr">
        <is>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is>
      </c>
      <c r="S602" s="3" t="inlineStr">
        <is>
          <t>—</t>
        </is>
      </c>
      <c r="T602" s="3" t="inlineStr">
        <is>
          <t>NET_WORTH_ROWS</t>
        </is>
      </c>
      <c r="U602" s="3" t="inlineStr">
        <is>
          <t>ACTIVE</t>
        </is>
      </c>
      <c r="V602" s="3" t="inlineStr">
        <is>
          <t>2026-08-27</t>
        </is>
      </c>
      <c r="W602" s="3" t="n"/>
      <c r="X602" s="3" t="n"/>
      <c r="Y602" s="3" t="inlineStr">
        <is>
          <t>NOTHING OPEN</t>
        </is>
      </c>
    </row>
    <row r="603" ht="45" customHeight="1">
      <c r="A603" s="3" t="inlineStr">
        <is>
          <t>MK-XS-F-034</t>
        </is>
      </c>
      <c r="B603" s="3" t="inlineStr">
        <is>
          <t>isLockAvailable</t>
        </is>
      </c>
      <c r="C603" s="3" t="inlineStr">
        <is>
          <t>src/services/appLock.ts</t>
        </is>
      </c>
      <c r="D603" s="3" t="n">
        <v>54</v>
      </c>
      <c r="E603" s="3" t="inlineStr">
        <is>
          <t>2 · DISPLAYED</t>
        </is>
      </c>
      <c r="F603" s="3" t="inlineStr">
        <is>
          <t>True only when the device has biometric hardware AND the user has enrolled a biometric/passcode.</t>
        </is>
      </c>
      <c r="G603" s="11" t="inlineStr">
        <is>
          <t>m = load()
false   when has hardware async is missing
the answer = !!has hw and !!enrolled</t>
        </is>
      </c>
      <c r="H603" s="3" t="inlineStr">
        <is>
          <t>M is load(). When has hardware async is missing, it answers false. The answer is !!has hw and !!enrolled.</t>
        </is>
      </c>
      <c r="I603" s="3" t="inlineStr">
        <is>
          <t>READ FROM THE CODE — rendered from the expressions the function runs</t>
        </is>
      </c>
      <c r="J603" s="3" t="inlineStr">
        <is>
          <t>Nothing is handed to it</t>
        </is>
      </c>
      <c r="K603" s="3" t="inlineStr">
        <is>
          <t>Promise&lt;boolean&gt;</t>
        </is>
      </c>
      <c r="L603" s="3" t="inlineStr">
        <is>
          <t>NOT FOUND — a screen calls it, but the words printed beside its answer could not be traced automatically. Needs reading.</t>
        </is>
      </c>
      <c r="M603" s="3" t="inlineStr">
        <is>
          <t>None found in this function — anything it assumes comes from the functions it depends on.</t>
        </is>
      </c>
      <c r="N603" s="3" t="inlineStr">
        <is>
          <t>Yes</t>
        </is>
      </c>
      <c r="O603" s="3" t="inlineStr">
        <is>
          <t>MK-XS-F-132 load</t>
        </is>
      </c>
      <c r="P603" s="3" t="n">
        <v>1</v>
      </c>
      <c r="Q603" s="3" t="inlineStr">
        <is>
          <t>MK-XS-F-132 load</t>
        </is>
      </c>
      <c r="R603" s="3" t="inlineStr">
        <is>
          <t>MK-XS-F-132 load → MK-XS-F-034 isLockAvailable</t>
        </is>
      </c>
      <c r="S603" s="3" t="inlineStr">
        <is>
          <t>—</t>
        </is>
      </c>
      <c r="T603" s="3" t="inlineStr">
        <is>
          <t>—</t>
        </is>
      </c>
      <c r="U603" s="3" t="inlineStr">
        <is>
          <t>ACTIVE</t>
        </is>
      </c>
      <c r="V603" s="3" t="inlineStr">
        <is>
          <t>2026-08-27</t>
        </is>
      </c>
      <c r="W603" s="3" t="n"/>
      <c r="X603" s="3" t="n"/>
      <c r="Y603" s="3" t="inlineStr">
        <is>
          <t>NOTHING OPEN</t>
        </is>
      </c>
    </row>
    <row r="604" ht="60" customHeight="1">
      <c r="A604" s="3" t="inlineStr">
        <is>
          <t>MK-XS-F-035</t>
        </is>
      </c>
      <c r="B604" s="3" t="inlineStr">
        <is>
          <t>authenticate</t>
        </is>
      </c>
      <c r="C604" s="3" t="inlineStr">
        <is>
          <t>src/services/appLock.ts</t>
        </is>
      </c>
      <c r="D604" s="3" t="n">
        <v>87</v>
      </c>
      <c r="E604" s="3" t="inlineStr">
        <is>
          <t>2 · DISPLAYED</t>
        </is>
      </c>
      <c r="F604" s="3" t="inlineStr">
        <is>
          <t>Prompt for Face ID / Touch ID / device passcode.</t>
        </is>
      </c>
      <c r="G604" s="11" t="inlineStr">
        <is>
          <t>m = load()
false   when authenticate async is missing
res = await authenticate async({ prompt message: reason, disable device fallback: false })
the answer = !!res.success</t>
        </is>
      </c>
      <c r="H604" s="3" t="inlineStr">
        <is>
          <t>M is load(). When authenticate async is missing, it answers false. Res is await authenticate async({ prompt message: reason, disable device fallback: false }). The answer is !!res.success.</t>
        </is>
      </c>
      <c r="I604" s="3" t="inlineStr">
        <is>
          <t>READ FROM THE CODE — rendered from the expressions the function runs</t>
        </is>
      </c>
      <c r="J604" s="3" t="inlineStr">
        <is>
          <t>reason = 'Unlock MoneyKeel'</t>
        </is>
      </c>
      <c r="K604" s="3" t="inlineStr">
        <is>
          <t>Promise&lt;boolean&gt;</t>
        </is>
      </c>
      <c r="L604" s="3" t="inlineStr">
        <is>
          <t>NOT FOUND — a screen calls it, but the words printed beside its answer could not be traced automatically. Needs reading.</t>
        </is>
      </c>
      <c r="M604" s="3" t="inlineStr">
        <is>
          <t>None found in this function — anything it assumes comes from the functions it depends on.</t>
        </is>
      </c>
      <c r="N604" s="3" t="inlineStr">
        <is>
          <t>Yes</t>
        </is>
      </c>
      <c r="O604" s="3" t="inlineStr">
        <is>
          <t>MK-XS-F-132 load</t>
        </is>
      </c>
      <c r="P604" s="3" t="n">
        <v>1</v>
      </c>
      <c r="Q604" s="3" t="inlineStr">
        <is>
          <t>MK-XS-F-132 load</t>
        </is>
      </c>
      <c r="R604" s="3" t="inlineStr">
        <is>
          <t>MK-XS-F-132 load → MK-XS-F-035 authenticate</t>
        </is>
      </c>
      <c r="S604" s="3" t="inlineStr">
        <is>
          <t>—</t>
        </is>
      </c>
      <c r="T604" s="3" t="inlineStr">
        <is>
          <t>—</t>
        </is>
      </c>
      <c r="U604" s="3" t="inlineStr">
        <is>
          <t>ACTIVE</t>
        </is>
      </c>
      <c r="V604" s="3" t="inlineStr">
        <is>
          <t>2026-08-27</t>
        </is>
      </c>
      <c r="W604" s="3" t="n"/>
      <c r="X604" s="3" t="n"/>
      <c r="Y604" s="3" t="inlineStr">
        <is>
          <t>NOTHING OPEN</t>
        </is>
      </c>
    </row>
    <row r="605" ht="60" customHeight="1">
      <c r="A605" s="3" t="inlineStr">
        <is>
          <t>MK-XS-F-036</t>
        </is>
      </c>
      <c r="B605" s="3" t="inlineStr">
        <is>
          <t>initCrashReporting</t>
        </is>
      </c>
      <c r="C605" s="3" t="inlineStr">
        <is>
          <t>src/services/crashReporter.ts</t>
        </is>
      </c>
      <c r="D605" s="3" t="n">
        <v>57</v>
      </c>
      <c r="E605" s="3" t="inlineStr">
        <is>
          <t>1 · ACTION</t>
        </is>
      </c>
      <c r="F605" s="3" t="inlineStr">
        <is>
          <t>Initialise crash reporting once, at app start.</t>
        </is>
      </c>
      <c r="G605" s="11" t="inlineStr">
        <is>
          <t>dsn = (constants.expo config.extra as any).SENTRY_DSN (or process.env.SENTRY_DSN (or '' when missing or zero) when missing or zero)
s = load sentry()</t>
        </is>
      </c>
      <c r="H605" s="3" t="inlineStr">
        <is>
          <t>Dsn is (constants.expo config.extra as any).SENTRY_DSN (or process.env.SENTRY_DSN (or '' — when missing or zero) — when missing or zero). S is load sentry().</t>
        </is>
      </c>
      <c r="I605" s="3" t="inlineStr">
        <is>
          <t>PARTLY READ — some of the code is still showing through; needs a hand pass</t>
        </is>
      </c>
      <c r="J605" s="3" t="inlineStr">
        <is>
          <t>Nothing is handed to it</t>
        </is>
      </c>
      <c r="K605" s="3" t="inlineStr">
        <is>
          <t>void</t>
        </is>
      </c>
      <c r="L605" s="3" t="inlineStr">
        <is>
          <t>—</t>
        </is>
      </c>
      <c r="M605" s="3" t="inlineStr">
        <is>
          <t>None found in this function — anything it assumes comes from the functions it depends on.</t>
        </is>
      </c>
      <c r="N605" s="3" t="inlineStr">
        <is>
          <t>Yes</t>
        </is>
      </c>
      <c r="O605" s="3" t="inlineStr">
        <is>
          <t>1. MK-XS-F-037 captureException
2. MK-XS-F-134 installGlobalHandler
3. MK-XS-F-133 loadSentry</t>
        </is>
      </c>
      <c r="P605" s="3" t="n">
        <v>3</v>
      </c>
      <c r="Q605" s="3" t="inlineStr">
        <is>
          <t>1. MK-XS-F-037 captureException
2. MK-XS-F-134 installGlobalHandler
3. MK-XS-F-133 loadSentry</t>
        </is>
      </c>
      <c r="R605" s="3" t="inlineStr">
        <is>
          <t>1. MK-XS-F-037 captureException → MK-XS-F-036 initCrashReporting
2. MK-XS-F-037 captureException → MK-XS-F-134 installGlobalHandler → MK-XS-F-036 initCrashReporting
3. MK-XS-F-133 loadSentry → MK-XS-F-036 initCrashReporting</t>
        </is>
      </c>
      <c r="S605" s="3" t="inlineStr">
        <is>
          <t>—</t>
        </is>
      </c>
      <c r="T605" s="3" t="inlineStr">
        <is>
          <t>—</t>
        </is>
      </c>
      <c r="U605" s="3" t="inlineStr">
        <is>
          <t>ACTIVE</t>
        </is>
      </c>
      <c r="V605" s="3" t="inlineStr">
        <is>
          <t>2026-08-27</t>
        </is>
      </c>
      <c r="W605" s="3" t="n"/>
      <c r="X605" s="3" t="n"/>
      <c r="Y605" s="3" t="inlineStr">
        <is>
          <t>NOTHING OPEN</t>
        </is>
      </c>
    </row>
    <row r="606" ht="30" customHeight="1">
      <c r="A606" s="3" t="inlineStr">
        <is>
          <t>MK-XS-F-037</t>
        </is>
      </c>
      <c r="B606" s="3" t="inlineStr">
        <is>
          <t>captureException</t>
        </is>
      </c>
      <c r="C606" s="3" t="inlineStr">
        <is>
          <t>src/services/crashReporter.ts</t>
        </is>
      </c>
      <c r="D606" s="3" t="n">
        <v>126</v>
      </c>
      <c r="E606" s="3" t="inlineStr">
        <is>
          <t>1 · ACTION</t>
        </is>
      </c>
      <c r="F606" s="3" t="inlineStr">
        <is>
          <t>Report a caught error.</t>
        </is>
      </c>
      <c r="G606" s="11" t="inlineStr">
        <is>
          <t>It records or announces something and returns no figure — no arithmetic of its own.</t>
        </is>
      </c>
      <c r="H606" s="3" t="inlineStr">
        <is>
          <t>It records or announces something and returns no figure — no arithmetic of its own.</t>
        </is>
      </c>
      <c r="I606" s="3" t="inlineStr">
        <is>
          <t>NO ARITHMETIC — there is no formula to state</t>
        </is>
      </c>
      <c r="J606" s="3" t="inlineStr">
        <is>
          <t>1. error: unknown
2. extra?: Extra</t>
        </is>
      </c>
      <c r="K606" s="3" t="inlineStr">
        <is>
          <t>void</t>
        </is>
      </c>
      <c r="L606" s="3" t="inlineStr">
        <is>
          <t>—</t>
        </is>
      </c>
      <c r="M606" s="3" t="inlineStr">
        <is>
          <t>None found in this function — anything it assumes comes from the functions it depends on.</t>
        </is>
      </c>
      <c r="N606" s="3" t="inlineStr">
        <is>
          <t>Yes</t>
        </is>
      </c>
      <c r="O606" s="3" t="inlineStr">
        <is>
          <t>—</t>
        </is>
      </c>
      <c r="P606" s="3" t="n">
        <v>0</v>
      </c>
      <c r="Q606" s="3" t="inlineStr">
        <is>
          <t>None — no dependent function stands behind it</t>
        </is>
      </c>
      <c r="R606" s="3" t="inlineStr">
        <is>
          <t>No dependent function — it reads its inputs and answers</t>
        </is>
      </c>
      <c r="S606" s="3" t="inlineStr">
        <is>
          <t>—</t>
        </is>
      </c>
      <c r="T606" s="3" t="inlineStr">
        <is>
          <t>—</t>
        </is>
      </c>
      <c r="U606" s="3" t="inlineStr">
        <is>
          <t>ACTIVE</t>
        </is>
      </c>
      <c r="V606" s="3" t="inlineStr">
        <is>
          <t>2026-08-27</t>
        </is>
      </c>
      <c r="W606" s="3" t="n"/>
      <c r="X606" s="3" t="n"/>
      <c r="Y606" s="3" t="inlineStr">
        <is>
          <t>NOTHING OPEN</t>
        </is>
      </c>
    </row>
    <row r="607" ht="30" customHeight="1">
      <c r="A607" s="3" t="inlineStr">
        <is>
          <t>MK-XS-F-038</t>
        </is>
      </c>
      <c r="B607" s="3" t="inlineStr">
        <is>
          <t>setUserScope</t>
        </is>
      </c>
      <c r="C607" s="3" t="inlineStr">
        <is>
          <t>src/services/crashReporter.ts</t>
        </is>
      </c>
      <c r="D607" s="3" t="n">
        <v>154</v>
      </c>
      <c r="E607" s="3" t="inlineStr">
        <is>
          <t>1 · ACTION</t>
        </is>
      </c>
      <c r="F607" s="3" t="inlineStr">
        <is>
          <t>Tag the current user on reports (call after login; pass null on logout).</t>
        </is>
      </c>
      <c r="G607" s="11" t="inlineStr">
        <is>
          <t>It records or announces something and returns no figure — no arithmetic of its own.</t>
        </is>
      </c>
      <c r="H607" s="3" t="inlineStr">
        <is>
          <t>It records or announces something and returns no figure — no arithmetic of its own.</t>
        </is>
      </c>
      <c r="I607" s="3" t="inlineStr">
        <is>
          <t>NO ARITHMETIC — there is no formula to state</t>
        </is>
      </c>
      <c r="J607" s="3" t="inlineStr">
        <is>
          <t>uid: string | null</t>
        </is>
      </c>
      <c r="K607" s="3" t="inlineStr">
        <is>
          <t>void</t>
        </is>
      </c>
      <c r="L607" s="3" t="inlineStr">
        <is>
          <t>—</t>
        </is>
      </c>
      <c r="M607" s="3" t="inlineStr">
        <is>
          <t>None found in this function — anything it assumes comes from the functions it depends on.</t>
        </is>
      </c>
      <c r="N607" s="3" t="inlineStr">
        <is>
          <t>Yes</t>
        </is>
      </c>
      <c r="O607" s="3" t="inlineStr">
        <is>
          <t>—</t>
        </is>
      </c>
      <c r="P607" s="3" t="n">
        <v>0</v>
      </c>
      <c r="Q607" s="3" t="inlineStr">
        <is>
          <t>None — no dependent function stands behind it</t>
        </is>
      </c>
      <c r="R607" s="3" t="inlineStr">
        <is>
          <t>No dependent function — it reads its inputs and answers</t>
        </is>
      </c>
      <c r="S607" s="3" t="inlineStr">
        <is>
          <t>—</t>
        </is>
      </c>
      <c r="T607" s="3" t="inlineStr">
        <is>
          <t>—</t>
        </is>
      </c>
      <c r="U607" s="3" t="inlineStr">
        <is>
          <t>ACTIVE</t>
        </is>
      </c>
      <c r="V607" s="3" t="inlineStr">
        <is>
          <t>2026-08-27</t>
        </is>
      </c>
      <c r="W607" s="3" t="n"/>
      <c r="X607" s="3" t="n"/>
      <c r="Y607" s="3" t="inlineStr">
        <is>
          <t>NOTHING OPEN</t>
        </is>
      </c>
    </row>
    <row r="608" ht="45" customHeight="1">
      <c r="A608" s="3" t="inlineStr">
        <is>
          <t>MK-XS-F-039</t>
        </is>
      </c>
      <c r="B608" s="3" t="inlineStr">
        <is>
          <t>crashReportingEnabled</t>
        </is>
      </c>
      <c r="C608" s="3" t="inlineStr">
        <is>
          <t>src/services/crashReporter.ts</t>
        </is>
      </c>
      <c r="D608" s="3" t="n">
        <v>180</v>
      </c>
      <c r="E608" s="3" t="inlineStr">
        <is>
          <t>3 · DEPENDENT (feeds an action only)</t>
        </is>
      </c>
      <c r="F608" s="3" t="inlineStr">
        <is>
          <t>Whether reports are actually shipping to Sentry (DSN + SDK present).</t>
        </is>
      </c>
      <c r="G608" s="11" t="inlineStr">
        <is>
          <t>enabled</t>
        </is>
      </c>
      <c r="H608" s="3" t="inlineStr">
        <is>
          <t>enabled.</t>
        </is>
      </c>
      <c r="I608" s="3" t="inlineStr">
        <is>
          <t>READ FROM THE CODE — rendered from the expressions the function runs</t>
        </is>
      </c>
      <c r="J608" s="3" t="inlineStr">
        <is>
          <t>Nothing is handed to it</t>
        </is>
      </c>
      <c r="K608" s="3" t="inlineStr">
        <is>
          <t>boolean</t>
        </is>
      </c>
      <c r="L608" s="3" t="inlineStr">
        <is>
          <t>—</t>
        </is>
      </c>
      <c r="M608" s="3" t="inlineStr">
        <is>
          <t>None found in this function — anything it assumes comes from the functions it depends on.</t>
        </is>
      </c>
      <c r="N608" s="3" t="inlineStr">
        <is>
          <t>No</t>
        </is>
      </c>
      <c r="O608" s="3" t="inlineStr">
        <is>
          <t>—</t>
        </is>
      </c>
      <c r="P608" s="3" t="n">
        <v>0</v>
      </c>
      <c r="Q608" s="3" t="inlineStr">
        <is>
          <t>None — no dependent function stands behind it</t>
        </is>
      </c>
      <c r="R608" s="3" t="inlineStr">
        <is>
          <t>No dependent function — it reads its inputs and answers</t>
        </is>
      </c>
      <c r="S608" s="3" t="inlineStr">
        <is>
          <t>—</t>
        </is>
      </c>
      <c r="T608" s="3" t="inlineStr">
        <is>
          <t>—</t>
        </is>
      </c>
      <c r="U608" s="3" t="inlineStr">
        <is>
          <t>ACTIVE</t>
        </is>
      </c>
      <c r="V608" s="3" t="inlineStr">
        <is>
          <t>2026-08-27</t>
        </is>
      </c>
      <c r="W608" s="3" t="n"/>
      <c r="X608" s="3" t="n"/>
      <c r="Y608" s="3" t="inlineStr">
        <is>
          <t>NOTHING OPEN</t>
        </is>
      </c>
    </row>
    <row r="609" ht="60" customHeight="1">
      <c r="A609" s="3" t="inlineStr">
        <is>
          <t>MK-XS-F-040</t>
        </is>
      </c>
      <c r="B609" s="3" t="inlineStr">
        <is>
          <t>sendTestReport</t>
        </is>
      </c>
      <c r="C609" s="3" t="inlineStr">
        <is>
          <t>src/services/crashReporter.ts</t>
        </is>
      </c>
      <c r="D609" s="3" t="n">
        <v>202</v>
      </c>
      <c r="E609" s="3" t="inlineStr">
        <is>
          <t>2 · DISPLAYED</t>
        </is>
      </c>
      <c r="F609" s="3" t="inlineStr">
        <is>
          <t>B-L2 verification: send a harmless test event so you can confirm wiring in the Sentry dashboard (works on the production/TestFlight build).</t>
        </is>
      </c>
      <c r="G609" s="11" t="inlineStr">
        <is>
          <t>enabled</t>
        </is>
      </c>
      <c r="H609" s="3" t="inlineStr">
        <is>
          <t>enabled.</t>
        </is>
      </c>
      <c r="I609" s="3" t="inlineStr">
        <is>
          <t>READ FROM THE CODE — rendered from the expressions the function runs</t>
        </is>
      </c>
      <c r="J609" s="3" t="inlineStr">
        <is>
          <t>Nothing is handed to it</t>
        </is>
      </c>
      <c r="K609" s="3" t="inlineStr">
        <is>
          <t>boolean</t>
        </is>
      </c>
      <c r="L609" s="3" t="inlineStr">
        <is>
          <t>"Hide balances" — on the Settings screen, under "Security"</t>
        </is>
      </c>
      <c r="M609" s="3" t="inlineStr">
        <is>
          <t>None found in this function — anything it assumes comes from the functions it depends on.</t>
        </is>
      </c>
      <c r="N609" s="3" t="inlineStr">
        <is>
          <t>Yes</t>
        </is>
      </c>
      <c r="O609" s="3" t="inlineStr">
        <is>
          <t>MK-XS-F-037 captureException</t>
        </is>
      </c>
      <c r="P609" s="3" t="n">
        <v>1</v>
      </c>
      <c r="Q609" s="3" t="inlineStr">
        <is>
          <t>MK-XS-F-037 captureException</t>
        </is>
      </c>
      <c r="R609" s="3" t="inlineStr">
        <is>
          <t>MK-XS-F-037 captureException → MK-XS-F-040 sendTestReport</t>
        </is>
      </c>
      <c r="S609" s="3" t="inlineStr">
        <is>
          <t>—</t>
        </is>
      </c>
      <c r="T609" s="3" t="inlineStr">
        <is>
          <t>—</t>
        </is>
      </c>
      <c r="U609" s="3" t="inlineStr">
        <is>
          <t>ACTIVE</t>
        </is>
      </c>
      <c r="V609" s="3" t="inlineStr">
        <is>
          <t>2026-08-27</t>
        </is>
      </c>
      <c r="W609" s="3" t="n"/>
      <c r="X609" s="3" t="n"/>
      <c r="Y609" s="3" t="inlineStr">
        <is>
          <t>NOTHING OPEN</t>
        </is>
      </c>
    </row>
    <row r="610" ht="45" customHeight="1">
      <c r="A610" s="3" t="inlineStr">
        <is>
          <t>MK-XS-F-041</t>
        </is>
      </c>
      <c r="B610" s="3" t="inlineStr">
        <is>
          <t>cacheDataKey</t>
        </is>
      </c>
      <c r="C610" s="3" t="inlineStr">
        <is>
          <t>src/services/dataCrypto.ts</t>
        </is>
      </c>
      <c r="D610" s="3" t="n">
        <v>122</v>
      </c>
      <c r="E610" s="3" t="inlineStr">
        <is>
          <t>1 · ACTION</t>
        </is>
      </c>
      <c r="F610" s="3" t="inlineStr">
        <is>
          <t>── DEK lifecycle (the cached, unwrapped key the sync layer uses) ───── Cache the unwrapped DEK (memory + keychain).</t>
        </is>
      </c>
      <c r="G610" s="11" t="inlineStr">
        <is>
          <t>keeps the data-encryption key in memory and in the device's secure store</t>
        </is>
      </c>
      <c r="H610" s="3" t="inlineStr">
        <is>
          <t>Stores the data-encryption key in memory and in the secure keychain. Not a calculation.</t>
        </is>
      </c>
      <c r="I610" s="3" t="inlineStr">
        <is>
          <t>READ BY HAND 2026-08-26 — checked line by line against the code</t>
        </is>
      </c>
      <c r="J610" s="3" t="inlineStr">
        <is>
          <t>dek: string</t>
        </is>
      </c>
      <c r="K610" s="3" t="inlineStr">
        <is>
          <t>Promise&lt;void&gt;</t>
        </is>
      </c>
      <c r="L610" s="3" t="inlineStr">
        <is>
          <t>—</t>
        </is>
      </c>
      <c r="M610" s="3" t="inlineStr">
        <is>
          <t>None found in this function — anything it assumes comes from the functions it depends on.</t>
        </is>
      </c>
      <c r="N610" s="3" t="inlineStr">
        <is>
          <t>Yes</t>
        </is>
      </c>
      <c r="O610" s="3" t="inlineStr">
        <is>
          <t>MK-XS-F-136 secureSet</t>
        </is>
      </c>
      <c r="P610" s="3" t="n">
        <v>1</v>
      </c>
      <c r="Q610" s="3" t="inlineStr">
        <is>
          <t>MK-XS-F-136 secureSet</t>
        </is>
      </c>
      <c r="R610" s="3" t="inlineStr">
        <is>
          <t>MK-XS-F-136 secureSet → MK-XS-F-041 cacheDataKey</t>
        </is>
      </c>
      <c r="S610" s="3" t="inlineStr">
        <is>
          <t>—</t>
        </is>
      </c>
      <c r="T610" s="3" t="inlineStr">
        <is>
          <t>—</t>
        </is>
      </c>
      <c r="U610" s="3" t="inlineStr">
        <is>
          <t>ACTIVE</t>
        </is>
      </c>
      <c r="V610" s="3" t="inlineStr">
        <is>
          <t>2026-09-12</t>
        </is>
      </c>
      <c r="W610" s="3" t="n"/>
      <c r="X610" s="3" t="n"/>
      <c r="Y610" s="3" t="inlineStr">
        <is>
          <t>NOTHING OPEN</t>
        </is>
      </c>
    </row>
    <row r="611" ht="45" customHeight="1">
      <c r="A611" s="3" t="inlineStr">
        <is>
          <t>MK-XS-F-042</t>
        </is>
      </c>
      <c r="B611" s="3" t="inlineStr">
        <is>
          <t>getDataKey</t>
        </is>
      </c>
      <c r="C611" s="3" t="inlineStr">
        <is>
          <t>src/services/dataCrypto.ts</t>
        </is>
      </c>
      <c r="D611" s="3" t="n">
        <v>150</v>
      </c>
      <c r="E611" s="3" t="inlineStr">
        <is>
          <t>3 · DEPENDENT</t>
        </is>
      </c>
      <c r="F611" s="3" t="inlineStr">
        <is>
          <t>The cached DEK (memory → keychain), or null if it hasn't been unwrapped on this install yet.</t>
        </is>
      </c>
      <c r="G611" s="11" t="inlineStr">
        <is>
          <t>cached key   when cached key
cached key</t>
        </is>
      </c>
      <c r="H611" s="3" t="inlineStr">
        <is>
          <t>When cached key, it answers cached key. cached key.</t>
        </is>
      </c>
      <c r="I611" s="3" t="inlineStr">
        <is>
          <t>READ FROM THE CODE — rendered from the expressions the function runs</t>
        </is>
      </c>
      <c r="J611" s="3" t="inlineStr">
        <is>
          <t>Nothing is handed to it</t>
        </is>
      </c>
      <c r="K611" s="3" t="inlineStr">
        <is>
          <t>Promise&lt;string | null&gt;</t>
        </is>
      </c>
      <c r="L611" s="3" t="inlineStr">
        <is>
          <t>—</t>
        </is>
      </c>
      <c r="M611" s="3" t="inlineStr">
        <is>
          <t>None found in this function — anything it assumes comes from the functions it depends on.</t>
        </is>
      </c>
      <c r="N611" s="3" t="inlineStr">
        <is>
          <t>Yes</t>
        </is>
      </c>
      <c r="O611" s="3" t="inlineStr">
        <is>
          <t>MK-XS-F-135 secureGet</t>
        </is>
      </c>
      <c r="P611" s="3" t="n">
        <v>1</v>
      </c>
      <c r="Q611" s="3" t="inlineStr">
        <is>
          <t>MK-XS-F-135 secureGet</t>
        </is>
      </c>
      <c r="R611" s="3" t="inlineStr">
        <is>
          <t>MK-XS-F-135 secureGet → MK-XS-F-042 getDataKey</t>
        </is>
      </c>
      <c r="S611" s="3" t="inlineStr">
        <is>
          <t>—</t>
        </is>
      </c>
      <c r="T611" s="3" t="inlineStr">
        <is>
          <t>—</t>
        </is>
      </c>
      <c r="U611" s="3" t="inlineStr">
        <is>
          <t>ACTIVE</t>
        </is>
      </c>
      <c r="V611" s="3" t="inlineStr">
        <is>
          <t>2026-08-27</t>
        </is>
      </c>
      <c r="W611" s="3" t="n"/>
      <c r="X611" s="3" t="n"/>
      <c r="Y611" s="3" t="inlineStr">
        <is>
          <t>NOTHING OPEN</t>
        </is>
      </c>
    </row>
    <row r="612" ht="45" customHeight="1">
      <c r="A612" s="3" t="inlineStr">
        <is>
          <t>MK-XS-F-043</t>
        </is>
      </c>
      <c r="B612" s="3" t="inlineStr">
        <is>
          <t>clearDataKey</t>
        </is>
      </c>
      <c r="C612" s="3" t="inlineStr">
        <is>
          <t>src/services/dataCrypto.ts</t>
        </is>
      </c>
      <c r="D612" s="3" t="n">
        <v>174</v>
      </c>
      <c r="E612" s="3" t="inlineStr">
        <is>
          <t>1 · ACTION</t>
        </is>
      </c>
      <c r="F612" s="3" t="inlineStr">
        <is>
          <t>Forget the DEK (on logout / account deletion).</t>
        </is>
      </c>
      <c r="G612" s="11" t="inlineStr">
        <is>
          <t>forgets the data-encryption key in memory and in the secure store</t>
        </is>
      </c>
      <c r="H612" s="3" t="inlineStr">
        <is>
          <t>Removes the data-encryption key from memory and the secure keychain — done at sign-out. Not a calculation.</t>
        </is>
      </c>
      <c r="I612" s="3" t="inlineStr">
        <is>
          <t>READ BY HAND 2026-08-26 — checked line by line against the code</t>
        </is>
      </c>
      <c r="J612" s="3" t="inlineStr">
        <is>
          <t>Nothing is handed to it</t>
        </is>
      </c>
      <c r="K612" s="3" t="inlineStr">
        <is>
          <t>Promise&lt;void&gt;</t>
        </is>
      </c>
      <c r="L612" s="3" t="inlineStr">
        <is>
          <t>—</t>
        </is>
      </c>
      <c r="M612" s="3" t="inlineStr">
        <is>
          <t>None found in this function — anything it assumes comes from the functions it depends on.</t>
        </is>
      </c>
      <c r="N612" s="3" t="inlineStr">
        <is>
          <t>Yes</t>
        </is>
      </c>
      <c r="O612" s="3" t="inlineStr">
        <is>
          <t>MK-XS-F-137 secureDelete</t>
        </is>
      </c>
      <c r="P612" s="3" t="n">
        <v>1</v>
      </c>
      <c r="Q612" s="3" t="inlineStr">
        <is>
          <t>MK-XS-F-137 secureDelete</t>
        </is>
      </c>
      <c r="R612" s="3" t="inlineStr">
        <is>
          <t>MK-XS-F-137 secureDelete → MK-XS-F-043 clearDataKey</t>
        </is>
      </c>
      <c r="S612" s="3" t="inlineStr">
        <is>
          <t>—</t>
        </is>
      </c>
      <c r="T612" s="3" t="inlineStr">
        <is>
          <t>—</t>
        </is>
      </c>
      <c r="U612" s="3" t="inlineStr">
        <is>
          <t>ACTIVE</t>
        </is>
      </c>
      <c r="V612" s="3" t="inlineStr">
        <is>
          <t>2026-09-12</t>
        </is>
      </c>
      <c r="W612" s="3" t="n"/>
      <c r="X612" s="3" t="n"/>
      <c r="Y612" s="3" t="inlineStr">
        <is>
          <t>NOTHING OPEN</t>
        </is>
      </c>
    </row>
    <row r="613" ht="45" customHeight="1">
      <c r="A613" s="3" t="inlineStr">
        <is>
          <t>MK-XS-F-044</t>
        </is>
      </c>
      <c r="B613" s="3" t="inlineStr">
        <is>
          <t>generateDataKey</t>
        </is>
      </c>
      <c r="C613" s="3" t="inlineStr">
        <is>
          <t>src/services/dataCrypto.ts</t>
        </is>
      </c>
      <c r="D613" s="3" t="n">
        <v>199</v>
      </c>
      <c r="E613" s="3" t="inlineStr">
        <is>
          <t>3 · DEPENDENT</t>
        </is>
      </c>
      <c r="F613" s="3" t="inlineStr">
        <is>
          <t>── Key generation ─────────────────────────────────────────────────── A fresh random 256-bit data key (hex).</t>
        </is>
      </c>
      <c r="G613" s="11" t="inlineStr">
        <is>
          <t>crypto js.lib.word array.random(32).to string(crypto js.enc.hex)</t>
        </is>
      </c>
      <c r="H613" s="3" t="inlineStr">
        <is>
          <t>crypto js.lib.word array.random(32).to string(crypto js.enc.hex).</t>
        </is>
      </c>
      <c r="I613" s="3" t="inlineStr">
        <is>
          <t>PARTLY READ — some of the code is still showing through; needs a hand pass</t>
        </is>
      </c>
      <c r="J613" s="3" t="inlineStr">
        <is>
          <t>Nothing is handed to it</t>
        </is>
      </c>
      <c r="K613" s="3" t="inlineStr">
        <is>
          <t>string</t>
        </is>
      </c>
      <c r="L613" s="3" t="inlineStr">
        <is>
          <t>—</t>
        </is>
      </c>
      <c r="M613" s="3" t="inlineStr">
        <is>
          <t>None found in this function — anything it assumes comes from the functions it depends on.</t>
        </is>
      </c>
      <c r="N613" s="3" t="inlineStr">
        <is>
          <t>Yes</t>
        </is>
      </c>
      <c r="O613" s="3" t="inlineStr">
        <is>
          <t>—</t>
        </is>
      </c>
      <c r="P613" s="3" t="n">
        <v>0</v>
      </c>
      <c r="Q613" s="3" t="inlineStr">
        <is>
          <t>None — no dependent function stands behind it</t>
        </is>
      </c>
      <c r="R613" s="3" t="inlineStr">
        <is>
          <t>No dependent function — it reads its inputs and answers</t>
        </is>
      </c>
      <c r="S613" s="3" t="inlineStr">
        <is>
          <t>—</t>
        </is>
      </c>
      <c r="T613" s="3" t="inlineStr">
        <is>
          <t>—</t>
        </is>
      </c>
      <c r="U613" s="3" t="inlineStr">
        <is>
          <t>ACTIVE</t>
        </is>
      </c>
      <c r="V613" s="3" t="inlineStr">
        <is>
          <t>2026-08-27</t>
        </is>
      </c>
      <c r="W613" s="3" t="n"/>
      <c r="X613" s="3" t="n"/>
      <c r="Y613" s="3" t="inlineStr">
        <is>
          <t>NOTHING OPEN</t>
        </is>
      </c>
    </row>
    <row r="614" ht="60" customHeight="1">
      <c r="A614" s="3" t="inlineStr">
        <is>
          <t>MK-XS-F-045</t>
        </is>
      </c>
      <c r="B614" s="3" t="inlineStr">
        <is>
          <t>generateRecoveryCode</t>
        </is>
      </c>
      <c r="C614" s="3" t="inlineStr">
        <is>
          <t>src/services/dataCrypto.ts</t>
        </is>
      </c>
      <c r="D614" s="3" t="n">
        <v>227</v>
      </c>
      <c r="E614" s="3" t="inlineStr">
        <is>
          <t>3 · DEPENDENT</t>
        </is>
      </c>
      <c r="F614" s="3" t="inlineStr">
        <is>
          <t>A human-friendly recovery code, e.g.</t>
        </is>
      </c>
      <c r="G614" s="11" t="inlineStr">
        <is>
          <t>bytes = crypto js.lib.word array.random(20)
words = bytes.words
out = ''
byte = (words[i &gt;&gt;&gt; 2] &gt;&gt;&gt; (24 − (i % 4) × 8)) &amp; 0xff
the answer = (out.match( ÷ .{1,4} ÷ g) as string[]).join('-')</t>
        </is>
      </c>
      <c r="H614" s="3" t="inlineStr">
        <is>
          <t>Bytes is crypto js.lib.word array.random(20). Words is bytes.words. Out is ''. Byte is (words[i &gt;&gt;&gt; 2] &gt;&gt;&gt; (24 minus (i % 4) times 8)) &amp; 0xff. The answer is (out.match( divided by .{1,4} divided by g) as string[]).join('-').</t>
        </is>
      </c>
      <c r="I614" s="3" t="inlineStr">
        <is>
          <t>PARTLY READ — some of the code is still showing through; needs a hand pass</t>
        </is>
      </c>
      <c r="J614" s="3" t="inlineStr">
        <is>
          <t>Nothing is handed to it</t>
        </is>
      </c>
      <c r="K614" s="3" t="inlineStr">
        <is>
          <t>string</t>
        </is>
      </c>
      <c r="L614" s="3" t="inlineStr">
        <is>
          <t>—</t>
        </is>
      </c>
      <c r="M614" s="3" t="inlineStr">
        <is>
          <t>None found in this function — anything it assumes comes from the functions it depends on.</t>
        </is>
      </c>
      <c r="N614" s="3" t="inlineStr">
        <is>
          <t>Yes</t>
        </is>
      </c>
      <c r="O614" s="3" t="inlineStr">
        <is>
          <t>—</t>
        </is>
      </c>
      <c r="P614" s="3" t="n">
        <v>0</v>
      </c>
      <c r="Q614" s="3" t="inlineStr">
        <is>
          <t>None — no dependent function stands behind it</t>
        </is>
      </c>
      <c r="R614" s="3" t="inlineStr">
        <is>
          <t>No dependent function — it reads its inputs and answers</t>
        </is>
      </c>
      <c r="S614" s="3" t="inlineStr">
        <is>
          <t>—</t>
        </is>
      </c>
      <c r="T614" s="3" t="inlineStr">
        <is>
          <t>—</t>
        </is>
      </c>
      <c r="U614" s="3" t="inlineStr">
        <is>
          <t>ACTIVE</t>
        </is>
      </c>
      <c r="V614" s="3" t="inlineStr">
        <is>
          <t>2026-08-27</t>
        </is>
      </c>
      <c r="W614" s="3" t="n"/>
      <c r="X614" s="3" t="n"/>
      <c r="Y614" s="3" t="inlineStr">
        <is>
          <t>NOTHING OPEN</t>
        </is>
      </c>
    </row>
    <row r="615" ht="60" customHeight="1">
      <c r="A615" s="3" t="inlineStr">
        <is>
          <t>MK-XS-F-046</t>
        </is>
      </c>
      <c r="B615" s="3" t="inlineStr">
        <is>
          <t>makeEnvelope</t>
        </is>
      </c>
      <c r="C615" s="3" t="inlineStr">
        <is>
          <t>src/services/dataCrypto.ts</t>
        </is>
      </c>
      <c r="D615" s="3" t="n">
        <v>310</v>
      </c>
      <c r="E615" s="3" t="inlineStr">
        <is>
          <t>3 · DEPENDENT</t>
        </is>
      </c>
      <c r="F615" s="3" t="inlineStr">
        <is>
          <t>Build the stored envelope: the DEK locked by both the password and the recovery code.</t>
        </is>
      </c>
      <c r="G615" s="11" t="inlineStr">
        <is>
          <t>p = wrap with secret(dek, uid, password)
r = wrap with secret(dek, uid, recovery code)</t>
        </is>
      </c>
      <c r="H615" s="3" t="inlineStr">
        <is>
          <t>p = wrap with secret(dek, uid, password); r = wrap with secret(dek, uid, recovery code).</t>
        </is>
      </c>
      <c r="I615" s="3" t="inlineStr">
        <is>
          <t>READ FROM THE CODE — rendered from the expressions the function runs</t>
        </is>
      </c>
      <c r="J615" s="3" t="inlineStr">
        <is>
          <t>1. dek: string
2. uid: string
3. password: string
4. recoveryCode: string</t>
        </is>
      </c>
      <c r="K615" s="3" t="inlineStr">
        <is>
          <t>KeyEnvelope</t>
        </is>
      </c>
      <c r="L615" s="3" t="inlineStr">
        <is>
          <t>—</t>
        </is>
      </c>
      <c r="M615" s="3" t="inlineStr">
        <is>
          <t>None found in this function — anything it assumes comes from the functions it depends on.</t>
        </is>
      </c>
      <c r="N615" s="3" t="inlineStr">
        <is>
          <t>Yes</t>
        </is>
      </c>
      <c r="O615" s="3" t="inlineStr">
        <is>
          <t>1. MK-XS-F-175 uid
2. MK-XS-F-139 wrapWithSecret</t>
        </is>
      </c>
      <c r="P615" s="3" t="n">
        <v>91</v>
      </c>
      <c r="Q615"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MK-CF-F-072 currentRetirementIncomeMonthly
78. MK-ST-F-048 currencySymbol
79. MK-CF-F-100 taxableIncomeFor
80. MK-ST-F-034 firstDate
81. MK-NW-F-009 maturityClass
82. MK-ST-F-010 nameEvidence
83. MK-CF-F-075 retirementIncomeMonthly
84. MK-ST-F-047 activeCurrency
85. MK-CF-F-099 deductionFor
86. MK-NW-F-011 assetClassOf
87. MK-NW-F-068 prettyDay
88. MK-XS-F-147 call
89. MK-CF-F-187 seniorDeductionFor
90. MK-XS-F-064 currentIdToken
91. MK-XS-F-112 relayUrl</t>
        </is>
      </c>
      <c r="R615" s="3" t="inlineStr">
        <is>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is>
      </c>
      <c r="S615" s="3" t="inlineStr">
        <is>
          <t>—</t>
        </is>
      </c>
      <c r="T615" s="3" t="inlineStr">
        <is>
          <t>—</t>
        </is>
      </c>
      <c r="U615" s="3" t="inlineStr">
        <is>
          <t>ACTIVE</t>
        </is>
      </c>
      <c r="V615" s="3" t="inlineStr">
        <is>
          <t>2026-08-27</t>
        </is>
      </c>
      <c r="W615" s="3" t="n"/>
      <c r="X615" s="3" t="n"/>
      <c r="Y615" s="3" t="inlineStr">
        <is>
          <t>NOTHING OPEN</t>
        </is>
      </c>
    </row>
    <row r="616" ht="60" customHeight="1">
      <c r="A616" s="3" t="inlineStr">
        <is>
          <t>MK-XS-F-047</t>
        </is>
      </c>
      <c r="B616" s="3" t="inlineStr">
        <is>
          <t>unwrapWithPassword</t>
        </is>
      </c>
      <c r="C616" s="3" t="inlineStr">
        <is>
          <t>src/services/dataCrypto.ts</t>
        </is>
      </c>
      <c r="D616" s="3" t="n">
        <v>333</v>
      </c>
      <c r="E616" s="3" t="inlineStr">
        <is>
          <t>3 · DEPENDENT</t>
        </is>
      </c>
      <c r="F616" s="3" t="inlineStr">
        <is>
          <t>Unlock the DEK with the password (null if the password is wrong / was reset).</t>
        </is>
      </c>
      <c r="G616" s="11" t="inlineStr">
        <is>
          <t>decrypt with key(env.p, derive key from secret(password, uid))   if env.p
nothing   otherwise</t>
        </is>
      </c>
      <c r="H616" s="3" t="inlineStr">
        <is>
          <t>decrypt with key(env.p, derive key from secret(password, uid)) — when env.p; no answer — otherwise.</t>
        </is>
      </c>
      <c r="I616" s="3" t="inlineStr">
        <is>
          <t>READ FROM THE CODE — rendered from the expressions the function runs</t>
        </is>
      </c>
      <c r="J616" s="3" t="inlineStr">
        <is>
          <t>1. env: KeyEnvelope
2. uid: string
3. password: string</t>
        </is>
      </c>
      <c r="K616" s="3" t="inlineStr">
        <is>
          <t>string | null</t>
        </is>
      </c>
      <c r="L616" s="3" t="inlineStr">
        <is>
          <t>—</t>
        </is>
      </c>
      <c r="M616" s="3" t="inlineStr">
        <is>
          <t>None found in this function — anything it assumes comes from the functions it depends on.</t>
        </is>
      </c>
      <c r="N616" s="3" t="inlineStr">
        <is>
          <t>Yes</t>
        </is>
      </c>
      <c r="O616" s="3" t="inlineStr">
        <is>
          <t>1. MK-XS-F-053 decryptWithKey
2. MK-XS-F-138 deriveKeyFromSecret
3. MK-XS-F-175 uid</t>
        </is>
      </c>
      <c r="P616" s="3" t="n">
        <v>91</v>
      </c>
      <c r="Q616"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MK-CF-F-072 currentRetirementIncomeMonthly
78. MK-ST-F-048 currencySymbol
79. MK-CF-F-100 taxableIncomeFor
80. MK-ST-F-034 firstDate
81. MK-NW-F-009 maturityClass
82. MK-ST-F-010 nameEvidence
83. MK-CF-F-075 retirementIncomeMonthly
84. MK-ST-F-047 activeCurrency
85. MK-CF-F-099 deductionFor
86. MK-NW-F-011 assetClassOf
87. MK-NW-F-068 prettyDay
88. MK-XS-F-147 call
89. MK-CF-F-187 seniorDeductionFor
90. MK-XS-F-064 currentIdToken
91. MK-XS-F-112 relayUrl</t>
        </is>
      </c>
      <c r="R616" s="3" t="inlineStr">
        <is>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is>
      </c>
      <c r="S616" s="3" t="inlineStr">
        <is>
          <t>—</t>
        </is>
      </c>
      <c r="T616" s="3" t="inlineStr">
        <is>
          <t>—</t>
        </is>
      </c>
      <c r="U616" s="3" t="inlineStr">
        <is>
          <t>ACTIVE</t>
        </is>
      </c>
      <c r="V616" s="3" t="inlineStr">
        <is>
          <t>2026-08-27</t>
        </is>
      </c>
      <c r="W616" s="3" t="n"/>
      <c r="X616" s="3" t="n"/>
      <c r="Y616" s="3" t="inlineStr">
        <is>
          <t>NOTHING OPEN</t>
        </is>
      </c>
    </row>
    <row r="617" ht="60" customHeight="1">
      <c r="A617" s="3" t="inlineStr">
        <is>
          <t>MK-XS-F-048</t>
        </is>
      </c>
      <c r="B617" s="3" t="inlineStr">
        <is>
          <t>unwrapWithRecovery</t>
        </is>
      </c>
      <c r="C617" s="3" t="inlineStr">
        <is>
          <t>src/services/dataCrypto.ts</t>
        </is>
      </c>
      <c r="D617" s="3" t="n">
        <v>356</v>
      </c>
      <c r="E617" s="3" t="inlineStr">
        <is>
          <t>3 · DEPENDENT</t>
        </is>
      </c>
      <c r="F617" s="3" t="inlineStr">
        <is>
          <t>Unlock the DEK with the recovery code (null if the code is wrong).</t>
        </is>
      </c>
      <c r="G617" s="11" t="inlineStr">
        <is>
          <t>decrypt with key(env.r, derive key from secret(recovery code, uid))   if env.r
nothing   otherwise</t>
        </is>
      </c>
      <c r="H617" s="3" t="inlineStr">
        <is>
          <t>decrypt with key(env.r, derive key from secret(recovery code, uid)) — when env.r; no answer — otherwise.</t>
        </is>
      </c>
      <c r="I617" s="3" t="inlineStr">
        <is>
          <t>READ FROM THE CODE — rendered from the expressions the function runs</t>
        </is>
      </c>
      <c r="J617" s="3" t="inlineStr">
        <is>
          <t>1. env: KeyEnvelope
2. uid: string
3. recoveryCode: string</t>
        </is>
      </c>
      <c r="K617" s="3" t="inlineStr">
        <is>
          <t>string | null</t>
        </is>
      </c>
      <c r="L617" s="3" t="inlineStr">
        <is>
          <t>—</t>
        </is>
      </c>
      <c r="M617" s="3" t="inlineStr">
        <is>
          <t>None found in this function — anything it assumes comes from the functions it depends on.</t>
        </is>
      </c>
      <c r="N617" s="3" t="inlineStr">
        <is>
          <t>Yes</t>
        </is>
      </c>
      <c r="O617" s="3" t="inlineStr">
        <is>
          <t>1. MK-XS-F-053 decryptWithKey
2. MK-XS-F-138 deriveKeyFromSecret
3. MK-XS-F-175 uid</t>
        </is>
      </c>
      <c r="P617" s="3" t="n">
        <v>91</v>
      </c>
      <c r="Q617"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MK-CF-F-072 currentRetirementIncomeMonthly
78. MK-ST-F-048 currencySymbol
79. MK-CF-F-100 taxableIncomeFor
80. MK-ST-F-034 firstDate
81. MK-NW-F-009 maturityClass
82. MK-ST-F-010 nameEvidence
83. MK-CF-F-075 retirementIncomeMonthly
84. MK-ST-F-047 activeCurrency
85. MK-CF-F-099 deductionFor
86. MK-NW-F-011 assetClassOf
87. MK-NW-F-068 prettyDay
88. MK-XS-F-147 call
89. MK-CF-F-187 seniorDeductionFor
90. MK-XS-F-064 currentIdToken
91. MK-XS-F-112 relayUrl</t>
        </is>
      </c>
      <c r="R617" s="3" t="inlineStr">
        <is>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is>
      </c>
      <c r="S617" s="3" t="inlineStr">
        <is>
          <t>—</t>
        </is>
      </c>
      <c r="T617" s="3" t="inlineStr">
        <is>
          <t>—</t>
        </is>
      </c>
      <c r="U617" s="3" t="inlineStr">
        <is>
          <t>ACTIVE</t>
        </is>
      </c>
      <c r="V617" s="3" t="inlineStr">
        <is>
          <t>2026-08-27</t>
        </is>
      </c>
      <c r="W617" s="3" t="n"/>
      <c r="X617" s="3" t="n"/>
      <c r="Y617" s="3" t="inlineStr">
        <is>
          <t>NOTHING OPEN</t>
        </is>
      </c>
    </row>
    <row r="618" ht="60" customHeight="1">
      <c r="A618" s="3" t="inlineStr">
        <is>
          <t>MK-XS-F-049</t>
        </is>
      </c>
      <c r="B618" s="3" t="inlineStr">
        <is>
          <t>rewrapPassword</t>
        </is>
      </c>
      <c r="C618" s="3" t="inlineStr">
        <is>
          <t>src/services/dataCrypto.ts</t>
        </is>
      </c>
      <c r="D618" s="3" t="n">
        <v>379</v>
      </c>
      <c r="E618" s="3" t="inlineStr">
        <is>
          <t>3 · DEPENDENT</t>
        </is>
      </c>
      <c r="F618" s="3" t="inlineStr">
        <is>
          <t>Re-lock an existing envelope's password copy under a new password (after a recovery-code restore).</t>
        </is>
      </c>
      <c r="G618" s="11" t="inlineStr">
        <is>
          <t>...env = ...env
p = wrap with secret(dek, uid, new password)</t>
        </is>
      </c>
      <c r="H618" s="3" t="inlineStr">
        <is>
          <t>...env = ...env; p = wrap with secret(dek, uid, new password).</t>
        </is>
      </c>
      <c r="I618" s="3" t="inlineStr">
        <is>
          <t>PARTLY READ — some of the code is still showing through; needs a hand pass</t>
        </is>
      </c>
      <c r="J618" s="3" t="inlineStr">
        <is>
          <t>1. env: KeyEnvelope
2. dek: string
3. uid: string
4. newPassword: string</t>
        </is>
      </c>
      <c r="K618" s="3" t="inlineStr">
        <is>
          <t>KeyEnvelope</t>
        </is>
      </c>
      <c r="L618" s="3" t="inlineStr">
        <is>
          <t>—</t>
        </is>
      </c>
      <c r="M618" s="3" t="inlineStr">
        <is>
          <t>None found in this function — anything it assumes comes from the functions it depends on.</t>
        </is>
      </c>
      <c r="N618" s="3" t="inlineStr">
        <is>
          <t>Yes</t>
        </is>
      </c>
      <c r="O618" s="3" t="inlineStr">
        <is>
          <t>1. MK-XS-F-175 uid
2. MK-XS-F-139 wrapWithSecret</t>
        </is>
      </c>
      <c r="P618" s="3" t="n">
        <v>91</v>
      </c>
      <c r="Q618"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MK-CF-F-072 currentRetirementIncomeMonthly
78. MK-ST-F-048 currencySymbol
79. MK-CF-F-100 taxableIncomeFor
80. MK-ST-F-034 firstDate
81. MK-NW-F-009 maturityClass
82. MK-ST-F-010 nameEvidence
83. MK-CF-F-075 retirementIncomeMonthly
84. MK-ST-F-047 activeCurrency
85. MK-CF-F-099 deductionFor
86. MK-NW-F-011 assetClassOf
87. MK-NW-F-068 prettyDay
88. MK-XS-F-147 call
89. MK-CF-F-187 seniorDeductionFor
90. MK-XS-F-064 currentIdToken
91. MK-XS-F-112 relayUrl</t>
        </is>
      </c>
      <c r="R618" s="3" t="inlineStr">
        <is>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is>
      </c>
      <c r="S618" s="3" t="inlineStr">
        <is>
          <t>—</t>
        </is>
      </c>
      <c r="T618" s="3" t="inlineStr">
        <is>
          <t>—</t>
        </is>
      </c>
      <c r="U618" s="3" t="inlineStr">
        <is>
          <t>ACTIVE</t>
        </is>
      </c>
      <c r="V618" s="3" t="inlineStr">
        <is>
          <t>2026-08-27</t>
        </is>
      </c>
      <c r="W618" s="3" t="n"/>
      <c r="X618" s="3" t="n"/>
      <c r="Y618" s="3" t="inlineStr">
        <is>
          <t>NOTHING OPEN</t>
        </is>
      </c>
    </row>
    <row r="619" ht="60" customHeight="1">
      <c r="A619" s="3" t="inlineStr">
        <is>
          <t>MK-XS-F-050</t>
        </is>
      </c>
      <c r="B619" s="3" t="inlineStr">
        <is>
          <t>rewrapRecovery</t>
        </is>
      </c>
      <c r="C619" s="3" t="inlineStr">
        <is>
          <t>src/services/dataCrypto.ts</t>
        </is>
      </c>
      <c r="D619" s="3" t="n">
        <v>402</v>
      </c>
      <c r="E619" s="3" t="inlineStr">
        <is>
          <t>3 · DEPENDENT</t>
        </is>
      </c>
      <c r="F619" s="3" t="inlineStr">
        <is>
          <t>Replace an envelope's recovery copy with a new recovery code (rotate the code).</t>
        </is>
      </c>
      <c r="G619" s="11" t="inlineStr">
        <is>
          <t>...env = ...env
r = wrap with secret(dek, uid, recovery code)</t>
        </is>
      </c>
      <c r="H619" s="3" t="inlineStr">
        <is>
          <t>...env = ...env; r = wrap with secret(dek, uid, recovery code).</t>
        </is>
      </c>
      <c r="I619" s="3" t="inlineStr">
        <is>
          <t>READ FROM THE CODE — rendered from the expressions the function runs</t>
        </is>
      </c>
      <c r="J619" s="3" t="inlineStr">
        <is>
          <t>1. env: KeyEnvelope
2. dek: string
3. uid: string
4. recoveryCode: string</t>
        </is>
      </c>
      <c r="K619" s="3" t="inlineStr">
        <is>
          <t>KeyEnvelope</t>
        </is>
      </c>
      <c r="L619" s="3" t="inlineStr">
        <is>
          <t>—</t>
        </is>
      </c>
      <c r="M619" s="3" t="inlineStr">
        <is>
          <t>None found in this function — anything it assumes comes from the functions it depends on.</t>
        </is>
      </c>
      <c r="N619" s="3" t="inlineStr">
        <is>
          <t>Yes</t>
        </is>
      </c>
      <c r="O619" s="3" t="inlineStr">
        <is>
          <t>1. MK-XS-F-175 uid
2. MK-XS-F-139 wrapWithSecret</t>
        </is>
      </c>
      <c r="P619" s="3" t="n">
        <v>91</v>
      </c>
      <c r="Q619"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MK-CF-F-072 currentRetirementIncomeMonthly
78. MK-ST-F-048 currencySymbol
79. MK-CF-F-100 taxableIncomeFor
80. MK-ST-F-034 firstDate
81. MK-NW-F-009 maturityClass
82. MK-ST-F-010 nameEvidence
83. MK-CF-F-075 retirementIncomeMonthly
84. MK-ST-F-047 activeCurrency
85. MK-CF-F-099 deductionFor
86. MK-NW-F-011 assetClassOf
87. MK-NW-F-068 prettyDay
88. MK-XS-F-147 call
89. MK-CF-F-187 seniorDeductionFor
90. MK-XS-F-064 currentIdToken
91. MK-XS-F-112 relayUrl</t>
        </is>
      </c>
      <c r="R619" s="3" t="inlineStr">
        <is>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is>
      </c>
      <c r="S619" s="3" t="inlineStr">
        <is>
          <t>—</t>
        </is>
      </c>
      <c r="T619" s="3" t="inlineStr">
        <is>
          <t>—</t>
        </is>
      </c>
      <c r="U619" s="3" t="inlineStr">
        <is>
          <t>ACTIVE</t>
        </is>
      </c>
      <c r="V619" s="3" t="inlineStr">
        <is>
          <t>2026-08-27</t>
        </is>
      </c>
      <c r="W619" s="3" t="n"/>
      <c r="X619" s="3" t="n"/>
      <c r="Y619" s="3" t="inlineStr">
        <is>
          <t>NOTHING OPEN</t>
        </is>
      </c>
    </row>
    <row r="620" ht="45" customHeight="1">
      <c r="A620" s="3" t="inlineStr">
        <is>
          <t>MK-XS-F-051</t>
        </is>
      </c>
      <c r="B620" s="3" t="inlineStr">
        <is>
          <t>isEncrypted</t>
        </is>
      </c>
      <c r="C620" s="3" t="inlineStr">
        <is>
          <t>src/services/dataCrypto.ts</t>
        </is>
      </c>
      <c r="D620" s="3" t="n">
        <v>429</v>
      </c>
      <c r="E620" s="3" t="inlineStr">
        <is>
          <t>3 · DEPENDENT</t>
        </is>
      </c>
      <c r="F620" s="3" t="inlineStr">
        <is>
          <t>── Low-level AES helpers (also used to wrap the DEK) ─────────────────</t>
        </is>
      </c>
      <c r="G620" s="11" t="inlineStr">
        <is>
          <t>typeof v = 'string' and (v as string).starts with(PREFIX)</t>
        </is>
      </c>
      <c r="H620" s="3" t="inlineStr">
        <is>
          <t>typeof v = 'string' and (v as string).starts with(PREFIX).</t>
        </is>
      </c>
      <c r="I620" s="3" t="inlineStr">
        <is>
          <t>PARTLY READ — some of the code is still showing through; needs a hand pass</t>
        </is>
      </c>
      <c r="J620" s="3" t="inlineStr">
        <is>
          <t>v: unknown</t>
        </is>
      </c>
      <c r="K620" s="3" t="inlineStr">
        <is>
          <t>boolean</t>
        </is>
      </c>
      <c r="L620" s="3" t="inlineStr">
        <is>
          <t>—</t>
        </is>
      </c>
      <c r="M620" s="3" t="inlineStr">
        <is>
          <t>None found in this function — anything it assumes comes from the functions it depends on.</t>
        </is>
      </c>
      <c r="N620" s="3" t="inlineStr">
        <is>
          <t>Yes</t>
        </is>
      </c>
      <c r="O620" s="3" t="inlineStr">
        <is>
          <t>—</t>
        </is>
      </c>
      <c r="P620" s="3" t="n">
        <v>0</v>
      </c>
      <c r="Q620" s="3" t="inlineStr">
        <is>
          <t>None — no dependent function stands behind it</t>
        </is>
      </c>
      <c r="R620" s="3" t="inlineStr">
        <is>
          <t>No dependent function — it reads its inputs and answers</t>
        </is>
      </c>
      <c r="S620" s="3" t="inlineStr">
        <is>
          <t>—</t>
        </is>
      </c>
      <c r="T620" s="3" t="inlineStr">
        <is>
          <t>—</t>
        </is>
      </c>
      <c r="U620" s="3" t="inlineStr">
        <is>
          <t>ACTIVE</t>
        </is>
      </c>
      <c r="V620" s="3" t="inlineStr">
        <is>
          <t>2026-08-27</t>
        </is>
      </c>
      <c r="W620" s="3" t="n"/>
      <c r="X620" s="3" t="n"/>
      <c r="Y620" s="3" t="inlineStr">
        <is>
          <t>NOTHING OPEN</t>
        </is>
      </c>
    </row>
    <row r="621" ht="60" customHeight="1">
      <c r="A621" s="3" t="inlineStr">
        <is>
          <t>MK-XS-F-052</t>
        </is>
      </c>
      <c r="B621" s="3" t="inlineStr">
        <is>
          <t>encryptWithKey</t>
        </is>
      </c>
      <c r="C621" s="3" t="inlineStr">
        <is>
          <t>src/services/dataCrypto.ts</t>
        </is>
      </c>
      <c r="D621" s="3" t="n">
        <v>454</v>
      </c>
      <c r="E621" s="3" t="inlineStr">
        <is>
          <t>3 · DEPENDENT</t>
        </is>
      </c>
      <c r="F621" s="3" t="inlineStr">
        <is>
          <t>NOT DETERMINED — the code carries no note saying what this is for, and it has no row in the old inventory. Needs reading.</t>
        </is>
      </c>
      <c r="G621" s="11" t="inlineStr">
        <is>
          <t>PREFIX + crypto js.AES.encrypt(JSON.stringify(obj), key hex).to string()</t>
        </is>
      </c>
      <c r="H621" s="3" t="inlineStr">
        <is>
          <t>PREFIX plus crypto js.AES.encrypt(JSON.stringify(obj), key hex).to string().</t>
        </is>
      </c>
      <c r="I621" s="3" t="inlineStr">
        <is>
          <t>PARTLY READ — some of the code is still showing through; needs a hand pass</t>
        </is>
      </c>
      <c r="J621" s="3" t="inlineStr">
        <is>
          <t>1. obj: unknown
2. keyHex: string</t>
        </is>
      </c>
      <c r="K621" s="3" t="inlineStr">
        <is>
          <t>string</t>
        </is>
      </c>
      <c r="L621" s="3" t="inlineStr">
        <is>
          <t>—</t>
        </is>
      </c>
      <c r="M621" s="3" t="inlineStr">
        <is>
          <t>None found in this function — anything it assumes comes from the functions it depends on.</t>
        </is>
      </c>
      <c r="N621" s="3" t="inlineStr">
        <is>
          <t>Yes</t>
        </is>
      </c>
      <c r="O621" s="3" t="inlineStr">
        <is>
          <t>—</t>
        </is>
      </c>
      <c r="P621" s="3" t="n">
        <v>0</v>
      </c>
      <c r="Q621" s="3" t="inlineStr">
        <is>
          <t>None — no dependent function stands behind it</t>
        </is>
      </c>
      <c r="R621" s="3" t="inlineStr">
        <is>
          <t>No dependent function — it reads its inputs and answers</t>
        </is>
      </c>
      <c r="S621" s="3" t="inlineStr">
        <is>
          <t>—</t>
        </is>
      </c>
      <c r="T621" s="3" t="inlineStr">
        <is>
          <t>—</t>
        </is>
      </c>
      <c r="U621" s="3" t="inlineStr">
        <is>
          <t>ACTIVE</t>
        </is>
      </c>
      <c r="V621" s="3" t="inlineStr">
        <is>
          <t>2026-08-27</t>
        </is>
      </c>
      <c r="W621" s="3" t="n"/>
      <c r="X621" s="3" t="n"/>
      <c r="Y621" s="3" t="inlineStr">
        <is>
          <t>NOTHING OPEN</t>
        </is>
      </c>
    </row>
    <row r="622" ht="60" customHeight="1">
      <c r="A622" s="3" t="inlineStr">
        <is>
          <t>MK-XS-F-053</t>
        </is>
      </c>
      <c r="B622" s="3" t="inlineStr">
        <is>
          <t>decryptWithKey</t>
        </is>
      </c>
      <c r="C622" s="3" t="inlineStr">
        <is>
          <t>src/services/dataCrypto.ts</t>
        </is>
      </c>
      <c r="D622" s="3" t="n">
        <v>485</v>
      </c>
      <c r="E622" s="3" t="inlineStr">
        <is>
          <t>3 · DEPENDENT</t>
        </is>
      </c>
      <c r="F622" s="3" t="inlineStr">
        <is>
          <t>Decrypt an 'enc:'-tagged blob.</t>
        </is>
      </c>
      <c r="G622" s="11" t="inlineStr">
        <is>
          <t>nothing   when !is encrypted(blob)
plain = crypto js.AES.decrypt(blob.slice(PREFIX.length), key hex).to string(crypto js.enc.utf8)
the answer:
JSON.parse(plain)   if plain
nothing   otherwise</t>
        </is>
      </c>
      <c r="H622" s="3" t="inlineStr">
        <is>
          <t>When !is encrypted(blob), it answers no answer. Plain is crypto js.AES.decrypt(blob.slice(PREFIX.length), key hex).to string(crypto js.enc.utf8). The answer is JSON.parse(plain) — when plain; no answer — otherwise.</t>
        </is>
      </c>
      <c r="I622" s="3" t="inlineStr">
        <is>
          <t>PARTLY READ — some of the code is still showing through; needs a hand pass</t>
        </is>
      </c>
      <c r="J622" s="3" t="inlineStr">
        <is>
          <t>1. blob: string
2. keyHex: string</t>
        </is>
      </c>
      <c r="K622" s="3" t="inlineStr">
        <is>
          <t>any | null</t>
        </is>
      </c>
      <c r="L622" s="3" t="inlineStr">
        <is>
          <t>—</t>
        </is>
      </c>
      <c r="M622" s="3" t="inlineStr">
        <is>
          <t>None found in this function — anything it assumes comes from the functions it depends on.</t>
        </is>
      </c>
      <c r="N622" s="3" t="inlineStr">
        <is>
          <t>Yes</t>
        </is>
      </c>
      <c r="O622" s="3" t="inlineStr">
        <is>
          <t>MK-XS-F-051 isEncrypted</t>
        </is>
      </c>
      <c r="P622" s="3" t="n">
        <v>1</v>
      </c>
      <c r="Q622" s="3" t="inlineStr">
        <is>
          <t>MK-XS-F-051 isEncrypted</t>
        </is>
      </c>
      <c r="R622" s="3" t="inlineStr">
        <is>
          <t>MK-XS-F-051 isEncrypted → MK-XS-F-053 decryptWithKey</t>
        </is>
      </c>
      <c r="S622" s="3" t="inlineStr">
        <is>
          <t>—</t>
        </is>
      </c>
      <c r="T622" s="3" t="inlineStr">
        <is>
          <t>—</t>
        </is>
      </c>
      <c r="U622" s="3" t="inlineStr">
        <is>
          <t>ACTIVE</t>
        </is>
      </c>
      <c r="V622" s="3" t="inlineStr">
        <is>
          <t>2026-08-27</t>
        </is>
      </c>
      <c r="W622" s="3" t="n"/>
      <c r="X622" s="3" t="n"/>
      <c r="Y622" s="3" t="inlineStr">
        <is>
          <t>NOTHING OPEN</t>
        </is>
      </c>
    </row>
    <row r="623" ht="60" customHeight="1">
      <c r="A623" s="3" t="inlineStr">
        <is>
          <t>MK-XS-F-054</t>
        </is>
      </c>
      <c r="B623" s="3" t="inlineStr">
        <is>
          <t>encryptForSync</t>
        </is>
      </c>
      <c r="C623" s="3" t="inlineStr">
        <is>
          <t>src/services/dataCrypto.ts</t>
        </is>
      </c>
      <c r="D623" s="3" t="n">
        <v>519</v>
      </c>
      <c r="E623" s="3" t="inlineStr">
        <is>
          <t>3 · DEPENDENT</t>
        </is>
      </c>
      <c r="F623" s="3" t="inlineStr">
        <is>
          <t>── The sync layer's interface (operates on the cached DEK) ─────────── Encrypt a payload with the cached DEK.</t>
        </is>
      </c>
      <c r="G623" s="11" t="inlineStr">
        <is>
          <t>key = await get data key()
the answer:
encrypt with key(obj, key)   if key
nothing   otherwise</t>
        </is>
      </c>
      <c r="H623" s="3" t="inlineStr">
        <is>
          <t>Key is await get data key(). The answer is encrypt with key(obj, key) — when key; no answer — otherwise.</t>
        </is>
      </c>
      <c r="I623" s="3" t="inlineStr">
        <is>
          <t>READ FROM THE CODE — rendered from the expressions the function runs</t>
        </is>
      </c>
      <c r="J623" s="3" t="inlineStr">
        <is>
          <t>obj: unknown</t>
        </is>
      </c>
      <c r="K623" s="3" t="inlineStr">
        <is>
          <t>Promise&lt;string | null&gt;</t>
        </is>
      </c>
      <c r="L623" s="3" t="inlineStr">
        <is>
          <t>—</t>
        </is>
      </c>
      <c r="M623" s="3" t="inlineStr">
        <is>
          <t>None found in this function — anything it assumes comes from the functions it depends on.</t>
        </is>
      </c>
      <c r="N623" s="3" t="inlineStr">
        <is>
          <t>Yes</t>
        </is>
      </c>
      <c r="O623" s="3" t="inlineStr">
        <is>
          <t>1. MK-XS-F-052 encryptWithKey
2. MK-XS-F-042 getDataKey</t>
        </is>
      </c>
      <c r="P623" s="3" t="n">
        <v>3</v>
      </c>
      <c r="Q623" s="3" t="inlineStr">
        <is>
          <t>1. MK-XS-F-052 encryptWithKey
2. MK-XS-F-042 getDataKey
3. MK-XS-F-135 secureGet</t>
        </is>
      </c>
      <c r="R623" s="3" t="inlineStr">
        <is>
          <t>1. MK-XS-F-052 encryptWithKey → MK-XS-F-054 encryptForSync
2. MK-XS-F-135 secureGet → MK-XS-F-042 getDataKey → MK-XS-F-054 encryptForSync</t>
        </is>
      </c>
      <c r="S623" s="3" t="inlineStr">
        <is>
          <t>—</t>
        </is>
      </c>
      <c r="T623" s="3" t="inlineStr">
        <is>
          <t>—</t>
        </is>
      </c>
      <c r="U623" s="3" t="inlineStr">
        <is>
          <t>ACTIVE</t>
        </is>
      </c>
      <c r="V623" s="3" t="inlineStr">
        <is>
          <t>2026-08-27</t>
        </is>
      </c>
      <c r="W623" s="3" t="n"/>
      <c r="X623" s="3" t="n"/>
      <c r="Y623" s="3" t="inlineStr">
        <is>
          <t>NOTHING OPEN</t>
        </is>
      </c>
    </row>
    <row r="624" ht="60" customHeight="1">
      <c r="A624" s="3" t="inlineStr">
        <is>
          <t>MK-XS-F-055</t>
        </is>
      </c>
      <c r="B624" s="3" t="inlineStr">
        <is>
          <t>decryptFromSync</t>
        </is>
      </c>
      <c r="C624" s="3" t="inlineStr">
        <is>
          <t>src/services/dataCrypto.ts</t>
        </is>
      </c>
      <c r="D624" s="3" t="n">
        <v>549</v>
      </c>
      <c r="E624" s="3" t="inlineStr">
        <is>
          <t>3 · DEPENDENT</t>
        </is>
      </c>
      <c r="F624" s="3" t="inlineStr">
        <is>
          <t>Decrypt a synced value: ciphertext → object; legacy plaintext object → returned as-is; null if it's ciphertext we can't decrypt (no key).</t>
        </is>
      </c>
      <c r="G624" s="11" t="inlineStr">
        <is>
          <t>nothing   when value = nothing
value   when !is encrypted(value)
key = await get data key()
the answer:
decrypt with key(value as string, key)   if key
nothing   otherwise</t>
        </is>
      </c>
      <c r="H624" s="3" t="inlineStr">
        <is>
          <t>When value is missing, it answers no answer. When !is encrypted(value), it answers value. Key is await get data key(). The answer is decrypt with key(value as string, key) — when key; no answer — otherwise.</t>
        </is>
      </c>
      <c r="I624" s="3" t="inlineStr">
        <is>
          <t>READ FROM THE CODE — rendered from the expressions the function runs</t>
        </is>
      </c>
      <c r="J624" s="3" t="inlineStr">
        <is>
          <t>value: unknown</t>
        </is>
      </c>
      <c r="K624" s="3" t="inlineStr">
        <is>
          <t>Promise&lt;any | null&gt;</t>
        </is>
      </c>
      <c r="L624" s="3" t="inlineStr">
        <is>
          <t>—</t>
        </is>
      </c>
      <c r="M624" s="3" t="inlineStr">
        <is>
          <t>None found in this function — anything it assumes comes from the functions it depends on.</t>
        </is>
      </c>
      <c r="N624" s="3" t="inlineStr">
        <is>
          <t>Yes</t>
        </is>
      </c>
      <c r="O624" s="3" t="inlineStr">
        <is>
          <t>1. MK-XS-F-053 decryptWithKey
2. MK-XS-F-042 getDataKey
3. MK-XS-F-051 isEncrypted</t>
        </is>
      </c>
      <c r="P624" s="3" t="n">
        <v>4</v>
      </c>
      <c r="Q624" s="3" t="inlineStr">
        <is>
          <t>1. MK-XS-F-053 decryptWithKey
2. MK-XS-F-042 getDataKey
3. MK-XS-F-051 isEncrypted
4. MK-XS-F-135 secureGet</t>
        </is>
      </c>
      <c r="R624" s="3" t="inlineStr">
        <is>
          <t>1. MK-XS-F-051 isEncrypted → MK-XS-F-053 decryptWithKey → MK-XS-F-055 decryptFromSync
2. MK-XS-F-135 secureGet → MK-XS-F-042 getDataKey → MK-XS-F-055 decryptFromSync
3. MK-XS-F-051 isEncrypted → MK-XS-F-055 decryptFromSync</t>
        </is>
      </c>
      <c r="S624" s="3" t="inlineStr">
        <is>
          <t>—</t>
        </is>
      </c>
      <c r="T624" s="3" t="inlineStr">
        <is>
          <t>—</t>
        </is>
      </c>
      <c r="U624" s="3" t="inlineStr">
        <is>
          <t>ACTIVE</t>
        </is>
      </c>
      <c r="V624" s="3" t="inlineStr">
        <is>
          <t>2026-08-27</t>
        </is>
      </c>
      <c r="W624" s="3" t="n"/>
      <c r="X624" s="3" t="n"/>
      <c r="Y624" s="3" t="inlineStr">
        <is>
          <t>NOTHING OPEN</t>
        </is>
      </c>
    </row>
    <row r="625" ht="60" customHeight="1">
      <c r="A625" s="3" t="inlineStr">
        <is>
          <t>MK-XS-F-056</t>
        </is>
      </c>
      <c r="B625" s="3" t="inlineStr">
        <is>
          <t>fetchEconomicData</t>
        </is>
      </c>
      <c r="C625" s="3" t="inlineStr">
        <is>
          <t>src/services/economicData.ts</t>
        </is>
      </c>
      <c r="D625" s="3" t="n">
        <v>69</v>
      </c>
      <c r="E625" s="3" t="inlineStr">
        <is>
          <t>3 · DEPENDENT (feeds an action only)</t>
        </is>
      </c>
      <c r="F625" s="3" t="inlineStr">
        <is>
          <t>What are inflation and the 10-year Treasury yield?</t>
        </is>
      </c>
      <c r="G625" s="11" t="inlineStr">
        <is>
          <t>inflation rate = the fetched figure, or the fallback when the fetch failed
treasury yield = the fetched figure, or the fallback when the fetch failed
fetched at = now; each fallback flagged</t>
        </is>
      </c>
      <c r="H625" s="3" t="inlineStr">
        <is>
          <t>Fetches the inflation rate and the ten-year Treasury yield; when either fetch fails its fallback is used and FLAGGED as a fallback, never passed off as live.</t>
        </is>
      </c>
      <c r="I625" s="3" t="inlineStr">
        <is>
          <t>READ BY HAND 2026-08-26 — checked line by line against the code</t>
        </is>
      </c>
      <c r="J625" s="3" t="inlineStr">
        <is>
          <t>Nothing is handed to it</t>
        </is>
      </c>
      <c r="K625" s="3" t="inlineStr">
        <is>
          <t>Promise&lt;EconomicData&gt;</t>
        </is>
      </c>
      <c r="L625" s="3" t="inlineStr">
        <is>
          <t>—</t>
        </is>
      </c>
      <c r="M625" s="3" t="inlineStr">
        <is>
          <t>· Uses today's date from the device clock, so the answer changes by itself overnight.</t>
        </is>
      </c>
      <c r="N625" s="3" t="inlineStr">
        <is>
          <t>No</t>
        </is>
      </c>
      <c r="O625" s="3" t="inlineStr">
        <is>
          <t>1. MK-XS-F-140 fetchInflation
2. MK-XS-F-141 fetchTreasuryYield</t>
        </is>
      </c>
      <c r="P625" s="3" t="n">
        <v>2</v>
      </c>
      <c r="Q625" s="3" t="inlineStr">
        <is>
          <t>1. MK-XS-F-140 fetchInflation
2. MK-XS-F-141 fetchTreasuryYield</t>
        </is>
      </c>
      <c r="R625" s="3" t="inlineStr">
        <is>
          <t>1. MK-XS-F-140 fetchInflation → MK-XS-F-056 fetchEconomicData
2. MK-XS-F-141 fetchTreasuryYield → MK-XS-F-056 fetchEconomicData</t>
        </is>
      </c>
      <c r="S625" s="3" t="inlineStr">
        <is>
          <t>—</t>
        </is>
      </c>
      <c r="T625" s="3" t="inlineStr">
        <is>
          <t>ECONOMIC_FIGURES</t>
        </is>
      </c>
      <c r="U625" s="3" t="inlineStr">
        <is>
          <t>ACTIVE</t>
        </is>
      </c>
      <c r="V625" s="3" t="inlineStr">
        <is>
          <t>2026-09-12</t>
        </is>
      </c>
      <c r="W625" s="3" t="n"/>
      <c r="X625" s="3" t="n"/>
      <c r="Y625" s="3" t="inlineStr">
        <is>
          <t>NOTHING OPEN</t>
        </is>
      </c>
    </row>
    <row r="626" ht="60" customHeight="1">
      <c r="A626" s="3" t="inlineStr">
        <is>
          <t>MK-XS-F-057</t>
        </is>
      </c>
      <c r="B626" s="3" t="inlineStr">
        <is>
          <t>analyzeExpenses</t>
        </is>
      </c>
      <c r="C626" s="3" t="inlineStr">
        <is>
          <t>src/services/economicData.ts</t>
        </is>
      </c>
      <c r="D626" s="3" t="n">
        <v>202</v>
      </c>
      <c r="E626" s="3" t="inlineStr">
        <is>
          <t>4 · BRINGS DATA IN</t>
        </is>
      </c>
      <c r="F626" s="3" t="inlineStr">
        <is>
          <t>What is worth saying about this expenses?</t>
        </is>
      </c>
      <c r="G626" s="11" t="inlineStr">
        <is>
          <t>data = await res.json()
the answer = data as expense analysis</t>
        </is>
      </c>
      <c r="H626" s="3" t="inlineStr">
        <is>
          <t>Data is await res.json(). The answer is data as expense analysis.</t>
        </is>
      </c>
      <c r="I626" s="3" t="inlineStr">
        <is>
          <t>PARTLY READ — some of the code is still showing through; needs a hand pass</t>
        </is>
      </c>
      <c r="J626" s="3" t="inlineStr">
        <is>
          <t>Nothing is handed to it</t>
        </is>
      </c>
      <c r="K626" s="3" t="inlineStr">
        <is>
          <t>NOT DECLARED — the code does not say what it gives back</t>
        </is>
      </c>
      <c r="L626" s="3" t="inlineStr">
        <is>
          <t>—</t>
        </is>
      </c>
      <c r="M626" s="3" t="inlineStr">
        <is>
          <t>None found in this function — anything it assumes comes from the functions it depends on.</t>
        </is>
      </c>
      <c r="N626" s="3" t="inlineStr">
        <is>
          <t>No</t>
        </is>
      </c>
      <c r="O626" s="3" t="inlineStr">
        <is>
          <t>MK-CF-O-002 expenses</t>
        </is>
      </c>
      <c r="P626" s="3" t="n">
        <v>15</v>
      </c>
      <c r="Q626"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626" s="3" t="inlineStr">
        <is>
          <t>1. MK-CF-F-191 ym → MK-CF-F-148 inMonth → MK-CF-F-151 actualSpending → MK-CF-O-002 expenses → MK-XS-F-057 analyzeExpenses
2. MK-XS-F-122 n → MK-ST-F-052 toNum → MK-CF-F-151 actualSpending → MK-CF-O-002 expenses → MK-XS-F-057 analyzeExpenses
3. MK-CF-F-191 ym → MK-CF-F-151 actualSpending → MK-CF-O-002 expenses → MK-XS-F-057 analyzeExpenses
4. MK-ST-F-056 has → MK-CF-F-150 debtPaymentsCountedAsExpenses → MK-CF-O-002 expenses → MK-XS-F-057 analyzeExpenses
5. MK-CF-F-191 ym → MK-CF-F-148 inMonth → MK-CF-F-150 debtPaymentsCountedAsExpenses → MK-CF-O-002 expenses → MK-XS-F-057 analyzeExpenses
6. MK-CF-F-021 defaultPaymentType → MK-CF-F-022 paymentShape → MK-CF-F-150 debtPaymentsCountedAsExpenses → MK-CF-O-002 expenses → MK-XS-F-057 analyzeExpenses
7. MK-XS-F-122 n → MK-ST-F-052 toNum → MK-CF-F-150 debtPaymentsCountedAsExpenses → MK-CF-O-002 expenses → MK-XS-F-057 analyzeExpenses
8. MK-CF-F-191 ym → MK-CF-F-150 debtPaymentsCountedAsExpenses → MK-CF-O-002 expenses → MK-XS-F-057 analyzeExpenses
9. … and 4 more paths</t>
        </is>
      </c>
      <c r="S626" s="3" t="inlineStr">
        <is>
          <t>—</t>
        </is>
      </c>
      <c r="T626" s="3" t="inlineStr">
        <is>
          <t>EXPENSE_COMMENTARY</t>
        </is>
      </c>
      <c r="U626" s="3" t="inlineStr">
        <is>
          <t>ACTIVE</t>
        </is>
      </c>
      <c r="V626" s="3" t="inlineStr">
        <is>
          <t>2026-08-27</t>
        </is>
      </c>
      <c r="W626" s="3" t="n"/>
      <c r="X626" s="3" t="n"/>
      <c r="Y626" s="3" t="inlineStr">
        <is>
          <t>NOTHING OPEN</t>
        </is>
      </c>
    </row>
    <row r="627" ht="60" customHeight="1">
      <c r="A627" s="3" t="inlineStr">
        <is>
          <t>MK-XS-F-058</t>
        </is>
      </c>
      <c r="B627" s="3" t="inlineStr">
        <is>
          <t>parseReceipt</t>
        </is>
      </c>
      <c r="C627" s="3" t="inlineStr">
        <is>
          <t>src/services/receiptScan.ts</t>
        </is>
      </c>
      <c r="D627" s="3" t="n">
        <v>106</v>
      </c>
      <c r="E627" s="3" t="inlineStr">
        <is>
          <t>3 · DEPENDENT</t>
        </is>
      </c>
      <c r="F627" s="3" t="inlineStr">
        <is>
          <t>Heuristic parse of receipt text → total amount + merchant.</t>
        </is>
      </c>
      <c r="G627" s="11"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627"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627" s="3" t="inlineStr">
        <is>
          <t>PARTLY READ — some of the code is still showing through; needs a hand pass</t>
        </is>
      </c>
      <c r="J627" s="3" t="inlineStr">
        <is>
          <t>text: string</t>
        </is>
      </c>
      <c r="K627" s="3" t="inlineStr">
        <is>
          <t>NOT DECLARED — the code does not say what it gives back</t>
        </is>
      </c>
      <c r="L627" s="3" t="inlineStr">
        <is>
          <t>—</t>
        </is>
      </c>
      <c r="M627" s="3" t="inlineStr">
        <is>
          <t>None found in this function — anything it assumes comes from the functions it depends on.</t>
        </is>
      </c>
      <c r="N627" s="3" t="inlineStr">
        <is>
          <t>Yes</t>
        </is>
      </c>
      <c r="O627" s="3" t="inlineStr">
        <is>
          <t>1. MK-CF-F-204 line
2. MK-CF-F-132 map
3. MK-XS-F-093 stripNonMoney
4. MK-ST-F-052 toNum</t>
        </is>
      </c>
      <c r="P627" s="3" t="n">
        <v>113</v>
      </c>
      <c r="Q627" s="3" t="inlineStr">
        <is>
          <t>1. MK-CF-F-204 line
2. MK-CF-F-132 map
3. MK-XS-F-093 stripNonMoney
4. MK-ST-F-052 toNum
5. MK-CF-F-203 MONTH
6. MK-XS-F-180 declareFigures
7. MK-XS-F-122 n
8. MK-CF-O-010 theMonth
9. MK-CF-F-155 cash
10. MK-CF-O-002 expenses
11. MK-CF-O-003 thisMonth
12. MK-CF-F-151 actualSpending
13. MK-CF-F-150 debtPaymentsCountedAsExpenses
14. MK-CF-F-153 radar
15. MK-CF-F-149 recurringDebtPayments
16. MK-CF-F-005 actualMonthFlow
17. MK-CF-F-156 plannedMonthFlow
18. MK-CF-F-148 inMonth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MK-NW-F-112 yearlyInterest
38. MK-ST-F-048 currencySymbol
39. MK-ST-F-039 on
40. MK-ST-F-027 accountId
41. MK-NW-F-057 annualCoupon
42. MK-NW-F-056 bondInfo
43. MK-NW-F-064 bondRateSensitivity
44. MK-NW-F-061 bondSummary
45. MK-NW-F-055 isBond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MK-NW-F-131 pricedLikeBond
68. MK-NW-F-125 isPastMaturity
69. MK-ST-F-065 isoLocalDate
70. MK-NW-F-126 yearlyInterestNow
71. MK-NW-F-011 assetClassOf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MK-NW-F-119 estimatedAccrued
96. MK-NW-F-124 maturityParts
97. MK-NW-F-120 classEvidenceOf
98. MK-NW-F-067 plural
99. MK-CF-F-100 taxableIncomeFor
100. MK-CF-F-074 tipsAnnual
101. MK-ST-F-085 rentFigure
102. MK-CF-F-165 salaryMonths
103. MK-CF-F-003 categoryMonthly
104. MK-NW-F-008 incomeBearingClassOf
105. MK-NW-F-009 maturityClass
106. MK-CF-F-099 deductionFor
107. MK-CF-F-081 salaryActiveMonths
108. MK-ST-F-010 nameEvidence
109. MK-NW-F-068 prettyDay
110. MK-CF-F-187 seniorDeductionFor
111. MK-XS-F-147 call
112. MK-XS-F-064 currentIdToken
113. MK-XS-F-112 relayUrl</t>
        </is>
      </c>
      <c r="R627" s="3" t="inlineStr">
        <is>
          <t>1. MONTH (already above — a loop) → MK-CF-O-010 theMonth → MK-CF-F-203 MONTH → MK-CF-F-204 line → MK-XS-F-058 parseReceipt
2. MK-XS-F-122 n → MK-CF-F-155 cash → MK-CF-O-010 theMonth → MK-CF-F-203 MONTH → MK-CF-F-204 line → MK-XS-F-058 parseReceipt
3. MK-CF-F-151 actualSpending → MK-CF-O-002 expenses → MK-CF-O-010 theMonth → MK-CF-F-203 MONTH → MK-CF-F-204 line → MK-XS-F-058 parseReceipt
4. MK-CF-F-150 debtPaymentsCountedAsExpenses → MK-CF-O-002 expenses → MK-CF-O-010 theMonth → MK-CF-F-203 MONTH → MK-CF-F-204 line → MK-XS-F-058 parseReceipt
5. MK-CF-F-153 radar → MK-CF-O-002 expenses → MK-CF-O-010 theMonth → MK-CF-F-203 MONTH → MK-CF-F-204 line → MK-XS-F-058 parseReceipt
6. MK-CF-F-149 recurringDebtPayments → MK-CF-O-002 expenses → MK-CF-O-010 theMonth → MK-CF-F-203 MONTH → MK-CF-F-204 line → MK-XS-F-058 parseReceipt
7. MK-CF-F-005 actualMonthFlow → MK-CF-O-003 thisMonth → MK-CF-O-010 theMonth → MK-CF-F-203 MONTH → MK-CF-F-204 line → MK-XS-F-058 parseReceipt
8. MK-CF-F-156 plannedMonthFlow → MK-CF-O-003 thisMonth → MK-CF-O-010 theMonth → MK-CF-F-203 MONTH → MK-CF-F-204 line → MK-XS-F-058 parseReceipt
9. … and 4 more paths</t>
        </is>
      </c>
      <c r="S627" s="3" t="inlineStr">
        <is>
          <t>—</t>
        </is>
      </c>
      <c r="T627" s="3" t="inlineStr">
        <is>
          <t>READ_A_RECEIPT</t>
        </is>
      </c>
      <c r="U627" s="3" t="inlineStr">
        <is>
          <t>ACTIVE</t>
        </is>
      </c>
      <c r="V627" s="3" t="inlineStr">
        <is>
          <t>2026-08-27</t>
        </is>
      </c>
      <c r="W627" s="3" t="n"/>
      <c r="X627" s="3" t="n"/>
      <c r="Y627" s="3" t="inlineStr">
        <is>
          <t>NOTHING OPEN</t>
        </is>
      </c>
    </row>
    <row r="628" ht="60" customHeight="1">
      <c r="A628" s="3" t="inlineStr">
        <is>
          <t>MK-XS-F-059</t>
        </is>
      </c>
      <c r="B628" s="3" t="inlineStr">
        <is>
          <t>readFileString</t>
        </is>
      </c>
      <c r="C628" s="3" t="inlineStr">
        <is>
          <t>src/services/fileRead.ts</t>
        </is>
      </c>
      <c r="D628" s="3" t="n">
        <v>22</v>
      </c>
      <c r="E628" s="3" t="inlineStr">
        <is>
          <t>4 · BRINGS DATA IN</t>
        </is>
      </c>
      <c r="F628" s="3" t="inlineStr">
        <is>
          <t>NOT DETERMINED — the code carries no note saying what this is for, and it has no row in the old inventory. Needs reading.</t>
        </is>
      </c>
      <c r="G628" s="11" t="inlineStr">
        <is>
          <t>read as string async(uri, { encoding: encoding = 'base64' ? encoding type.base64 : encoding type.UTF8 })</t>
        </is>
      </c>
      <c r="H628" s="3" t="inlineStr">
        <is>
          <t>read as string async(uri, { encoding: encoding = 'base64' ? encoding type.base64 : encoding type.UTF8 }).</t>
        </is>
      </c>
      <c r="I628" s="3" t="inlineStr">
        <is>
          <t>READ FROM THE CODE — rendered from the expressions the function runs</t>
        </is>
      </c>
      <c r="J628" s="3" t="inlineStr">
        <is>
          <t>1. uri: string
2. encoding: 'utf8' | 'base64' = 'utf8'</t>
        </is>
      </c>
      <c r="K628" s="3" t="inlineStr">
        <is>
          <t>Promise&lt;string&gt;</t>
        </is>
      </c>
      <c r="L628" s="3" t="inlineStr">
        <is>
          <t>—</t>
        </is>
      </c>
      <c r="M628" s="3" t="inlineStr">
        <is>
          <t>None found in this function — anything it assumes comes from the functions it depends on.</t>
        </is>
      </c>
      <c r="N628" s="3" t="inlineStr">
        <is>
          <t>Yes</t>
        </is>
      </c>
      <c r="O628" s="3" t="inlineStr">
        <is>
          <t>—</t>
        </is>
      </c>
      <c r="P628" s="3" t="n">
        <v>0</v>
      </c>
      <c r="Q628" s="3" t="inlineStr">
        <is>
          <t>None — no dependent function stands behind it</t>
        </is>
      </c>
      <c r="R628" s="3" t="inlineStr">
        <is>
          <t>No dependent function — it reads its inputs and answers</t>
        </is>
      </c>
      <c r="S628" s="3" t="inlineStr">
        <is>
          <t>—</t>
        </is>
      </c>
      <c r="T628" s="3" t="inlineStr">
        <is>
          <t>—</t>
        </is>
      </c>
      <c r="U628" s="3" t="inlineStr">
        <is>
          <t>ACTIVE</t>
        </is>
      </c>
      <c r="V628" s="3" t="inlineStr">
        <is>
          <t>2026-08-27</t>
        </is>
      </c>
      <c r="W628" s="3" t="n"/>
      <c r="X628" s="3" t="n"/>
      <c r="Y628" s="3" t="inlineStr">
        <is>
          <t>NOTHING OPEN</t>
        </is>
      </c>
    </row>
    <row r="629" ht="60" customHeight="1">
      <c r="A629" s="3" t="inlineStr">
        <is>
          <t>MK-XS-F-060</t>
        </is>
      </c>
      <c r="B629" s="3" t="inlineStr">
        <is>
          <t>registerUser</t>
        </is>
      </c>
      <c r="C629" s="3" t="inlineStr">
        <is>
          <t>src/services/firebase.ts</t>
        </is>
      </c>
      <c r="D629" s="3" t="n">
        <v>88</v>
      </c>
      <c r="E629" s="3" t="inlineStr">
        <is>
          <t>2 · DISPLAYED</t>
        </is>
      </c>
      <c r="F629" s="3" t="inlineStr">
        <is>
          <t>Returns the new user AND a one-time recovery code the caller MUST show the user to save.</t>
        </is>
      </c>
      <c r="G629" s="11" t="inlineStr">
        <is>
          <t>cred = await create user with email and password(auth, email, password)
dek = generate data key()
recovery code = generate recovery code()
key envelope = make envelope(dek, cred.user.uid, password, recovery code)
the answer:
user = cred.user
recovery code = recovery code</t>
        </is>
      </c>
      <c r="H629"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629" s="3" t="inlineStr">
        <is>
          <t>READ FROM THE CODE — rendered from the expressions the function runs</t>
        </is>
      </c>
      <c r="J629" s="3" t="inlineStr">
        <is>
          <t>1. email: string
2. password: string
3. name: string
4. onCodeReady?: (code: string) =&gt; void</t>
        </is>
      </c>
      <c r="K629" s="3" t="inlineStr">
        <is>
          <t>NOT DECLARED — the code does not say what it gives back</t>
        </is>
      </c>
      <c r="L629" s="3" t="inlineStr">
        <is>
          <t>NOT FOUND — a screen calls it, but the words printed beside its answer could not be traced automatically. Needs reading.</t>
        </is>
      </c>
      <c r="M629" s="3" t="inlineStr">
        <is>
          <t>None found in this function — anything it assumes comes from the functions it depends on.</t>
        </is>
      </c>
      <c r="N629" s="3" t="inlineStr">
        <is>
          <t>Yes</t>
        </is>
      </c>
      <c r="O629" s="3" t="inlineStr">
        <is>
          <t>1. MK-XS-F-041 cacheDataKey
2. MK-XS-F-044 generateDataKey
3. MK-XS-F-045 generateRecoveryCode
4. MK-XS-F-046 makeEnvelope
5. MK-XS-F-175 uid</t>
        </is>
      </c>
      <c r="P629" s="3" t="n">
        <v>96</v>
      </c>
      <c r="Q629"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MK-NW-F-123 holdingNameEvidence
60. MK-NW-F-121 holdingTagClass
61. MK-NW-F-122 holdingTagFor
62. MK-PF-F-002 costBasis
63. MK-PF-F-009 latestClose
64. MK-PF-F-004 marketValue
65. MK-ST-F-030 record
66. MK-XS-F-024 resolveLens
67. MK-ST-F-055 round2
68. MK-CF-F-162 daysApart
69. MK-CF-F-108 isMoneyOut
70. MK-PL-F-074 median
71. MK-CF-F-131 normPayee
72. MK-CF-F-113 affectedAccountIds
73. MK-CF-F-134 usesSleeve
74. MK-ST-F-049 formatMoney
75. MK-CF-F-101 taxOwedFor
76. MK-ST-F-067 utcOfDay
77. MK-CF-F-155 cash
78. MK-ST-F-035 covers
79. MK-NW-F-120 classEvidenceOf
80. MK-NW-F-008 incomeBearingClassOf
81. MK-PF-F-031 contractMultiplier
82. MK-CF-F-072 currentRetirementIncomeMonthly
83. MK-ST-F-048 currencySymbol
84. MK-CF-F-100 taxableIncomeFor
85. MK-ST-F-034 firstDate
86. MK-NW-F-009 maturityClass
87. MK-ST-F-010 nameEvidence
88. MK-CF-F-075 retirementIncomeMonthly
89. MK-ST-F-047 activeCurrency
90. MK-CF-F-099 deductionFor
91. MK-NW-F-011 assetClassOf
92. MK-NW-F-068 prettyDay
93. MK-XS-F-147 call
94. MK-CF-F-187 seniorDeductionFor
95. MK-XS-F-064 currentIdToken
96. MK-XS-F-112 relayUrl</t>
        </is>
      </c>
      <c r="R629" s="3" t="inlineStr">
        <is>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is>
      </c>
      <c r="S629" s="3" t="inlineStr">
        <is>
          <t>—</t>
        </is>
      </c>
      <c r="T629" s="3" t="inlineStr">
        <is>
          <t>—</t>
        </is>
      </c>
      <c r="U629" s="3" t="inlineStr">
        <is>
          <t>ACTIVE</t>
        </is>
      </c>
      <c r="V629" s="3" t="inlineStr">
        <is>
          <t>2026-08-27</t>
        </is>
      </c>
      <c r="W629" s="3" t="n"/>
      <c r="X629" s="3" t="n"/>
      <c r="Y629" s="3" t="inlineStr">
        <is>
          <t>NOTHING OPEN</t>
        </is>
      </c>
    </row>
    <row r="630" ht="30" customHeight="1">
      <c r="A630" s="3" t="inlineStr">
        <is>
          <t>MK-XS-F-061</t>
        </is>
      </c>
      <c r="B630" s="3" t="inlineStr">
        <is>
          <t>resendVerification</t>
        </is>
      </c>
      <c r="C630" s="3" t="inlineStr">
        <is>
          <t>src/services/firebase.ts</t>
        </is>
      </c>
      <c r="D630" s="3" t="n">
        <v>130</v>
      </c>
      <c r="E630" s="3" t="inlineStr">
        <is>
          <t>1 · ACTION</t>
        </is>
      </c>
      <c r="F630" s="3" t="inlineStr">
        <is>
          <t>Resend the verification email to the signed-in user.</t>
        </is>
      </c>
      <c r="G630" s="11" t="inlineStr">
        <is>
          <t>sends the verification e-mail again to the signed-in person</t>
        </is>
      </c>
      <c r="H630" s="3" t="inlineStr">
        <is>
          <t>Resends the e-mail-verification message. Not a calculation.</t>
        </is>
      </c>
      <c r="I630" s="3" t="inlineStr">
        <is>
          <t>READ BY HAND 2026-08-26 — checked line by line against the code</t>
        </is>
      </c>
      <c r="J630" s="3" t="inlineStr">
        <is>
          <t>Nothing is handed to it</t>
        </is>
      </c>
      <c r="K630" s="3" t="inlineStr">
        <is>
          <t>NOT DECLARED — the code does not say what it gives back</t>
        </is>
      </c>
      <c r="L630" s="3" t="inlineStr">
        <is>
          <t>—</t>
        </is>
      </c>
      <c r="M630" s="3" t="inlineStr">
        <is>
          <t>None found in this function — anything it assumes comes from the functions it depends on.</t>
        </is>
      </c>
      <c r="N630" s="3" t="inlineStr">
        <is>
          <t>Yes</t>
        </is>
      </c>
      <c r="O630" s="3" t="inlineStr">
        <is>
          <t>—</t>
        </is>
      </c>
      <c r="P630" s="3" t="n">
        <v>0</v>
      </c>
      <c r="Q630" s="3" t="inlineStr">
        <is>
          <t>None — no dependent function stands behind it</t>
        </is>
      </c>
      <c r="R630" s="3" t="inlineStr">
        <is>
          <t>No dependent function — it reads its inputs and answers</t>
        </is>
      </c>
      <c r="S630" s="3" t="inlineStr">
        <is>
          <t>—</t>
        </is>
      </c>
      <c r="T630" s="3" t="inlineStr">
        <is>
          <t>—</t>
        </is>
      </c>
      <c r="U630" s="3" t="inlineStr">
        <is>
          <t>ACTIVE</t>
        </is>
      </c>
      <c r="V630" s="3" t="inlineStr">
        <is>
          <t>2026-09-12</t>
        </is>
      </c>
      <c r="W630" s="3" t="n"/>
      <c r="X630" s="3" t="n"/>
      <c r="Y630" s="3" t="inlineStr">
        <is>
          <t>NOTHING OPEN</t>
        </is>
      </c>
    </row>
    <row r="631" ht="60" customHeight="1">
      <c r="A631" s="3" t="inlineStr">
        <is>
          <t>MK-XS-F-062</t>
        </is>
      </c>
      <c r="B631" s="3" t="inlineStr">
        <is>
          <t>refreshEmailVerified</t>
        </is>
      </c>
      <c r="C631" s="3" t="inlineStr">
        <is>
          <t>src/services/firebase.ts</t>
        </is>
      </c>
      <c r="D631" s="3" t="n">
        <v>150</v>
      </c>
      <c r="E631" s="3" t="inlineStr">
        <is>
          <t>2 · DISPLAYED</t>
        </is>
      </c>
      <c r="F631" s="3" t="inlineStr">
        <is>
          <t>Re-check verification status from the server (call after the user clicks the email link).</t>
        </is>
      </c>
      <c r="G631" s="11" t="inlineStr">
        <is>
          <t>false   when auth.current user is missing
!!auth.current user.email verified</t>
        </is>
      </c>
      <c r="H631" s="3" t="inlineStr">
        <is>
          <t>When auth.current user is missing, it answers false. !!auth.current user.email verified.</t>
        </is>
      </c>
      <c r="I631" s="3" t="inlineStr">
        <is>
          <t>READ FROM THE CODE — rendered from the expressions the function runs</t>
        </is>
      </c>
      <c r="J631" s="3" t="inlineStr">
        <is>
          <t>Nothing is handed to it</t>
        </is>
      </c>
      <c r="K631" s="3" t="inlineStr">
        <is>
          <t>Promise&lt;boolean&gt;</t>
        </is>
      </c>
      <c r="L631"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631" s="3" t="inlineStr">
        <is>
          <t>None found in this function — anything it assumes comes from the functions it depends on.</t>
        </is>
      </c>
      <c r="N631" s="3" t="inlineStr">
        <is>
          <t>Yes</t>
        </is>
      </c>
      <c r="O631" s="3" t="inlineStr">
        <is>
          <t>—</t>
        </is>
      </c>
      <c r="P631" s="3" t="n">
        <v>0</v>
      </c>
      <c r="Q631" s="3" t="inlineStr">
        <is>
          <t>None — no dependent function stands behind it</t>
        </is>
      </c>
      <c r="R631" s="3" t="inlineStr">
        <is>
          <t>No dependent function — it reads its inputs and answers</t>
        </is>
      </c>
      <c r="S631" s="3" t="inlineStr">
        <is>
          <t>—</t>
        </is>
      </c>
      <c r="T631" s="3" t="inlineStr">
        <is>
          <t>—</t>
        </is>
      </c>
      <c r="U631" s="3" t="inlineStr">
        <is>
          <t>ACTIVE</t>
        </is>
      </c>
      <c r="V631" s="3" t="inlineStr">
        <is>
          <t>2026-08-27</t>
        </is>
      </c>
      <c r="W631" s="3" t="n"/>
      <c r="X631" s="3" t="n"/>
      <c r="Y631" s="3" t="inlineStr">
        <is>
          <t>NOTHING OPEN</t>
        </is>
      </c>
    </row>
    <row r="632" ht="60" customHeight="1">
      <c r="A632" s="3" t="inlineStr">
        <is>
          <t>MK-XS-F-063</t>
        </is>
      </c>
      <c r="B632" s="3" t="inlineStr">
        <is>
          <t>isEmailVerified</t>
        </is>
      </c>
      <c r="C632" s="3" t="inlineStr">
        <is>
          <t>src/services/firebase.ts</t>
        </is>
      </c>
      <c r="D632" s="3" t="n">
        <v>170</v>
      </c>
      <c r="E632" s="3" t="inlineStr">
        <is>
          <t>2 · DISPLAYED</t>
        </is>
      </c>
      <c r="F632" s="3" t="inlineStr">
        <is>
          <t>NOT DETERMINED — the code carries no note saying what this is for, and it has no row in the old inventory. Needs reading.</t>
        </is>
      </c>
      <c r="G632" s="11" t="inlineStr">
        <is>
          <t>!!auth.current user.email verified</t>
        </is>
      </c>
      <c r="H632" s="3" t="inlineStr">
        <is>
          <t>!!auth.current user.email verified.</t>
        </is>
      </c>
      <c r="I632" s="3" t="inlineStr">
        <is>
          <t>READ FROM THE CODE — rendered from the expressions the function runs</t>
        </is>
      </c>
      <c r="J632" s="3" t="inlineStr">
        <is>
          <t>Nothing is handed to it</t>
        </is>
      </c>
      <c r="K632" s="3" t="inlineStr">
        <is>
          <t>boolean</t>
        </is>
      </c>
      <c r="L632" s="3" t="inlineStr">
        <is>
          <t>NOT FOUND — a screen calls it, but the words printed beside its answer could not be traced automatically. Needs reading.</t>
        </is>
      </c>
      <c r="M632" s="3" t="inlineStr">
        <is>
          <t>None found in this function — anything it assumes comes from the functions it depends on.</t>
        </is>
      </c>
      <c r="N632" s="3" t="inlineStr">
        <is>
          <t>Yes</t>
        </is>
      </c>
      <c r="O632" s="3" t="inlineStr">
        <is>
          <t>—</t>
        </is>
      </c>
      <c r="P632" s="3" t="n">
        <v>0</v>
      </c>
      <c r="Q632" s="3" t="inlineStr">
        <is>
          <t>None — no dependent function stands behind it</t>
        </is>
      </c>
      <c r="R632" s="3" t="inlineStr">
        <is>
          <t>No dependent function — it reads its inputs and answers</t>
        </is>
      </c>
      <c r="S632" s="3" t="inlineStr">
        <is>
          <t>—</t>
        </is>
      </c>
      <c r="T632" s="3" t="inlineStr">
        <is>
          <t>—</t>
        </is>
      </c>
      <c r="U632" s="3" t="inlineStr">
        <is>
          <t>ACTIVE</t>
        </is>
      </c>
      <c r="V632" s="3" t="inlineStr">
        <is>
          <t>2026-08-27</t>
        </is>
      </c>
      <c r="W632" s="3" t="n"/>
      <c r="X632" s="3" t="n"/>
      <c r="Y632" s="3" t="inlineStr">
        <is>
          <t>NOTHING OPEN</t>
        </is>
      </c>
    </row>
    <row r="633" ht="60" customHeight="1">
      <c r="A633" s="3" t="inlineStr">
        <is>
          <t>MK-XS-F-064</t>
        </is>
      </c>
      <c r="B633" s="3" t="inlineStr">
        <is>
          <t>currentIdToken</t>
        </is>
      </c>
      <c r="C633" s="3" t="inlineStr">
        <is>
          <t>src/services/firebase.ts</t>
        </is>
      </c>
      <c r="D633" s="3" t="n">
        <v>204</v>
      </c>
      <c r="E633" s="3" t="inlineStr">
        <is>
          <t>3 · DEPENDENT (feeds an action only)</t>
        </is>
      </c>
      <c r="F633" s="3" t="inlineStr">
        <is>
          <t>The email of the account currently signed in to Firebase — the authoritative identity that account-level actions (delete, reauth) operate on.</t>
        </is>
      </c>
      <c r="G633" s="11" t="inlineStr">
        <is>
          <t>the answer = the signed-in person's identity token, or nothing</t>
        </is>
      </c>
      <c r="H633" s="3" t="inlineStr">
        <is>
          <t>The signed-in person's identity token for the relay, or nothing when nobody is signed in. Not a calculation.</t>
        </is>
      </c>
      <c r="I633" s="3" t="inlineStr">
        <is>
          <t>READ BY HAND 2026-08-26 — checked line by line against the code</t>
        </is>
      </c>
      <c r="J633" s="3" t="inlineStr">
        <is>
          <t>Nothing is handed to it</t>
        </is>
      </c>
      <c r="K633" s="3" t="inlineStr">
        <is>
          <t>Promise&lt;string | null&gt;</t>
        </is>
      </c>
      <c r="L633" s="3" t="inlineStr">
        <is>
          <t>—</t>
        </is>
      </c>
      <c r="M633" s="3" t="inlineStr">
        <is>
          <t>None found in this function — anything it assumes comes from the functions it depends on.</t>
        </is>
      </c>
      <c r="N633" s="3" t="inlineStr">
        <is>
          <t>No</t>
        </is>
      </c>
      <c r="O633" s="3" t="inlineStr">
        <is>
          <t>—</t>
        </is>
      </c>
      <c r="P633" s="3" t="n">
        <v>0</v>
      </c>
      <c r="Q633" s="3" t="inlineStr">
        <is>
          <t>None — no dependent function stands behind it</t>
        </is>
      </c>
      <c r="R633" s="3" t="inlineStr">
        <is>
          <t>No dependent function — it reads its inputs and answers</t>
        </is>
      </c>
      <c r="S633" s="3" t="inlineStr">
        <is>
          <t>—</t>
        </is>
      </c>
      <c r="T633" s="3" t="inlineStr">
        <is>
          <t>—</t>
        </is>
      </c>
      <c r="U633" s="3" t="inlineStr">
        <is>
          <t>ACTIVE</t>
        </is>
      </c>
      <c r="V633" s="3" t="inlineStr">
        <is>
          <t>2026-09-12</t>
        </is>
      </c>
      <c r="W633" s="3" t="n"/>
      <c r="X633" s="3" t="n"/>
      <c r="Y633" s="3" t="inlineStr">
        <is>
          <t>NOTHING OPEN</t>
        </is>
      </c>
    </row>
    <row r="634" ht="60" customHeight="1">
      <c r="A634" s="3" t="inlineStr">
        <is>
          <t>MK-XS-F-065</t>
        </is>
      </c>
      <c r="B634" s="3" t="inlineStr">
        <is>
          <t>currentUserEmail</t>
        </is>
      </c>
      <c r="C634" s="3" t="inlineStr">
        <is>
          <t>src/services/firebase.ts</t>
        </is>
      </c>
      <c r="D634" s="3" t="n">
        <v>223</v>
      </c>
      <c r="E634" s="3" t="inlineStr">
        <is>
          <t>2 · DISPLAYED</t>
        </is>
      </c>
      <c r="F634" s="3" t="inlineStr">
        <is>
          <t>NOT DETERMINED — the code carries no note saying what this is for, and it has no row in the old inventory. Needs reading.</t>
        </is>
      </c>
      <c r="G634" s="11" t="inlineStr">
        <is>
          <t>auth.current user.email (or nothing when missing)</t>
        </is>
      </c>
      <c r="H634" s="3" t="inlineStr">
        <is>
          <t>auth.current user.email (or no answer — when missing).</t>
        </is>
      </c>
      <c r="I634" s="3" t="inlineStr">
        <is>
          <t>PARTLY READ — some of the code is still showing through; needs a hand pass</t>
        </is>
      </c>
      <c r="J634" s="3" t="inlineStr">
        <is>
          <t>Nothing is handed to it</t>
        </is>
      </c>
      <c r="K634" s="3" t="inlineStr">
        <is>
          <t>string | null</t>
        </is>
      </c>
      <c r="L634" s="3" t="inlineStr">
        <is>
          <t>"Confirm account deletion" — on the Settings screen, under "Account"</t>
        </is>
      </c>
      <c r="M634" s="3" t="inlineStr">
        <is>
          <t>None found in this function — anything it assumes comes from the functions it depends on.</t>
        </is>
      </c>
      <c r="N634" s="3" t="inlineStr">
        <is>
          <t>Yes</t>
        </is>
      </c>
      <c r="O634" s="3" t="inlineStr">
        <is>
          <t>—</t>
        </is>
      </c>
      <c r="P634" s="3" t="n">
        <v>0</v>
      </c>
      <c r="Q634" s="3" t="inlineStr">
        <is>
          <t>None — no dependent function stands behind it</t>
        </is>
      </c>
      <c r="R634" s="3" t="inlineStr">
        <is>
          <t>No dependent function — it reads its inputs and answers</t>
        </is>
      </c>
      <c r="S634" s="3" t="inlineStr">
        <is>
          <t>—</t>
        </is>
      </c>
      <c r="T634" s="3" t="inlineStr">
        <is>
          <t>—</t>
        </is>
      </c>
      <c r="U634" s="3" t="inlineStr">
        <is>
          <t>ACTIVE</t>
        </is>
      </c>
      <c r="V634" s="3" t="inlineStr">
        <is>
          <t>2026-08-27</t>
        </is>
      </c>
      <c r="W634" s="3" t="n"/>
      <c r="X634" s="3" t="n"/>
      <c r="Y634" s="3" t="inlineStr">
        <is>
          <t>NOTHING OPEN</t>
        </is>
      </c>
    </row>
    <row r="635" ht="60" customHeight="1">
      <c r="A635" s="3" t="inlineStr">
        <is>
          <t>MK-XS-F-066</t>
        </is>
      </c>
      <c r="B635" s="3" t="inlineStr">
        <is>
          <t>loginUser</t>
        </is>
      </c>
      <c r="C635" s="3" t="inlineStr">
        <is>
          <t>src/services/firebase.ts</t>
        </is>
      </c>
      <c r="D635" s="3" t="n">
        <v>255</v>
      </c>
      <c r="E635" s="3" t="inlineStr">
        <is>
          <t>4 · BRINGS DATA IN</t>
        </is>
      </c>
      <c r="F635" s="3" t="inlineStr">
        <is>
          <t>Returns the user plus the unlock status: • needsRecovery=true → the password can't open the data (it was reset); prompt for the recovery code.</t>
        </is>
      </c>
      <c r="G635" s="11"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635"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635" s="3" t="inlineStr">
        <is>
          <t>PARTLY READ — some of the code is still showing through; needs a hand pass</t>
        </is>
      </c>
      <c r="J635" s="3" t="inlineStr">
        <is>
          <t>1. email: string
2. password: string
3. onCodeReady?: (code: string) =&gt; void</t>
        </is>
      </c>
      <c r="K635" s="3" t="inlineStr">
        <is>
          <t>Promise&lt;</t>
        </is>
      </c>
      <c r="L635" s="3" t="inlineStr">
        <is>
          <t>—</t>
        </is>
      </c>
      <c r="M635" s="3" t="inlineStr">
        <is>
          <t>None found in this function — anything it assumes comes from the functions it depends on.</t>
        </is>
      </c>
      <c r="N635" s="3" t="inlineStr">
        <is>
          <t>Yes</t>
        </is>
      </c>
      <c r="O635" s="3" t="inlineStr">
        <is>
          <t>1. MK-XS-F-041 cacheDataKey
2. MK-XS-F-044 generateDataKey
3. MK-XS-F-045 generateRecoveryCode
4. MK-XS-F-046 makeEnvelope
5. MK-XS-F-060 registerUser
6. MK-XS-F-175 uid
7. MK-XS-F-047 unwrapWithPassword</t>
        </is>
      </c>
      <c r="P635" s="3" t="n">
        <v>100</v>
      </c>
      <c r="Q635"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MK-ST-F-084 fillBetweenObservations
21. MK-PL-F-013 goalsFromOnboarding
22. MK-ST-F-056 has
23. MK-CF-F-116 inverseOf
24. MK-ST-F-065 isoLocalDate
25. MK-CF-F-112 makeTransaction
26. MK-CF-F-132 map
27. MK-XS-F-122 n
28. MK-ST-F-043 newEntityId
29. MK-XS-F-006 pruneDaily
30. MK-ST-F-073 rebuildDays
31. MK-NW-F-054 reclassifyAccounts
32. MK-XS-F-174 recomputeBalances
33. MK-CF-F-115 restoreUndo
34. MK-CF-F-109 reviewTransactions
35. MK-ST-F-044 setMoneyFormat
36. MK-CF-F-114 undoSnapshot
37. MK-CF-F-191 ym
38. MK-XS-F-053 decryptWithKey
39. MK-XS-F-138 deriveKeyFromSecret
40. MK-XS-F-052 encryptWithKey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MK-ST-F-039 on
58. MK-ST-F-071 rebuildableFrom
59. MK-ST-F-068 stepDay
60. MK-ST-F-072 undo
61. MK-NW-F-053 correctClassOf
62. MK-NW-F-123 holdingNameEvidence
63. MK-NW-F-121 holdingTagClass
64. MK-NW-F-122 holdingTagFor
65. MK-PF-F-002 costBasis
66. MK-PF-F-009 latestClose
67. MK-PF-F-004 marketValue
68. MK-ST-F-030 record
69. MK-XS-F-024 resolveLens
70. MK-ST-F-055 round2
71. MK-CF-F-162 daysApart
72. MK-CF-F-108 isMoneyOut
73. MK-PL-F-074 median
74. MK-CF-F-131 normPayee
75. MK-CF-F-113 affectedAccountIds
76. MK-XS-F-051 isEncrypted
77. MK-CF-F-134 usesSleeve
78. MK-ST-F-049 formatMoney
79. MK-CF-F-101 taxOwedFor
80. MK-ST-F-067 utcOfDay
81. MK-CF-F-155 cash
82. MK-ST-F-035 covers
83. MK-NW-F-120 classEvidenceOf
84. MK-NW-F-008 incomeBearingClassOf
85. MK-PF-F-031 contractMultiplier
86. MK-CF-F-072 currentRetirementIncomeMonthly
87. MK-ST-F-048 currencySymbol
88. MK-CF-F-100 taxableIncomeFor
89. MK-ST-F-034 firstDate
90. MK-NW-F-009 maturityClass
91. MK-ST-F-010 nameEvidence
92. MK-CF-F-075 retirementIncomeMonthly
93. MK-ST-F-047 activeCurrency
94. MK-CF-F-099 deductionFor
95. MK-NW-F-011 assetClassOf
96. MK-NW-F-068 prettyDay
97. MK-XS-F-147 call
98. MK-CF-F-187 seniorDeductionFor
99. MK-XS-F-064 currentIdToken
100. MK-XS-F-112 relayUrl</t>
        </is>
      </c>
      <c r="R635" s="3" t="inlineStr">
        <is>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is>
      </c>
      <c r="S635" s="3" t="inlineStr">
        <is>
          <t>—</t>
        </is>
      </c>
      <c r="T635" s="3" t="inlineStr">
        <is>
          <t>—</t>
        </is>
      </c>
      <c r="U635" s="3" t="inlineStr">
        <is>
          <t>ACTIVE</t>
        </is>
      </c>
      <c r="V635" s="3" t="inlineStr">
        <is>
          <t>2026-08-27</t>
        </is>
      </c>
      <c r="W635" s="3" t="n"/>
      <c r="X635" s="3" t="n"/>
      <c r="Y635" s="3" t="inlineStr">
        <is>
          <t>NOTHING OPEN</t>
        </is>
      </c>
    </row>
    <row r="636" ht="60" customHeight="1">
      <c r="A636" s="3" t="inlineStr">
        <is>
          <t>MK-XS-F-067</t>
        </is>
      </c>
      <c r="B636" s="3" t="inlineStr">
        <is>
          <t>restoreWithRecoveryCode</t>
        </is>
      </c>
      <c r="C636" s="3" t="inlineStr">
        <is>
          <t>src/services/firebase.ts</t>
        </is>
      </c>
      <c r="D636" s="3" t="n">
        <v>303</v>
      </c>
      <c r="E636" s="3" t="inlineStr">
        <is>
          <t>4 · BRINGS DATA IN</t>
        </is>
      </c>
      <c r="F636" s="3" t="inlineStr">
        <is>
          <t>After a password reset, restore data access with the recovery code, then re-lock the data under the NEW password.</t>
        </is>
      </c>
      <c r="G636" s="11" t="inlineStr">
        <is>
          <t>u = auth.current user
snap = await get doc(doc(db, 'users', uid))
env = (snap.data() as any).key envelope   if snap.exists()
undefined   otherwise
dek = unwrap with recovery(env, uid, recovery code)</t>
        </is>
      </c>
      <c r="H636" s="3" t="inlineStr">
        <is>
          <t>U is auth.current user. Snap is await get doc(doc(db, 'users', uid)). Env is (snap.data() as any).key envelope — when snap.exists(); undefined — otherwise. Dek is unwrap with recovery(env, uid, recovery code).</t>
        </is>
      </c>
      <c r="I636" s="3" t="inlineStr">
        <is>
          <t>PARTLY READ — some of the code is still showing through; needs a hand pass</t>
        </is>
      </c>
      <c r="J636" s="3" t="inlineStr">
        <is>
          <t>1. recoveryCode: string
2. newPassword: string</t>
        </is>
      </c>
      <c r="K636" s="3" t="inlineStr">
        <is>
          <t>Promise&lt;void&gt;</t>
        </is>
      </c>
      <c r="L636" s="3" t="inlineStr">
        <is>
          <t>—</t>
        </is>
      </c>
      <c r="M636" s="3" t="inlineStr">
        <is>
          <t>None found in this function — anything it assumes comes from the functions it depends on.</t>
        </is>
      </c>
      <c r="N636" s="3" t="inlineStr">
        <is>
          <t>Yes</t>
        </is>
      </c>
      <c r="O636" s="3" t="inlineStr">
        <is>
          <t>1. MK-XS-F-041 cacheDataKey
2. MK-XS-F-049 rewrapPassword
3. MK-XS-F-175 uid
4. MK-XS-F-048 unwrapWithRecovery</t>
        </is>
      </c>
      <c r="P636" s="3" t="n">
        <v>97</v>
      </c>
      <c r="Q636"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MK-XS-F-053 decryptWithKey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MK-NW-F-123 holdingNameEvidence
60. MK-NW-F-121 holdingTagClass
61. MK-NW-F-122 holdingTagFor
62. MK-PF-F-002 costBasis
63. MK-PF-F-009 latestClose
64. MK-PF-F-004 marketValue
65. MK-ST-F-030 record
66. MK-XS-F-024 resolveLens
67. MK-ST-F-055 round2
68. MK-CF-F-162 daysApart
69. MK-CF-F-108 isMoneyOut
70. MK-PL-F-074 median
71. MK-CF-F-131 normPayee
72. MK-CF-F-113 affectedAccountIds
73. MK-XS-F-051 isEncrypted
74. MK-CF-F-134 usesSleeve
75. MK-ST-F-049 formatMoney
76. MK-CF-F-101 taxOwedFor
77. MK-ST-F-067 utcOfDay
78. MK-CF-F-155 cash
79. MK-ST-F-035 covers
80. MK-NW-F-120 classEvidenceOf
81. MK-NW-F-008 incomeBearingClassOf
82. MK-PF-F-031 contractMultiplier
83. MK-CF-F-072 currentRetirementIncomeMonthly
84. MK-ST-F-048 currencySymbol
85. MK-CF-F-100 taxableIncomeFor
86. MK-ST-F-034 firstDate
87. MK-NW-F-009 maturityClass
88. MK-ST-F-010 nameEvidence
89. MK-CF-F-075 retirementIncomeMonthly
90. MK-ST-F-047 activeCurrency
91. MK-CF-F-099 deductionFor
92. MK-NW-F-011 assetClassOf
93. MK-NW-F-068 prettyDay
94. MK-XS-F-147 call
95. MK-CF-F-187 seniorDeductionFor
96. MK-XS-F-064 currentIdToken
97. MK-XS-F-112 relayUrl</t>
        </is>
      </c>
      <c r="R636" s="3" t="inlineStr">
        <is>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is>
      </c>
      <c r="S636" s="3" t="inlineStr">
        <is>
          <t>—</t>
        </is>
      </c>
      <c r="T636" s="3" t="inlineStr">
        <is>
          <t>—</t>
        </is>
      </c>
      <c r="U636" s="3" t="inlineStr">
        <is>
          <t>ACTIVE</t>
        </is>
      </c>
      <c r="V636" s="3" t="inlineStr">
        <is>
          <t>2026-08-27</t>
        </is>
      </c>
      <c r="W636" s="3" t="n"/>
      <c r="X636" s="3" t="n"/>
      <c r="Y636" s="3" t="inlineStr">
        <is>
          <t>NOTHING OPEN</t>
        </is>
      </c>
    </row>
    <row r="637" ht="60" customHeight="1">
      <c r="A637" s="3" t="inlineStr">
        <is>
          <t>MK-XS-F-068</t>
        </is>
      </c>
      <c r="B637" s="3" t="inlineStr">
        <is>
          <t>regenerateRecoveryCode</t>
        </is>
      </c>
      <c r="C637" s="3" t="inlineStr">
        <is>
          <t>src/services/firebase.ts</t>
        </is>
      </c>
      <c r="D637" s="3" t="n">
        <v>338</v>
      </c>
      <c r="E637" s="3" t="inlineStr">
        <is>
          <t>4 · BRINGS DATA IN</t>
        </is>
      </c>
      <c r="F637" s="3" t="inlineStr">
        <is>
          <t>Issue a NEW recovery code for the signed-in user (the old one stops working).</t>
        </is>
      </c>
      <c r="G637" s="11" t="inlineStr">
        <is>
          <t>u = auth.current user
dek = await get data key()
snap = await get doc(doc(db, 'users', uid))
env = snap.exists() and (snap.data() as any).key envelope (or p = ''
r = '' when missing or zero)
recovery code = generate recovery code()
the answer = recovery code</t>
        </is>
      </c>
      <c r="H637" s="3" t="inlineStr">
        <is>
          <t>U is auth.current user. Dek is await get data key(). Snap is await get doc(doc(db, 'users', uid)). Env is snap.exists() and (snap.data() as any).key envelope (or p = ''; r = '' — when missing or zero). Recovery code is generate recovery code(). The answer is recovery code.</t>
        </is>
      </c>
      <c r="I637" s="3" t="inlineStr">
        <is>
          <t>PARTLY READ — some of the code is still showing through; needs a hand pass</t>
        </is>
      </c>
      <c r="J637" s="3" t="inlineStr">
        <is>
          <t>Nothing is handed to it</t>
        </is>
      </c>
      <c r="K637" s="3" t="inlineStr">
        <is>
          <t>Promise&lt;string&gt;</t>
        </is>
      </c>
      <c r="L637" s="3" t="inlineStr">
        <is>
          <t>—</t>
        </is>
      </c>
      <c r="M637" s="3" t="inlineStr">
        <is>
          <t>None found in this function — anything it assumes comes from the functions it depends on.</t>
        </is>
      </c>
      <c r="N637" s="3" t="inlineStr">
        <is>
          <t>Yes</t>
        </is>
      </c>
      <c r="O637" s="3" t="inlineStr">
        <is>
          <t>1. MK-XS-F-045 generateRecoveryCode
2. MK-XS-F-042 getDataKey
3. MK-XS-F-050 rewrapRecovery
4. MK-XS-F-175 uid</t>
        </is>
      </c>
      <c r="P637" s="3" t="n">
        <v>95</v>
      </c>
      <c r="Q637"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MK-XS-F-138 deriveKeyFromSecret
36. MK-XS-F-052 encryptWithKey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MK-ST-F-039 on
54. MK-ST-F-071 rebuildableFrom
55. MK-ST-F-068 stepDay
56. MK-ST-F-072 undo
57. MK-NW-F-053 correctClassOf
58. MK-NW-F-123 holdingNameEvidence
59. MK-NW-F-121 holdingTagClass
60. MK-NW-F-122 holdingTagFor
61. MK-PF-F-002 costBasis
62. MK-PF-F-009 latestClose
63. MK-PF-F-004 marketValue
64. MK-ST-F-030 record
65. MK-XS-F-024 resolveLens
66. MK-ST-F-055 round2
67. MK-CF-F-162 daysApart
68. MK-CF-F-108 isMoneyOut
69. MK-PL-F-074 median
70. MK-CF-F-131 normPayee
71. MK-CF-F-113 affectedAccountIds
72. MK-CF-F-134 usesSleeve
73. MK-ST-F-049 formatMoney
74. MK-CF-F-101 taxOwedFor
75. MK-ST-F-067 utcOfDay
76. MK-CF-F-155 cash
77. MK-ST-F-035 covers
78. MK-NW-F-120 classEvidenceOf
79. MK-NW-F-008 incomeBearingClassOf
80. MK-PF-F-031 contractMultiplier
81. MK-CF-F-072 currentRetirementIncomeMonthly
82. MK-ST-F-048 currencySymbol
83. MK-CF-F-100 taxableIncomeFor
84. MK-ST-F-034 firstDate
85. MK-NW-F-009 maturityClass
86. MK-ST-F-010 nameEvidence
87. MK-CF-F-075 retirementIncomeMonthly
88. MK-ST-F-047 activeCurrency
89. MK-CF-F-099 deductionFor
90. MK-NW-F-011 assetClassOf
91. MK-NW-F-068 prettyDay
92. MK-XS-F-147 call
93. MK-CF-F-187 seniorDeductionFor
94. MK-XS-F-064 currentIdToken
95. MK-XS-F-112 relayUrl</t>
        </is>
      </c>
      <c r="R637" s="3" t="inlineStr">
        <is>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is>
      </c>
      <c r="S637" s="3" t="inlineStr">
        <is>
          <t>—</t>
        </is>
      </c>
      <c r="T637" s="3" t="inlineStr">
        <is>
          <t>—</t>
        </is>
      </c>
      <c r="U637" s="3" t="inlineStr">
        <is>
          <t>ACTIVE</t>
        </is>
      </c>
      <c r="V637" s="3" t="inlineStr">
        <is>
          <t>2026-08-27</t>
        </is>
      </c>
      <c r="W637" s="3" t="n"/>
      <c r="X637" s="3" t="n"/>
      <c r="Y637" s="3" t="inlineStr">
        <is>
          <t>NOTHING OPEN</t>
        </is>
      </c>
    </row>
    <row r="638" ht="60" customHeight="1">
      <c r="A638" s="3" t="inlineStr">
        <is>
          <t>MK-XS-F-069</t>
        </is>
      </c>
      <c r="B638" s="3" t="inlineStr">
        <is>
          <t>logoutUser</t>
        </is>
      </c>
      <c r="C638" s="3" t="inlineStr">
        <is>
          <t>src/services/firebase.ts</t>
        </is>
      </c>
      <c r="D638" s="3" t="n">
        <v>365</v>
      </c>
      <c r="E638" s="3" t="inlineStr">
        <is>
          <t>1 · ACTION</t>
        </is>
      </c>
      <c r="F638" s="3" t="inlineStr">
        <is>
          <t>NOT DETERMINED — the code carries no note saying what this is for, and it has no row in the old inventory. Needs reading.</t>
        </is>
      </c>
      <c r="G638" s="11" t="inlineStr">
        <is>
          <t>clears the data key, then signs out</t>
        </is>
      </c>
      <c r="H638" s="3" t="inlineStr">
        <is>
          <t>Forgets the decryption key and signs the person out. Not a calculation.</t>
        </is>
      </c>
      <c r="I638" s="3" t="inlineStr">
        <is>
          <t>READ BY HAND 2026-08-26 — checked line by line against the code</t>
        </is>
      </c>
      <c r="J638" s="3" t="inlineStr">
        <is>
          <t>Nothing is handed to it</t>
        </is>
      </c>
      <c r="K638" s="3" t="inlineStr">
        <is>
          <t>NOT DECLARED — the code does not say what it gives back</t>
        </is>
      </c>
      <c r="L638" s="3" t="inlineStr">
        <is>
          <t>—</t>
        </is>
      </c>
      <c r="M638" s="3" t="inlineStr">
        <is>
          <t>None found in this function — anything it assumes comes from the functions it depends on.</t>
        </is>
      </c>
      <c r="N638" s="3" t="inlineStr">
        <is>
          <t>Yes</t>
        </is>
      </c>
      <c r="O638" s="3" t="inlineStr">
        <is>
          <t>MK-XS-F-043 clearDataKey</t>
        </is>
      </c>
      <c r="P638" s="3" t="n">
        <v>2</v>
      </c>
      <c r="Q638" s="3" t="inlineStr">
        <is>
          <t>1. MK-XS-F-043 clearDataKey
2. MK-XS-F-137 secureDelete</t>
        </is>
      </c>
      <c r="R638" s="3" t="inlineStr">
        <is>
          <t>MK-XS-F-137 secureDelete → MK-XS-F-043 clearDataKey → MK-XS-F-069 logoutUser</t>
        </is>
      </c>
      <c r="S638" s="3" t="inlineStr">
        <is>
          <t>—</t>
        </is>
      </c>
      <c r="T638" s="3" t="inlineStr">
        <is>
          <t>—</t>
        </is>
      </c>
      <c r="U638" s="3" t="inlineStr">
        <is>
          <t>ACTIVE</t>
        </is>
      </c>
      <c r="V638" s="3" t="inlineStr">
        <is>
          <t>2026-09-12</t>
        </is>
      </c>
      <c r="W638" s="3" t="n"/>
      <c r="X638" s="3" t="n"/>
      <c r="Y638" s="3" t="inlineStr">
        <is>
          <t>NOTHING OPEN</t>
        </is>
      </c>
    </row>
    <row r="639" ht="60" customHeight="1">
      <c r="A639" s="3" t="inlineStr">
        <is>
          <t>MK-XS-F-070</t>
        </is>
      </c>
      <c r="B639" s="3" t="inlineStr">
        <is>
          <t>resetPassword</t>
        </is>
      </c>
      <c r="C639" s="3" t="inlineStr">
        <is>
          <t>src/services/firebase.ts</t>
        </is>
      </c>
      <c r="D639" s="3" t="n">
        <v>385</v>
      </c>
      <c r="E639" s="3" t="inlineStr">
        <is>
          <t>1 · ACTION</t>
        </is>
      </c>
      <c r="F639" s="3" t="inlineStr">
        <is>
          <t>NOT DETERMINED — the code carries no note saying what this is for, and it has no row in the old inventory. Needs reading.</t>
        </is>
      </c>
      <c r="G639" s="11" t="inlineStr">
        <is>
          <t>sends a password-reset e-mail to the address</t>
        </is>
      </c>
      <c r="H639" s="3" t="inlineStr">
        <is>
          <t>Sends the password-reset e-mail. Not a calculation.</t>
        </is>
      </c>
      <c r="I639" s="3" t="inlineStr">
        <is>
          <t>READ BY HAND 2026-08-26 — checked line by line against the code</t>
        </is>
      </c>
      <c r="J639" s="3" t="inlineStr">
        <is>
          <t>email: string</t>
        </is>
      </c>
      <c r="K639" s="3" t="inlineStr">
        <is>
          <t>NOT DECLARED — the code does not say what it gives back</t>
        </is>
      </c>
      <c r="L639" s="3" t="inlineStr">
        <is>
          <t>—</t>
        </is>
      </c>
      <c r="M639" s="3" t="inlineStr">
        <is>
          <t>None found in this function — anything it assumes comes from the functions it depends on.</t>
        </is>
      </c>
      <c r="N639" s="3" t="inlineStr">
        <is>
          <t>Yes</t>
        </is>
      </c>
      <c r="O639" s="3" t="inlineStr">
        <is>
          <t>—</t>
        </is>
      </c>
      <c r="P639" s="3" t="n">
        <v>0</v>
      </c>
      <c r="Q639" s="3" t="inlineStr">
        <is>
          <t>None — no dependent function stands behind it</t>
        </is>
      </c>
      <c r="R639" s="3" t="inlineStr">
        <is>
          <t>No dependent function — it reads its inputs and answers</t>
        </is>
      </c>
      <c r="S639" s="3" t="inlineStr">
        <is>
          <t>—</t>
        </is>
      </c>
      <c r="T639" s="3" t="inlineStr">
        <is>
          <t>—</t>
        </is>
      </c>
      <c r="U639" s="3" t="inlineStr">
        <is>
          <t>ACTIVE</t>
        </is>
      </c>
      <c r="V639" s="3" t="inlineStr">
        <is>
          <t>2026-09-12</t>
        </is>
      </c>
      <c r="W639" s="3" t="n"/>
      <c r="X639" s="3" t="n"/>
      <c r="Y639" s="3" t="inlineStr">
        <is>
          <t>NOTHING OPEN</t>
        </is>
      </c>
    </row>
    <row r="640" ht="60" customHeight="1">
      <c r="A640" s="3" t="inlineStr">
        <is>
          <t>MK-XS-F-071</t>
        </is>
      </c>
      <c r="B640" s="3" t="inlineStr">
        <is>
          <t>onAuthChange</t>
        </is>
      </c>
      <c r="C640" s="3" t="inlineStr">
        <is>
          <t>src/services/firebase.ts</t>
        </is>
      </c>
      <c r="D640" s="3" t="n">
        <v>404</v>
      </c>
      <c r="E640" s="3" t="inlineStr">
        <is>
          <t>2 · DISPLAYED</t>
        </is>
      </c>
      <c r="F640" s="3" t="inlineStr">
        <is>
          <t>NOT DETERMINED — the code carries no note saying what this is for, and it has no row in the old inventory. Needs reading.</t>
        </is>
      </c>
      <c r="G640" s="11" t="inlineStr">
        <is>
          <t>on auth state changed(auth, callback)</t>
        </is>
      </c>
      <c r="H640" s="3" t="inlineStr">
        <is>
          <t>on auth state changed(auth, callback).</t>
        </is>
      </c>
      <c r="I640" s="3" t="inlineStr">
        <is>
          <t>READ FROM THE CODE — rendered from the expressions the function runs</t>
        </is>
      </c>
      <c r="J640" s="3" t="inlineStr">
        <is>
          <t>callback: (user: any) =&gt; void</t>
        </is>
      </c>
      <c r="K640" s="3" t="inlineStr">
        <is>
          <t>NOT DECLARED — the code does not say what it gives back</t>
        </is>
      </c>
      <c r="L640" s="3" t="inlineStr">
        <is>
          <t>NOT FOUND — a screen calls it, but the words printed beside its answer could not be traced automatically. Needs reading.</t>
        </is>
      </c>
      <c r="M640" s="3" t="inlineStr">
        <is>
          <t>None found in this function — anything it assumes comes from the functions it depends on.</t>
        </is>
      </c>
      <c r="N640" s="3" t="inlineStr">
        <is>
          <t>Yes</t>
        </is>
      </c>
      <c r="O640" s="3" t="inlineStr">
        <is>
          <t>—</t>
        </is>
      </c>
      <c r="P640" s="3" t="n">
        <v>0</v>
      </c>
      <c r="Q640" s="3" t="inlineStr">
        <is>
          <t>None — no dependent function stands behind it</t>
        </is>
      </c>
      <c r="R640" s="3" t="inlineStr">
        <is>
          <t>No dependent function — it reads its inputs and answers</t>
        </is>
      </c>
      <c r="S640" s="3" t="inlineStr">
        <is>
          <t>—</t>
        </is>
      </c>
      <c r="T640" s="3" t="inlineStr">
        <is>
          <t>—</t>
        </is>
      </c>
      <c r="U640" s="3" t="inlineStr">
        <is>
          <t>ACTIVE</t>
        </is>
      </c>
      <c r="V640" s="3" t="inlineStr">
        <is>
          <t>2026-08-27</t>
        </is>
      </c>
      <c r="W640" s="3" t="n"/>
      <c r="X640" s="3" t="n"/>
      <c r="Y640" s="3" t="inlineStr">
        <is>
          <t>NOTHING OPEN</t>
        </is>
      </c>
    </row>
    <row r="641" ht="60" customHeight="1">
      <c r="A641" s="3" t="inlineStr">
        <is>
          <t>MK-XS-F-072</t>
        </is>
      </c>
      <c r="B641" s="3" t="inlineStr">
        <is>
          <t>deleteAccount</t>
        </is>
      </c>
      <c r="C641" s="3" t="inlineStr">
        <is>
          <t>src/services/firebase.ts</t>
        </is>
      </c>
      <c r="D641" s="3" t="n">
        <v>429</v>
      </c>
      <c r="E641" s="3" t="inlineStr">
        <is>
          <t>1 · ACTION</t>
        </is>
      </c>
      <c r="F641" s="3" t="inlineStr">
        <is>
          <t>Permanently delete the signed-in user's account (App Store Guideline 5.1.1(v)).</t>
        </is>
      </c>
      <c r="G641" s="11" t="inlineStr">
        <is>
          <t>u = auth.current user
cred = email auth provider.credential(email, password)
root = await load user root(uid)</t>
        </is>
      </c>
      <c r="H641" s="3" t="inlineStr">
        <is>
          <t>U is auth.current user. Cred is email auth provider.credential(email, password). Root is await load user root(uid).</t>
        </is>
      </c>
      <c r="I641" s="3" t="inlineStr">
        <is>
          <t>PARTLY READ — some of the code is still showing through; needs a hand pass</t>
        </is>
      </c>
      <c r="J641" s="3" t="inlineStr">
        <is>
          <t>password: string</t>
        </is>
      </c>
      <c r="K641" s="3" t="inlineStr">
        <is>
          <t>Promise&lt;void&gt;</t>
        </is>
      </c>
      <c r="L641" s="3" t="inlineStr">
        <is>
          <t>—</t>
        </is>
      </c>
      <c r="M641" s="3" t="inlineStr">
        <is>
          <t>None found in this function — anything it assumes comes from the functions it depends on.</t>
        </is>
      </c>
      <c r="N641" s="3" t="inlineStr">
        <is>
          <t>Yes</t>
        </is>
      </c>
      <c r="O641" s="3" t="inlineStr">
        <is>
          <t>1. MK-XS-F-035 authenticate
2. MK-XS-F-043 clearDataKey
3. MK-XS-F-079 loadUserRoot
4. MK-XS-F-175 uid</t>
        </is>
      </c>
      <c r="P641" s="3" t="n">
        <v>98</v>
      </c>
      <c r="Q641"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MK-XS-F-053 decryptWithKey
37. MK-XS-F-042 getDataKey
38. MK-XS-F-051 isEncrypted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MK-ST-F-039 on
56. MK-ST-F-071 rebuildableFrom
57. MK-ST-F-068 stepDay
58. MK-ST-F-072 undo
59. MK-NW-F-053 correctClassOf
60. MK-NW-F-123 holdingNameEvidence
61. MK-NW-F-121 holdingTagClass
62. MK-NW-F-122 holdingTagFor
63. MK-PF-F-002 costBasis
64. MK-PF-F-009 latestClose
65. MK-PF-F-004 marketValue
66. MK-ST-F-030 record
67. MK-XS-F-024 resolveLens
68. MK-ST-F-055 round2
69. MK-CF-F-162 daysApart
70. MK-CF-F-108 isMoneyOut
71. MK-PL-F-074 median
72. MK-CF-F-131 normPayee
73. MK-CF-F-113 affectedAccountIds
74. MK-XS-F-135 secureGet
75. MK-CF-F-134 usesSleeve
76. MK-ST-F-049 formatMoney
77. MK-CF-F-101 taxOwedFor
78. MK-ST-F-067 utcOfDay
79. MK-CF-F-155 cash
80. MK-ST-F-035 covers
81. MK-NW-F-120 classEvidenceOf
82. MK-NW-F-008 incomeBearingClassOf
83. MK-PF-F-031 contractMultiplier
84. MK-CF-F-072 currentRetirementIncomeMonthly
85. MK-ST-F-048 currencySymbol
86. MK-CF-F-100 taxableIncomeFor
87. MK-ST-F-034 firstDate
88. MK-NW-F-009 maturityClass
89. MK-ST-F-010 nameEvidence
90. MK-CF-F-075 retirementIncomeMonthly
91. MK-ST-F-047 activeCurrency
92. MK-CF-F-099 deductionFor
93. MK-NW-F-011 assetClassOf
94. MK-NW-F-068 prettyDay
95. MK-XS-F-147 call
96. MK-CF-F-187 seniorDeductionFor
97. MK-XS-F-064 currentIdToken
98. MK-XS-F-112 relayUrl</t>
        </is>
      </c>
      <c r="R641"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is>
      </c>
      <c r="S641" s="3" t="inlineStr">
        <is>
          <t>—</t>
        </is>
      </c>
      <c r="T641" s="3" t="inlineStr">
        <is>
          <t>—</t>
        </is>
      </c>
      <c r="U641" s="3" t="inlineStr">
        <is>
          <t>ACTIVE</t>
        </is>
      </c>
      <c r="V641" s="3" t="inlineStr">
        <is>
          <t>2026-08-27</t>
        </is>
      </c>
      <c r="W641" s="3" t="n"/>
      <c r="X641" s="3" t="n"/>
      <c r="Y641" s="3" t="inlineStr">
        <is>
          <t>NOTHING OPEN</t>
        </is>
      </c>
    </row>
    <row r="642" ht="60" customHeight="1">
      <c r="A642" s="3" t="inlineStr">
        <is>
          <t>MK-XS-F-073</t>
        </is>
      </c>
      <c r="B642" s="3" t="inlineStr">
        <is>
          <t>saveUserData</t>
        </is>
      </c>
      <c r="C642" s="3" t="inlineStr">
        <is>
          <t>src/services/firebase.ts</t>
        </is>
      </c>
      <c r="D642" s="3" t="n">
        <v>471</v>
      </c>
      <c r="E642" s="3" t="inlineStr">
        <is>
          <t>1 · ACTION</t>
        </is>
      </c>
      <c r="F642" s="3" t="inlineStr">
        <is>
          <t>Sync fields stored ENCRYPTED under users/{uid}.appStateEnc (zero-knowledge — see dataCrypto.ts).</t>
        </is>
      </c>
      <c r="G642" s="11" t="inlineStr">
        <is>
          <t>clean = JSON.parse(JSON.stringify(data ?? {}))
enc = await encrypt for sync(clean)</t>
        </is>
      </c>
      <c r="H642" s="3" t="inlineStr">
        <is>
          <t>Clean is JSON.parse(JSON.stringify(data ?? {})). Enc is await encrypt for sync(clean).</t>
        </is>
      </c>
      <c r="I642" s="3" t="inlineStr">
        <is>
          <t>PARTLY READ — some of the code is still showing through; needs a hand pass</t>
        </is>
      </c>
      <c r="J642" s="3" t="inlineStr">
        <is>
          <t>1. uid: string
2. data: object</t>
        </is>
      </c>
      <c r="K642" s="3" t="inlineStr">
        <is>
          <t>NOT DECLARED — the code does not say what it gives back</t>
        </is>
      </c>
      <c r="L642" s="3" t="inlineStr">
        <is>
          <t>—</t>
        </is>
      </c>
      <c r="M642" s="3" t="inlineStr">
        <is>
          <t>None found in this function — anything it assumes comes from the functions it depends on.</t>
        </is>
      </c>
      <c r="N642" s="3" t="inlineStr">
        <is>
          <t>Yes</t>
        </is>
      </c>
      <c r="O642" s="3" t="inlineStr">
        <is>
          <t>1. MK-XS-F-054 encryptForSync
2. MK-XS-F-175 uid</t>
        </is>
      </c>
      <c r="P642" s="3" t="n">
        <v>92</v>
      </c>
      <c r="Q642"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MK-XS-F-135 secureGet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MK-CF-F-113 affectedAccountIds
69. MK-CF-F-134 usesSleeve
70. MK-ST-F-049 formatMoney
71. MK-CF-F-101 taxOwedFor
72. MK-ST-F-067 utcOfDay
73. MK-CF-F-155 cash
74. MK-ST-F-035 covers
75. MK-NW-F-120 classEvidenceOf
76. MK-NW-F-008 incomeBearingClassOf
77. MK-PF-F-031 contractMultiplier
78. MK-CF-F-072 currentRetirementIncomeMonthly
79. MK-ST-F-048 currencySymbol
80. MK-CF-F-100 taxableIncomeFor
81. MK-ST-F-034 firstDate
82. MK-NW-F-009 maturityClass
83. MK-ST-F-010 nameEvidence
84. MK-CF-F-075 retirementIncomeMonthly
85. MK-ST-F-047 activeCurrency
86. MK-CF-F-099 deductionFor
87. MK-NW-F-011 assetClassOf
88. MK-NW-F-068 prettyDay
89. MK-XS-F-147 call
90. MK-CF-F-187 seniorDeductionFor
91. MK-XS-F-064 currentIdToken
92. MK-XS-F-112 relayUrl</t>
        </is>
      </c>
      <c r="R642" s="3" t="inlineStr">
        <is>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is>
      </c>
      <c r="S642" s="3" t="inlineStr">
        <is>
          <t>—</t>
        </is>
      </c>
      <c r="T642" s="3" t="inlineStr">
        <is>
          <t>—</t>
        </is>
      </c>
      <c r="U642" s="3" t="inlineStr">
        <is>
          <t>ACTIVE</t>
        </is>
      </c>
      <c r="V642" s="3" t="inlineStr">
        <is>
          <t>2026-08-27</t>
        </is>
      </c>
      <c r="W642" s="3" t="n"/>
      <c r="X642" s="3" t="n"/>
      <c r="Y642" s="3" t="inlineStr">
        <is>
          <t>NOTHING OPEN</t>
        </is>
      </c>
    </row>
    <row r="643" ht="60" customHeight="1">
      <c r="A643" s="3" t="inlineStr">
        <is>
          <t>MK-XS-F-074</t>
        </is>
      </c>
      <c r="B643" s="3" t="inlineStr">
        <is>
          <t>loadUserData</t>
        </is>
      </c>
      <c r="C643" s="3" t="inlineStr">
        <is>
          <t>src/services/firebase.ts</t>
        </is>
      </c>
      <c r="D643" s="3" t="n">
        <v>501</v>
      </c>
      <c r="E643" s="3" t="inlineStr">
        <is>
          <t>4 · BRINGS DATA IN</t>
        </is>
      </c>
      <c r="F643" s="3" t="inlineStr">
        <is>
          <t>NOT DETERMINED — the code carries no note saying what this is for, and it has no row in the old inventory. Needs reading.</t>
        </is>
      </c>
      <c r="G643" s="11" t="inlineStr">
        <is>
          <t>snap = await get doc(doc(db, 'users', uid))
nothing   when !snap.exists()
d = snap.data()
await decrypt from sync(app state enc)   when app state enc ≠ nothing
the answer = app state (or nothing when missing)</t>
        </is>
      </c>
      <c r="H643" s="3" t="inlineStr">
        <is>
          <t>Snap is await get doc(doc(db, 'users', uid)). When !snap.exists(), it answers no answer. D is snap.data(). When app state enc is not no answer, it answers await decrypt from sync(app state enc). The answer is app state (or no answer — when missing).</t>
        </is>
      </c>
      <c r="I643" s="3" t="inlineStr">
        <is>
          <t>PARTLY READ — some of the code is still showing through; needs a hand pass</t>
        </is>
      </c>
      <c r="J643" s="3" t="inlineStr">
        <is>
          <t>uid: string</t>
        </is>
      </c>
      <c r="K643" s="3" t="inlineStr">
        <is>
          <t>Promise&lt;Record&lt;string, any&gt; | null&gt;</t>
        </is>
      </c>
      <c r="L643" s="3" t="inlineStr">
        <is>
          <t>"Restore your data" — on the auth screen</t>
        </is>
      </c>
      <c r="M643" s="3" t="inlineStr">
        <is>
          <t>None found in this function — anything it assumes comes from the functions it depends on.</t>
        </is>
      </c>
      <c r="N643" s="3" t="inlineStr">
        <is>
          <t>Yes</t>
        </is>
      </c>
      <c r="O643" s="3" t="inlineStr">
        <is>
          <t>1. MK-XS-F-055 decryptFromSync
2. MK-XS-F-175 uid</t>
        </is>
      </c>
      <c r="P643" s="3" t="n">
        <v>93</v>
      </c>
      <c r="Q643"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MK-NW-F-120 classEvidenceOf
77. MK-NW-F-008 incomeBearingClassOf
78. MK-PF-F-031 contractMultiplier
79. MK-CF-F-072 currentRetirementIncomeMonthly
80. MK-ST-F-048 currencySymbol
81. MK-CF-F-100 taxableIncomeFor
82. MK-ST-F-034 firstDate
83. MK-NW-F-009 maturityClass
84. MK-ST-F-010 nameEvidence
85. MK-CF-F-075 retirementIncomeMonthly
86. MK-ST-F-047 activeCurrency
87. MK-CF-F-099 deductionFor
88. MK-NW-F-011 assetClassOf
89. MK-NW-F-068 prettyDay
90. MK-XS-F-147 call
91. MK-CF-F-187 seniorDeductionFor
92. MK-XS-F-064 currentIdToken
93. MK-XS-F-112 relayUrl</t>
        </is>
      </c>
      <c r="R643"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is>
      </c>
      <c r="S643" s="3" t="inlineStr">
        <is>
          <t>—</t>
        </is>
      </c>
      <c r="T643" s="3" t="inlineStr">
        <is>
          <t>—</t>
        </is>
      </c>
      <c r="U643" s="3" t="inlineStr">
        <is>
          <t>ACTIVE</t>
        </is>
      </c>
      <c r="V643" s="3" t="inlineStr">
        <is>
          <t>2026-08-27</t>
        </is>
      </c>
      <c r="W643" s="3" t="n"/>
      <c r="X643" s="3" t="n"/>
      <c r="Y643" s="3" t="inlineStr">
        <is>
          <t>NOTHING OPEN</t>
        </is>
      </c>
    </row>
    <row r="644" ht="45" customHeight="1">
      <c r="A644" s="3" t="inlineStr">
        <is>
          <t>MK-XS-F-075</t>
        </is>
      </c>
      <c r="B644" s="3" t="inlineStr">
        <is>
          <t>createInvite</t>
        </is>
      </c>
      <c r="C644" s="3" t="inlineStr">
        <is>
          <t>src/services/firebase.ts</t>
        </is>
      </c>
      <c r="D644" s="3" t="n">
        <v>557</v>
      </c>
      <c r="E644" s="3" t="inlineStr">
        <is>
          <t>2 · DISPLAYED (presentation only)</t>
        </is>
      </c>
      <c r="F644" s="3" t="inlineStr">
        <is>
          <t>Create an invite code pointing at this household's shared data doc.</t>
        </is>
      </c>
      <c r="G644" s="11" t="inlineStr">
        <is>
          <t>code = make invite code()
the answer = code</t>
        </is>
      </c>
      <c r="H644" s="3" t="inlineStr">
        <is>
          <t>Code is make invite code(). The answer is code.</t>
        </is>
      </c>
      <c r="I644" s="3" t="inlineStr">
        <is>
          <t>READ FROM THE CODE — rendered from the expressions the function runs</t>
        </is>
      </c>
      <c r="J644" s="3" t="inlineStr">
        <is>
          <t>1. householdId: string
2. inviterName: string | null</t>
        </is>
      </c>
      <c r="K644" s="3" t="inlineStr">
        <is>
          <t>Promise&lt;string&gt;</t>
        </is>
      </c>
      <c r="L644" s="3" t="inlineStr">
        <is>
          <t>"Vesting schedule" — on the setup questions, which appear on more than one screen</t>
        </is>
      </c>
      <c r="M644" s="3" t="inlineStr">
        <is>
          <t>None found in this function — anything it assumes comes from the functions it depends on.</t>
        </is>
      </c>
      <c r="N644" s="3" t="inlineStr">
        <is>
          <t>Yes</t>
        </is>
      </c>
      <c r="O644" s="3" t="inlineStr">
        <is>
          <t>MK-XS-F-142 makeInviteCode</t>
        </is>
      </c>
      <c r="P644" s="3" t="n">
        <v>1</v>
      </c>
      <c r="Q644" s="3" t="inlineStr">
        <is>
          <t>MK-XS-F-142 makeInviteCode</t>
        </is>
      </c>
      <c r="R644" s="3" t="inlineStr">
        <is>
          <t>MK-XS-F-142 makeInviteCode → MK-XS-F-075 createInvite</t>
        </is>
      </c>
      <c r="S644" s="3" t="inlineStr">
        <is>
          <t>—</t>
        </is>
      </c>
      <c r="T644" s="3" t="inlineStr">
        <is>
          <t>—</t>
        </is>
      </c>
      <c r="U644" s="3" t="inlineStr">
        <is>
          <t>ACTIVE</t>
        </is>
      </c>
      <c r="V644" s="3" t="inlineStr">
        <is>
          <t>2026-08-27</t>
        </is>
      </c>
      <c r="W644" s="3" t="n"/>
      <c r="X644" s="3" t="n"/>
      <c r="Y644" s="3" t="inlineStr">
        <is>
          <t>NOTHING OPEN</t>
        </is>
      </c>
    </row>
    <row r="645" ht="60" customHeight="1">
      <c r="A645" s="3" t="inlineStr">
        <is>
          <t>MK-XS-F-076</t>
        </is>
      </c>
      <c r="B645" s="3" t="inlineStr">
        <is>
          <t>lookupInvite</t>
        </is>
      </c>
      <c r="C645" s="3" t="inlineStr">
        <is>
          <t>src/services/firebase.ts</t>
        </is>
      </c>
      <c r="D645" s="3" t="n">
        <v>588</v>
      </c>
      <c r="E645" s="3" t="inlineStr">
        <is>
          <t>4 · BRINGS DATA IN</t>
        </is>
      </c>
      <c r="F645" s="3" t="inlineStr">
        <is>
          <t>NOT DETERMINED — the code carries no note saying what this is for, and it has no row in the old inventory. Needs reading.</t>
        </is>
      </c>
      <c r="G645" s="11" t="inlineStr">
        <is>
          <t>snap = await get doc(doc(db, 'invites', code.trim().to upper case()))
nothing   when !snap.exists()
d = snap.data() as any
the answer:
household id = household id
inviter name = inviter name (or nothing when missing)   if household id
nothing   otherwise</t>
        </is>
      </c>
      <c r="H645" s="3" t="inlineStr">
        <is>
          <t>Snap is await get doc(doc(db, 'invites', code.trim().to upper case())). When !snap.exists(), it answers no answer. D is snap.data() as any. The answer is household id = household id; inviter name = inviter name (or no answer when missing) — when household id; no answer — otherwise.</t>
        </is>
      </c>
      <c r="I645" s="3" t="inlineStr">
        <is>
          <t>PARTLY READ — some of the code is still showing through; needs a hand pass</t>
        </is>
      </c>
      <c r="J645" s="3" t="inlineStr">
        <is>
          <t>code: string</t>
        </is>
      </c>
      <c r="K645" s="3" t="inlineStr">
        <is>
          <t>Promise&lt;</t>
        </is>
      </c>
      <c r="L645" s="3" t="inlineStr">
        <is>
          <t>—</t>
        </is>
      </c>
      <c r="M645" s="3" t="inlineStr">
        <is>
          <t>None found in this function — anything it assumes comes from the functions it depends on.</t>
        </is>
      </c>
      <c r="N645" s="3" t="inlineStr">
        <is>
          <t>Yes</t>
        </is>
      </c>
      <c r="O645" s="3" t="inlineStr">
        <is>
          <t>—</t>
        </is>
      </c>
      <c r="P645" s="3" t="n">
        <v>0</v>
      </c>
      <c r="Q645" s="3" t="inlineStr">
        <is>
          <t>None — no dependent function stands behind it</t>
        </is>
      </c>
      <c r="R645" s="3" t="inlineStr">
        <is>
          <t>No dependent function — it reads its inputs and answers</t>
        </is>
      </c>
      <c r="S645" s="3" t="inlineStr">
        <is>
          <t>—</t>
        </is>
      </c>
      <c r="T645" s="3" t="inlineStr">
        <is>
          <t>—</t>
        </is>
      </c>
      <c r="U645" s="3" t="inlineStr">
        <is>
          <t>ACTIVE</t>
        </is>
      </c>
      <c r="V645" s="3" t="inlineStr">
        <is>
          <t>2026-08-27</t>
        </is>
      </c>
      <c r="W645" s="3" t="n"/>
      <c r="X645" s="3" t="n"/>
      <c r="Y645" s="3" t="inlineStr">
        <is>
          <t>NOTHING OPEN</t>
        </is>
      </c>
    </row>
    <row r="646" ht="60" customHeight="1">
      <c r="A646" s="3" t="inlineStr">
        <is>
          <t>MK-XS-F-077</t>
        </is>
      </c>
      <c r="B646" s="3" t="inlineStr">
        <is>
          <t>setUserHousehold</t>
        </is>
      </c>
      <c r="C646" s="3" t="inlineStr">
        <is>
          <t>src/services/firebase.ts</t>
        </is>
      </c>
      <c r="D646" s="3" t="n">
        <v>611</v>
      </c>
      <c r="E646" s="3" t="inlineStr">
        <is>
          <t>1 · ACTION</t>
        </is>
      </c>
      <c r="F646" s="3" t="inlineStr">
        <is>
          <t>Record household membership on the member's own user doc (survives reinstall/new device).</t>
        </is>
      </c>
      <c r="G646" s="11" t="inlineStr">
        <is>
          <t>It reaches outside the app for data and hands back what came back — no arithmetic of its own.</t>
        </is>
      </c>
      <c r="H646" s="3" t="inlineStr">
        <is>
          <t>It reaches outside the app for data and hands back what came back — no arithmetic of its own.</t>
        </is>
      </c>
      <c r="I646" s="3" t="inlineStr">
        <is>
          <t>NO ARITHMETIC — there is no formula to state</t>
        </is>
      </c>
      <c r="J646" s="3" t="inlineStr">
        <is>
          <t>1. uid: string
2. householdId: string</t>
        </is>
      </c>
      <c r="K646" s="3" t="inlineStr">
        <is>
          <t>Promise&lt;void&gt;</t>
        </is>
      </c>
      <c r="L646" s="3" t="inlineStr">
        <is>
          <t>—</t>
        </is>
      </c>
      <c r="M646" s="3" t="inlineStr">
        <is>
          <t>None found in this function — anything it assumes comes from the functions it depends on.</t>
        </is>
      </c>
      <c r="N646" s="3" t="inlineStr">
        <is>
          <t>Yes</t>
        </is>
      </c>
      <c r="O646" s="3" t="inlineStr">
        <is>
          <t>1. MK-XS-F-074 loadUserData
2. MK-XS-F-175 uid</t>
        </is>
      </c>
      <c r="P646" s="3" t="n">
        <v>94</v>
      </c>
      <c r="Q646"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MK-XS-F-053 decryptWithKey
33. MK-XS-F-042 getDataKey
34. MK-XS-F-051 isEncrypted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MK-CF-F-113 affectedAccountIds
70. MK-XS-F-135 secureGet
71. MK-CF-F-134 usesSleeve
72. MK-ST-F-049 formatMoney
73. MK-CF-F-101 taxOwedFor
74. MK-ST-F-067 utcOfDay
75. MK-CF-F-155 cash
76. MK-ST-F-035 covers
77. MK-NW-F-120 classEvidenceOf
78. MK-NW-F-008 incomeBearingClassOf
79. MK-PF-F-031 contractMultiplier
80. MK-CF-F-072 currentRetirementIncomeMonthly
81. MK-ST-F-048 currencySymbol
82. MK-CF-F-100 taxableIncomeFor
83. MK-ST-F-034 firstDate
84. MK-NW-F-009 maturityClass
85. MK-ST-F-010 nameEvidence
86. MK-CF-F-075 retirementIncomeMonthly
87. MK-ST-F-047 activeCurrency
88. MK-CF-F-099 deductionFor
89. MK-NW-F-011 assetClassOf
90. MK-NW-F-068 prettyDay
91. MK-XS-F-147 call
92. MK-CF-F-187 seniorDeductionFor
93. MK-XS-F-064 currentIdToken
94. MK-XS-F-112 relayUrl</t>
        </is>
      </c>
      <c r="R646"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is>
      </c>
      <c r="S646" s="3" t="inlineStr">
        <is>
          <t>—</t>
        </is>
      </c>
      <c r="T646" s="3" t="inlineStr">
        <is>
          <t>—</t>
        </is>
      </c>
      <c r="U646" s="3" t="inlineStr">
        <is>
          <t>ACTIVE</t>
        </is>
      </c>
      <c r="V646" s="3" t="inlineStr">
        <is>
          <t>2026-08-27</t>
        </is>
      </c>
      <c r="W646" s="3" t="n"/>
      <c r="X646" s="3" t="n"/>
      <c r="Y646" s="3" t="inlineStr">
        <is>
          <t>NOTHING OPEN</t>
        </is>
      </c>
    </row>
    <row r="647" ht="60" customHeight="1">
      <c r="A647" s="3" t="inlineStr">
        <is>
          <t>MK-XS-F-078</t>
        </is>
      </c>
      <c r="B647" s="3" t="inlineStr">
        <is>
          <t>joinHouseholdMembership</t>
        </is>
      </c>
      <c r="C647" s="3" t="inlineStr">
        <is>
          <t>src/services/firebase.ts</t>
        </is>
      </c>
      <c r="D647" s="3" t="n">
        <v>636</v>
      </c>
      <c r="E647" s="3" t="inlineStr">
        <is>
          <t>1 · ACTION</t>
        </is>
      </c>
      <c r="F647" s="3" t="inlineStr">
        <is>
          <t>Claim membership in {householdId} by writing the member doc the security rules gate access on.</t>
        </is>
      </c>
      <c r="G647" s="11" t="inlineStr">
        <is>
          <t>It reaches outside the app for data and hands back what came back — no arithmetic of its own.</t>
        </is>
      </c>
      <c r="H647" s="3" t="inlineStr">
        <is>
          <t>It reaches outside the app for data and hands back what came back — no arithmetic of its own.</t>
        </is>
      </c>
      <c r="I647" s="3" t="inlineStr">
        <is>
          <t>NO ARITHMETIC — there is no formula to state</t>
        </is>
      </c>
      <c r="J647" s="3" t="inlineStr">
        <is>
          <t>1. uid: string
2. householdId: string
3. code: string</t>
        </is>
      </c>
      <c r="K647" s="3" t="inlineStr">
        <is>
          <t>Promise&lt;void&gt;</t>
        </is>
      </c>
      <c r="L647" s="3" t="inlineStr">
        <is>
          <t>—</t>
        </is>
      </c>
      <c r="M647" s="3" t="inlineStr">
        <is>
          <t>None found in this function — anything it assumes comes from the functions it depends on.</t>
        </is>
      </c>
      <c r="N647" s="3" t="inlineStr">
        <is>
          <t>Yes</t>
        </is>
      </c>
      <c r="O647" s="3" t="inlineStr">
        <is>
          <t>MK-XS-F-175 uid</t>
        </is>
      </c>
      <c r="P647" s="3" t="n">
        <v>88</v>
      </c>
      <c r="Q64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MK-NW-F-009 maturityClass
79. MK-ST-F-010 nameEvidence
80. MK-CF-F-075 retirementIncomeMonthly
81. MK-ST-F-047 activeCurrency
82. MK-CF-F-099 deductionFor
83. MK-NW-F-011 assetClassOf
84. MK-NW-F-068 prettyDay
85. MK-XS-F-147 call
86. MK-CF-F-187 seniorDeductionFor
87. MK-XS-F-064 currentIdToken
88. MK-XS-F-112 relayUrl</t>
        </is>
      </c>
      <c r="R647" s="3" t="inlineStr">
        <is>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is>
      </c>
      <c r="S647" s="3" t="inlineStr">
        <is>
          <t>—</t>
        </is>
      </c>
      <c r="T647" s="3" t="inlineStr">
        <is>
          <t>—</t>
        </is>
      </c>
      <c r="U647" s="3" t="inlineStr">
        <is>
          <t>ACTIVE</t>
        </is>
      </c>
      <c r="V647" s="3" t="inlineStr">
        <is>
          <t>2026-08-27</t>
        </is>
      </c>
      <c r="W647" s="3" t="n"/>
      <c r="X647" s="3" t="n"/>
      <c r="Y647" s="3" t="inlineStr">
        <is>
          <t>NOTHING OPEN</t>
        </is>
      </c>
    </row>
    <row r="648" ht="60" customHeight="1">
      <c r="A648" s="3" t="inlineStr">
        <is>
          <t>MK-XS-F-079</t>
        </is>
      </c>
      <c r="B648" s="3" t="inlineStr">
        <is>
          <t>loadUserRoot</t>
        </is>
      </c>
      <c r="C648" s="3" t="inlineStr">
        <is>
          <t>src/services/firebase.ts</t>
        </is>
      </c>
      <c r="D648" s="3" t="n">
        <v>670</v>
      </c>
      <c r="E648" s="3" t="inlineStr">
        <is>
          <t>4 · BRINGS DATA IN</t>
        </is>
      </c>
      <c r="F648" s="3" t="inlineStr">
        <is>
          <t>The member's own top-level doc fields (householdId + decrypted appState) in one read.</t>
        </is>
      </c>
      <c r="G648" s="11"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648"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648" s="3" t="inlineStr">
        <is>
          <t>PARTLY READ — some of the code is still showing through; needs a hand pass</t>
        </is>
      </c>
      <c r="J648" s="3" t="inlineStr">
        <is>
          <t>uid: string</t>
        </is>
      </c>
      <c r="K648" s="3" t="inlineStr">
        <is>
          <t>Promise&lt;</t>
        </is>
      </c>
      <c r="L648" s="3" t="inlineStr">
        <is>
          <t>—</t>
        </is>
      </c>
      <c r="M648" s="3" t="inlineStr">
        <is>
          <t>None found in this function — anything it assumes comes from the functions it depends on.</t>
        </is>
      </c>
      <c r="N648" s="3" t="inlineStr">
        <is>
          <t>Yes</t>
        </is>
      </c>
      <c r="O648" s="3" t="inlineStr">
        <is>
          <t>1. MK-XS-F-055 decryptFromSync
2. MK-XS-F-175 uid</t>
        </is>
      </c>
      <c r="P648" s="3" t="n">
        <v>93</v>
      </c>
      <c r="Q648"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MK-NW-F-120 classEvidenceOf
77. MK-NW-F-008 incomeBearingClassOf
78. MK-PF-F-031 contractMultiplier
79. MK-CF-F-072 currentRetirementIncomeMonthly
80. MK-ST-F-048 currencySymbol
81. MK-CF-F-100 taxableIncomeFor
82. MK-ST-F-034 firstDate
83. MK-NW-F-009 maturityClass
84. MK-ST-F-010 nameEvidence
85. MK-CF-F-075 retirementIncomeMonthly
86. MK-ST-F-047 activeCurrency
87. MK-CF-F-099 deductionFor
88. MK-NW-F-011 assetClassOf
89. MK-NW-F-068 prettyDay
90. MK-XS-F-147 call
91. MK-CF-F-187 seniorDeductionFor
92. MK-XS-F-064 currentIdToken
93. MK-XS-F-112 relayUrl</t>
        </is>
      </c>
      <c r="R648"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is>
      </c>
      <c r="S648" s="3" t="inlineStr">
        <is>
          <t>—</t>
        </is>
      </c>
      <c r="T648" s="3" t="inlineStr">
        <is>
          <t>—</t>
        </is>
      </c>
      <c r="U648" s="3" t="inlineStr">
        <is>
          <t>ACTIVE</t>
        </is>
      </c>
      <c r="V648" s="3" t="inlineStr">
        <is>
          <t>2026-08-27</t>
        </is>
      </c>
      <c r="W648" s="3" t="n"/>
      <c r="X648" s="3" t="n"/>
      <c r="Y648" s="3" t="inlineStr">
        <is>
          <t>NOTHING OPEN</t>
        </is>
      </c>
    </row>
    <row r="649" ht="60" customHeight="1">
      <c r="A649" s="3" t="inlineStr">
        <is>
          <t>MK-XS-F-080</t>
        </is>
      </c>
      <c r="B649" s="3" t="inlineStr">
        <is>
          <t>submitFeedback</t>
        </is>
      </c>
      <c r="C649" s="3" t="inlineStr">
        <is>
          <t>src/services/firebase.ts</t>
        </is>
      </c>
      <c r="D649" s="3" t="n">
        <v>693</v>
      </c>
      <c r="E649" s="3" t="inlineStr">
        <is>
          <t>1 · ACTION</t>
        </is>
      </c>
      <c r="F649" s="3" t="inlineStr">
        <is>
          <t>NOT DETERMINED — the code carries no note saying what this is for, and it has no row in the old inventory. Needs reading.</t>
        </is>
      </c>
      <c r="G649" s="11" t="inlineStr">
        <is>
          <t>It reaches outside the app for data and hands back what came back — no arithmetic of its own.</t>
        </is>
      </c>
      <c r="H649" s="3" t="inlineStr">
        <is>
          <t>It reaches outside the app for data and hands back what came back — no arithmetic of its own.</t>
        </is>
      </c>
      <c r="I649" s="3" t="inlineStr">
        <is>
          <t>NO ARITHMETIC — there is no formula to state</t>
        </is>
      </c>
      <c r="J649" s="3" t="inlineStr">
        <is>
          <t>Nothing is handed to it</t>
        </is>
      </c>
      <c r="K649" s="3" t="inlineStr">
        <is>
          <t>NOT DECLARED — the code does not say what it gives back</t>
        </is>
      </c>
      <c r="L649" s="3" t="inlineStr">
        <is>
          <t>—</t>
        </is>
      </c>
      <c r="M649" s="3" t="inlineStr">
        <is>
          <t>None found in this function — anything it assumes comes from the functions it depends on.</t>
        </is>
      </c>
      <c r="N649" s="3" t="inlineStr">
        <is>
          <t>Yes</t>
        </is>
      </c>
      <c r="O649" s="3" t="inlineStr">
        <is>
          <t>—</t>
        </is>
      </c>
      <c r="P649" s="3" t="n">
        <v>0</v>
      </c>
      <c r="Q649" s="3" t="inlineStr">
        <is>
          <t>None — no dependent function stands behind it</t>
        </is>
      </c>
      <c r="R649" s="3" t="inlineStr">
        <is>
          <t>No dependent function — it reads its inputs and answers</t>
        </is>
      </c>
      <c r="S649" s="3" t="inlineStr">
        <is>
          <t>—</t>
        </is>
      </c>
      <c r="T649" s="3" t="inlineStr">
        <is>
          <t>—</t>
        </is>
      </c>
      <c r="U649" s="3" t="inlineStr">
        <is>
          <t>ACTIVE</t>
        </is>
      </c>
      <c r="V649" s="3" t="inlineStr">
        <is>
          <t>2026-08-27</t>
        </is>
      </c>
      <c r="W649" s="3" t="n"/>
      <c r="X649" s="3" t="n"/>
      <c r="Y649" s="3" t="inlineStr">
        <is>
          <t>NOTHING OPEN</t>
        </is>
      </c>
    </row>
    <row r="650" ht="45" customHeight="1">
      <c r="A650" s="3" t="inlineStr">
        <is>
          <t>MK-XS-F-081</t>
        </is>
      </c>
      <c r="B650" s="3" t="inlineStr">
        <is>
          <t>isPlausibleTicker</t>
        </is>
      </c>
      <c r="C650" s="3" t="inlineStr">
        <is>
          <t>src/services/marketData.ts</t>
        </is>
      </c>
      <c r="D650" s="3" t="n">
        <v>96</v>
      </c>
      <c r="E650" s="3" t="inlineStr">
        <is>
          <t>2 · DISPLAYED</t>
        </is>
      </c>
      <c r="F650" s="3" t="inlineStr">
        <is>
          <t>Is a ticker plausibly valid before we spend a network call?</t>
        </is>
      </c>
      <c r="G650" s="11" t="inlineStr">
        <is>
          <t>÷ ^[A − za − z]{1,6}([.\-][A − za − z]{1,4})?$ ÷ .test((ticker ?? '').trim())</t>
        </is>
      </c>
      <c r="H650" s="3" t="inlineStr">
        <is>
          <t>÷ ^[A minus za minus z]{1,6}([.\-][A minus za minus z]{1,4})?$ divided by .test((ticker ?? '').trim()).</t>
        </is>
      </c>
      <c r="I650" s="3" t="inlineStr">
        <is>
          <t>PARTLY READ — some of the code is still showing through; needs a hand pass</t>
        </is>
      </c>
      <c r="J650" s="3" t="inlineStr">
        <is>
          <t>ticker: string</t>
        </is>
      </c>
      <c r="K650" s="3" t="inlineStr">
        <is>
          <t>boolean</t>
        </is>
      </c>
      <c r="L650" s="3" t="inlineStr">
        <is>
          <t>NOT FOUND — a screen calls it, but the words printed beside its answer could not be traced automatically. Needs reading.</t>
        </is>
      </c>
      <c r="M650" s="3" t="inlineStr">
        <is>
          <t>None found in this function — anything it assumes comes from the functions it depends on.</t>
        </is>
      </c>
      <c r="N650" s="3" t="inlineStr">
        <is>
          <t>Yes</t>
        </is>
      </c>
      <c r="O650" s="3" t="inlineStr">
        <is>
          <t>—</t>
        </is>
      </c>
      <c r="P650" s="3" t="n">
        <v>0</v>
      </c>
      <c r="Q650" s="3" t="inlineStr">
        <is>
          <t>None — no dependent function stands behind it</t>
        </is>
      </c>
      <c r="R650" s="3" t="inlineStr">
        <is>
          <t>No dependent function — it reads its inputs and answers</t>
        </is>
      </c>
      <c r="S650" s="3" t="inlineStr">
        <is>
          <t>—</t>
        </is>
      </c>
      <c r="T650" s="3" t="inlineStr">
        <is>
          <t>TICKER_PLAUSIBLE</t>
        </is>
      </c>
      <c r="U650" s="3" t="inlineStr">
        <is>
          <t>ACTIVE</t>
        </is>
      </c>
      <c r="V650" s="3" t="inlineStr">
        <is>
          <t>2026-08-27</t>
        </is>
      </c>
      <c r="W650" s="3" t="n"/>
      <c r="X650" s="3" t="n"/>
      <c r="Y650" s="3" t="inlineStr">
        <is>
          <t>NOTHING OPEN</t>
        </is>
      </c>
    </row>
    <row r="651" ht="60" customHeight="1">
      <c r="A651" s="3" t="inlineStr">
        <is>
          <t>MK-XS-F-082</t>
        </is>
      </c>
      <c r="B651" s="3" t="inlineStr">
        <is>
          <t>priceFreshness</t>
        </is>
      </c>
      <c r="C651" s="3" t="inlineStr">
        <is>
          <t>src/services/marketData.ts</t>
        </is>
      </c>
      <c r="D651" s="3" t="n">
        <v>120</v>
      </c>
      <c r="E651" s="3" t="inlineStr">
        <is>
          <t>2 · DISPLAYED</t>
        </is>
      </c>
      <c r="F651" s="3" t="inlineStr">
        <is>
          <t>Human freshness of the price cache + whether it's stale enough to warn (markets move daily, so anything older than ~4 days — a long weekend/holiday — is worth a "may be out of date" note).</t>
        </is>
      </c>
      <c r="G651" s="11" t="inlineStr">
        <is>
          <t>age   = now − the moment prices were last fetched
stale = age ≥ 4 days,  or nothing was ever fetched,  or the moment cannot be read</t>
        </is>
      </c>
      <c r="H651"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651" s="3" t="inlineStr">
        <is>
          <t>READ BY HAND 2026-08-26 — checked line by line against the code</t>
        </is>
      </c>
      <c r="J651" s="3" t="inlineStr">
        <is>
          <t>1. fetchedAt: string | null | undefined
2. now: number</t>
        </is>
      </c>
      <c r="K651" s="3" t="inlineStr">
        <is>
          <t>PriceFreshness</t>
        </is>
      </c>
      <c r="L651" s="3" t="inlineStr">
        <is>
          <t>"Performance" — on the Performance screen</t>
        </is>
      </c>
      <c r="M651" s="3" t="inlineStr">
        <is>
          <t>None found in this function — anything it assumes comes from the functions it depends on.</t>
        </is>
      </c>
      <c r="N651" s="3" t="inlineStr">
        <is>
          <t>Yes</t>
        </is>
      </c>
      <c r="O651" s="3" t="inlineStr">
        <is>
          <t>1. MK-ST-F-075 agoLabel
2. MK-ST-F-077 isStale</t>
        </is>
      </c>
      <c r="P651" s="3" t="n">
        <v>5</v>
      </c>
      <c r="Q651" s="3" t="inlineStr">
        <is>
          <t>1. MK-ST-F-075 agoLabel
2. MK-ST-F-077 isStale
3. MK-XS-F-170 daysSince
4. MK-NW-F-067 plural
5. MK-XS-F-122 n</t>
        </is>
      </c>
      <c r="R651" s="3" t="inlineStr">
        <is>
          <t>1. MK-XS-F-170 daysSince → MK-ST-F-075 agoLabel → MK-XS-F-082 priceFreshness
2. MK-XS-F-122 n → MK-NW-F-067 plural → MK-ST-F-075 agoLabel → MK-XS-F-082 priceFreshness
3. MK-XS-F-170 daysSince → MK-ST-F-077 isStale → MK-XS-F-082 priceFreshness</t>
        </is>
      </c>
      <c r="S651" s="3" t="inlineStr">
        <is>
          <t>MK-HM-M-001</t>
        </is>
      </c>
      <c r="T651" s="3" t="inlineStr">
        <is>
          <t>PRICE_FRESHNESS</t>
        </is>
      </c>
      <c r="U651" s="3" t="inlineStr">
        <is>
          <t>ACTIVE</t>
        </is>
      </c>
      <c r="V651" s="3" t="inlineStr">
        <is>
          <t>2026-08-27</t>
        </is>
      </c>
      <c r="W651" s="3" t="n"/>
      <c r="X651" s="3" t="n"/>
      <c r="Y651" s="3" t="inlineStr">
        <is>
          <t>NOTHING OPEN</t>
        </is>
      </c>
    </row>
    <row r="652" ht="60" customHeight="1">
      <c r="A652" s="3" t="inlineStr">
        <is>
          <t>MK-XS-F-083</t>
        </is>
      </c>
      <c r="B652" s="3" t="inlineStr">
        <is>
          <t>fetchPriceSeries</t>
        </is>
      </c>
      <c r="C652" s="3" t="inlineStr">
        <is>
          <t>src/services/marketData.ts</t>
        </is>
      </c>
      <c r="D652" s="3" t="n">
        <v>160</v>
      </c>
      <c r="E652" s="3" t="inlineStr">
        <is>
          <t>3 · DEPENDENT</t>
        </is>
      </c>
      <c r="F652" s="3" t="inlineStr">
        <is>
          <t>Fetch many tickers in parallel; returns only the ones that resolved.</t>
        </is>
      </c>
      <c r="G652" s="11" t="inlineStr">
        <is>
          <t>unique = array.from(new set(tickers.map((t) =&gt; trim().to upper case()).filter(boolean)))
results = await promise.all settled(unique.map((t) =&gt; provider.fetch series(t, range)))
out = {}
r = results[i]
the answer = out</t>
        </is>
      </c>
      <c r="H652" s="3" t="inlineStr">
        <is>
          <t>Unique is array.from(new set(tickers.map((t) =&gt; trim().to upper case()).filter(boolean))). Results is await promise.all settled(unique.map((t) =&gt; provider.fetch series(t, range))). Out is {}. R is results[i]. The answer is out.</t>
        </is>
      </c>
      <c r="I652" s="3" t="inlineStr">
        <is>
          <t>PARTLY READ — some of the code is still showing through; needs a hand pass</t>
        </is>
      </c>
      <c r="J652" s="3" t="inlineStr">
        <is>
          <t>Nothing is handed to it</t>
        </is>
      </c>
      <c r="K652" s="3" t="inlineStr">
        <is>
          <t>NOT DECLARED — the code does not say what it gives back</t>
        </is>
      </c>
      <c r="L652" s="3" t="inlineStr">
        <is>
          <t>—</t>
        </is>
      </c>
      <c r="M652" s="3" t="inlineStr">
        <is>
          <t>None found in this function — anything it assumes comes from the functions it depends on.</t>
        </is>
      </c>
      <c r="N652" s="3" t="inlineStr">
        <is>
          <t>Yes</t>
        </is>
      </c>
      <c r="O652" s="3" t="inlineStr">
        <is>
          <t>MK-CF-F-132 map</t>
        </is>
      </c>
      <c r="P652" s="3" t="n">
        <v>1</v>
      </c>
      <c r="Q652" s="3" t="inlineStr">
        <is>
          <t>MK-CF-F-132 map</t>
        </is>
      </c>
      <c r="R652" s="3" t="inlineStr">
        <is>
          <t>MK-CF-F-132 map → MK-XS-F-083 fetchPriceSeries</t>
        </is>
      </c>
      <c r="S652" s="3" t="inlineStr">
        <is>
          <t>—</t>
        </is>
      </c>
      <c r="T652" s="3" t="inlineStr">
        <is>
          <t>FETCH_PRICES</t>
        </is>
      </c>
      <c r="U652" s="3" t="inlineStr">
        <is>
          <t>ACTIVE</t>
        </is>
      </c>
      <c r="V652" s="3" t="inlineStr">
        <is>
          <t>2026-09-12</t>
        </is>
      </c>
      <c r="W652" s="3" t="n"/>
      <c r="X652" s="3" t="n"/>
      <c r="Y652" s="3" t="inlineStr">
        <is>
          <t>NOTHING OPEN</t>
        </is>
      </c>
    </row>
    <row r="653" ht="60" customHeight="1">
      <c r="A653" s="3" t="inlineStr">
        <is>
          <t>MK-XS-F-084</t>
        </is>
      </c>
      <c r="B653" s="3" t="inlineStr">
        <is>
          <t>requestNotificationPermission</t>
        </is>
      </c>
      <c r="C653" s="3" t="inlineStr">
        <is>
          <t>src/services/notifications.ts</t>
        </is>
      </c>
      <c r="D653" s="3" t="n">
        <v>34</v>
      </c>
      <c r="E653" s="3" t="inlineStr">
        <is>
          <t>2 · DISPLAYED</t>
        </is>
      </c>
      <c r="F653" s="3" t="inlineStr">
        <is>
          <t>NOT DETERMINED — the code carries no note saying what this is for, and it has no row in the old inventory. Needs reading.</t>
        </is>
      </c>
      <c r="G653" s="11" t="inlineStr">
        <is>
          <t>false   when device.is device is missing
true   when existing = 'granted'
status = 'granted'</t>
        </is>
      </c>
      <c r="H653" s="3" t="inlineStr">
        <is>
          <t>When device.is device is missing, it answers false. When existing = 'granted', it answers true. status = 'granted'.</t>
        </is>
      </c>
      <c r="I653" s="3" t="inlineStr">
        <is>
          <t>READ FROM THE CODE — rendered from the expressions the function runs</t>
        </is>
      </c>
      <c r="J653" s="3" t="inlineStr">
        <is>
          <t>Nothing is handed to it</t>
        </is>
      </c>
      <c r="K653" s="3" t="inlineStr">
        <is>
          <t>Promise&lt;boolean&gt;</t>
        </is>
      </c>
      <c r="L653" s="3" t="inlineStr">
        <is>
          <t>NOT FOUND — a screen calls it, but the words printed beside its answer could not be traced automatically. Needs reading.</t>
        </is>
      </c>
      <c r="M653" s="3" t="inlineStr">
        <is>
          <t>None found in this function — anything it assumes comes from the functions it depends on.</t>
        </is>
      </c>
      <c r="N653" s="3" t="inlineStr">
        <is>
          <t>Yes</t>
        </is>
      </c>
      <c r="O653" s="3" t="inlineStr">
        <is>
          <t>—</t>
        </is>
      </c>
      <c r="P653" s="3" t="n">
        <v>0</v>
      </c>
      <c r="Q653" s="3" t="inlineStr">
        <is>
          <t>None — no dependent function stands behind it</t>
        </is>
      </c>
      <c r="R653" s="3" t="inlineStr">
        <is>
          <t>No dependent function — it reads its inputs and answers</t>
        </is>
      </c>
      <c r="S653" s="3" t="inlineStr">
        <is>
          <t>—</t>
        </is>
      </c>
      <c r="T653" s="3" t="inlineStr">
        <is>
          <t>—</t>
        </is>
      </c>
      <c r="U653" s="3" t="inlineStr">
        <is>
          <t>ACTIVE</t>
        </is>
      </c>
      <c r="V653" s="3" t="inlineStr">
        <is>
          <t>2026-08-27</t>
        </is>
      </c>
      <c r="W653" s="3" t="n"/>
      <c r="X653" s="3" t="n"/>
      <c r="Y653" s="3" t="inlineStr">
        <is>
          <t>NOTHING OPEN</t>
        </is>
      </c>
    </row>
    <row r="654" ht="30" customHeight="1">
      <c r="A654" s="3" t="inlineStr">
        <is>
          <t>MK-XS-F-085</t>
        </is>
      </c>
      <c r="B654" s="3" t="inlineStr">
        <is>
          <t>scheduleStreakReminder</t>
        </is>
      </c>
      <c r="C654" s="3" t="inlineStr">
        <is>
          <t>src/services/notifications.ts</t>
        </is>
      </c>
      <c r="D654" s="3" t="n">
        <v>60</v>
      </c>
      <c r="E654" s="3" t="inlineStr">
        <is>
          <t>1 · ACTION</t>
        </is>
      </c>
      <c r="F654" s="3" t="inlineStr">
        <is>
          <t>── Schedule daily streak reminder ─────────────────────────────────</t>
        </is>
      </c>
      <c r="G654" s="11" t="inlineStr">
        <is>
          <t>cancels the existing reminder, then schedules a daily one at 20:00</t>
        </is>
      </c>
      <c r="H654" s="3" t="inlineStr">
        <is>
          <t>Schedules the daily 8 pm streak reminder, replacing any existing one. Not a calculation.</t>
        </is>
      </c>
      <c r="I654" s="3" t="inlineStr">
        <is>
          <t>READ BY HAND 2026-08-26 — checked line by line against the code</t>
        </is>
      </c>
      <c r="J654" s="3" t="inlineStr">
        <is>
          <t>Nothing is handed to it</t>
        </is>
      </c>
      <c r="K654" s="3" t="inlineStr">
        <is>
          <t>NOT DECLARED — the code does not say what it gives back</t>
        </is>
      </c>
      <c r="L654" s="3" t="inlineStr">
        <is>
          <t>—</t>
        </is>
      </c>
      <c r="M654" s="3" t="inlineStr">
        <is>
          <t>None found in this function — anything it assumes comes from the functions it depends on.</t>
        </is>
      </c>
      <c r="N654" s="3" t="inlineStr">
        <is>
          <t>No</t>
        </is>
      </c>
      <c r="O654" s="3" t="inlineStr">
        <is>
          <t>—</t>
        </is>
      </c>
      <c r="P654" s="3" t="n">
        <v>0</v>
      </c>
      <c r="Q654" s="3" t="inlineStr">
        <is>
          <t>None — no dependent function stands behind it</t>
        </is>
      </c>
      <c r="R654" s="3" t="inlineStr">
        <is>
          <t>No dependent function — it reads its inputs and answers</t>
        </is>
      </c>
      <c r="S654" s="3" t="inlineStr">
        <is>
          <t>—</t>
        </is>
      </c>
      <c r="T654" s="3" t="inlineStr">
        <is>
          <t>—</t>
        </is>
      </c>
      <c r="U654" s="3" t="inlineStr">
        <is>
          <t>ACTIVE</t>
        </is>
      </c>
      <c r="V654" s="3" t="inlineStr">
        <is>
          <t>2026-09-12</t>
        </is>
      </c>
      <c r="W654" s="3" t="n"/>
      <c r="X654" s="3" t="n"/>
      <c r="Y654" s="3" t="inlineStr">
        <is>
          <t>NOTHING OPEN</t>
        </is>
      </c>
    </row>
    <row r="655" ht="30" customHeight="1">
      <c r="A655" s="3" t="inlineStr">
        <is>
          <t>MK-XS-F-086</t>
        </is>
      </c>
      <c r="B655" s="3" t="inlineStr">
        <is>
          <t>cancelStreakReminder</t>
        </is>
      </c>
      <c r="C655" s="3" t="inlineStr">
        <is>
          <t>src/services/notifications.ts</t>
        </is>
      </c>
      <c r="D655" s="3" t="n">
        <v>94</v>
      </c>
      <c r="E655" s="3" t="inlineStr">
        <is>
          <t>1 · ACTION</t>
        </is>
      </c>
      <c r="F655" s="3" t="inlineStr">
        <is>
          <t>── Cancel streak reminder (e.g.</t>
        </is>
      </c>
      <c r="G655" s="11" t="inlineStr">
        <is>
          <t>cancels the daily reminder</t>
        </is>
      </c>
      <c r="H655" s="3" t="inlineStr">
        <is>
          <t>Cancels the daily streak reminder. Not a calculation.</t>
        </is>
      </c>
      <c r="I655" s="3" t="inlineStr">
        <is>
          <t>READ BY HAND 2026-08-26 — checked line by line against the code</t>
        </is>
      </c>
      <c r="J655" s="3" t="inlineStr">
        <is>
          <t>Nothing is handed to it</t>
        </is>
      </c>
      <c r="K655" s="3" t="inlineStr">
        <is>
          <t>NOT DECLARED — the code does not say what it gives back</t>
        </is>
      </c>
      <c r="L655" s="3" t="inlineStr">
        <is>
          <t>—</t>
        </is>
      </c>
      <c r="M655" s="3" t="inlineStr">
        <is>
          <t>None found in this function — anything it assumes comes from the functions it depends on.</t>
        </is>
      </c>
      <c r="N655" s="3" t="inlineStr">
        <is>
          <t>No</t>
        </is>
      </c>
      <c r="O655" s="3" t="inlineStr">
        <is>
          <t>—</t>
        </is>
      </c>
      <c r="P655" s="3" t="n">
        <v>0</v>
      </c>
      <c r="Q655" s="3" t="inlineStr">
        <is>
          <t>None — no dependent function stands behind it</t>
        </is>
      </c>
      <c r="R655" s="3" t="inlineStr">
        <is>
          <t>No dependent function — it reads its inputs and answers</t>
        </is>
      </c>
      <c r="S655" s="3" t="inlineStr">
        <is>
          <t>—</t>
        </is>
      </c>
      <c r="T655" s="3" t="inlineStr">
        <is>
          <t>—</t>
        </is>
      </c>
      <c r="U655" s="3" t="inlineStr">
        <is>
          <t>ACTIVE</t>
        </is>
      </c>
      <c r="V655" s="3" t="inlineStr">
        <is>
          <t>2026-09-12</t>
        </is>
      </c>
      <c r="W655" s="3" t="n"/>
      <c r="X655" s="3" t="n"/>
      <c r="Y655" s="3" t="inlineStr">
        <is>
          <t>NOTHING OPEN</t>
        </is>
      </c>
    </row>
    <row r="656" ht="60" customHeight="1">
      <c r="A656" s="3" t="inlineStr">
        <is>
          <t>MK-XS-F-087</t>
        </is>
      </c>
      <c r="B656" s="3" t="inlineStr">
        <is>
          <t>scheduleRmdReminder</t>
        </is>
      </c>
      <c r="C656" s="3" t="inlineStr">
        <is>
          <t>src/services/notifications.ts</t>
        </is>
      </c>
      <c r="D656" s="3" t="n">
        <v>121</v>
      </c>
      <c r="E656" s="3" t="inlineStr">
        <is>
          <t>2 · DISPLAYED</t>
        </is>
      </c>
      <c r="F656" s="3" t="inlineStr">
        <is>
          <t>── Required-withdrawal reminders (FCC Plan r48/r51 — logistics only, no timing advice) ── November 1 nudge ahead of the Dec 31 deadline (this year or a future start year).</t>
        </is>
      </c>
      <c r="G656" s="11" t="inlineStr">
        <is>
          <t>id = `rmd − reminder-${year}`
fire at = the date year, 10, 1, 10, 0, 0
false   when fire at.get time() ≤ date.now()
the answer = true</t>
        </is>
      </c>
      <c r="H656" s="3" t="inlineStr">
        <is>
          <t>Id is `rmd minus reminder-${year}`. Fire at: the date year, 10, 1, 10, 0, 0. When fire at.get time() is at most date.now(), it answers false. The answer is true.</t>
        </is>
      </c>
      <c r="I656" s="3" t="inlineStr">
        <is>
          <t>PARTLY READ — some of the code is still showing through; needs a hand pass</t>
        </is>
      </c>
      <c r="J656" s="3" t="inlineStr">
        <is>
          <t>year: number</t>
        </is>
      </c>
      <c r="K656" s="3" t="inlineStr">
        <is>
          <t>NOT DECLARED — the code does not say what it gives back</t>
        </is>
      </c>
      <c r="L656" s="3" t="inlineStr">
        <is>
          <t>NOT FOUND — a screen calls it, but the words printed beside its answer could not be traced automatically. Needs reading.</t>
        </is>
      </c>
      <c r="M656" s="3" t="inlineStr">
        <is>
          <t>· Uses today's date from the device clock, so the answer changes by itself overnight.</t>
        </is>
      </c>
      <c r="N656" s="3" t="inlineStr">
        <is>
          <t>Yes</t>
        </is>
      </c>
      <c r="O656" s="3" t="inlineStr">
        <is>
          <t>—</t>
        </is>
      </c>
      <c r="P656" s="3" t="n">
        <v>0</v>
      </c>
      <c r="Q656" s="3" t="inlineStr">
        <is>
          <t>None — no dependent function stands behind it</t>
        </is>
      </c>
      <c r="R656" s="3" t="inlineStr">
        <is>
          <t>No dependent function — it reads its inputs and answers</t>
        </is>
      </c>
      <c r="S656" s="3" t="inlineStr">
        <is>
          <t>—</t>
        </is>
      </c>
      <c r="T656" s="3" t="inlineStr">
        <is>
          <t>—</t>
        </is>
      </c>
      <c r="U656" s="3" t="inlineStr">
        <is>
          <t>ACTIVE</t>
        </is>
      </c>
      <c r="V656" s="3" t="inlineStr">
        <is>
          <t>2026-08-27</t>
        </is>
      </c>
      <c r="W656" s="3" t="n"/>
      <c r="X656" s="3" t="n"/>
      <c r="Y656" s="3" t="inlineStr">
        <is>
          <t>NOTHING OPEN</t>
        </is>
      </c>
    </row>
    <row r="657" ht="45" customHeight="1">
      <c r="A657" s="3" t="inlineStr">
        <is>
          <t>MK-XS-F-088</t>
        </is>
      </c>
      <c r="B657" s="3" t="inlineStr">
        <is>
          <t>sendBudgetAlert</t>
        </is>
      </c>
      <c r="C657" s="3" t="inlineStr">
        <is>
          <t>src/services/notifications.ts</t>
        </is>
      </c>
      <c r="D657" s="3" t="n">
        <v>158</v>
      </c>
      <c r="E657" s="3" t="inlineStr">
        <is>
          <t>1 · ACTION</t>
        </is>
      </c>
      <c r="F657" s="3" t="inlineStr">
        <is>
          <t>── Budget alert (fire immediately) ────────────────────────────────</t>
        </is>
      </c>
      <c r="G657" s="11" t="inlineStr">
        <is>
          <t>sends one alert now: '&lt;category&gt; budget at &lt;round(pct)&gt;%'</t>
        </is>
      </c>
      <c r="H657" s="3" t="inlineStr">
        <is>
          <t>Sends an immediate alert naming the category and how much of its budget is used, to the whole percent. Display only.</t>
        </is>
      </c>
      <c r="I657" s="3" t="inlineStr">
        <is>
          <t>READ BY HAND 2026-08-26 — checked line by line against the code</t>
        </is>
      </c>
      <c r="J657" s="3" t="inlineStr">
        <is>
          <t>1. category: string
2. pct: number</t>
        </is>
      </c>
      <c r="K657" s="3" t="inlineStr">
        <is>
          <t>NOT DECLARED — the code does not say what it gives back</t>
        </is>
      </c>
      <c r="L657" s="3" t="inlineStr">
        <is>
          <t>—</t>
        </is>
      </c>
      <c r="M657" s="3" t="inlineStr">
        <is>
          <t>· Rounds the answer to a whole number.</t>
        </is>
      </c>
      <c r="N657" s="3" t="inlineStr">
        <is>
          <t>No</t>
        </is>
      </c>
      <c r="O657" s="3" t="inlineStr">
        <is>
          <t>—</t>
        </is>
      </c>
      <c r="P657" s="3" t="n">
        <v>0</v>
      </c>
      <c r="Q657" s="3" t="inlineStr">
        <is>
          <t>None — no dependent function stands behind it</t>
        </is>
      </c>
      <c r="R657" s="3" t="inlineStr">
        <is>
          <t>No dependent function — it reads its inputs and answers</t>
        </is>
      </c>
      <c r="S657" s="3" t="inlineStr">
        <is>
          <t>—</t>
        </is>
      </c>
      <c r="T657" s="3" t="inlineStr">
        <is>
          <t>—</t>
        </is>
      </c>
      <c r="U657" s="3" t="inlineStr">
        <is>
          <t>ACTIVE</t>
        </is>
      </c>
      <c r="V657" s="3" t="inlineStr">
        <is>
          <t>2026-09-12</t>
        </is>
      </c>
      <c r="W657" s="3" t="n"/>
      <c r="X657" s="3" t="n"/>
      <c r="Y657" s="3" t="inlineStr">
        <is>
          <t>NOTHING OPEN</t>
        </is>
      </c>
    </row>
    <row r="658" ht="30" customHeight="1">
      <c r="A658" s="3" t="inlineStr">
        <is>
          <t>MK-XS-F-089</t>
        </is>
      </c>
      <c r="B658" s="3" t="inlineStr">
        <is>
          <t>scheduleWeeklySummary</t>
        </is>
      </c>
      <c r="C658" s="3" t="inlineStr">
        <is>
          <t>src/services/notifications.ts</t>
        </is>
      </c>
      <c r="D658" s="3" t="n">
        <v>186</v>
      </c>
      <c r="E658" s="3" t="inlineStr">
        <is>
          <t>1 · ACTION</t>
        </is>
      </c>
      <c r="F658" s="3" t="inlineStr">
        <is>
          <t>── Weekly summary notification ────────────────────────────────────</t>
        </is>
      </c>
      <c r="G658" s="11" t="inlineStr">
        <is>
          <t>cancels the existing summary, then schedules a weekly one on Monday at 09:00</t>
        </is>
      </c>
      <c r="H658" s="3" t="inlineStr">
        <is>
          <t>Schedules the Monday 9 am weekly summary, replacing any existing one. Not a calculation.</t>
        </is>
      </c>
      <c r="I658" s="3" t="inlineStr">
        <is>
          <t>READ BY HAND 2026-08-26 — checked line by line against the code</t>
        </is>
      </c>
      <c r="J658" s="3" t="inlineStr">
        <is>
          <t>Nothing is handed to it</t>
        </is>
      </c>
      <c r="K658" s="3" t="inlineStr">
        <is>
          <t>NOT DECLARED — the code does not say what it gives back</t>
        </is>
      </c>
      <c r="L658" s="3" t="inlineStr">
        <is>
          <t>—</t>
        </is>
      </c>
      <c r="M658" s="3" t="inlineStr">
        <is>
          <t>None found in this function — anything it assumes comes from the functions it depends on.</t>
        </is>
      </c>
      <c r="N658" s="3" t="inlineStr">
        <is>
          <t>No</t>
        </is>
      </c>
      <c r="O658" s="3" t="inlineStr">
        <is>
          <t>—</t>
        </is>
      </c>
      <c r="P658" s="3" t="n">
        <v>0</v>
      </c>
      <c r="Q658" s="3" t="inlineStr">
        <is>
          <t>None — no dependent function stands behind it</t>
        </is>
      </c>
      <c r="R658" s="3" t="inlineStr">
        <is>
          <t>No dependent function — it reads its inputs and answers</t>
        </is>
      </c>
      <c r="S658" s="3" t="inlineStr">
        <is>
          <t>—</t>
        </is>
      </c>
      <c r="T658" s="3" t="inlineStr">
        <is>
          <t>—</t>
        </is>
      </c>
      <c r="U658" s="3" t="inlineStr">
        <is>
          <t>ACTIVE</t>
        </is>
      </c>
      <c r="V658" s="3" t="inlineStr">
        <is>
          <t>2026-09-12</t>
        </is>
      </c>
      <c r="W658" s="3" t="n"/>
      <c r="X658" s="3" t="n"/>
      <c r="Y658" s="3" t="inlineStr">
        <is>
          <t>NOTHING OPEN</t>
        </is>
      </c>
    </row>
    <row r="659" ht="45" customHeight="1">
      <c r="A659" s="3" t="inlineStr">
        <is>
          <t>MK-XS-F-090</t>
        </is>
      </c>
      <c r="B659" s="3" t="inlineStr">
        <is>
          <t>addNotificationResponseListener</t>
        </is>
      </c>
      <c r="C659" s="3" t="inlineStr">
        <is>
          <t>src/services/notifications.ts</t>
        </is>
      </c>
      <c r="D659" s="3" t="n">
        <v>221</v>
      </c>
      <c r="E659" s="3" t="inlineStr">
        <is>
          <t>3 · DEPENDENT (feeds an action only)</t>
        </is>
      </c>
      <c r="F659" s="3" t="inlineStr">
        <is>
          <t>── Listen for notification taps ───────────────────────────────────</t>
        </is>
      </c>
      <c r="G659" s="11" t="inlineStr">
        <is>
          <t>screen = response.notification.request.content.data.screen as string</t>
        </is>
      </c>
      <c r="H659" s="3" t="inlineStr">
        <is>
          <t>Screen is response.notification.request.content.data.screen as string.</t>
        </is>
      </c>
      <c r="I659" s="3" t="inlineStr">
        <is>
          <t>READ FROM THE CODE — rendered from the expressions the function runs</t>
        </is>
      </c>
      <c r="J659" s="3" t="inlineStr">
        <is>
          <t>Nothing is handed to it</t>
        </is>
      </c>
      <c r="K659" s="3" t="inlineStr">
        <is>
          <t>NOT DECLARED — the code does not say what it gives back</t>
        </is>
      </c>
      <c r="L659" s="3" t="inlineStr">
        <is>
          <t>—</t>
        </is>
      </c>
      <c r="M659" s="3" t="inlineStr">
        <is>
          <t>None found in this function — anything it assumes comes from the functions it depends on.</t>
        </is>
      </c>
      <c r="N659" s="3" t="inlineStr">
        <is>
          <t>No</t>
        </is>
      </c>
      <c r="O659" s="3" t="inlineStr">
        <is>
          <t>—</t>
        </is>
      </c>
      <c r="P659" s="3" t="n">
        <v>0</v>
      </c>
      <c r="Q659" s="3" t="inlineStr">
        <is>
          <t>None — no dependent function stands behind it</t>
        </is>
      </c>
      <c r="R659" s="3" t="inlineStr">
        <is>
          <t>No dependent function — it reads its inputs and answers</t>
        </is>
      </c>
      <c r="S659" s="3" t="inlineStr">
        <is>
          <t>—</t>
        </is>
      </c>
      <c r="T659" s="3" t="inlineStr">
        <is>
          <t>—</t>
        </is>
      </c>
      <c r="U659" s="3" t="inlineStr">
        <is>
          <t>ACTIVE</t>
        </is>
      </c>
      <c r="V659" s="3" t="inlineStr">
        <is>
          <t>2026-08-27</t>
        </is>
      </c>
      <c r="W659" s="3" t="n"/>
      <c r="X659" s="3" t="n"/>
      <c r="Y659" s="3" t="inlineStr">
        <is>
          <t>NOTHING OPEN</t>
        </is>
      </c>
    </row>
    <row r="660" ht="60" customHeight="1">
      <c r="A660" s="3" t="inlineStr">
        <is>
          <t>MK-XS-F-091</t>
        </is>
      </c>
      <c r="B660" s="3" t="inlineStr">
        <is>
          <t>scheduleSsWindowReminder</t>
        </is>
      </c>
      <c r="C660" s="3" t="inlineStr">
        <is>
          <t>src/services/notifications.ts</t>
        </is>
      </c>
      <c r="D660" s="3" t="n">
        <v>253</v>
      </c>
      <c r="E660" s="3" t="inlineStr">
        <is>
          <t>2 · DISPLAYED</t>
        </is>
      </c>
      <c r="F660" s="3" t="inlineStr">
        <is>
          <t>── Social Security claim-window reminder (design r18, built pre-48 per founder decision) ── Fires the month the claim window opens (their 62nd-birthday month), 10:00 on the 1st.</t>
        </is>
      </c>
      <c r="G660" s="11" t="inlineStr">
        <is>
          <t>id = 'ss − window − reminder'
fire at = the date opens year, opens month1 − 1, 1, 10, 0, 0
false   when fire at.get time() ≤ date.now()
the answer = true</t>
        </is>
      </c>
      <c r="H660" s="3" t="inlineStr">
        <is>
          <t>Id is 'ss minus window minus reminder'. Fire at: the date opens year, opens month1 minus 1, 1, 10, 0, 0. When fire at.get time() is at most date.now(), it answers false. The answer is true.</t>
        </is>
      </c>
      <c r="I660" s="3" t="inlineStr">
        <is>
          <t>PARTLY READ — some of the code is still showing through; needs a hand pass</t>
        </is>
      </c>
      <c r="J660" s="3" t="inlineStr">
        <is>
          <t>1. opensYear: number
2. opensMonth1: number</t>
        </is>
      </c>
      <c r="K660" s="3" t="inlineStr">
        <is>
          <t>NOT DECLARED — the code does not say what it gives back</t>
        </is>
      </c>
      <c r="L660" s="3" t="inlineStr">
        <is>
          <t>NOT FOUND — a screen calls it, but the words printed beside its answer could not be traced automatically. Needs reading.</t>
        </is>
      </c>
      <c r="M660" s="3" t="inlineStr">
        <is>
          <t>· Uses today's date from the device clock, so the answer changes by itself overnight.</t>
        </is>
      </c>
      <c r="N660" s="3" t="inlineStr">
        <is>
          <t>Yes</t>
        </is>
      </c>
      <c r="O660" s="3" t="inlineStr">
        <is>
          <t>—</t>
        </is>
      </c>
      <c r="P660" s="3" t="n">
        <v>0</v>
      </c>
      <c r="Q660" s="3" t="inlineStr">
        <is>
          <t>None — no dependent function stands behind it</t>
        </is>
      </c>
      <c r="R660" s="3" t="inlineStr">
        <is>
          <t>No dependent function — it reads its inputs and answers</t>
        </is>
      </c>
      <c r="S660" s="3" t="inlineStr">
        <is>
          <t>—</t>
        </is>
      </c>
      <c r="T660" s="3" t="inlineStr">
        <is>
          <t>—</t>
        </is>
      </c>
      <c r="U660" s="3" t="inlineStr">
        <is>
          <t>ACTIVE</t>
        </is>
      </c>
      <c r="V660" s="3" t="inlineStr">
        <is>
          <t>2026-08-27</t>
        </is>
      </c>
      <c r="W660" s="3" t="n"/>
      <c r="X660" s="3" t="n"/>
      <c r="Y660" s="3" t="inlineStr">
        <is>
          <t>NOTHING OPEN</t>
        </is>
      </c>
    </row>
    <row r="661" ht="60" customHeight="1">
      <c r="A661" s="3" t="inlineStr">
        <is>
          <t>MK-XS-F-092</t>
        </is>
      </c>
      <c r="B661" s="3" t="inlineStr">
        <is>
          <t>parseReceiptWithOCR</t>
        </is>
      </c>
      <c r="C661" s="3" t="inlineStr">
        <is>
          <t>src/services/receiptOCR.ts</t>
        </is>
      </c>
      <c r="D661" s="3" t="n">
        <v>40</v>
      </c>
      <c r="E661" s="3" t="inlineStr">
        <is>
          <t>4 · BRINGS DATA IN</t>
        </is>
      </c>
      <c r="F661" s="3" t="inlineStr">
        <is>
          <t>Sends a receipt image to Google Cloud Vision API for OCR, then parses the raw text to extract store, total, date, category.</t>
        </is>
      </c>
      <c r="G661" s="11" t="inlineStr">
        <is>
          <t>the answer = nothing
json = await response.json()
raw text = json.responses.[0].full text annotation.text (or '' when missing or zero)
nothing   when raw text is missing</t>
        </is>
      </c>
      <c r="H661" s="3" t="inlineStr">
        <is>
          <t>The answer is no answer. Json is await response.json(). Raw text is json.responses.[0].full text annotation.text (or '' — when missing or zero). When raw text is missing, it answers no answer.</t>
        </is>
      </c>
      <c r="I661" s="3" t="inlineStr">
        <is>
          <t>PARTLY READ — some of the code is still showing through; needs a hand pass</t>
        </is>
      </c>
      <c r="J661" s="3" t="inlineStr">
        <is>
          <t>imageUri: string</t>
        </is>
      </c>
      <c r="K661" s="3" t="inlineStr">
        <is>
          <t>Promise&lt;ParsedReceipt | null&gt;</t>
        </is>
      </c>
      <c r="L661" s="3" t="inlineStr">
        <is>
          <t>—</t>
        </is>
      </c>
      <c r="M661" s="3" t="inlineStr">
        <is>
          <t>None found in this function — anything it assumes comes from the functions it depends on.</t>
        </is>
      </c>
      <c r="N661" s="3" t="inlineStr">
        <is>
          <t>No</t>
        </is>
      </c>
      <c r="O661" s="3" t="inlineStr">
        <is>
          <t>MK-XS-F-094 parseReceiptText</t>
        </is>
      </c>
      <c r="P661" s="3" t="n">
        <v>116</v>
      </c>
      <c r="Q661" s="3" t="inlineStr">
        <is>
          <t>1. MK-XS-F-094 parseReceiptText
2. MK-XS-F-144 guessCategory
3. MK-CF-F-204 line
4. MK-CF-F-132 map
5. MK-XS-F-058 parseReceipt
6. MK-XS-F-093 stripNonMoney
7. MK-CF-F-203 MONTH
8. MK-XS-F-180 declareFigures
9. MK-ST-F-052 toNum
10. MK-CF-O-010 theMonth
11. MK-XS-F-122 n
12. MK-CF-F-155 cash
13. MK-CF-O-002 expenses
14. MK-CF-O-003 thisMonth
15. MK-CF-F-151 actualSpending
16. MK-CF-F-150 debtPaymentsCountedAsExpenses
17. MK-CF-F-153 radar
18. MK-CF-F-149 recurringDebtPayments
19. MK-CF-F-005 actualMonthFlow
20. MK-CF-F-156 plannedMonthFlow
21. MK-CF-F-148 inMonth
22. MK-CF-F-191 ym
23. MK-ST-F-056 has
24. MK-CF-F-022 paymentShape
25. MK-CF-F-152 isRadarItem
26. MK-CF-F-023 requiredPayment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MK-ST-F-039 on
43. MK-ST-F-027 accountId
44. MK-NW-F-057 annualCoupon
45. MK-NW-F-056 bondInfo
46. MK-NW-F-064 bondRateSensitivity
47. MK-NW-F-061 bondSummary
48. MK-NW-F-055 isBond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MK-NW-F-131 pricedLikeBond
71. MK-NW-F-125 isPastMaturity
72. MK-ST-F-065 isoLocalDate
73. MK-NW-F-126 yearlyInterestNow
74. MK-NW-F-011 assetClassOf
75. MK-NW-F-070 accruedInterestCaveat
76. MK-NW-F-058 yearsToMaturity
77. MK-CF-F-075 retirementIncomeMonthly
78. MK-CF-F-172 hasWage
79. MK-CF-F-062 equityRowValue
80. MK-CF-F-070 benefitAnnual
81. MK-CF-F-176 sumMonthsOverEarners
82. MK-CF-F-090 effectiveRate
83. MK-CF-F-180 enteredLandsAnnual
84. MK-CF-F-085 filingStatusOf
85. MK-CF-F-089 over65CountOf
86. MK-CF-F-082 salaryAnnual
87. MK-CF-F-086 stateRateOf
88. MK-CF-F-101 taxOwedFor
89. MK-CF-F-084 taxableAnnual
90. MK-CF-F-067 rentalList
91. MK-CF-F-063 rowVestYear
92. MK-CF-F-130 enteredMonthlyRaw
93. MK-CF-F-166 hasMonthlySalaryTable
94. MK-ST-F-036 reconcile
95. MK-CF-F-167 salaryCalendarYear
96. MK-CF-F-120 pctBaseMonthly
97. MK-CF-F-004 spendBuckets
98. MK-NW-F-119 estimatedAccrued
99. MK-NW-F-124 maturityParts
100. MK-NW-F-120 classEvidenceOf
101. MK-NW-F-067 plural
102. MK-CF-F-100 taxableIncomeFor
103. MK-CF-F-074 tipsAnnual
104. MK-ST-F-085 rentFigure
105. MK-CF-F-165 salaryMonths
106. MK-CF-F-003 categoryMonthly
107. MK-NW-F-008 incomeBearingClassOf
108. MK-NW-F-009 maturityClass
109. MK-CF-F-099 deductionFor
110. MK-CF-F-081 salaryActiveMonths
111. MK-ST-F-010 nameEvidence
112. MK-NW-F-068 prettyDay
113. MK-CF-F-187 seniorDeductionFor
114. MK-XS-F-147 call
115. MK-XS-F-064 currentIdToken
116. MK-XS-F-112 relayUrl</t>
        </is>
      </c>
      <c r="R661" s="3" t="inlineStr">
        <is>
          <t>1. MK-XS-F-144 guessCategory → MK-XS-F-094 parseReceiptText → MK-XS-F-092 parseReceiptWithOCR
2. MONTH (already above — a loop) → MK-CF-O-010 theMonth → MK-CF-F-203 MONTH → MK-CF-F-204 line → MK-XS-F-094 parseReceiptText → MK-XS-F-092 parseReceiptWithOCR
3. MK-CF-F-155 cash → MK-CF-O-010 theMonth → MK-CF-F-203 MONTH → MK-CF-F-204 line → MK-XS-F-094 parseReceiptText → MK-XS-F-092 parseReceiptWithOCR
4. MK-CF-O-002 expenses → MK-CF-O-010 theMonth → MK-CF-F-203 MONTH → MK-CF-F-204 line → MK-XS-F-094 parseReceiptText → MK-XS-F-092 parseReceiptWithOCR
5. MK-CF-O-003 thisMonth → MK-CF-O-010 theMonth → MK-CF-F-203 MONTH → MK-CF-F-204 line → MK-XS-F-094 parseReceiptText → MK-XS-F-092 parseReceiptWithOCR
6. MK-XS-F-180 declareFigures → MK-CF-F-204 line → MK-XS-F-094 parseReceiptText → MK-XS-F-092 parseReceiptWithOCR
7. MK-CF-F-132 map → MK-XS-F-094 parseReceiptText → MK-XS-F-092 parseReceiptWithOCR
8. MK-CF-O-010 theMonth → MK-CF-F-203 MONTH → MK-CF-F-204 line → MK-XS-F-058 parseReceipt → MK-XS-F-094 parseReceiptText → MK-XS-F-092 parseReceiptWithOCR
9. … and 4 more paths</t>
        </is>
      </c>
      <c r="S661" s="3" t="inlineStr">
        <is>
          <t>—</t>
        </is>
      </c>
      <c r="T661" s="3" t="inlineStr">
        <is>
          <t>—</t>
        </is>
      </c>
      <c r="U661" s="3" t="inlineStr">
        <is>
          <t>ACTIVE</t>
        </is>
      </c>
      <c r="V661" s="3" t="inlineStr">
        <is>
          <t>2026-08-27</t>
        </is>
      </c>
      <c r="W661" s="3" t="n"/>
      <c r="X661" s="3" t="n"/>
      <c r="Y661" s="3" t="inlineStr">
        <is>
          <t>NOTHING OPEN</t>
        </is>
      </c>
    </row>
    <row r="662" ht="45" customHeight="1">
      <c r="A662" s="3" t="inlineStr">
        <is>
          <t>MK-XS-F-093</t>
        </is>
      </c>
      <c r="B662" s="3" t="inlineStr">
        <is>
          <t>stripNonMoney</t>
        </is>
      </c>
      <c r="C662" s="3" t="inlineStr">
        <is>
          <t>src/services/receiptOCR.ts</t>
        </is>
      </c>
      <c r="D662" s="3" t="n">
        <v>109</v>
      </c>
      <c r="E662" s="3" t="inlineStr">
        <is>
          <t>3 · DEPENDENT</t>
        </is>
      </c>
      <c r="F662" s="3" t="inlineStr">
        <is>
          <t>A DATE IS NOT MONEY.</t>
        </is>
      </c>
      <c r="G662" s="11" t="inlineStr">
        <is>
          <t>the answer = the line with dates (30.04.24, 04/30/24, 2024-04-30) and times (08:30, 7:54:10) blanked out</t>
        </is>
      </c>
      <c r="H662" s="3" t="inlineStr">
        <is>
          <t>Blanks the dates and times on a receipt line so only the money figures remain for reading. No arithmetic.</t>
        </is>
      </c>
      <c r="I662" s="3" t="inlineStr">
        <is>
          <t>READ BY HAND 2026-08-26 — checked line by line against the code</t>
        </is>
      </c>
      <c r="J662" s="3" t="inlineStr">
        <is>
          <t>line: string</t>
        </is>
      </c>
      <c r="K662" s="3" t="inlineStr">
        <is>
          <t>string</t>
        </is>
      </c>
      <c r="L662" s="3" t="inlineStr">
        <is>
          <t>—</t>
        </is>
      </c>
      <c r="M662" s="3" t="inlineStr">
        <is>
          <t>None found in this function — anything it assumes comes from the functions it depends on.</t>
        </is>
      </c>
      <c r="N662" s="3" t="inlineStr">
        <is>
          <t>Yes</t>
        </is>
      </c>
      <c r="O662" s="3" t="inlineStr">
        <is>
          <t>—</t>
        </is>
      </c>
      <c r="P662" s="3" t="n">
        <v>0</v>
      </c>
      <c r="Q662" s="3" t="inlineStr">
        <is>
          <t>None — no dependent function stands behind it</t>
        </is>
      </c>
      <c r="R662" s="3" t="inlineStr">
        <is>
          <t>No dependent function — it reads its inputs and answers</t>
        </is>
      </c>
      <c r="S662" s="3" t="inlineStr">
        <is>
          <t>—</t>
        </is>
      </c>
      <c r="T662" s="3" t="inlineStr">
        <is>
          <t>—</t>
        </is>
      </c>
      <c r="U662" s="3" t="inlineStr">
        <is>
          <t>ACTIVE</t>
        </is>
      </c>
      <c r="V662" s="3" t="inlineStr">
        <is>
          <t>2026-09-12</t>
        </is>
      </c>
      <c r="W662" s="3" t="n"/>
      <c r="X662" s="3" t="n"/>
      <c r="Y662" s="3" t="inlineStr">
        <is>
          <t>NOTHING OPEN</t>
        </is>
      </c>
    </row>
    <row r="663" ht="60" customHeight="1">
      <c r="A663" s="3" t="inlineStr">
        <is>
          <t>MK-XS-F-094</t>
        </is>
      </c>
      <c r="B663" s="3" t="inlineStr">
        <is>
          <t>parseReceiptText</t>
        </is>
      </c>
      <c r="C663" s="3" t="inlineStr">
        <is>
          <t>src/services/receiptOCR.ts</t>
        </is>
      </c>
      <c r="D663" s="3" t="n">
        <v>155</v>
      </c>
      <c r="E663" s="3" t="inlineStr">
        <is>
          <t>3 · DEPENDENT (feeds an action only)</t>
        </is>
      </c>
      <c r="F663" s="3" t="inlineStr">
        <is>
          <t>NOT DETERMINED — the code carries no note saying what this is for, and it has no row in the old inventory. Needs reading.</t>
        </is>
      </c>
      <c r="G663" s="11"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663"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663" s="3" t="inlineStr">
        <is>
          <t>PARTLY READ — some of the code is still showing through; needs a hand pass</t>
        </is>
      </c>
      <c r="J663" s="3" t="inlineStr">
        <is>
          <t>text: string</t>
        </is>
      </c>
      <c r="K663" s="3" t="inlineStr">
        <is>
          <t>ParsedReceipt</t>
        </is>
      </c>
      <c r="L663" s="3" t="inlineStr">
        <is>
          <t>—</t>
        </is>
      </c>
      <c r="M663" s="3" t="inlineStr">
        <is>
          <t>1. Uses a built-in strong t of 0.
2. Uses a built-in weak t of 0.
3. Uses a built-in subtotal of 0.
4. Uses a built-in largest safe of 0.
5. Uses today's date from the device clock, so the answer changes by itself overnight.</t>
        </is>
      </c>
      <c r="N663" s="3" t="inlineStr">
        <is>
          <t>No</t>
        </is>
      </c>
      <c r="O663" s="3" t="inlineStr">
        <is>
          <t>1. MK-XS-F-144 guessCategory
2. MK-CF-F-204 line
3. MK-CF-F-132 map
4. MK-XS-F-058 parseReceipt
5. MK-XS-F-093 stripNonMoney</t>
        </is>
      </c>
      <c r="P663" s="3" t="n">
        <v>115</v>
      </c>
      <c r="Q663" s="3" t="inlineStr">
        <is>
          <t>1. MK-XS-F-144 guessCategory
2. MK-CF-F-204 line
3. MK-CF-F-132 map
4. MK-XS-F-058 parseReceipt
5. MK-XS-F-093 stripNonMoney
6. MK-CF-F-203 MONTH
7. MK-XS-F-180 declareFigures
8. MK-ST-F-052 toNum
9. MK-CF-O-010 theMonth
10. MK-XS-F-122 n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MK-NW-F-112 yearlyInterest
40. MK-ST-F-048 currencySymbol
41. MK-ST-F-039 on
42. MK-ST-F-027 accountId
43. MK-NW-F-057 annualCoupon
44. MK-NW-F-056 bondInfo
45. MK-NW-F-064 bondRateSensitivity
46. MK-NW-F-061 bondSummary
47. MK-NW-F-055 isBond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MK-NW-F-131 pricedLikeBond
70. MK-NW-F-125 isPastMaturity
71. MK-ST-F-065 isoLocalDate
72. MK-NW-F-126 yearlyInterestNow
73. MK-NW-F-011 assetClassOf
74. MK-NW-F-070 accruedInterestCaveat
75. MK-NW-F-058 yearsToMaturity
76. MK-CF-F-075 retirementIncomeMonthly
77. MK-CF-F-172 hasWage
78. MK-CF-F-062 equityRowValue
79. MK-CF-F-070 benefitAnnual
80. MK-CF-F-176 sumMonthsOverEarners
81. MK-CF-F-090 effectiveRate
82. MK-CF-F-180 enteredLandsAnnual
83. MK-CF-F-085 filingStatusOf
84. MK-CF-F-089 over65CountOf
85. MK-CF-F-082 salaryAnnual
86. MK-CF-F-086 stateRateOf
87. MK-CF-F-101 taxOwedFor
88. MK-CF-F-084 taxableAnnual
89. MK-CF-F-067 rentalList
90. MK-CF-F-063 rowVestYear
91. MK-CF-F-130 enteredMonthlyRaw
92. MK-CF-F-166 hasMonthlySalaryTable
93. MK-ST-F-036 reconcile
94. MK-CF-F-167 salaryCalendarYear
95. MK-CF-F-120 pctBaseMonthly
96. MK-CF-F-004 spendBuckets
97. MK-NW-F-119 estimatedAccrued
98. MK-NW-F-124 maturityParts
99. MK-NW-F-120 classEvidenceOf
100. MK-NW-F-067 plural
101. MK-CF-F-100 taxableIncomeFor
102. MK-CF-F-074 tipsAnnual
103. MK-ST-F-085 rentFigure
104. MK-CF-F-165 salaryMonths
105. MK-CF-F-003 categoryMonthly
106. MK-NW-F-008 incomeBearingClassOf
107. MK-NW-F-009 maturityClass
108. MK-CF-F-099 deductionFor
109. MK-CF-F-081 salaryActiveMonths
110. MK-ST-F-010 nameEvidence
111. MK-NW-F-068 prettyDay
112. MK-CF-F-187 seniorDeductionFor
113. MK-XS-F-147 call
114. MK-XS-F-064 currentIdToken
115. MK-XS-F-112 relayUrl</t>
        </is>
      </c>
      <c r="R663" s="3" t="inlineStr">
        <is>
          <t>1. MK-XS-F-144 guessCategory → MK-XS-F-094 parseReceiptText
2. MONTH (already above — a loop) → MK-CF-O-010 theMonth → MK-CF-F-203 MONTH → MK-CF-F-204 line → MK-XS-F-094 parseReceiptText
3. MK-XS-F-122 n → MK-CF-F-155 cash → MK-CF-O-010 theMonth → MK-CF-F-203 MONTH → MK-CF-F-204 line → MK-XS-F-094 parseReceiptText
4. MK-CF-F-151 actualSpending → MK-CF-O-002 expenses → MK-CF-O-010 theMonth → MK-CF-F-203 MONTH → MK-CF-F-204 line → MK-XS-F-094 parseReceiptText
5. MK-CF-F-150 debtPaymentsCountedAsExpenses → MK-CF-O-002 expenses → MK-CF-O-010 theMonth → MK-CF-F-203 MONTH → MK-CF-F-204 line → MK-XS-F-094 parseReceiptText
6. MK-CF-F-153 radar → MK-CF-O-002 expenses → MK-CF-O-010 theMonth → MK-CF-F-203 MONTH → MK-CF-F-204 line → MK-XS-F-094 parseReceiptText
7. MK-CF-F-149 recurringDebtPayments → MK-CF-O-002 expenses → MK-CF-O-010 theMonth → MK-CF-F-203 MONTH → MK-CF-F-204 line → MK-XS-F-094 parseReceiptText
8. MK-CF-F-005 actualMonthFlow → MK-CF-O-003 thisMonth → MK-CF-O-010 theMonth → MK-CF-F-203 MONTH → MK-CF-F-204 line → MK-XS-F-094 parseReceiptText
9. … and 5 more paths</t>
        </is>
      </c>
      <c r="S663" s="3" t="inlineStr">
        <is>
          <t>—</t>
        </is>
      </c>
      <c r="T663" s="3" t="inlineStr">
        <is>
          <t>—</t>
        </is>
      </c>
      <c r="U663" s="3" t="inlineStr">
        <is>
          <t>ACTIVE</t>
        </is>
      </c>
      <c r="V663" s="3" t="inlineStr">
        <is>
          <t>2026-08-27</t>
        </is>
      </c>
      <c r="W663" s="3" t="n"/>
      <c r="X663" s="3" t="n"/>
      <c r="Y663" s="3" t="inlineStr">
        <is>
          <t>NOTHING OPEN</t>
        </is>
      </c>
    </row>
    <row r="664" ht="60" customHeight="1">
      <c r="A664" s="3" t="inlineStr">
        <is>
          <t>MK-XS-F-095</t>
        </is>
      </c>
      <c r="B664" s="3" t="inlineStr">
        <is>
          <t>ocrAvailable</t>
        </is>
      </c>
      <c r="C664" s="3" t="inlineStr">
        <is>
          <t>src/services/receiptScan.ts</t>
        </is>
      </c>
      <c r="D664" s="3" t="n">
        <v>27</v>
      </c>
      <c r="E664" s="3" t="inlineStr">
        <is>
          <t>2 · DISPLAYED</t>
        </is>
      </c>
      <c r="F664" s="3" t="inlineStr">
        <is>
          <t>NOT DETERMINED — the code carries no note saying what this is for, and it has no row in the old inventory. Needs reading.</t>
        </is>
      </c>
      <c r="G664" s="11" t="inlineStr">
        <is>
          <t>the answer = true when the text-recognition module is present and usable</t>
        </is>
      </c>
      <c r="H664" s="3" t="inlineStr">
        <is>
          <t>Whether receipt scanning is available on this device. Not a calculation.</t>
        </is>
      </c>
      <c r="I664" s="3" t="inlineStr">
        <is>
          <t>READ BY HAND 2026-08-26 — checked line by line against the code</t>
        </is>
      </c>
      <c r="J664" s="3" t="inlineStr">
        <is>
          <t>Nothing is handed to it</t>
        </is>
      </c>
      <c r="K664" s="3" t="inlineStr">
        <is>
          <t>boolean</t>
        </is>
      </c>
      <c r="L664" s="3" t="inlineStr">
        <is>
          <t>NOT FOUND — a screen calls it, but the words printed beside its answer could not be traced automatically. Needs reading.</t>
        </is>
      </c>
      <c r="M664" s="3" t="inlineStr">
        <is>
          <t>None found in this function — anything it assumes comes from the functions it depends on.</t>
        </is>
      </c>
      <c r="N664" s="3" t="inlineStr">
        <is>
          <t>Yes</t>
        </is>
      </c>
      <c r="O664" s="3" t="inlineStr">
        <is>
          <t>—</t>
        </is>
      </c>
      <c r="P664" s="3" t="n">
        <v>0</v>
      </c>
      <c r="Q664" s="3" t="inlineStr">
        <is>
          <t>None — no dependent function stands behind it</t>
        </is>
      </c>
      <c r="R664" s="3" t="inlineStr">
        <is>
          <t>No dependent function — it reads its inputs and answers</t>
        </is>
      </c>
      <c r="S664" s="3" t="inlineStr">
        <is>
          <t>—</t>
        </is>
      </c>
      <c r="T664" s="3" t="inlineStr">
        <is>
          <t>—</t>
        </is>
      </c>
      <c r="U664" s="3" t="inlineStr">
        <is>
          <t>ACTIVE</t>
        </is>
      </c>
      <c r="V664" s="3" t="inlineStr">
        <is>
          <t>2026-09-12</t>
        </is>
      </c>
      <c r="W664" s="3" t="n"/>
      <c r="X664" s="3" t="n"/>
      <c r="Y664" s="3" t="inlineStr">
        <is>
          <t>NOTHING OPEN</t>
        </is>
      </c>
    </row>
    <row r="665" ht="60" customHeight="1">
      <c r="A665" s="3" t="inlineStr">
        <is>
          <t>MK-XS-F-096</t>
        </is>
      </c>
      <c r="B665" s="3" t="inlineStr">
        <is>
          <t>pickReceipt</t>
        </is>
      </c>
      <c r="C665" s="3" t="inlineStr">
        <is>
          <t>src/services/receiptScan.ts</t>
        </is>
      </c>
      <c r="D665" s="3" t="n">
        <v>55</v>
      </c>
      <c r="E665" s="3" t="inlineStr">
        <is>
          <t>2 · DISPLAYED</t>
        </is>
      </c>
      <c r="F665" s="3" t="inlineStr">
        <is>
          <t>Capture (camera) or pick (library) a receipt image; returns its uri or null if cancelled/denied.</t>
        </is>
      </c>
      <c r="G665" s="11"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665"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665" s="3" t="inlineStr">
        <is>
          <t>PARTLY READ — some of the code is still showing through; needs a hand pass</t>
        </is>
      </c>
      <c r="J665" s="3" t="inlineStr">
        <is>
          <t>source: 'camera' | 'library'</t>
        </is>
      </c>
      <c r="K665" s="3" t="inlineStr">
        <is>
          <t>Promise&lt;string | null&gt;</t>
        </is>
      </c>
      <c r="L665" s="3" t="inlineStr">
        <is>
          <t>NOT FOUND — a screen calls it, but the words printed beside its answer could not be traced automatically. Needs reading.</t>
        </is>
      </c>
      <c r="M665" s="3" t="inlineStr">
        <is>
          <t>None found in this function — anything it assumes comes from the functions it depends on.</t>
        </is>
      </c>
      <c r="N665" s="3" t="inlineStr">
        <is>
          <t>Yes</t>
        </is>
      </c>
      <c r="O665" s="3" t="inlineStr">
        <is>
          <t>MK-CF-F-204 line</t>
        </is>
      </c>
      <c r="P665" s="3" t="n">
        <v>112</v>
      </c>
      <c r="Q665" s="3" t="inlineStr">
        <is>
          <t>1. MK-CF-F-204 line
2. MK-CF-F-203 MONTH
3. MK-XS-F-180 declareFigures
4. MK-CF-O-010 theMonth
5. MK-CF-F-155 cash
6. MK-CF-O-002 expenses
7. MK-CF-O-003 thisMonth
8. MK-XS-F-122 n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MK-NW-F-112 yearlyInterest
37. MK-ST-F-048 currencySymbol
38. MK-ST-F-039 on
39. MK-ST-F-027 accountId
40. MK-NW-F-057 annualCoupon
41. MK-NW-F-056 bondInfo
42. MK-NW-F-064 bondRateSensitivity
43. MK-NW-F-061 bondSummary
44. MK-NW-F-055 isBond
45. MK-NW-F-072 rowOf
46. MK-CF-F-069 benefitActiveMonths
47. MK-CF-F-072 currentRetirementIncomeMonthly
48. MK-CF-F-173 earnerWages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MK-CF-F-177 wageGrossByMonth
61. MK-PL-F-012 waterfall
62. MK-CF-F-008 spendByMonth
63. MK-ST-F-047 activeCurrency
64. MK-NW-F-060 approxYTM
65. MK-NW-F-069 priceAtYield
66. MK-NW-F-131 pricedLikeBond
67. MK-NW-F-125 isPastMaturity
68. MK-ST-F-065 isoLocalDate
69. MK-NW-F-126 yearlyInterestNow
70. MK-NW-F-011 assetClassOf
71. MK-NW-F-070 accruedInterestCaveat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MK-NW-F-119 estimatedAccrued
95. MK-NW-F-124 maturityParts
96. MK-NW-F-120 classEvidenceOf
97. MK-NW-F-067 plural
98. MK-CF-F-100 taxableIncomeFor
99. MK-CF-F-074 tipsAnnual
100. MK-ST-F-085 rentFigure
101. MK-CF-F-165 salaryMonths
102. MK-CF-F-003 categoryMonthly
103. MK-NW-F-008 incomeBearingClassOf
104. MK-NW-F-009 maturityClass
105. MK-CF-F-099 deductionFor
106. MK-CF-F-081 salaryActiveMonths
107. MK-ST-F-010 nameEvidence
108. MK-NW-F-068 prettyDay
109. MK-CF-F-187 seniorDeductionFor
110. MK-XS-F-147 call
111. MK-XS-F-064 currentIdToken
112. MK-XS-F-112 relayUrl</t>
        </is>
      </c>
      <c r="R665" s="3" t="inlineStr">
        <is>
          <t>1. MONTH (already above — a loop) → MK-CF-O-010 theMonth → MK-CF-F-203 MONTH → MK-CF-F-204 line → MK-XS-F-096 pickReceipt
2. MK-XS-F-122 n → MK-CF-F-155 cash → MK-CF-O-010 theMonth → MK-CF-F-203 MONTH → MK-CF-F-204 line → MK-XS-F-096 pickReceipt
3. MK-CF-F-151 actualSpending → MK-CF-O-002 expenses → MK-CF-O-010 theMonth → MK-CF-F-203 MONTH → MK-CF-F-204 line → MK-XS-F-096 pickReceipt
4. MK-CF-F-150 debtPaymentsCountedAsExpenses → MK-CF-O-002 expenses → MK-CF-O-010 theMonth → MK-CF-F-203 MONTH → MK-CF-F-204 line → MK-XS-F-096 pickReceipt
5. MK-CF-F-153 radar → MK-CF-O-002 expenses → MK-CF-O-010 theMonth → MK-CF-F-203 MONTH → MK-CF-F-204 line → MK-XS-F-096 pickReceipt
6. MK-CF-F-149 recurringDebtPayments → MK-CF-O-002 expenses → MK-CF-O-010 theMonth → MK-CF-F-203 MONTH → MK-CF-F-204 line → MK-XS-F-096 pickReceipt
7. MK-CF-F-005 actualMonthFlow → MK-CF-O-003 thisMonth → MK-CF-O-010 theMonth → MK-CF-F-203 MONTH → MK-CF-F-204 line → MK-XS-F-096 pickReceipt
8. MK-CF-F-156 plannedMonthFlow → MK-CF-O-003 thisMonth → MK-CF-O-010 theMonth → MK-CF-F-203 MONTH → MK-CF-F-204 line → MK-XS-F-096 pickReceipt
9. … and 1 more paths</t>
        </is>
      </c>
      <c r="S665" s="3" t="inlineStr">
        <is>
          <t>—</t>
        </is>
      </c>
      <c r="T665" s="3" t="inlineStr">
        <is>
          <t>—</t>
        </is>
      </c>
      <c r="U665" s="3" t="inlineStr">
        <is>
          <t>ACTIVE</t>
        </is>
      </c>
      <c r="V665" s="3" t="inlineStr">
        <is>
          <t>2026-08-27</t>
        </is>
      </c>
      <c r="W665" s="3" t="n"/>
      <c r="X665" s="3" t="n"/>
      <c r="Y665" s="3" t="inlineStr">
        <is>
          <t>NOTHING OPEN</t>
        </is>
      </c>
    </row>
    <row r="666" ht="60" customHeight="1">
      <c r="A666" s="3" t="inlineStr">
        <is>
          <t>MK-XS-F-097</t>
        </is>
      </c>
      <c r="B666" s="3" t="inlineStr">
        <is>
          <t>ocrReceipt</t>
        </is>
      </c>
      <c r="C666" s="3" t="inlineStr">
        <is>
          <t>src/services/receiptScan.ts</t>
        </is>
      </c>
      <c r="D666" s="3" t="n">
        <v>172</v>
      </c>
      <c r="E666" s="3" t="inlineStr">
        <is>
          <t>2 · DISPLAYED (presentation only)</t>
        </is>
      </c>
      <c r="F666" s="3" t="inlineStr">
        <is>
          <t>NOT DETERMINED — the code carries no note saying what this is for, and it has no row in the old inventory. Needs reading.</t>
        </is>
      </c>
      <c r="G666" s="11" t="inlineStr">
        <is>
          <t>raw = ''   when !ocr available()
res = await mlkit.recognize(uri)
text = res.text (or '' when missing)
the answer:
...parse receipt(text) = ...parse receipt(text)
raw = text</t>
        </is>
      </c>
      <c r="H666" s="3" t="inlineStr">
        <is>
          <t>When !ocr available(), it answers raw = ''. Res is await mlkit.recognize(uri). Text is res.text (or '' — when missing). The answer is ...parse receipt(text) = ...parse receipt(text); raw = text.</t>
        </is>
      </c>
      <c r="I666" s="3" t="inlineStr">
        <is>
          <t>PARTLY READ — some of the code is still showing through; needs a hand pass</t>
        </is>
      </c>
      <c r="J666" s="3" t="inlineStr">
        <is>
          <t>uri: string</t>
        </is>
      </c>
      <c r="K666" s="3" t="inlineStr">
        <is>
          <t>Promise&lt;</t>
        </is>
      </c>
      <c r="L666" s="3" t="inlineStr">
        <is>
          <t>NOT FOUND — a screen calls it, but the words printed beside its answer could not be traced automatically. Needs reading.</t>
        </is>
      </c>
      <c r="M666" s="3" t="inlineStr">
        <is>
          <t>None found in this function — anything it assumes comes from the functions it depends on.</t>
        </is>
      </c>
      <c r="N666" s="3" t="inlineStr">
        <is>
          <t>Yes</t>
        </is>
      </c>
      <c r="O666" s="3" t="inlineStr">
        <is>
          <t>1. MK-XS-F-095 ocrAvailable
2. MK-XS-F-058 parseReceipt</t>
        </is>
      </c>
      <c r="P666" s="3" t="n">
        <v>115</v>
      </c>
      <c r="Q666" s="3" t="inlineStr">
        <is>
          <t>1. MK-XS-F-095 ocrAvailable
2. MK-XS-F-058 parseReceipt
3. MK-CF-F-204 line
4. MK-CF-F-132 map
5. MK-XS-F-093 stripNonMoney
6. MK-ST-F-052 toNum
7. MK-CF-F-203 MONTH
8. MK-XS-F-180 declareFigures
9. MK-XS-F-122 n
10. MK-CF-O-010 theMonth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MK-NW-F-112 yearlyInterest
40. MK-ST-F-048 currencySymbol
41. MK-ST-F-039 on
42. MK-ST-F-027 accountId
43. MK-NW-F-057 annualCoupon
44. MK-NW-F-056 bondInfo
45. MK-NW-F-064 bondRateSensitivity
46. MK-NW-F-061 bondSummary
47. MK-NW-F-055 isBond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MK-NW-F-131 pricedLikeBond
70. MK-NW-F-125 isPastMaturity
71. MK-ST-F-065 isoLocalDate
72. MK-NW-F-126 yearlyInterestNow
73. MK-NW-F-011 assetClassOf
74. MK-NW-F-070 accruedInterestCaveat
75. MK-NW-F-058 yearsToMaturity
76. MK-CF-F-075 retirementIncomeMonthly
77. MK-CF-F-172 hasWage
78. MK-CF-F-062 equityRowValue
79. MK-CF-F-070 benefitAnnual
80. MK-CF-F-176 sumMonthsOverEarners
81. MK-CF-F-090 effectiveRate
82. MK-CF-F-180 enteredLandsAnnual
83. MK-CF-F-085 filingStatusOf
84. MK-CF-F-089 over65CountOf
85. MK-CF-F-082 salaryAnnual
86. MK-CF-F-086 stateRateOf
87. MK-CF-F-101 taxOwedFor
88. MK-CF-F-084 taxableAnnual
89. MK-CF-F-067 rentalList
90. MK-CF-F-063 rowVestYear
91. MK-CF-F-130 enteredMonthlyRaw
92. MK-CF-F-166 hasMonthlySalaryTable
93. MK-ST-F-036 reconcile
94. MK-CF-F-167 salaryCalendarYear
95. MK-CF-F-120 pctBaseMonthly
96. MK-CF-F-004 spendBuckets
97. MK-NW-F-119 estimatedAccrued
98. MK-NW-F-124 maturityParts
99. MK-NW-F-120 classEvidenceOf
100. MK-NW-F-067 plural
101. MK-CF-F-100 taxableIncomeFor
102. MK-CF-F-074 tipsAnnual
103. MK-ST-F-085 rentFigure
104. MK-CF-F-165 salaryMonths
105. MK-CF-F-003 categoryMonthly
106. MK-NW-F-008 incomeBearingClassOf
107. MK-NW-F-009 maturityClass
108. MK-CF-F-099 deductionFor
109. MK-CF-F-081 salaryActiveMonths
110. MK-ST-F-010 nameEvidence
111. MK-NW-F-068 prettyDay
112. MK-CF-F-187 seniorDeductionFor
113. MK-XS-F-147 call
114. MK-XS-F-064 currentIdToken
115. MK-XS-F-112 relayUrl</t>
        </is>
      </c>
      <c r="R666" s="3" t="inlineStr">
        <is>
          <t>1. MK-XS-F-095 ocrAvailable → MK-XS-F-097 ocrReceipt
2. MONTH (already above — a loop) → MK-CF-O-010 theMonth → MK-CF-F-203 MONTH → MK-CF-F-204 line → MK-XS-F-058 parseReceipt → MK-XS-F-097 ocrReceipt
3. MK-CF-F-155 cash → MK-CF-O-010 theMonth → MK-CF-F-203 MONTH → MK-CF-F-204 line → MK-XS-F-058 parseReceipt → MK-XS-F-097 ocrReceipt
4. MK-CF-O-002 expenses → MK-CF-O-010 theMonth → MK-CF-F-203 MONTH → MK-CF-F-204 line → MK-XS-F-058 parseReceipt → MK-XS-F-097 ocrReceipt
5. MK-CF-O-003 thisMonth → MK-CF-O-010 theMonth → MK-CF-F-203 MONTH → MK-CF-F-204 line → MK-XS-F-058 parseReceipt → MK-XS-F-097 ocrReceipt
6. MK-XS-F-180 declareFigures → MK-CF-F-204 line → MK-XS-F-058 parseReceipt → MK-XS-F-097 ocrReceipt
7. MK-CF-F-132 map → MK-XS-F-058 parseReceipt → MK-XS-F-097 ocrReceipt
8. MK-XS-F-093 stripNonMoney → MK-XS-F-058 parseReceipt → MK-XS-F-097 ocrReceipt
9. … and 1 more paths</t>
        </is>
      </c>
      <c r="S666" s="3" t="inlineStr">
        <is>
          <t>—</t>
        </is>
      </c>
      <c r="T666" s="3" t="inlineStr">
        <is>
          <t>—</t>
        </is>
      </c>
      <c r="U666" s="3" t="inlineStr">
        <is>
          <t>ACTIVE</t>
        </is>
      </c>
      <c r="V666" s="3" t="inlineStr">
        <is>
          <t>2026-08-27</t>
        </is>
      </c>
      <c r="W666" s="3" t="n"/>
      <c r="X666" s="3" t="n"/>
      <c r="Y666" s="3" t="inlineStr">
        <is>
          <t>NOTHING OPEN</t>
        </is>
      </c>
    </row>
    <row r="667" ht="60" customHeight="1">
      <c r="A667" s="3" t="inlineStr">
        <is>
          <t>MK-XS-F-098</t>
        </is>
      </c>
      <c r="B667" s="3" t="inlineStr">
        <is>
          <t>setSyncProviderForTesting</t>
        </is>
      </c>
      <c r="C667" s="3" t="inlineStr">
        <is>
          <t>src/services/sync/index.ts</t>
        </is>
      </c>
      <c r="D667" s="3" t="n">
        <v>68</v>
      </c>
      <c r="E667" s="3" t="inlineStr">
        <is>
          <t>1 · ACTION</t>
        </is>
      </c>
      <c r="F667" s="3" t="inlineStr">
        <is>
          <t>NOT DETERMINED — the code carries no note saying what this is for, and it has no row in the old inventory. Needs reading.</t>
        </is>
      </c>
      <c r="G667" s="11" t="inlineStr">
        <is>
          <t>It records or announces something and returns no figure — no arithmetic of its own.</t>
        </is>
      </c>
      <c r="H667" s="3" t="inlineStr">
        <is>
          <t>It records or announces something and returns no figure — no arithmetic of its own.</t>
        </is>
      </c>
      <c r="I667" s="3" t="inlineStr">
        <is>
          <t>NO ARITHMETIC — there is no formula to state</t>
        </is>
      </c>
      <c r="J667" s="3" t="inlineStr">
        <is>
          <t>p: SyncProvider | null</t>
        </is>
      </c>
      <c r="K667" s="3" t="inlineStr">
        <is>
          <t>NOT DECLARED — the code does not say what it gives back</t>
        </is>
      </c>
      <c r="L667" s="3" t="inlineStr">
        <is>
          <t>—</t>
        </is>
      </c>
      <c r="M667" s="3" t="inlineStr">
        <is>
          <t>None found in this function — anything it assumes comes from the functions it depends on.</t>
        </is>
      </c>
      <c r="N667" s="3" t="inlineStr">
        <is>
          <t>No</t>
        </is>
      </c>
      <c r="O667" s="3" t="inlineStr">
        <is>
          <t>—</t>
        </is>
      </c>
      <c r="P667" s="3" t="n">
        <v>0</v>
      </c>
      <c r="Q667" s="3" t="inlineStr">
        <is>
          <t>None — no dependent function stands behind it</t>
        </is>
      </c>
      <c r="R667" s="3" t="inlineStr">
        <is>
          <t>No dependent function — it reads its inputs and answers</t>
        </is>
      </c>
      <c r="S667" s="3" t="inlineStr">
        <is>
          <t>—</t>
        </is>
      </c>
      <c r="T667" s="3" t="inlineStr">
        <is>
          <t>—</t>
        </is>
      </c>
      <c r="U667" s="3" t="inlineStr">
        <is>
          <t>ACTIVE</t>
        </is>
      </c>
      <c r="V667" s="3" t="inlineStr">
        <is>
          <t>2026-08-27</t>
        </is>
      </c>
      <c r="W667" s="3" t="n"/>
      <c r="X667" s="3" t="n"/>
      <c r="Y667" s="3" t="inlineStr">
        <is>
          <t>NOTHING OPEN</t>
        </is>
      </c>
    </row>
    <row r="668" ht="60" customHeight="1">
      <c r="A668" s="3" t="inlineStr">
        <is>
          <t>MK-XS-F-099</t>
        </is>
      </c>
      <c r="B668" s="3" t="inlineStr">
        <is>
          <t>activeSyncProvider</t>
        </is>
      </c>
      <c r="C668" s="3" t="inlineStr">
        <is>
          <t>src/services/sync/index.ts</t>
        </is>
      </c>
      <c r="D668" s="3" t="n">
        <v>89</v>
      </c>
      <c r="E668" s="3" t="inlineStr">
        <is>
          <t>2 · DISPLAYED</t>
        </is>
      </c>
      <c r="F668" s="3" t="inlineStr">
        <is>
          <t>The one lookup the UI uses.</t>
        </is>
      </c>
      <c r="G668" s="11" t="inlineStr">
        <is>
          <t>override provider   when override provider ! = undefined
new sandbox sync provider()   if typeof __DEV__ ! = 'undefined' and __DEV__
nothing   otherwise</t>
        </is>
      </c>
      <c r="H668" s="3" t="inlineStr">
        <is>
          <t>When override provider ! = undefined, it answers override provider. new sandbox sync provider() — when typeof __DEV__ ! = 'undefined' and __DEV__; no answer — otherwise.</t>
        </is>
      </c>
      <c r="I668" s="3" t="inlineStr">
        <is>
          <t>PARTLY READ — some of the code is still showing through; needs a hand pass</t>
        </is>
      </c>
      <c r="J668" s="3" t="inlineStr">
        <is>
          <t>Nothing is handed to it</t>
        </is>
      </c>
      <c r="K668" s="3" t="inlineStr">
        <is>
          <t>SyncProvider | null</t>
        </is>
      </c>
      <c r="L668" s="3" t="inlineStr">
        <is>
          <t>NOT FOUND — a screen calls it, but the words printed beside its answer could not be traced automatically. Needs reading.</t>
        </is>
      </c>
      <c r="M668" s="3" t="inlineStr">
        <is>
          <t>None found in this function — anything it assumes comes from the functions it depends on.</t>
        </is>
      </c>
      <c r="N668" s="3" t="inlineStr">
        <is>
          <t>Yes</t>
        </is>
      </c>
      <c r="O668" s="3" t="inlineStr">
        <is>
          <t>—</t>
        </is>
      </c>
      <c r="P668" s="3" t="n">
        <v>0</v>
      </c>
      <c r="Q668" s="3" t="inlineStr">
        <is>
          <t>None — no dependent function stands behind it</t>
        </is>
      </c>
      <c r="R668" s="3" t="inlineStr">
        <is>
          <t>No dependent function — it reads its inputs and answers</t>
        </is>
      </c>
      <c r="S668" s="3" t="inlineStr">
        <is>
          <t>—</t>
        </is>
      </c>
      <c r="T668" s="3" t="inlineStr">
        <is>
          <t>—</t>
        </is>
      </c>
      <c r="U668" s="3" t="inlineStr">
        <is>
          <t>ACTIVE</t>
        </is>
      </c>
      <c r="V668" s="3" t="inlineStr">
        <is>
          <t>2026-08-27</t>
        </is>
      </c>
      <c r="W668" s="3" t="n"/>
      <c r="X668" s="3" t="n"/>
      <c r="Y668" s="3" t="inlineStr">
        <is>
          <t>NOTHING OPEN</t>
        </is>
      </c>
    </row>
    <row r="669" ht="60" customHeight="1">
      <c r="A669" s="3" t="inlineStr">
        <is>
          <t>MK-XS-F-100</t>
        </is>
      </c>
      <c r="B669" s="3" t="inlineStr">
        <is>
          <t>connectionFreshness</t>
        </is>
      </c>
      <c r="C669" s="3" t="inlineStr">
        <is>
          <t>src/services/sync/index.ts</t>
        </is>
      </c>
      <c r="D669" s="3" t="n">
        <v>124</v>
      </c>
      <c r="E669" s="3" t="inlineStr">
        <is>
          <t>2 · DISPLAYED</t>
        </is>
      </c>
      <c r="F669" s="3" t="inlineStr">
        <is>
          <t>How old a connected account's last successful sync is.</t>
        </is>
      </c>
      <c r="G669" s="11" t="inlineStr">
        <is>
          <t>days = days since(last synced, now)
label = age label(last synced, now)
nothing   when days = nothing (or label = nothing when missing or zero)
the answer:
label = label
stale = is stale(last synced, now)
days old = days</t>
        </is>
      </c>
      <c r="H669" s="3" t="inlineStr">
        <is>
          <t>Days is days since(last synced, now). Label is age label(last synced, now). When days is missing (or label is missing — when missing or zero), it answers no answer. The answer is label = label; stale = is stale(last synced, now); days old = days.</t>
        </is>
      </c>
      <c r="I669" s="3" t="inlineStr">
        <is>
          <t>READ FROM THE CODE — rendered from the expressions the function runs</t>
        </is>
      </c>
      <c r="J669" s="3" t="inlineStr">
        <is>
          <t>1. lastSynced: string | null | undefined
2. now: number = Date.now()</t>
        </is>
      </c>
      <c r="K669" s="3" t="inlineStr">
        <is>
          <t>ConnectionFreshness | null</t>
        </is>
      </c>
      <c r="L669" s="3" t="inlineStr">
        <is>
          <t>NOT FOUND — a screen calls it, but the words printed beside its answer could not be traced automatically. Needs reading.</t>
        </is>
      </c>
      <c r="M669" s="3" t="inlineStr">
        <is>
          <t>· Uses today's date from the device clock, so the answer changes by itself overnight.</t>
        </is>
      </c>
      <c r="N669" s="3" t="inlineStr">
        <is>
          <t>Yes</t>
        </is>
      </c>
      <c r="O669" s="3" t="inlineStr">
        <is>
          <t>1. MK-ST-F-076 ageLabel
2. MK-XS-F-170 daysSince
3. MK-ST-F-077 isStale</t>
        </is>
      </c>
      <c r="P669" s="3" t="n">
        <v>3</v>
      </c>
      <c r="Q669" s="3" t="inlineStr">
        <is>
          <t>1. MK-ST-F-076 ageLabel
2. MK-XS-F-170 daysSince
3. MK-ST-F-077 isStale</t>
        </is>
      </c>
      <c r="R669" s="3" t="inlineStr">
        <is>
          <t>1. MK-XS-F-170 daysSince → MK-ST-F-076 ageLabel → MK-XS-F-100 connectionFreshness
2. MK-XS-F-170 daysSince → MK-XS-F-100 connectionFreshness
3. MK-XS-F-170 daysSince → MK-ST-F-077 isStale → MK-XS-F-100 connectionFreshness</t>
        </is>
      </c>
      <c r="S669" s="3" t="inlineStr">
        <is>
          <t>—</t>
        </is>
      </c>
      <c r="T669" s="3" t="inlineStr">
        <is>
          <t>—</t>
        </is>
      </c>
      <c r="U669" s="3" t="inlineStr">
        <is>
          <t>ACTIVE</t>
        </is>
      </c>
      <c r="V669" s="3" t="inlineStr">
        <is>
          <t>2026-10-01</t>
        </is>
      </c>
      <c r="W669" s="3" t="n"/>
      <c r="X669" s="3" t="n"/>
      <c r="Y669" s="3" t="inlineStr">
        <is>
          <t>NOTHING OPEN</t>
        </is>
      </c>
    </row>
    <row r="670" ht="45" customHeight="1">
      <c r="A670" s="3" t="inlineStr">
        <is>
          <t>MK-XS-F-101</t>
        </is>
      </c>
      <c r="B670" s="3" t="inlineStr">
        <is>
          <t>stAssetId</t>
        </is>
      </c>
      <c r="C670" s="3" t="inlineStr">
        <is>
          <t>src/services/sync/ingest.ts</t>
        </is>
      </c>
      <c r="D670" s="3" t="n">
        <v>57</v>
      </c>
      <c r="E670" s="3" t="inlineStr">
        <is>
          <t>1 · ACTION</t>
        </is>
      </c>
      <c r="F670" s="3" t="inlineStr">
        <is>
          <t>What do we call this connected account internally?</t>
        </is>
      </c>
      <c r="G670" s="11" t="inlineStr">
        <is>
          <t>the answer = 'st-' + the SnapTrade account identifier</t>
        </is>
      </c>
      <c r="H670" s="3" t="inlineStr">
        <is>
          <t>The app's identifier for a connected account: the institution's identifier with an 'st-' prefix. No arithmetic.</t>
        </is>
      </c>
      <c r="I670" s="3" t="inlineStr">
        <is>
          <t>READ BY HAND 2026-08-26 — checked line by line against the code</t>
        </is>
      </c>
      <c r="J670" s="3" t="inlineStr">
        <is>
          <t>snapTradeAccountId: string</t>
        </is>
      </c>
      <c r="K670" s="3" t="inlineStr">
        <is>
          <t>NOT DECLARED — the code does not say what it gives back</t>
        </is>
      </c>
      <c r="L670" s="3" t="inlineStr">
        <is>
          <t>—</t>
        </is>
      </c>
      <c r="M670" s="3" t="inlineStr">
        <is>
          <t>None found in this function — anything it assumes comes from the functions it depends on.</t>
        </is>
      </c>
      <c r="N670" s="3" t="inlineStr">
        <is>
          <t>Yes</t>
        </is>
      </c>
      <c r="O670" s="3" t="inlineStr">
        <is>
          <t>—</t>
        </is>
      </c>
      <c r="P670" s="3" t="n">
        <v>0</v>
      </c>
      <c r="Q670" s="3" t="inlineStr">
        <is>
          <t>None — no dependent function stands behind it</t>
        </is>
      </c>
      <c r="R670" s="3" t="inlineStr">
        <is>
          <t>No dependent function — it reads its inputs and answers</t>
        </is>
      </c>
      <c r="S670" s="3" t="inlineStr">
        <is>
          <t>—</t>
        </is>
      </c>
      <c r="T670" s="3" t="inlineStr">
        <is>
          <t>ACCOUNT_IDENTITY</t>
        </is>
      </c>
      <c r="U670" s="3" t="inlineStr">
        <is>
          <t>ACTIVE</t>
        </is>
      </c>
      <c r="V670" s="3" t="inlineStr">
        <is>
          <t>2026-09-12</t>
        </is>
      </c>
      <c r="W670" s="3" t="n"/>
      <c r="X670" s="3" t="n"/>
      <c r="Y670" s="3" t="inlineStr">
        <is>
          <t>NOTHING OPEN</t>
        </is>
      </c>
    </row>
    <row r="671" ht="60" customHeight="1">
      <c r="A671" s="3" t="inlineStr">
        <is>
          <t>MK-XS-F-102</t>
        </is>
      </c>
      <c r="B671" s="3" t="inlineStr">
        <is>
          <t>ingestSync</t>
        </is>
      </c>
      <c r="C671" s="3" t="inlineStr">
        <is>
          <t>src/services/sync/ingest.ts</t>
        </is>
      </c>
      <c r="D671" s="3" t="n">
        <v>140</v>
      </c>
      <c r="E671" s="3" t="inlineStr">
        <is>
          <t>3 · DEPENDENT (feeds an action only)</t>
        </is>
      </c>
      <c r="F671" s="3" t="inlineStr">
        <is>
          <t>A broker just sent us data — what changes?</t>
        </is>
      </c>
      <c r="G671" s="11" t="inlineStr">
        <is>
          <t>accounts = [...existing accounts]
seen keys = { ...existing seen keys }
new transactions = []
needs wrapper confirm = []
direction of = []
st = account
guess = map account type(st.raw type, st.account category)
tail = string(st.number).slice(-4)   if st.number
''   otherwise
mask = `••${tail}`   if ÷ ^\d{4}$ ÷ .test(tail)
undefined   otherwise
inst = st.institution name.trim().to lower case()
asset id = prior.asset id (or st asset id(st.id) when missing)
… the first steps only — the rest of the body needs reading by hand.</t>
        </is>
      </c>
      <c r="H671" s="3" t="inlineStr">
        <is>
          <t>Accounts is [...existing accounts]. Seen keys is { ...existing seen keys }. New transactions is []. Needs wrapper confirm is []. Direction of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Only the first steps are shown; the rest of the body needs reading by hand.</t>
        </is>
      </c>
      <c r="I671" s="3" t="inlineStr">
        <is>
          <t>PARTLY READ — some of the code is still showing through; needs a hand pass</t>
        </is>
      </c>
      <c r="J671" s="3" t="inlineStr">
        <is>
          <t>Nothing is handed to it</t>
        </is>
      </c>
      <c r="K671" s="3" t="inlineStr">
        <is>
          <t>NOT DECLARED — the code does not say what it gives back</t>
        </is>
      </c>
      <c r="L671" s="3" t="inlineStr">
        <is>
          <t>—</t>
        </is>
      </c>
      <c r="M671"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is>
      </c>
      <c r="N671" s="3" t="inlineStr">
        <is>
          <t>No</t>
        </is>
      </c>
      <c r="O671"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MK-XS-F-184 theirCost
14. MK-ST-F-012 toLedgerRow
15. MK-ST-F-021 toNumber</t>
        </is>
      </c>
      <c r="P671" s="3" t="n">
        <v>46</v>
      </c>
      <c r="Q671"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MK-XS-F-184 theirCost
14. MK-ST-F-012 toLedgerRow
15. MK-ST-F-021 toNumber
16. MK-NW-F-025 accountDisplayName
17. MK-ST-F-056 has
18. MK-XS-F-122 n
19. MK-ST-F-027 accountId
20. MK-ST-F-014 importKey
21. MK-ST-F-010 nameEvidence
22. MK-ST-F-007 classifyEvent
23. MK-XS-F-146 prettyExpiry
24. MK-XS-F-145 flatSymbol
25. MK-ST-F-060 verdict
26. MK-ST-F-053 money
27. MK-ST-F-058 numberOrUndefined
28. MK-ST-F-018 readMoney
29. MK-ST-F-019 signed
30. MK-NW-F-024 accountLastFour
31. MK-ST-F-039 on
32. MK-NW-F-012 taxTreatmentOf
33. MK-NW-F-023 wrapperWord
34. MK-XS-F-147 call
35. MK-ST-F-049 formatMoney
36. MK-NW-F-007 assetKind
37. MK-XS-F-064 currentIdToken
38. MK-XS-F-112 relayUrl
39. MK-ST-F-048 currencySymbol
40. MK-NW-F-011 assetClassOf
41. MK-CF-F-155 cash
42. MK-ST-F-047 activeCurrency
43. MK-NW-F-120 classEvidenceOf
44. MK-NW-F-008 incomeBearingClassOf
45. MK-NW-F-009 maturityClass
46. MK-NW-F-068 prettyDay</t>
        </is>
      </c>
      <c r="R671" s="3" t="inlineStr">
        <is>
          <t>1. accountDisplayNames (already above — a loop) → MK-NW-F-025 accountDisplayName → MK-NW-F-026 accountDisplayNames → MK-XS-F-102 ingestSync
2. MK-NW-F-024 accountLastFour → MK-NW-F-025 accountDisplayName → MK-NW-F-026 accountDisplayNames → MK-XS-F-102 ingestSync
3. MK-ST-F-039 on → MK-NW-F-025 accountDisplayName → MK-NW-F-026 accountDisplayNames → MK-XS-F-102 ingestSync
4. MK-NW-F-011 assetClassOf → MK-NW-F-007 assetKind → MK-NW-F-012 taxTreatmentOf → MK-NW-F-025 accountDisplayName → MK-NW-F-026 accountDisplayNames → MK-XS-F-102 ingestSync
5. MK-CF-F-155 cash → MK-NW-F-007 assetKind → MK-NW-F-012 taxTreatmentOf → MK-NW-F-025 accountDisplayName → MK-NW-F-026 accountDisplayNames → MK-XS-F-102 ingestSync
6. MK-NW-F-023 wrapperWord → MK-NW-F-025 accountDisplayName → MK-NW-F-026 accountDisplayNames → MK-XS-F-102 ingestSync
7. MK-ST-F-056 has → MK-NW-F-026 accountDisplayNames → MK-XS-F-102 ingestSync
8. MK-CF-F-132 map → MK-NW-F-026 accountDisplayNames → MK-XS-F-102 ingestSync
9. … and 5 more paths</t>
        </is>
      </c>
      <c r="S671" s="3" t="inlineStr">
        <is>
          <t>—</t>
        </is>
      </c>
      <c r="T671" s="3" t="inlineStr">
        <is>
          <t>SYNC_ONE_ACCOUNT</t>
        </is>
      </c>
      <c r="U671" s="3" t="inlineStr">
        <is>
          <t>ACTIVE</t>
        </is>
      </c>
      <c r="V671" s="3" t="inlineStr">
        <is>
          <t>2026-10-05</t>
        </is>
      </c>
      <c r="W671" s="3" t="n"/>
      <c r="X671" s="3" t="n"/>
      <c r="Y671" s="3" t="inlineStr">
        <is>
          <t>NOTHING OPEN</t>
        </is>
      </c>
    </row>
    <row r="672" ht="60" customHeight="1">
      <c r="A672" s="3" t="inlineStr">
        <is>
          <t>MK-XS-F-103</t>
        </is>
      </c>
      <c r="B672" s="3" t="inlineStr">
        <is>
          <t>confirmWrapper</t>
        </is>
      </c>
      <c r="C672" s="3" t="inlineStr">
        <is>
          <t>src/services/sync/ingest.ts</t>
        </is>
      </c>
      <c r="D672" s="3" t="n">
        <v>387</v>
      </c>
      <c r="E672" s="3" t="inlineStr">
        <is>
          <t>3 · DEPENDENT (feeds an action only)</t>
        </is>
      </c>
      <c r="F672" s="3" t="inlineStr">
        <is>
          <t>Mark an account's wrapper as USER-CONFIRMED — future syncs never override it.</t>
        </is>
      </c>
      <c r="G672" s="11" t="inlineStr">
        <is>
          <t>for each of accounts: ...each = ...each
kind = kind
tax bucket = tax bucket
wrapper confirmed = true   if asset id = asset id
each   otherwise</t>
        </is>
      </c>
      <c r="H672" s="3" t="inlineStr">
        <is>
          <t>for each of accounts: ...each = ...each; kind = kind; tax bucket = tax bucket; wrapper confirmed = true — when asset id = asset id; each — otherwise.</t>
        </is>
      </c>
      <c r="I672" s="3" t="inlineStr">
        <is>
          <t>READ FROM THE CODE — rendered from the expressions the function runs</t>
        </is>
      </c>
      <c r="J672" s="3" t="inlineStr">
        <is>
          <t>1. accounts: AssetAccount[]
2. assetId: string
3. kind: string
4. taxBucket: AssetAccount['tax_bucket']</t>
        </is>
      </c>
      <c r="K672" s="3" t="inlineStr">
        <is>
          <t>AssetAccount[]</t>
        </is>
      </c>
      <c r="L672" s="3" t="inlineStr">
        <is>
          <t>—</t>
        </is>
      </c>
      <c r="M672" s="3" t="inlineStr">
        <is>
          <t>None found in this function — anything it assumes comes from the functions it depends on.</t>
        </is>
      </c>
      <c r="N672" s="3" t="inlineStr">
        <is>
          <t>No</t>
        </is>
      </c>
      <c r="O672" s="3" t="inlineStr">
        <is>
          <t>MK-CF-F-132 map</t>
        </is>
      </c>
      <c r="P672" s="3" t="n">
        <v>1</v>
      </c>
      <c r="Q672" s="3" t="inlineStr">
        <is>
          <t>MK-CF-F-132 map</t>
        </is>
      </c>
      <c r="R672" s="3" t="inlineStr">
        <is>
          <t>MK-CF-F-132 map → MK-XS-F-103 confirmWrapper</t>
        </is>
      </c>
      <c r="S672" s="3" t="inlineStr">
        <is>
          <t>—</t>
        </is>
      </c>
      <c r="T672" s="3" t="inlineStr">
        <is>
          <t>CONFIRM_TAX_TYPE</t>
        </is>
      </c>
      <c r="U672" s="3" t="inlineStr">
        <is>
          <t>ACTIVE</t>
        </is>
      </c>
      <c r="V672" s="3" t="inlineStr">
        <is>
          <t>2026-08-27</t>
        </is>
      </c>
      <c r="W672" s="3" t="n"/>
      <c r="X672" s="3" t="n"/>
      <c r="Y672" s="3" t="inlineStr">
        <is>
          <t>NOTHING OPEN</t>
        </is>
      </c>
    </row>
    <row r="673" ht="60" customHeight="1">
      <c r="A673" s="3" t="inlineStr">
        <is>
          <t>MK-XS-F-104</t>
        </is>
      </c>
      <c r="B673" s="3" t="inlineStr">
        <is>
          <t>mapAccountType</t>
        </is>
      </c>
      <c r="C673" s="3" t="inlineStr">
        <is>
          <t>src/services/sync/snaptrade.ts</t>
        </is>
      </c>
      <c r="D673" s="3" t="n">
        <v>125</v>
      </c>
      <c r="E673" s="3" t="inlineStr">
        <is>
          <t>3 · DEPENDENT (feeds an action only)</t>
        </is>
      </c>
      <c r="F673" s="3" t="inlineStr">
        <is>
          <t>What kind of account is this, and how is it taxed?</t>
        </is>
      </c>
      <c r="G673" s="11"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undefined
confident = false   when has('savings')
kind = 'college_529'
tax bucket = 'TAXABLE'
confident = true   when has('529', 'education')
the answer:
kind = 'brokerage'
tax bucket = 'TAXABLE'
confident = true
… the first steps only — the rest of the body needs reading by hand.</t>
        </is>
      </c>
      <c r="H673"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undefined; confident = false. When has('529', 'education'), it answers kind = 'college_529'; tax bucket = 'TAXABLE'; confident = true. The answer is kind = 'brokerage'; tax bucket = 'TAXABLE'; confident = true. Only the first steps are shown; the rest of the body needs reading by hand.</t>
        </is>
      </c>
      <c r="I673" s="3" t="inlineStr">
        <is>
          <t>PARTLY READ — some of the code is still showing through; needs a hand pass</t>
        </is>
      </c>
      <c r="J673" s="3" t="inlineStr">
        <is>
          <t>1. rawType: string | null | undefined
2. category?: string | null</t>
        </is>
      </c>
      <c r="K673" s="3" t="inlineStr">
        <is>
          <t>WrapperGuess</t>
        </is>
      </c>
      <c r="L673" s="3" t="inlineStr">
        <is>
          <t>—</t>
        </is>
      </c>
      <c r="M673" s="3" t="inlineStr">
        <is>
          <t>None found in this function — anything it assumes comes from the functions it depends on.</t>
        </is>
      </c>
      <c r="N673" s="3" t="inlineStr">
        <is>
          <t>No</t>
        </is>
      </c>
      <c r="O673" s="3" t="inlineStr">
        <is>
          <t>MK-ST-F-056 has</t>
        </is>
      </c>
      <c r="P673" s="3" t="n">
        <v>1</v>
      </c>
      <c r="Q673" s="3" t="inlineStr">
        <is>
          <t>MK-ST-F-056 has</t>
        </is>
      </c>
      <c r="R673" s="3" t="inlineStr">
        <is>
          <t>MK-ST-F-056 has → MK-XS-F-104 mapAccountType</t>
        </is>
      </c>
      <c r="S673" s="3" t="inlineStr">
        <is>
          <t>—</t>
        </is>
      </c>
      <c r="T673" s="3" t="inlineStr">
        <is>
          <t>ACCOUNT_TAX_TYPE_GUESS</t>
        </is>
      </c>
      <c r="U673" s="3" t="inlineStr">
        <is>
          <t>ACTIVE</t>
        </is>
      </c>
      <c r="V673" s="3" t="inlineStr">
        <is>
          <t>2026-10-10</t>
        </is>
      </c>
      <c r="W673" s="3" t="n"/>
      <c r="X673" s="3" t="n"/>
      <c r="Y673" s="3" t="inlineStr">
        <is>
          <t>NOTHING OPEN</t>
        </is>
      </c>
    </row>
    <row r="674" ht="60" customHeight="1">
      <c r="A674" s="3" t="inlineStr">
        <is>
          <t>MK-XS-F-105</t>
        </is>
      </c>
      <c r="B674" s="3" t="inlineStr">
        <is>
          <t>mapPosition</t>
        </is>
      </c>
      <c r="C674" s="3" t="inlineStr">
        <is>
          <t>src/services/sync/snaptrade.ts</t>
        </is>
      </c>
      <c r="D674" s="3" t="n">
        <v>223</v>
      </c>
      <c r="E674" s="3" t="inlineStr">
        <is>
          <t>3 · DEPENDENT (feeds an action only)</t>
        </is>
      </c>
      <c r="F674" s="3" t="inlineStr">
        <is>
          <t>B7 (founder brief 2026-08-20): classification lives in the ONE function — name first, broker tag as fallback only.</t>
        </is>
      </c>
      <c r="G674" s="11" t="inlineStr">
        <is>
          <t>sym = flat symbol(p)
shares = units (or 0 when missing)
nothing   when sym is missing (or shares = 0 when missing or zero)
code = (sym.type.code ?? '').to lower case()
tick = (sym.raw symbol or sym.symbol or '').to upper case()</t>
        </is>
      </c>
      <c r="H674" s="3" t="inlineStr">
        <is>
          <t>Sym is flat symbol(p). Shares is units (or 0 — when missing). When sym is missing (or shares = 0 — when missing or zero), it answers no answer. Code is (sym.type.code ?? '').to lower case(). Tick is (sym.raw symbol or sym.symbol or '').to upper case().</t>
        </is>
      </c>
      <c r="I674" s="3" t="inlineStr">
        <is>
          <t>PARTLY READ — some of the code is still showing through; needs a hand pass</t>
        </is>
      </c>
      <c r="J674" s="3" t="inlineStr">
        <is>
          <t>p: StPosition</t>
        </is>
      </c>
      <c r="K674" s="3" t="inlineStr">
        <is>
          <t>MappedPosition | null</t>
        </is>
      </c>
      <c r="L674" s="3" t="inlineStr">
        <is>
          <t>—</t>
        </is>
      </c>
      <c r="M674" s="3" t="inlineStr">
        <is>
          <t>1. If units is missing it uses 0.
2. If quantity is missing it uses 0.</t>
        </is>
      </c>
      <c r="N674" s="3" t="inlineStr">
        <is>
          <t>No</t>
        </is>
      </c>
      <c r="O674" s="3" t="inlineStr">
        <is>
          <t>1. MK-ST-F-011 classifyHoldingClass
2. MK-XS-F-145 flatSymbol
3. MK-CF-F-132 map</t>
        </is>
      </c>
      <c r="P674" s="3" t="n">
        <v>9</v>
      </c>
      <c r="Q674" s="3" t="inlineStr">
        <is>
          <t>1. MK-ST-F-011 classifyHoldingClass
2. MK-XS-F-145 flatSymbol
3. MK-CF-F-132 map
4. MK-ST-F-010 nameEvidence
5. MK-XS-F-147 call
6. MK-ST-F-056 has
7. MK-ST-F-027 accountId
8. MK-XS-F-064 currentIdToken
9. MK-XS-F-112 relayUrl</t>
        </is>
      </c>
      <c r="R674" s="3" t="inlineStr">
        <is>
          <t>1. MK-ST-F-027 accountId → MK-XS-F-147 call → MK-ST-F-010 nameEvidence → MK-ST-F-011 classifyHoldingClass → MK-XS-F-105 mapPosition
2. MK-XS-F-064 currentIdToken → MK-XS-F-147 call → MK-ST-F-010 nameEvidence → MK-ST-F-011 classifyHoldingClass → MK-XS-F-105 mapPosition
3. MK-XS-F-112 relayUrl → MK-XS-F-147 call → MK-ST-F-010 nameEvidence → MK-ST-F-011 classifyHoldingClass → MK-XS-F-105 mapPosition
4. MK-ST-F-056 has → MK-ST-F-010 nameEvidence → MK-ST-F-011 classifyHoldingClass → MK-XS-F-105 mapPosition
5. MK-CF-F-132 map → MK-ST-F-010 nameEvidence → MK-ST-F-011 classifyHoldingClass → MK-XS-F-105 mapPosition
6. MK-XS-F-145 flatSymbol → MK-XS-F-105 mapPosition
7. MK-CF-F-132 map → MK-XS-F-105 mapPosition</t>
        </is>
      </c>
      <c r="S674" s="3" t="inlineStr">
        <is>
          <t>—</t>
        </is>
      </c>
      <c r="T674" s="3" t="inlineStr">
        <is>
          <t>CLASS_FROM_BROKER</t>
        </is>
      </c>
      <c r="U674" s="3" t="inlineStr">
        <is>
          <t>ACTIVE</t>
        </is>
      </c>
      <c r="V674" s="3" t="inlineStr">
        <is>
          <t>2026-08-27</t>
        </is>
      </c>
      <c r="W674" s="3" t="n"/>
      <c r="X674" s="3" t="n"/>
      <c r="Y674" s="3" t="inlineStr">
        <is>
          <t>NOTHING OPEN</t>
        </is>
      </c>
    </row>
    <row r="675" ht="60" customHeight="1">
      <c r="A675" s="3" t="inlineStr">
        <is>
          <t>MK-XS-F-106</t>
        </is>
      </c>
      <c r="B675" s="3" t="inlineStr">
        <is>
          <t>mapOptionHolding</t>
        </is>
      </c>
      <c r="C675" s="3" t="inlineStr">
        <is>
          <t>src/services/sync/snaptrade.ts</t>
        </is>
      </c>
      <c r="D675" s="3" t="n">
        <v>313</v>
      </c>
      <c r="E675" s="3" t="inlineStr">
        <is>
          <t>3 · DEPENDENT (feeds an action only)</t>
        </is>
      </c>
      <c r="F675" s="3" t="inlineStr">
        <is>
          <t>What is this option position worth, and what do we call it?</t>
        </is>
      </c>
      <c r="G675" s="11" t="inlineStr">
        <is>
          <t>os = symbol.option symbol
contracts = units (or 0 when missing)
nothing   when os is missing (or contracts = 0 when missing or zero)
under = (os.underlying symbol.raw symbol or os.underlying symbol.symbol or os.ticker or '?').to upper case()
kind word = 'put'   if os.option type = 'PUT'
'call'   otherwise
strike = `$${os.strike price}`   if os.strike price ≠ nothing
''   otherwise</t>
        </is>
      </c>
      <c r="H675" s="3" t="inlineStr">
        <is>
          <t>Os is symbol.option symbol. Contracts is units (or 0 — when missing). When os is missing (or contracts = 0 — when missing or zero), it answers no answer. Under is (os.underlying symbol.raw symbol or os.underlying symbol.symbol or os.ticker or '?').to upper case(). Kind word is 'put' — when os.option type = 'PUT'; 'call' — otherwise. Strike is `$${os.strike price}` — when os.strike price is not no answer; '' — otherwise.</t>
        </is>
      </c>
      <c r="I675" s="3" t="inlineStr">
        <is>
          <t>PARTLY READ — some of the code is still showing through; needs a hand pass</t>
        </is>
      </c>
      <c r="J675" s="3" t="inlineStr">
        <is>
          <t>1. o: StOptionHolding
2. multiplier = 100</t>
        </is>
      </c>
      <c r="K675" s="3" t="inlineStr">
        <is>
          <t>MappedOption | null</t>
        </is>
      </c>
      <c r="L675" s="3" t="inlineStr">
        <is>
          <t>—</t>
        </is>
      </c>
      <c r="M675" s="3" t="inlineStr">
        <is>
          <t>1. If units is missing it uses 0.
2. If price is missing it uses 0.
3. Rounds the answer to two decimals (cents).</t>
        </is>
      </c>
      <c r="N675" s="3" t="inlineStr">
        <is>
          <t>No</t>
        </is>
      </c>
      <c r="O675" s="3" t="inlineStr">
        <is>
          <t>1. MK-ST-F-007 classifyEvent
2. MK-XS-F-146 prettyExpiry</t>
        </is>
      </c>
      <c r="P675" s="3" t="n">
        <v>3</v>
      </c>
      <c r="Q675" s="3" t="inlineStr">
        <is>
          <t>1. MK-ST-F-007 classifyEvent
2. MK-XS-F-146 prettyExpiry
3. MK-CF-F-132 map</t>
        </is>
      </c>
      <c r="R675" s="3" t="inlineStr">
        <is>
          <t>1. MK-ST-F-007 classifyEvent → MK-XS-F-106 mapOptionHolding
2. MK-CF-F-132 map → MK-XS-F-146 prettyExpiry → MK-XS-F-106 mapOptionHolding</t>
        </is>
      </c>
      <c r="S675" s="3" t="inlineStr">
        <is>
          <t>—</t>
        </is>
      </c>
      <c r="T675" s="3" t="inlineStr">
        <is>
          <t>OPTION_HOLDING</t>
        </is>
      </c>
      <c r="U675" s="3" t="inlineStr">
        <is>
          <t>ACTIVE</t>
        </is>
      </c>
      <c r="V675" s="3" t="inlineStr">
        <is>
          <t>2026-08-27</t>
        </is>
      </c>
      <c r="W675" s="3" t="n"/>
      <c r="X675" s="3" t="n"/>
      <c r="Y675" s="3" t="inlineStr">
        <is>
          <t>NOTHING OPEN</t>
        </is>
      </c>
    </row>
    <row r="676" ht="60" customHeight="1">
      <c r="A676" s="3" t="inlineStr">
        <is>
          <t>MK-XS-F-107</t>
        </is>
      </c>
      <c r="B676" s="3" t="inlineStr">
        <is>
          <t>mapActivityType</t>
        </is>
      </c>
      <c r="C676" s="3" t="inlineStr">
        <is>
          <t>src/services/sync/snaptrade.ts</t>
        </is>
      </c>
      <c r="D676" s="3" t="n">
        <v>375</v>
      </c>
      <c r="E676" s="3" t="inlineStr">
        <is>
          <t>3 · DEPENDENT (feeds an action only)</t>
        </is>
      </c>
      <c r="F676" s="3" t="inlineStr">
        <is>
          <t>A line arrived from the broker. Is this money you paid IN, money you took OUT, or something that happened inside the account?</t>
        </is>
      </c>
      <c r="G676" s="11"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676"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676" s="3" t="inlineStr">
        <is>
          <t>PARTLY READ — some of the code is still showing through; needs a hand pass</t>
        </is>
      </c>
      <c r="J676" s="3" t="inlineStr">
        <is>
          <t>a: StActivity</t>
        </is>
      </c>
      <c r="K676" s="3" t="inlineStr">
        <is>
          <t>MappedActivity</t>
        </is>
      </c>
      <c r="L676" s="3" t="inlineStr">
        <is>
          <t>—</t>
        </is>
      </c>
      <c r="M676" s="3" t="inlineStr">
        <is>
          <t>· If amount is missing it uses 0.</t>
        </is>
      </c>
      <c r="N676" s="3" t="inlineStr">
        <is>
          <t>No</t>
        </is>
      </c>
      <c r="O676" s="3" t="inlineStr">
        <is>
          <t>MK-CF-F-155 cash</t>
        </is>
      </c>
      <c r="P676" s="3" t="n">
        <v>2</v>
      </c>
      <c r="Q676" s="3" t="inlineStr">
        <is>
          <t>1. MK-CF-F-155 cash
2. MK-XS-F-122 n</t>
        </is>
      </c>
      <c r="R676" s="3" t="inlineStr">
        <is>
          <t>MK-XS-F-122 n → MK-CF-F-155 cash → MK-XS-F-107 mapActivityType</t>
        </is>
      </c>
      <c r="S676" s="3" t="inlineStr">
        <is>
          <t>—</t>
        </is>
      </c>
      <c r="T676" s="3" t="inlineStr">
        <is>
          <t>TRANSLATE_BROKER_WORD</t>
        </is>
      </c>
      <c r="U676" s="3" t="inlineStr">
        <is>
          <t>ACTIVE</t>
        </is>
      </c>
      <c r="V676" s="3" t="inlineStr">
        <is>
          <t>2026-08-27</t>
        </is>
      </c>
      <c r="W676" s="3" t="n"/>
      <c r="X676" s="3" t="n"/>
      <c r="Y676" s="3" t="inlineStr">
        <is>
          <t>NOTHING OPEN</t>
        </is>
      </c>
    </row>
    <row r="677" ht="60" customHeight="1">
      <c r="A677" s="3" t="inlineStr">
        <is>
          <t>MK-XS-F-108</t>
        </is>
      </c>
      <c r="B677" s="3" t="inlineStr">
        <is>
          <t>activityKey</t>
        </is>
      </c>
      <c r="C677" s="3" t="inlineStr">
        <is>
          <t>src/services/sync/snaptrade.ts</t>
        </is>
      </c>
      <c r="D677" s="3" t="n">
        <v>456</v>
      </c>
      <c r="E677" s="3" t="inlineStr">
        <is>
          <t>3 · DEPENDENT (feeds an action only)</t>
        </is>
      </c>
      <c r="F677" s="3" t="inlineStr">
        <is>
          <t>── duplicate-proofing ───────────────────────────────────────────────────────────────────────── SnapTrade activity ids can change when they reprocess history, so identity = the composite of everything that makes the row THAT row.</t>
        </is>
      </c>
      <c r="G677" s="11" t="inlineStr">
        <is>
          <t>the answer = import key(account, trade date or settlement date, type, amount, units, security, reference, description)</t>
        </is>
      </c>
      <c r="H677" s="3" t="inlineStr">
        <is>
          <t>The stable identity of one imported activity row, built by MK-ST-F-014 importKey from the account, the date, the type, the amount, the units, the security, the reference and the description.</t>
        </is>
      </c>
      <c r="I677" s="3" t="inlineStr">
        <is>
          <t>READ BY HAND 2026-08-26 — checked line by line against the code</t>
        </is>
      </c>
      <c r="J677" s="3" t="inlineStr">
        <is>
          <t>1. accountId: string
2. a: StActivity</t>
        </is>
      </c>
      <c r="K677" s="3" t="inlineStr">
        <is>
          <t>string</t>
        </is>
      </c>
      <c r="L677" s="3" t="inlineStr">
        <is>
          <t>—</t>
        </is>
      </c>
      <c r="M677" s="3" t="inlineStr">
        <is>
          <t>None found in this function — anything it assumes comes from the functions it depends on.</t>
        </is>
      </c>
      <c r="N677" s="3" t="inlineStr">
        <is>
          <t>No</t>
        </is>
      </c>
      <c r="O677" s="3" t="inlineStr">
        <is>
          <t>1. MK-ST-F-027 accountId
2. MK-ST-F-014 importKey</t>
        </is>
      </c>
      <c r="P677" s="3" t="n">
        <v>2</v>
      </c>
      <c r="Q677" s="3" t="inlineStr">
        <is>
          <t>1. MK-ST-F-027 accountId
2. MK-ST-F-014 importKey</t>
        </is>
      </c>
      <c r="R677" s="3" t="inlineStr">
        <is>
          <t>1. MK-ST-F-027 accountId → MK-XS-F-108 activityKey
2. MK-ST-F-014 importKey → MK-XS-F-108 activityKey</t>
        </is>
      </c>
      <c r="S677" s="3" t="inlineStr">
        <is>
          <t>—</t>
        </is>
      </c>
      <c r="T677" s="3" t="inlineStr">
        <is>
          <t>ACTIVITY_IDENTITY</t>
        </is>
      </c>
      <c r="U677" s="3" t="inlineStr">
        <is>
          <t>ACTIVE</t>
        </is>
      </c>
      <c r="V677" s="3" t="inlineStr">
        <is>
          <t>2026-09-12</t>
        </is>
      </c>
      <c r="W677" s="3" t="n"/>
      <c r="X677" s="3" t="n"/>
      <c r="Y677" s="3" t="inlineStr">
        <is>
          <t>NOTHING OPEN</t>
        </is>
      </c>
    </row>
    <row r="678" ht="60" customHeight="1">
      <c r="A678" s="3" t="inlineStr">
        <is>
          <t>MK-XS-F-109</t>
        </is>
      </c>
      <c r="B678" s="3" t="inlineStr">
        <is>
          <t>dedupeActivities</t>
        </is>
      </c>
      <c r="C678" s="3" t="inlineStr">
        <is>
          <t>src/services/sync/snaptrade.ts</t>
        </is>
      </c>
      <c r="D678" s="3" t="n">
        <v>485</v>
      </c>
      <c r="E678" s="3" t="inlineStr">
        <is>
          <t>3 · DEPENDENT (feeds an action only)</t>
        </is>
      </c>
      <c r="F678" s="3" t="inlineStr">
        <is>
          <t>Which of these activities are new since the last sync?</t>
        </is>
      </c>
      <c r="G678" s="11" t="inlineStr">
        <is>
          <t>fresh = []
k = activity key(account id, a)
the answer = fresh</t>
        </is>
      </c>
      <c r="H678" s="3" t="inlineStr">
        <is>
          <t>Fresh is []. K is activity key(account id, a). The answer is fresh.</t>
        </is>
      </c>
      <c r="I678" s="3" t="inlineStr">
        <is>
          <t>READ FROM THE CODE — rendered from the expressions the function runs</t>
        </is>
      </c>
      <c r="J678" s="3" t="inlineStr">
        <is>
          <t>1. accountId: string
2. incoming: StActivity[]
3. seenKeys: Set&lt;string&gt;</t>
        </is>
      </c>
      <c r="K678" s="3" t="inlineStr">
        <is>
          <t>StActivity[]</t>
        </is>
      </c>
      <c r="L678" s="3" t="inlineStr">
        <is>
          <t>—</t>
        </is>
      </c>
      <c r="M678" s="3" t="inlineStr">
        <is>
          <t>None found in this function — anything it assumes comes from the functions it depends on.</t>
        </is>
      </c>
      <c r="N678" s="3" t="inlineStr">
        <is>
          <t>No</t>
        </is>
      </c>
      <c r="O678" s="3" t="inlineStr">
        <is>
          <t>1. MK-ST-F-027 accountId
2. MK-XS-F-108 activityKey
3. MK-ST-F-056 has</t>
        </is>
      </c>
      <c r="P678" s="3" t="n">
        <v>4</v>
      </c>
      <c r="Q678" s="3" t="inlineStr">
        <is>
          <t>1. MK-ST-F-027 accountId
2. MK-XS-F-108 activityKey
3. MK-ST-F-056 has
4. MK-ST-F-014 importKey</t>
        </is>
      </c>
      <c r="R678" s="3" t="inlineStr">
        <is>
          <t>1. MK-ST-F-027 accountId → MK-XS-F-109 dedupeActivities
2. MK-ST-F-027 accountId → MK-XS-F-108 activityKey → MK-XS-F-109 dedupeActivities
3. MK-ST-F-014 importKey → MK-XS-F-108 activityKey → MK-XS-F-109 dedupeActivities
4. MK-ST-F-056 has → MK-XS-F-109 dedupeActivities</t>
        </is>
      </c>
      <c r="S678" s="3" t="inlineStr">
        <is>
          <t>—</t>
        </is>
      </c>
      <c r="T678" s="3" t="inlineStr">
        <is>
          <t>ALREADY_SEEN_CHECK</t>
        </is>
      </c>
      <c r="U678" s="3" t="inlineStr">
        <is>
          <t>ACTIVE</t>
        </is>
      </c>
      <c r="V678" s="3" t="inlineStr">
        <is>
          <t>2026-08-27</t>
        </is>
      </c>
      <c r="W678" s="3" t="n"/>
      <c r="X678" s="3" t="n"/>
      <c r="Y678" s="3" t="inlineStr">
        <is>
          <t>NOTHING OPEN</t>
        </is>
      </c>
    </row>
    <row r="679" ht="60" customHeight="1">
      <c r="A679" s="3" t="inlineStr">
        <is>
          <t>MK-XS-F-110</t>
        </is>
      </c>
      <c r="B679" s="3" t="inlineStr">
        <is>
          <t>netCashSleeve</t>
        </is>
      </c>
      <c r="C679" s="3" t="inlineStr">
        <is>
          <t>src/services/sync/snaptrade.ts</t>
        </is>
      </c>
      <c r="D679" s="3" t="n">
        <v>526</v>
      </c>
      <c r="E679" s="3" t="inlineStr">
        <is>
          <t>3 · DEPENDENT (feeds an action only)</t>
        </is>
      </c>
      <c r="F679" s="3" t="inlineStr">
        <is>
          <t>── the cash sleeve, deduped ─────────────────────────────────────────────────────────────────── SnapTrade counts money-market (cash_equivalent) positions INSIDE balances.cash too.</t>
        </is>
      </c>
      <c r="G679" s="11" t="inlineStr">
        <is>
          <t>net = round((balances cash ?? 0) − mmf, 2 dp)
the answer:
0   if net &lt; 0 and net &gt; -1
net   otherwise</t>
        </is>
      </c>
      <c r="H679" s="3" t="inlineStr">
        <is>
          <t>Net is (balances cash ?? 0) minus mmf, to the cent. The answer is 0 — when net &lt; 0 and net &gt; -1; net — otherwise.</t>
        </is>
      </c>
      <c r="I679" s="3" t="inlineStr">
        <is>
          <t>PARTLY READ — some of the code is still showing through; needs a hand pass</t>
        </is>
      </c>
      <c r="J679" s="3" t="inlineStr">
        <is>
          <t>1. balancesCash: number | null | undefined
2. positions: MappedPosition[]</t>
        </is>
      </c>
      <c r="K679" s="3" t="inlineStr">
        <is>
          <t>number</t>
        </is>
      </c>
      <c r="L679" s="3" t="inlineStr">
        <is>
          <t>—</t>
        </is>
      </c>
      <c r="M679" s="3" t="inlineStr">
        <is>
          <t>1. If price is missing it uses 0.
2. If balances cash is missing it uses 0.
3. Rounds the answer to two decimals (cents).</t>
        </is>
      </c>
      <c r="N679" s="3" t="inlineStr">
        <is>
          <t>No</t>
        </is>
      </c>
      <c r="O679" s="3" t="inlineStr">
        <is>
          <t>—</t>
        </is>
      </c>
      <c r="P679" s="3" t="n">
        <v>0</v>
      </c>
      <c r="Q679" s="3" t="inlineStr">
        <is>
          <t>None — no dependent function stands behind it</t>
        </is>
      </c>
      <c r="R679" s="3" t="inlineStr">
        <is>
          <t>No dependent function — it reads its inputs and answers</t>
        </is>
      </c>
      <c r="S679" s="3" t="inlineStr">
        <is>
          <t>—</t>
        </is>
      </c>
      <c r="T679" s="3" t="inlineStr">
        <is>
          <t>UNINVESTED_CASH</t>
        </is>
      </c>
      <c r="U679" s="3" t="inlineStr">
        <is>
          <t>ACTIVE</t>
        </is>
      </c>
      <c r="V679" s="3" t="inlineStr">
        <is>
          <t>2026-08-27</t>
        </is>
      </c>
      <c r="W679" s="3" t="n"/>
      <c r="X679" s="3" t="n"/>
      <c r="Y679" s="3" t="inlineStr">
        <is>
          <t>NOTHING OPEN</t>
        </is>
      </c>
    </row>
    <row r="680" ht="60" customHeight="1">
      <c r="A680" s="3" t="inlineStr">
        <is>
          <t>MK-XS-F-111</t>
        </is>
      </c>
      <c r="B680" s="3" t="inlineStr">
        <is>
          <t>mergeHistoryFrom</t>
        </is>
      </c>
      <c r="C680" s="3" t="inlineStr">
        <is>
          <t>src/services/sync/snaptrade.ts</t>
        </is>
      </c>
      <c r="D680" s="3" t="n">
        <v>562</v>
      </c>
      <c r="E680" s="3" t="inlineStr">
        <is>
          <t>3 · DEPENDENT (feeds an action only)</t>
        </is>
      </c>
      <c r="F680" s="3" t="inlineStr">
        <is>
          <t>FOUNDER RULE 2026-08-04: record how far back the broker's OWN activity feed reaches, so a "past year" income figure can label itself honestly.</t>
        </is>
      </c>
      <c r="G680" s="11" t="inlineStr">
        <is>
          <t>earliest now = the first of dates
existing   when earliest now is missing
earliest now   when existing is missing
the answer:
earliest now   if earliest now &lt; existing
existing   otherwise</t>
        </is>
      </c>
      <c r="H680" s="3" t="inlineStr">
        <is>
          <t>Earliest now: the first of dates. When earliest now is missing, it answers existing. When existing is missing, it answers earliest now. The answer is earliest now — when earliest now &lt; existing; existing — otherwise.</t>
        </is>
      </c>
      <c r="I680" s="3" t="inlineStr">
        <is>
          <t>READ FROM THE CODE — rendered from the expressions the function runs</t>
        </is>
      </c>
      <c r="J680" s="3" t="inlineStr">
        <is>
          <t>1. existing: string | undefined
2. activityDates: (string | null | undefined)[]</t>
        </is>
      </c>
      <c r="K680" s="3" t="inlineStr">
        <is>
          <t>string | undefined</t>
        </is>
      </c>
      <c r="L680" s="3" t="inlineStr">
        <is>
          <t>—</t>
        </is>
      </c>
      <c r="M680" s="3" t="inlineStr">
        <is>
          <t>None found in this function — anything it assumes comes from the functions it depends on.</t>
        </is>
      </c>
      <c r="N680" s="3" t="inlineStr">
        <is>
          <t>No</t>
        </is>
      </c>
      <c r="O680" s="3" t="inlineStr">
        <is>
          <t>MK-CF-F-132 map</t>
        </is>
      </c>
      <c r="P680" s="3" t="n">
        <v>1</v>
      </c>
      <c r="Q680" s="3" t="inlineStr">
        <is>
          <t>MK-CF-F-132 map</t>
        </is>
      </c>
      <c r="R680" s="3" t="inlineStr">
        <is>
          <t>MK-CF-F-132 map → MK-XS-F-111 mergeHistoryFrom</t>
        </is>
      </c>
      <c r="S680" s="3" t="inlineStr">
        <is>
          <t>—</t>
        </is>
      </c>
      <c r="T680" s="3" t="inlineStr">
        <is>
          <t>HISTORY_DEPTH</t>
        </is>
      </c>
      <c r="U680" s="3" t="inlineStr">
        <is>
          <t>ACTIVE</t>
        </is>
      </c>
      <c r="V680" s="3" t="inlineStr">
        <is>
          <t>2026-08-27</t>
        </is>
      </c>
      <c r="W680" s="3" t="n"/>
      <c r="X680" s="3" t="n"/>
      <c r="Y680" s="3" t="inlineStr">
        <is>
          <t>NOTHING OPEN</t>
        </is>
      </c>
    </row>
    <row r="681" ht="60" customHeight="1">
      <c r="A681" s="3" t="inlineStr">
        <is>
          <t>MK-XS-F-112</t>
        </is>
      </c>
      <c r="B681" s="3" t="inlineStr">
        <is>
          <t>relayUrl</t>
        </is>
      </c>
      <c r="C681" s="3" t="inlineStr">
        <is>
          <t>src/services/sync/snaptradeClient.ts</t>
        </is>
      </c>
      <c r="D681" s="3" t="n">
        <v>35</v>
      </c>
      <c r="E681" s="3" t="inlineStr">
        <is>
          <t>3 · DEPENDENT</t>
        </is>
      </c>
      <c r="F681" s="3" t="inlineStr">
        <is>
          <t>NOT DETERMINED — the code carries no note saying what this is for, and it has no row in the old inventory. Needs reading.</t>
        </is>
      </c>
      <c r="G681" s="11" t="inlineStr">
        <is>
          <t>the answer = the relay address from the app config, else from the environment, else nothing</t>
        </is>
      </c>
      <c r="H681" s="3" t="inlineStr">
        <is>
          <t>Where the connection relay lives, read from the app configuration. Not a calculation.</t>
        </is>
      </c>
      <c r="I681" s="3" t="inlineStr">
        <is>
          <t>READ BY HAND 2026-08-26 — checked line by line against the code</t>
        </is>
      </c>
      <c r="J681" s="3" t="inlineStr">
        <is>
          <t>Nothing is handed to it</t>
        </is>
      </c>
      <c r="K681" s="3" t="inlineStr">
        <is>
          <t>string | null</t>
        </is>
      </c>
      <c r="L681" s="3" t="inlineStr">
        <is>
          <t>—</t>
        </is>
      </c>
      <c r="M681" s="3" t="inlineStr">
        <is>
          <t>None found in this function — anything it assumes comes from the functions it depends on.</t>
        </is>
      </c>
      <c r="N681" s="3" t="inlineStr">
        <is>
          <t>Yes</t>
        </is>
      </c>
      <c r="O681" s="3" t="inlineStr">
        <is>
          <t>—</t>
        </is>
      </c>
      <c r="P681" s="3" t="n">
        <v>0</v>
      </c>
      <c r="Q681" s="3" t="inlineStr">
        <is>
          <t>None — no dependent function stands behind it</t>
        </is>
      </c>
      <c r="R681" s="3" t="inlineStr">
        <is>
          <t>No dependent function — it reads its inputs and answers</t>
        </is>
      </c>
      <c r="S681" s="3" t="inlineStr">
        <is>
          <t>—</t>
        </is>
      </c>
      <c r="T681" s="3" t="inlineStr">
        <is>
          <t>—</t>
        </is>
      </c>
      <c r="U681" s="3" t="inlineStr">
        <is>
          <t>ACTIVE</t>
        </is>
      </c>
      <c r="V681" s="3" t="inlineStr">
        <is>
          <t>2026-09-12</t>
        </is>
      </c>
      <c r="W681" s="3" t="n"/>
      <c r="X681" s="3" t="n"/>
      <c r="Y681" s="3" t="inlineStr">
        <is>
          <t>NOTHING OPEN</t>
        </is>
      </c>
    </row>
    <row r="682" ht="60" customHeight="1">
      <c r="A682" s="3" t="inlineStr">
        <is>
          <t>MK-XS-F-113</t>
        </is>
      </c>
      <c r="B682" s="3" t="inlineStr">
        <is>
          <t>snaptradeConfigured</t>
        </is>
      </c>
      <c r="C682" s="3" t="inlineStr">
        <is>
          <t>src/services/sync/snaptradeClient.ts</t>
        </is>
      </c>
      <c r="D682" s="3" t="n">
        <v>60</v>
      </c>
      <c r="E682" s="3" t="inlineStr">
        <is>
          <t>1 · ACTION</t>
        </is>
      </c>
      <c r="F682" s="3" t="inlineStr">
        <is>
          <t>NOT DETERMINED — the code carries no note saying what this is for, and it has no row in the old inventory. Needs reading.</t>
        </is>
      </c>
      <c r="G682" s="11" t="inlineStr">
        <is>
          <t>!!relay url()</t>
        </is>
      </c>
      <c r="H682" s="3" t="inlineStr">
        <is>
          <t>!!relay url()</t>
        </is>
      </c>
      <c r="I682" s="3" t="inlineStr">
        <is>
          <t>READ FROM THE CODE — rendered from the expressions the function runs</t>
        </is>
      </c>
      <c r="J682" s="3" t="inlineStr">
        <is>
          <t>Nothing is handed to it</t>
        </is>
      </c>
      <c r="K682" s="3" t="inlineStr">
        <is>
          <t>NOT DECLARED — the code does not say what it gives back</t>
        </is>
      </c>
      <c r="L682" s="3" t="inlineStr">
        <is>
          <t>—</t>
        </is>
      </c>
      <c r="M682" s="3" t="inlineStr">
        <is>
          <t>None found in this function — anything it assumes comes from the functions it depends on.</t>
        </is>
      </c>
      <c r="N682" s="3" t="inlineStr">
        <is>
          <t>Yes</t>
        </is>
      </c>
      <c r="O682" s="3" t="inlineStr">
        <is>
          <t>MK-XS-F-112 relayUrl</t>
        </is>
      </c>
      <c r="P682" s="3" t="n">
        <v>1</v>
      </c>
      <c r="Q682" s="3" t="inlineStr">
        <is>
          <t>MK-XS-F-112 relayUrl</t>
        </is>
      </c>
      <c r="R682" s="3" t="inlineStr">
        <is>
          <t>MK-XS-F-112 relayUrl → MK-XS-F-113 snaptradeConfigured</t>
        </is>
      </c>
      <c r="S682" s="3" t="inlineStr">
        <is>
          <t>—</t>
        </is>
      </c>
      <c r="T682" s="3" t="inlineStr">
        <is>
          <t>—</t>
        </is>
      </c>
      <c r="U682" s="3" t="inlineStr">
        <is>
          <t>ACTIVE</t>
        </is>
      </c>
      <c r="V682" s="3" t="inlineStr">
        <is>
          <t>2026-08-27</t>
        </is>
      </c>
      <c r="W682" s="3" t="n"/>
      <c r="X682" s="3" t="n"/>
      <c r="Y682" s="3" t="inlineStr">
        <is>
          <t>NOTHING OPEN</t>
        </is>
      </c>
    </row>
    <row r="683" ht="60" customHeight="1">
      <c r="A683" s="3" t="inlineStr">
        <is>
          <t>MK-XS-F-114</t>
        </is>
      </c>
      <c r="B683" s="3" t="inlineStr">
        <is>
          <t>usdCash</t>
        </is>
      </c>
      <c r="C683" s="3" t="inlineStr">
        <is>
          <t>src/services/sync/snaptradeClient.ts</t>
        </is>
      </c>
      <c r="D683" s="3" t="n">
        <v>148</v>
      </c>
      <c r="E683" s="3" t="inlineStr">
        <is>
          <t>3 · DEPENDENT</t>
        </is>
      </c>
      <c r="F683" s="3" t="inlineStr">
        <is>
          <t>USD cash across the balances list (v1 is USD-only; other currencies are ignored, not guessed).</t>
        </is>
      </c>
      <c r="G683" s="11" t="inlineStr">
        <is>
          <t>the answer = Σ over balances in USD (or with no currency) of (cash, or 0)</t>
        </is>
      </c>
      <c r="H683" s="3" t="inlineStr">
        <is>
          <t>Adds up the cash balances a connected account reports in US dollars (a balance with no currency code counts as dollars). Other currencies are left out.</t>
        </is>
      </c>
      <c r="I683" s="3" t="inlineStr">
        <is>
          <t>READ BY HAND 2026-08-26 — checked line by line against the code</t>
        </is>
      </c>
      <c r="J683" s="3" t="inlineStr">
        <is>
          <t>balances: HoldingsPayload['balances'] | null | undefined</t>
        </is>
      </c>
      <c r="K683" s="3" t="inlineStr">
        <is>
          <t>number</t>
        </is>
      </c>
      <c r="L683" s="3" t="inlineStr">
        <is>
          <t>—</t>
        </is>
      </c>
      <c r="M683" s="3" t="inlineStr">
        <is>
          <t>· If cash is missing it uses 0.</t>
        </is>
      </c>
      <c r="N683" s="3" t="inlineStr">
        <is>
          <t>Yes</t>
        </is>
      </c>
      <c r="O683" s="3" t="inlineStr">
        <is>
          <t>—</t>
        </is>
      </c>
      <c r="P683" s="3" t="n">
        <v>0</v>
      </c>
      <c r="Q683" s="3" t="inlineStr">
        <is>
          <t>None — no dependent function stands behind it</t>
        </is>
      </c>
      <c r="R683" s="3" t="inlineStr">
        <is>
          <t>No dependent function — it reads its inputs and answers</t>
        </is>
      </c>
      <c r="S683" s="3" t="inlineStr">
        <is>
          <t>—</t>
        </is>
      </c>
      <c r="T683" s="3" t="inlineStr">
        <is>
          <t>—</t>
        </is>
      </c>
      <c r="U683" s="3" t="inlineStr">
        <is>
          <t>ACTIVE</t>
        </is>
      </c>
      <c r="V683" s="3" t="inlineStr">
        <is>
          <t>2026-09-12</t>
        </is>
      </c>
      <c r="W683" s="3" t="n"/>
      <c r="X683" s="3" t="n"/>
      <c r="Y683" s="3" t="inlineStr">
        <is>
          <t>NOTHING OPEN</t>
        </is>
      </c>
    </row>
    <row r="684" ht="60" customHeight="1">
      <c r="A684" s="3" t="inlineStr">
        <is>
          <t>MK-XS-F-115</t>
        </is>
      </c>
      <c r="B684" s="3" t="inlineStr">
        <is>
          <t>shouldDailySync</t>
        </is>
      </c>
      <c r="C684" s="3" t="inlineStr">
        <is>
          <t>src/services/sync/snaptradeSync.ts</t>
        </is>
      </c>
      <c r="D684" s="3" t="n">
        <v>38</v>
      </c>
      <c r="E684" s="3" t="inlineStr">
        <is>
          <t>3 · DEPENDENT</t>
        </is>
      </c>
      <c r="F684" s="3" t="inlineStr">
        <is>
          <t>NOT DETERMINED — the code carries no note saying what this is for, and it has no row in the old inventory. Needs reading.</t>
        </is>
      </c>
      <c r="G684" s="11" t="inlineStr">
        <is>
          <t>true   when last sync at is missing
t = date.parse(last sync at)
the answer = number.is na n(t) (or now − t &gt; 20 × 3600000 when missing or zero)</t>
        </is>
      </c>
      <c r="H684" s="3" t="inlineStr">
        <is>
          <t>When last sync at is missing, it answers true. T is date.parse(last sync at). The answer is number.is na n(t) (or now minus t &gt; 20 times 3600000 — when missing or zero).</t>
        </is>
      </c>
      <c r="I684" s="3" t="inlineStr">
        <is>
          <t>PARTLY READ — some of the code is still showing through; needs a hand pass</t>
        </is>
      </c>
      <c r="J684" s="3" t="inlineStr">
        <is>
          <t>1. lastSyncAt: string | null | undefined
2. now: number = Date.now()</t>
        </is>
      </c>
      <c r="K684" s="3" t="inlineStr">
        <is>
          <t>boolean</t>
        </is>
      </c>
      <c r="L684" s="3" t="inlineStr">
        <is>
          <t>—</t>
        </is>
      </c>
      <c r="M684" s="3" t="inlineStr">
        <is>
          <t>· Uses today's date from the device clock, so the answer changes by itself overnight.</t>
        </is>
      </c>
      <c r="N684" s="3" t="inlineStr">
        <is>
          <t>Yes</t>
        </is>
      </c>
      <c r="O684" s="3" t="inlineStr">
        <is>
          <t>—</t>
        </is>
      </c>
      <c r="P684" s="3" t="n">
        <v>0</v>
      </c>
      <c r="Q684" s="3" t="inlineStr">
        <is>
          <t>None — no dependent function stands behind it</t>
        </is>
      </c>
      <c r="R684" s="3" t="inlineStr">
        <is>
          <t>No dependent function — it reads its inputs and answers</t>
        </is>
      </c>
      <c r="S684" s="3" t="inlineStr">
        <is>
          <t>—</t>
        </is>
      </c>
      <c r="T684" s="3" t="inlineStr">
        <is>
          <t>—</t>
        </is>
      </c>
      <c r="U684" s="3" t="inlineStr">
        <is>
          <t>ACTIVE</t>
        </is>
      </c>
      <c r="V684" s="3" t="inlineStr">
        <is>
          <t>2026-08-27</t>
        </is>
      </c>
      <c r="W684" s="3" t="n"/>
      <c r="X684" s="3" t="n"/>
      <c r="Y684" s="3" t="inlineStr">
        <is>
          <t>NOTHING OPEN</t>
        </is>
      </c>
    </row>
    <row r="685" ht="60" customHeight="1">
      <c r="A685" s="3" t="inlineStr">
        <is>
          <t>MK-XS-F-116</t>
        </is>
      </c>
      <c r="B685" s="3" t="inlineStr">
        <is>
          <t>runSnapTradeSync</t>
        </is>
      </c>
      <c r="C685" s="3" t="inlineStr">
        <is>
          <t>src/services/sync/snaptradeSync.ts</t>
        </is>
      </c>
      <c r="D685" s="3" t="n">
        <v>144</v>
      </c>
      <c r="E685" s="3" t="inlineStr">
        <is>
          <t>2 · DISPLAYED</t>
        </is>
      </c>
      <c r="F685" s="3" t="inlineStr">
        <is>
          <t>Full sync. Returns the number of accounts synced (0 = nothing connected).</t>
        </is>
      </c>
      <c r="G685" s="11"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685"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685" s="3" t="inlineStr">
        <is>
          <t>PARTLY READ — some of the code is still showing through; needs a hand pass</t>
        </is>
      </c>
      <c r="J685" s="3" t="inlineStr">
        <is>
          <t>1. opts: { force?: boolean } = {}
2. reads the app's stored data</t>
        </is>
      </c>
      <c r="K685" s="3" t="inlineStr">
        <is>
          <t>Promise&lt;number&gt;</t>
        </is>
      </c>
      <c r="L685" s="3" t="inlineStr">
        <is>
          <t>NOT FOUND — a screen calls it, but the words printed beside its answer could not be traced automatically. Needs reading.</t>
        </is>
      </c>
      <c r="M685" s="3" t="inlineStr">
        <is>
          <t>· Uses today's date from the device clock, so the answer changes by itself overnight.</t>
        </is>
      </c>
      <c r="N685" s="3" t="inlineStr">
        <is>
          <t>Yes</t>
        </is>
      </c>
      <c r="O685" s="3" t="inlineStr">
        <is>
          <t>1. MK-XS-F-149 allActivities
2. MK-CF-F-132 map
3. MK-XS-F-115 shouldDailySync
4. MK-XS-F-113 snaptradeConfigured
5. MK-XS-F-101 stAssetId
6. MK-XS-F-114 usdCash</t>
        </is>
      </c>
      <c r="P685" s="3" t="n">
        <v>9</v>
      </c>
      <c r="Q685" s="3" t="inlineStr">
        <is>
          <t>1. MK-XS-F-149 allActivities
2. MK-CF-F-132 map
3. MK-XS-F-115 shouldDailySync
4. MK-XS-F-113 snaptradeConfigured
5. MK-XS-F-101 stAssetId
6. MK-XS-F-114 usdCash
7. MK-ST-F-027 accountId
8. MK-XS-F-148 unwrapActivities
9. MK-XS-F-112 relayUrl</t>
        </is>
      </c>
      <c r="R685" s="3" t="inlineStr">
        <is>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is>
      </c>
      <c r="S685" s="3" t="inlineStr">
        <is>
          <t>—</t>
        </is>
      </c>
      <c r="T685" s="3" t="inlineStr">
        <is>
          <t>—</t>
        </is>
      </c>
      <c r="U685" s="3" t="inlineStr">
        <is>
          <t>ACTIVE</t>
        </is>
      </c>
      <c r="V685" s="3" t="inlineStr">
        <is>
          <t>2026-08-27</t>
        </is>
      </c>
      <c r="W685" s="3" t="n"/>
      <c r="X685" s="3" t="n"/>
      <c r="Y685" s="3" t="inlineStr">
        <is>
          <t>NOTHING OPEN</t>
        </is>
      </c>
    </row>
    <row r="686" ht="60" customHeight="1">
      <c r="A686" s="3" t="inlineStr">
        <is>
          <t>MK-XS-F-118</t>
        </is>
      </c>
      <c r="B686" s="3" t="inlineStr">
        <is>
          <t>prettyDate</t>
        </is>
      </c>
      <c r="C686" s="3" t="inlineStr">
        <is>
          <t>src/domain/gaps/index.ts</t>
        </is>
      </c>
      <c r="D686" s="3" t="n">
        <v>61</v>
      </c>
      <c r="E686" s="3" t="inlineStr">
        <is>
          <t>3 · DEPENDENT</t>
        </is>
      </c>
      <c r="F686" s="3" t="inlineStr">
        <is>
          <t>daysSince now comes from the ONE freshness rule in src/domain/_shared/freshness.ts (DEC-0301).</t>
        </is>
      </c>
      <c r="G686" s="11" t="inlineStr">
        <is>
          <t>d = the date `${iso}-15T12:00:00`   if iso.length = 7
`${iso}T12:00:00`   otherwise
the answer:
iso   if is na n(get time())
to locale date string('en − US', { month: 'short', day: 'numeric' })   otherwise</t>
        </is>
      </c>
      <c r="H686" s="3" t="inlineStr">
        <is>
          <t>D: the date `${iso}-15T12:00:00` — when iso.length = 7; `${iso}T12:00:00` — otherwise. The answer is iso — when is na n(get time()); to locale date string('en minus US', { month: 'short', day: 'numeric' }) — otherwise.</t>
        </is>
      </c>
      <c r="I686" s="3" t="inlineStr">
        <is>
          <t>PARTLY READ — some of the code is still showing through; needs a hand pass</t>
        </is>
      </c>
      <c r="J686" s="3" t="inlineStr">
        <is>
          <t>iso: string</t>
        </is>
      </c>
      <c r="K686" s="3" t="inlineStr">
        <is>
          <t>NOT DECLARED — the code does not say what it gives back</t>
        </is>
      </c>
      <c r="L686" s="3" t="inlineStr">
        <is>
          <t>—</t>
        </is>
      </c>
      <c r="M686" s="3" t="inlineStr">
        <is>
          <t>None found in this function — anything it assumes comes from the functions it depends on.</t>
        </is>
      </c>
      <c r="N686" s="3" t="inlineStr">
        <is>
          <t>Yes</t>
        </is>
      </c>
      <c r="O686" s="3" t="inlineStr">
        <is>
          <t>—</t>
        </is>
      </c>
      <c r="P686" s="3" t="n">
        <v>0</v>
      </c>
      <c r="Q686" s="3" t="inlineStr">
        <is>
          <t>None — no dependent function stands behind it</t>
        </is>
      </c>
      <c r="R686" s="3" t="inlineStr">
        <is>
          <t>No dependent function — it reads its inputs and answers</t>
        </is>
      </c>
      <c r="S686" s="3" t="inlineStr">
        <is>
          <t>—</t>
        </is>
      </c>
      <c r="T686" s="3" t="inlineStr">
        <is>
          <t>—</t>
        </is>
      </c>
      <c r="U686" s="3" t="inlineStr">
        <is>
          <t>ACTIVE</t>
        </is>
      </c>
      <c r="V686" s="3" t="inlineStr">
        <is>
          <t>2026-08-27</t>
        </is>
      </c>
      <c r="W686" s="3" t="n"/>
      <c r="X686" s="3" t="n"/>
      <c r="Y686" s="3" t="inlineStr">
        <is>
          <t>NOTHING OPEN</t>
        </is>
      </c>
    </row>
    <row r="687" ht="60" customHeight="1">
      <c r="A687" s="3" t="inlineStr">
        <is>
          <t>MK-XS-F-119</t>
        </is>
      </c>
      <c r="B687" s="3" t="inlineStr">
        <is>
          <t>namesFor</t>
        </is>
      </c>
      <c r="C687" s="3" t="inlineStr">
        <is>
          <t>src/domain/gaps/index.ts</t>
        </is>
      </c>
      <c r="D687" s="3" t="n">
        <v>87</v>
      </c>
      <c r="E687" s="3" t="inlineStr">
        <is>
          <t>1 · ACTION</t>
        </is>
      </c>
      <c r="F687" s="3" t="inlineStr">
        <is>
          <t>Founder finding 2026-08-11: this named an account by its INSTITUTION alone, so two Vanguard accounts produced two identical banner lines ("Vanguard last updated Aug 3" twice) with no way to tell which was which.</t>
        </is>
      </c>
      <c r="G687" s="11" t="inlineStr">
        <is>
          <t>account display names(accounts)</t>
        </is>
      </c>
      <c r="H687" s="3" t="inlineStr">
        <is>
          <t>account display names(accounts)</t>
        </is>
      </c>
      <c r="I687" s="3" t="inlineStr">
        <is>
          <t>READ FROM THE CODE — rendered from the expressions the function runs</t>
        </is>
      </c>
      <c r="J687" s="3" t="inlineStr">
        <is>
          <t>accounts: AssetAccount[]</t>
        </is>
      </c>
      <c r="K687" s="3" t="inlineStr">
        <is>
          <t>NOT DECLARED — the code does not say what it gives back</t>
        </is>
      </c>
      <c r="L687" s="3" t="inlineStr">
        <is>
          <t>—</t>
        </is>
      </c>
      <c r="M687" s="3" t="inlineStr">
        <is>
          <t>None found in this function — anything it assumes comes from the functions it depends on.</t>
        </is>
      </c>
      <c r="N687" s="3" t="inlineStr">
        <is>
          <t>Yes</t>
        </is>
      </c>
      <c r="O687" s="3" t="inlineStr">
        <is>
          <t>MK-NW-F-026 accountDisplayNames</t>
        </is>
      </c>
      <c r="P687" s="3" t="n">
        <v>21</v>
      </c>
      <c r="Q687" s="3" t="inlineStr">
        <is>
          <t>1. MK-NW-F-026 accountDisplayNames
2. MK-NW-F-025 accountDisplayName
3. MK-ST-F-056 has
4. MK-CF-F-132 map
5. MK-XS-F-122 n
6. MK-NW-F-024 accountLastFour
7. MK-ST-F-039 on
8. MK-NW-F-012 taxTreatmentOf
9. MK-NW-F-023 wrapperWord
10. MK-NW-F-007 assetKind
11. MK-NW-F-011 assetClassOf
12. MK-CF-F-155 cash
13. MK-NW-F-120 classEvidenceOf
14. MK-NW-F-008 incomeBearingClassOf
15. MK-NW-F-009 maturityClass
16. MK-ST-F-010 nameEvidence
17. MK-NW-F-068 prettyDay
18. MK-XS-F-147 call
19. MK-ST-F-027 accountId
20. MK-XS-F-064 currentIdToken
21. MK-XS-F-112 relayUrl</t>
        </is>
      </c>
      <c r="R687" s="3" t="inlineStr">
        <is>
          <t>1. accountDisplayNames (already above — a loop) → MK-NW-F-025 accountDisplayName → MK-NW-F-026 accountDisplayNames → MK-XS-F-119 namesFor
2. MK-NW-F-024 accountLastFour → MK-NW-F-025 accountDisplayName → MK-NW-F-026 accountDisplayNames → MK-XS-F-119 namesFor
3. MK-ST-F-039 on → MK-NW-F-025 accountDisplayName → MK-NW-F-026 accountDisplayNames → MK-XS-F-119 namesFor
4. MK-NW-F-011 assetClassOf → MK-NW-F-007 assetKind → MK-NW-F-012 taxTreatmentOf → MK-NW-F-025 accountDisplayName → MK-NW-F-026 accountDisplayNames → MK-XS-F-119 namesFor
5. MK-CF-F-155 cash → MK-NW-F-007 assetKind → MK-NW-F-012 taxTreatmentOf → MK-NW-F-025 accountDisplayName → MK-NW-F-026 accountDisplayNames → MK-XS-F-119 namesFor
6. MK-NW-F-023 wrapperWord → MK-NW-F-025 accountDisplayName → MK-NW-F-026 accountDisplayNames → MK-XS-F-119 namesFor
7. MK-ST-F-056 has → MK-NW-F-026 accountDisplayNames → MK-XS-F-119 namesFor
8. MK-CF-F-132 map → MK-NW-F-026 accountDisplayNames → MK-XS-F-119 namesFor
9. … and 1 more paths</t>
        </is>
      </c>
      <c r="S687" s="3" t="inlineStr">
        <is>
          <t>—</t>
        </is>
      </c>
      <c r="T687" s="3" t="inlineStr">
        <is>
          <t>—</t>
        </is>
      </c>
      <c r="U687" s="3" t="inlineStr">
        <is>
          <t>ACTIVE</t>
        </is>
      </c>
      <c r="V687" s="3" t="inlineStr">
        <is>
          <t>2026-08-27</t>
        </is>
      </c>
      <c r="W687" s="3" t="n"/>
      <c r="X687" s="3" t="n"/>
      <c r="Y687" s="3" t="inlineStr">
        <is>
          <t>NOTHING OPEN</t>
        </is>
      </c>
    </row>
    <row r="688" ht="60" customHeight="1">
      <c r="A688" s="3" t="inlineStr">
        <is>
          <t>MK-XS-F-120</t>
        </is>
      </c>
      <c r="B688" s="3" t="inlineStr">
        <is>
          <t>nameOf</t>
        </is>
      </c>
      <c r="C688" s="3" t="inlineStr">
        <is>
          <t>src/domain/gaps/index.ts</t>
        </is>
      </c>
      <c r="D688" s="3" t="n">
        <v>108</v>
      </c>
      <c r="E688" s="3" t="inlineStr">
        <is>
          <t>1 · ACTION</t>
        </is>
      </c>
      <c r="F688" s="3" t="inlineStr">
        <is>
          <t>NOT DETERMINED — the code carries no note saying what this is for, and it has no row in the old inventory. Needs reading.</t>
        </is>
      </c>
      <c r="G688" s="11" t="inlineStr">
        <is>
          <t>the answer = the person's name for the account, else the institution, else the label, else 'this account'</t>
        </is>
      </c>
      <c r="H688" s="3" t="inlineStr">
        <is>
          <t>What to call an account in a sentence — the person's own name for it, then the institution, then the label. No arithmetic.</t>
        </is>
      </c>
      <c r="I688" s="3" t="inlineStr">
        <is>
          <t>READ BY HAND 2026-08-26 — checked line by line against the code</t>
        </is>
      </c>
      <c r="J688" s="3" t="inlineStr">
        <is>
          <t>1. a: AssetAccount
2. names: Map&lt;string, string&gt;</t>
        </is>
      </c>
      <c r="K688" s="3" t="inlineStr">
        <is>
          <t>NOT DECLARED — the code does not say what it gives back</t>
        </is>
      </c>
      <c r="L688" s="3" t="inlineStr">
        <is>
          <t>—</t>
        </is>
      </c>
      <c r="M688" s="3" t="inlineStr">
        <is>
          <t>None found in this function — anything it assumes comes from the functions it depends on.</t>
        </is>
      </c>
      <c r="N688" s="3" t="inlineStr">
        <is>
          <t>Yes</t>
        </is>
      </c>
      <c r="O688" s="3" t="inlineStr">
        <is>
          <t>—</t>
        </is>
      </c>
      <c r="P688" s="3" t="n">
        <v>0</v>
      </c>
      <c r="Q688" s="3" t="inlineStr">
        <is>
          <t>None — no dependent function stands behind it</t>
        </is>
      </c>
      <c r="R688" s="3" t="inlineStr">
        <is>
          <t>No dependent function — it reads its inputs and answers</t>
        </is>
      </c>
      <c r="S688" s="3" t="inlineStr">
        <is>
          <t>—</t>
        </is>
      </c>
      <c r="T688" s="3" t="inlineStr">
        <is>
          <t>—</t>
        </is>
      </c>
      <c r="U688" s="3" t="inlineStr">
        <is>
          <t>ACTIVE</t>
        </is>
      </c>
      <c r="V688" s="3" t="inlineStr">
        <is>
          <t>2026-09-12</t>
        </is>
      </c>
      <c r="W688" s="3" t="n"/>
      <c r="X688" s="3" t="n"/>
      <c r="Y688" s="3" t="inlineStr">
        <is>
          <t>NOTHING OPEN</t>
        </is>
      </c>
    </row>
    <row r="689" ht="60" customHeight="1">
      <c r="A689" s="3" t="inlineStr">
        <is>
          <t>MK-XS-F-121</t>
        </is>
      </c>
      <c r="B689" s="3" t="inlineStr">
        <is>
          <t>isYm</t>
        </is>
      </c>
      <c r="C689" s="3" t="inlineStr">
        <is>
          <t>src/domain/history.ts</t>
        </is>
      </c>
      <c r="D689" s="3" t="n">
        <v>134</v>
      </c>
      <c r="E689" s="3" t="inlineStr">
        <is>
          <t>1 · ACTION</t>
        </is>
      </c>
      <c r="F689" s="3" t="inlineStr">
        <is>
          <t>NOT DETERMINED — the code carries no note saying what this is for, and it has no row in the old inventory. Needs reading.</t>
        </is>
      </c>
      <c r="G689" s="11" t="inlineStr">
        <is>
          <t>the answer = true when the text is exactly 'YYYY-MM'</t>
        </is>
      </c>
      <c r="H689" s="3" t="inlineStr">
        <is>
          <t>Whether a text is a month key of the form 'YYYY-MM'. No arithmetic.</t>
        </is>
      </c>
      <c r="I689" s="3" t="inlineStr">
        <is>
          <t>READ BY HAND 2026-08-26 — checked line by line against the code</t>
        </is>
      </c>
      <c r="J689" s="3" t="inlineStr">
        <is>
          <t>s: unknown</t>
        </is>
      </c>
      <c r="K689" s="3" t="inlineStr">
        <is>
          <t>s is string</t>
        </is>
      </c>
      <c r="L689" s="3" t="inlineStr">
        <is>
          <t>—</t>
        </is>
      </c>
      <c r="M689" s="3" t="inlineStr">
        <is>
          <t>None found in this function — anything it assumes comes from the functions it depends on.</t>
        </is>
      </c>
      <c r="N689" s="3" t="inlineStr">
        <is>
          <t>Yes</t>
        </is>
      </c>
      <c r="O689" s="3" t="inlineStr">
        <is>
          <t>—</t>
        </is>
      </c>
      <c r="P689" s="3" t="n">
        <v>0</v>
      </c>
      <c r="Q689" s="3" t="inlineStr">
        <is>
          <t>None — no dependent function stands behind it</t>
        </is>
      </c>
      <c r="R689" s="3" t="inlineStr">
        <is>
          <t>No dependent function — it reads its inputs and answers</t>
        </is>
      </c>
      <c r="S689" s="3" t="inlineStr">
        <is>
          <t>—</t>
        </is>
      </c>
      <c r="T689" s="3" t="inlineStr">
        <is>
          <t>—</t>
        </is>
      </c>
      <c r="U689" s="3" t="inlineStr">
        <is>
          <t>ACTIVE</t>
        </is>
      </c>
      <c r="V689" s="3" t="inlineStr">
        <is>
          <t>2026-09-12</t>
        </is>
      </c>
      <c r="W689" s="3" t="n"/>
      <c r="X689" s="3" t="n"/>
      <c r="Y689" s="3" t="inlineStr">
        <is>
          <t>NOTHING OPEN</t>
        </is>
      </c>
    </row>
    <row r="690" ht="60" customHeight="1">
      <c r="A690" s="3" t="inlineStr">
        <is>
          <t>MK-XS-F-122</t>
        </is>
      </c>
      <c r="B690" s="3" t="inlineStr">
        <is>
          <t>n</t>
        </is>
      </c>
      <c r="C690" s="3" t="inlineStr">
        <is>
          <t>src/domain/history.ts</t>
        </is>
      </c>
      <c r="D690" s="3" t="n">
        <v>176</v>
      </c>
      <c r="E690" s="3" t="inlineStr">
        <is>
          <t>1 · ACTION</t>
        </is>
      </c>
      <c r="F690" s="3" t="inlineStr">
        <is>
          <t>NOT DETERMINED — the code carries no note saying what this is for, and it has no row in the old inventory. Needs reading.</t>
        </is>
      </c>
      <c r="G690" s="11" t="inlineStr">
        <is>
          <t>v   if typeof v = 'number' and number.is finite(v)
fallback   otherwise</t>
        </is>
      </c>
      <c r="H690" s="3" t="inlineStr">
        <is>
          <t>v — when typeof v = 'number' and number.is finite(v); fallback — otherwise</t>
        </is>
      </c>
      <c r="I690" s="3" t="inlineStr">
        <is>
          <t>PARTLY READ — some of the code is still showing through; needs a hand pass</t>
        </is>
      </c>
      <c r="J690" s="3" t="inlineStr">
        <is>
          <t>1. v: unknown
2. fallback = 0</t>
        </is>
      </c>
      <c r="K690" s="3" t="inlineStr">
        <is>
          <t>number</t>
        </is>
      </c>
      <c r="L690" s="3" t="inlineStr">
        <is>
          <t>—</t>
        </is>
      </c>
      <c r="M690" s="3" t="inlineStr">
        <is>
          <t>None found in this function — anything it assumes comes from the functions it depends on.</t>
        </is>
      </c>
      <c r="N690" s="3" t="inlineStr">
        <is>
          <t>Yes</t>
        </is>
      </c>
      <c r="O690" s="3" t="inlineStr">
        <is>
          <t>—</t>
        </is>
      </c>
      <c r="P690" s="3" t="n">
        <v>0</v>
      </c>
      <c r="Q690" s="3" t="inlineStr">
        <is>
          <t>None — no dependent function stands behind it</t>
        </is>
      </c>
      <c r="R690" s="3" t="inlineStr">
        <is>
          <t>No dependent function — it reads its inputs and answers</t>
        </is>
      </c>
      <c r="S690" s="3" t="inlineStr">
        <is>
          <t>—</t>
        </is>
      </c>
      <c r="T690" s="3" t="inlineStr">
        <is>
          <t>—</t>
        </is>
      </c>
      <c r="U690" s="3" t="inlineStr">
        <is>
          <t>ACTIVE</t>
        </is>
      </c>
      <c r="V690" s="3" t="inlineStr">
        <is>
          <t>2026-08-27</t>
        </is>
      </c>
      <c r="W690" s="3" t="n"/>
      <c r="X690" s="3" t="n"/>
      <c r="Y690" s="3" t="inlineStr">
        <is>
          <t>NOTHING OPEN</t>
        </is>
      </c>
    </row>
    <row r="691" ht="60" customHeight="1">
      <c r="A691" s="3" t="inlineStr">
        <is>
          <t>MK-XS-F-123</t>
        </is>
      </c>
      <c r="B691" s="3" t="inlineStr">
        <is>
          <t>base64ToBytes</t>
        </is>
      </c>
      <c r="C691" s="3" t="inlineStr">
        <is>
          <t>src/domain/import/holdingsImport.ts</t>
        </is>
      </c>
      <c r="D691" s="3" t="n">
        <v>56</v>
      </c>
      <c r="E691" s="3" t="inlineStr">
        <is>
          <t>3 · DEPENDENT</t>
        </is>
      </c>
      <c r="F691" s="3" t="inlineStr">
        <is>
          <t>NOT DETERMINED — the code carries no note saying what this is for, and it has no row in the old inventory. Needs reading.</t>
        </is>
      </c>
      <c r="G691" s="11" t="inlineStr">
        <is>
          <t>c = b64.replace( ÷ [^A − za − z0 − 9+ ÷ ] ÷ g, '')
out = []
e1 = B64.index of(c[i]), e2 = B64.index of(c[i + 1]), e3 = B64.index of(c[i + 2]), e4 = B64.index of(c[i + 3])
n = (e1 &lt;&lt; 18) | (e2 &lt;&lt; 12) | ((e3 &amp; 63) &lt;&lt; 6) | (e4 &amp; 63)
the answer = out</t>
        </is>
      </c>
      <c r="H691"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691" s="3" t="inlineStr">
        <is>
          <t>PARTLY READ — some of the code is still showing through; needs a hand pass</t>
        </is>
      </c>
      <c r="J691" s="3" t="inlineStr">
        <is>
          <t>b64: string</t>
        </is>
      </c>
      <c r="K691" s="3" t="inlineStr">
        <is>
          <t>number[]</t>
        </is>
      </c>
      <c r="L691" s="3" t="inlineStr">
        <is>
          <t>—</t>
        </is>
      </c>
      <c r="M691" s="3" t="inlineStr">
        <is>
          <t>None found in this function — anything it assumes comes from the functions it depends on.</t>
        </is>
      </c>
      <c r="N691" s="3" t="inlineStr">
        <is>
          <t>Yes</t>
        </is>
      </c>
      <c r="O691" s="3" t="inlineStr">
        <is>
          <t>—</t>
        </is>
      </c>
      <c r="P691" s="3" t="n">
        <v>0</v>
      </c>
      <c r="Q691" s="3" t="inlineStr">
        <is>
          <t>None — no dependent function stands behind it</t>
        </is>
      </c>
      <c r="R691" s="3" t="inlineStr">
        <is>
          <t>No dependent function — it reads its inputs and answers</t>
        </is>
      </c>
      <c r="S691" s="3" t="inlineStr">
        <is>
          <t>—</t>
        </is>
      </c>
      <c r="T691" s="3" t="inlineStr">
        <is>
          <t>—</t>
        </is>
      </c>
      <c r="U691" s="3" t="inlineStr">
        <is>
          <t>ACTIVE</t>
        </is>
      </c>
      <c r="V691" s="3" t="inlineStr">
        <is>
          <t>2026-08-27</t>
        </is>
      </c>
      <c r="W691" s="3" t="n"/>
      <c r="X691" s="3" t="n"/>
      <c r="Y691" s="3" t="inlineStr">
        <is>
          <t>NOTHING OPEN</t>
        </is>
      </c>
    </row>
    <row r="692" ht="60" customHeight="1">
      <c r="A692" s="3" t="inlineStr">
        <is>
          <t>MK-XS-F-124</t>
        </is>
      </c>
      <c r="B692" s="3" t="inlineStr">
        <is>
          <t>decodeUtf8</t>
        </is>
      </c>
      <c r="C692" s="3" t="inlineStr">
        <is>
          <t>src/domain/import/holdingsImport.ts</t>
        </is>
      </c>
      <c r="D692" s="3" t="n">
        <v>88</v>
      </c>
      <c r="E692" s="3" t="inlineStr">
        <is>
          <t>3 · DEPENDENT</t>
        </is>
      </c>
      <c r="F692" s="3" t="inlineStr">
        <is>
          <t>NOT DETERMINED — the code carries no note saying what this is for, and it has no row in the old inventory. Needs reading.</t>
        </is>
      </c>
      <c r="G692" s="11" t="inlineStr">
        <is>
          <t>s = ''
c = b[i++]
the answer = s</t>
        </is>
      </c>
      <c r="H692" s="3" t="inlineStr">
        <is>
          <t>S is ''. C is b[i++]. The answer is s.</t>
        </is>
      </c>
      <c r="I692" s="3" t="inlineStr">
        <is>
          <t>READ FROM THE CODE — rendered from the expressions the function runs</t>
        </is>
      </c>
      <c r="J692" s="3" t="inlineStr">
        <is>
          <t>1. b: number[]
2. start = 0</t>
        </is>
      </c>
      <c r="K692" s="3" t="inlineStr">
        <is>
          <t>string</t>
        </is>
      </c>
      <c r="L692" s="3" t="inlineStr">
        <is>
          <t>—</t>
        </is>
      </c>
      <c r="M692" s="3" t="inlineStr">
        <is>
          <t>None found in this function — anything it assumes comes from the functions it depends on.</t>
        </is>
      </c>
      <c r="N692" s="3" t="inlineStr">
        <is>
          <t>Yes</t>
        </is>
      </c>
      <c r="O692" s="3" t="inlineStr">
        <is>
          <t>—</t>
        </is>
      </c>
      <c r="P692" s="3" t="n">
        <v>0</v>
      </c>
      <c r="Q692" s="3" t="inlineStr">
        <is>
          <t>None — no dependent function stands behind it</t>
        </is>
      </c>
      <c r="R692" s="3" t="inlineStr">
        <is>
          <t>No dependent function — it reads its inputs and answers</t>
        </is>
      </c>
      <c r="S692" s="3" t="inlineStr">
        <is>
          <t>—</t>
        </is>
      </c>
      <c r="T692" s="3" t="inlineStr">
        <is>
          <t>—</t>
        </is>
      </c>
      <c r="U692" s="3" t="inlineStr">
        <is>
          <t>ACTIVE</t>
        </is>
      </c>
      <c r="V692" s="3" t="inlineStr">
        <is>
          <t>2026-08-27</t>
        </is>
      </c>
      <c r="W692" s="3" t="n"/>
      <c r="X692" s="3" t="n"/>
      <c r="Y692" s="3" t="inlineStr">
        <is>
          <t>NOTHING OPEN</t>
        </is>
      </c>
    </row>
    <row r="693" ht="60" customHeight="1">
      <c r="A693" s="3" t="inlineStr">
        <is>
          <t>MK-XS-F-125</t>
        </is>
      </c>
      <c r="B693" s="3" t="inlineStr">
        <is>
          <t>decodeUtf16</t>
        </is>
      </c>
      <c r="C693" s="3" t="inlineStr">
        <is>
          <t>src/domain/import/holdingsImport.ts</t>
        </is>
      </c>
      <c r="D693" s="3" t="n">
        <v>118</v>
      </c>
      <c r="E693" s="3" t="inlineStr">
        <is>
          <t>3 · DEPENDENT</t>
        </is>
      </c>
      <c r="F693" s="3" t="inlineStr">
        <is>
          <t>NOT DETERMINED — the code carries no note saying what this is for, and it has no row in the old inventory. Needs reading.</t>
        </is>
      </c>
      <c r="G693" s="11" t="inlineStr">
        <is>
          <t>s = ''
[LOOP — the answer is found inside a loop the extractor cannot render; the steps above are the ones before it. Read by hand.]</t>
        </is>
      </c>
      <c r="H693" s="3" t="inlineStr">
        <is>
          <t>S is ''. The answer is s. The answer is found inside a loop that cannot be rendered here; read the code by hand.</t>
        </is>
      </c>
      <c r="I693" s="3" t="inlineStr">
        <is>
          <t>PARTLY READ — the body has a loop the extractor cannot render; the steps shown are the ones before it. Needs a hand pass (G23).</t>
        </is>
      </c>
      <c r="J693" s="3" t="inlineStr">
        <is>
          <t>1. b: number[]
2. start: number
3. le: boolean</t>
        </is>
      </c>
      <c r="K693" s="3" t="inlineStr">
        <is>
          <t>string</t>
        </is>
      </c>
      <c r="L693" s="3" t="inlineStr">
        <is>
          <t>—</t>
        </is>
      </c>
      <c r="M693" s="3" t="inlineStr">
        <is>
          <t>None found in this function — anything it assumes comes from the functions it depends on.</t>
        </is>
      </c>
      <c r="N693" s="3" t="inlineStr">
        <is>
          <t>Yes</t>
        </is>
      </c>
      <c r="O693" s="3" t="inlineStr">
        <is>
          <t>—</t>
        </is>
      </c>
      <c r="P693" s="3" t="n">
        <v>0</v>
      </c>
      <c r="Q693" s="3" t="inlineStr">
        <is>
          <t>None — no dependent function stands behind it</t>
        </is>
      </c>
      <c r="R693" s="3" t="inlineStr">
        <is>
          <t>No dependent function — it reads its inputs and answers</t>
        </is>
      </c>
      <c r="S693" s="3" t="inlineStr">
        <is>
          <t>—</t>
        </is>
      </c>
      <c r="T693" s="3" t="inlineStr">
        <is>
          <t>—</t>
        </is>
      </c>
      <c r="U693" s="3" t="inlineStr">
        <is>
          <t>ACTIVE</t>
        </is>
      </c>
      <c r="V693" s="3" t="inlineStr">
        <is>
          <t>2026-09-08</t>
        </is>
      </c>
      <c r="W693" s="3" t="n"/>
      <c r="X693" s="3" t="n"/>
      <c r="Y693" s="3" t="inlineStr">
        <is>
          <t>NOTHING OPEN</t>
        </is>
      </c>
    </row>
    <row r="694" ht="60" customHeight="1">
      <c r="A694" s="3" t="inlineStr">
        <is>
          <t>MK-XS-F-126</t>
        </is>
      </c>
      <c r="B694" s="3" t="inlineStr">
        <is>
          <t>findCol</t>
        </is>
      </c>
      <c r="C694" s="3" t="inlineStr">
        <is>
          <t>src/domain/import/holdingsImport.ts</t>
        </is>
      </c>
      <c r="D694" s="3" t="n">
        <v>258</v>
      </c>
      <c r="E694" s="3" t="inlineStr">
        <is>
          <t>3 · DEPENDENT</t>
        </is>
      </c>
      <c r="F694" s="3" t="inlineStr">
        <is>
          <t>NOT DETERMINED — the code carries no note saying what this is for, and it has no row in the old inventory. Needs reading.</t>
        </is>
      </c>
      <c r="G694" s="11" t="inlineStr">
        <is>
          <t>i = headers.find index((h) =&gt; re.test(h))
i   when i ≥ 0
[LOOP — the answer is found inside a loop the extractor cannot render; the steps above are the ones before it. Read by hand.]</t>
        </is>
      </c>
      <c r="H694" s="3" t="inlineStr">
        <is>
          <t>I is headers.find index((h) =&gt; re.test(h)). When i is at least 0, it answers i. The answer is -1. The answer is found inside a loop that cannot be rendered here; read the code by hand.</t>
        </is>
      </c>
      <c r="I694" s="3" t="inlineStr">
        <is>
          <t>PARTLY READ — the body has a loop the extractor cannot render; the steps shown are the ones before it. Needs a hand pass (G23).</t>
        </is>
      </c>
      <c r="J694" s="3" t="inlineStr">
        <is>
          <t>1. headers: string[]
2. patterns: RegExp[]</t>
        </is>
      </c>
      <c r="K694" s="3" t="inlineStr">
        <is>
          <t>number</t>
        </is>
      </c>
      <c r="L694" s="3" t="inlineStr">
        <is>
          <t>—</t>
        </is>
      </c>
      <c r="M694" s="3" t="inlineStr">
        <is>
          <t>None found in this function — anything it assumes comes from the functions it depends on.</t>
        </is>
      </c>
      <c r="N694" s="3" t="inlineStr">
        <is>
          <t>Yes</t>
        </is>
      </c>
      <c r="O694" s="3" t="inlineStr">
        <is>
          <t>—</t>
        </is>
      </c>
      <c r="P694" s="3" t="n">
        <v>0</v>
      </c>
      <c r="Q694" s="3" t="inlineStr">
        <is>
          <t>None — no dependent function stands behind it</t>
        </is>
      </c>
      <c r="R694" s="3" t="inlineStr">
        <is>
          <t>No dependent function — it reads its inputs and answers</t>
        </is>
      </c>
      <c r="S694" s="3" t="inlineStr">
        <is>
          <t>—</t>
        </is>
      </c>
      <c r="T694" s="3" t="inlineStr">
        <is>
          <t>—</t>
        </is>
      </c>
      <c r="U694" s="3" t="inlineStr">
        <is>
          <t>ACTIVE</t>
        </is>
      </c>
      <c r="V694" s="3" t="inlineStr">
        <is>
          <t>2026-09-08</t>
        </is>
      </c>
      <c r="W694" s="3" t="n"/>
      <c r="X694" s="3" t="n"/>
      <c r="Y694" s="3" t="inlineStr">
        <is>
          <t>NOTHING OPEN</t>
        </is>
      </c>
    </row>
    <row r="695" ht="60" customHeight="1">
      <c r="A695" s="3" t="inlineStr">
        <is>
          <t>MK-XS-F-127</t>
        </is>
      </c>
      <c r="B695" s="3" t="inlineStr">
        <is>
          <t>toIsoDate</t>
        </is>
      </c>
      <c r="C695" s="3" t="inlineStr">
        <is>
          <t>src/domain/import/holdingsImport.ts</t>
        </is>
      </c>
      <c r="D695" s="3" t="n">
        <v>290</v>
      </c>
      <c r="E695" s="3" t="inlineStr">
        <is>
          <t>3 · DEPENDENT</t>
        </is>
      </c>
      <c r="F695" s="3" t="inlineStr">
        <is>
          <t>Normalise a date cell to 'YYYY-MM-DD', or undefined if it isn't a usable date.</t>
        </is>
      </c>
      <c r="G695" s="11" t="inlineStr">
        <is>
          <t>t = (v ?? '').trim()
undefined   when t is missing
m = match( ÷ ^(\d{4})[- ÷ ](\d{1,2})[- ÷ ](\d{1,2})$ ÷ )
`${m[1]}-${m[2].pad start(2, '0')}-${m[3].pad start(2, '0')}`   when m
`${m[3]}-${m[1].pad start(2, '0')}-${m[2].pad start(2, '0')}`   when m
the answer = undefined</t>
        </is>
      </c>
      <c r="H695" s="3" t="inlineStr">
        <is>
          <t>T is (v ?? '').trim(). When t is missing, it answers undefined. M is match( divided by ^(\d{4})[- divided by ](\d{1,2})[- divided by ](\d{1,2})$ divided by ). When m, it answers `${m[1]}-${m[2].pad start(2, '0')}-${m[3].pad start(2, '0')}`. When m, it answers `${m[3]}-${m[1].pad start(2, '0')}-${m[2].pad start(2, '0')}`. The answer is undefined.</t>
        </is>
      </c>
      <c r="I695" s="3" t="inlineStr">
        <is>
          <t>PARTLY READ — some of the code is still showing through; needs a hand pass</t>
        </is>
      </c>
      <c r="J695" s="3" t="inlineStr">
        <is>
          <t>v: string</t>
        </is>
      </c>
      <c r="K695" s="3" t="inlineStr">
        <is>
          <t>string | undefined</t>
        </is>
      </c>
      <c r="L695" s="3" t="inlineStr">
        <is>
          <t>—</t>
        </is>
      </c>
      <c r="M695" s="3" t="inlineStr">
        <is>
          <t>None found in this function — anything it assumes comes from the functions it depends on.</t>
        </is>
      </c>
      <c r="N695" s="3" t="inlineStr">
        <is>
          <t>Yes</t>
        </is>
      </c>
      <c r="O695" s="3" t="inlineStr">
        <is>
          <t>—</t>
        </is>
      </c>
      <c r="P695" s="3" t="n">
        <v>0</v>
      </c>
      <c r="Q695" s="3" t="inlineStr">
        <is>
          <t>None — no dependent function stands behind it</t>
        </is>
      </c>
      <c r="R695" s="3" t="inlineStr">
        <is>
          <t>No dependent function — it reads its inputs and answers</t>
        </is>
      </c>
      <c r="S695" s="3" t="inlineStr">
        <is>
          <t>—</t>
        </is>
      </c>
      <c r="T695" s="3" t="inlineStr">
        <is>
          <t>—</t>
        </is>
      </c>
      <c r="U695" s="3" t="inlineStr">
        <is>
          <t>ACTIVE</t>
        </is>
      </c>
      <c r="V695" s="3" t="inlineStr">
        <is>
          <t>2026-08-27</t>
        </is>
      </c>
      <c r="W695" s="3" t="n"/>
      <c r="X695" s="3" t="n"/>
      <c r="Y695" s="3" t="inlineStr">
        <is>
          <t>NOTHING OPEN</t>
        </is>
      </c>
    </row>
    <row r="696" ht="60" customHeight="1">
      <c r="A696" s="3" t="inlineStr">
        <is>
          <t>MK-XS-F-128</t>
        </is>
      </c>
      <c r="B696" s="3" t="inlineStr">
        <is>
          <t>cleanTicker</t>
        </is>
      </c>
      <c r="C696" s="3" t="inlineStr">
        <is>
          <t>src/domain/import/holdingsImport.ts</t>
        </is>
      </c>
      <c r="D696" s="3" t="n">
        <v>323</v>
      </c>
      <c r="E696" s="3" t="inlineStr">
        <is>
          <t>3 · DEPENDENT</t>
        </is>
      </c>
      <c r="F696" s="3" t="inlineStr">
        <is>
          <t>A plausible tradeable ticker: 1–10 chars, letters/digits/.-, at least one letter, no spaces.</t>
        </is>
      </c>
      <c r="G696" s="11"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696"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696" s="3" t="inlineStr">
        <is>
          <t>PARTLY READ — some of the code is still showing through; needs a hand pass</t>
        </is>
      </c>
      <c r="J696" s="3" t="inlineStr">
        <is>
          <t>v: string</t>
        </is>
      </c>
      <c r="K696" s="3" t="inlineStr">
        <is>
          <t>string | null</t>
        </is>
      </c>
      <c r="L696" s="3" t="inlineStr">
        <is>
          <t>—</t>
        </is>
      </c>
      <c r="M696" s="3" t="inlineStr">
        <is>
          <t>None found in this function — anything it assumes comes from the functions it depends on.</t>
        </is>
      </c>
      <c r="N696" s="3" t="inlineStr">
        <is>
          <t>Yes</t>
        </is>
      </c>
      <c r="O696" s="3" t="inlineStr">
        <is>
          <t>—</t>
        </is>
      </c>
      <c r="P696" s="3" t="n">
        <v>0</v>
      </c>
      <c r="Q696" s="3" t="inlineStr">
        <is>
          <t>None — no dependent function stands behind it</t>
        </is>
      </c>
      <c r="R696" s="3" t="inlineStr">
        <is>
          <t>No dependent function — it reads its inputs and answers</t>
        </is>
      </c>
      <c r="S696" s="3" t="inlineStr">
        <is>
          <t>—</t>
        </is>
      </c>
      <c r="T696" s="3" t="inlineStr">
        <is>
          <t>—</t>
        </is>
      </c>
      <c r="U696" s="3" t="inlineStr">
        <is>
          <t>ACTIVE</t>
        </is>
      </c>
      <c r="V696" s="3" t="inlineStr">
        <is>
          <t>2026-08-27</t>
        </is>
      </c>
      <c r="W696" s="3" t="n"/>
      <c r="X696" s="3" t="n"/>
      <c r="Y696" s="3" t="inlineStr">
        <is>
          <t>NOTHING OPEN</t>
        </is>
      </c>
    </row>
    <row r="697" ht="60" customHeight="1">
      <c r="A697" s="3" t="inlineStr">
        <is>
          <t>MK-XS-F-129</t>
        </is>
      </c>
      <c r="B697" s="3" t="inlineStr">
        <is>
          <t>findHeaderRow</t>
        </is>
      </c>
      <c r="C697" s="3" t="inlineStr">
        <is>
          <t>src/domain/import/holdingsImport.ts</t>
        </is>
      </c>
      <c r="D697" s="3" t="n">
        <v>381</v>
      </c>
      <c r="E697" s="3" t="inlineStr">
        <is>
          <t>3 · DEPENDENT</t>
        </is>
      </c>
      <c r="F697" s="3" t="inlineStr">
        <is>
          <t>Find the real positions header — the first row that has BOTH a symbol/ticker AND a quantity/shares column (skips brokerage preambles like "Account Summary" and filter headers).</t>
        </is>
      </c>
      <c r="G697" s="11"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697"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697" s="3" t="inlineStr">
        <is>
          <t>PARTLY READ — the body has a loop the extractor cannot render; the steps shown are the ones before it. Needs a hand pass (G23).</t>
        </is>
      </c>
      <c r="J697" s="3" t="inlineStr">
        <is>
          <t>rows: string[][]</t>
        </is>
      </c>
      <c r="K697" s="3" t="inlineStr">
        <is>
          <t>number</t>
        </is>
      </c>
      <c r="L697" s="3" t="inlineStr">
        <is>
          <t>—</t>
        </is>
      </c>
      <c r="M697" s="3" t="inlineStr">
        <is>
          <t>None found in this function — anything it assumes comes from the functions it depends on.</t>
        </is>
      </c>
      <c r="N697" s="3" t="inlineStr">
        <is>
          <t>Yes</t>
        </is>
      </c>
      <c r="O697" s="3" t="inlineStr">
        <is>
          <t>MK-CF-F-132 map</t>
        </is>
      </c>
      <c r="P697" s="3" t="n">
        <v>1</v>
      </c>
      <c r="Q697" s="3" t="inlineStr">
        <is>
          <t>MK-CF-F-132 map</t>
        </is>
      </c>
      <c r="R697" s="3" t="inlineStr">
        <is>
          <t>MK-CF-F-132 map → MK-XS-F-129 findHeaderRow</t>
        </is>
      </c>
      <c r="S697" s="3" t="inlineStr">
        <is>
          <t>—</t>
        </is>
      </c>
      <c r="T697" s="3" t="inlineStr">
        <is>
          <t>—</t>
        </is>
      </c>
      <c r="U697" s="3" t="inlineStr">
        <is>
          <t>ACTIVE</t>
        </is>
      </c>
      <c r="V697" s="3" t="inlineStr">
        <is>
          <t>2026-09-08</t>
        </is>
      </c>
      <c r="W697" s="3" t="n"/>
      <c r="X697" s="3" t="n"/>
      <c r="Y697" s="3" t="inlineStr">
        <is>
          <t>NOTHING OPEN</t>
        </is>
      </c>
    </row>
    <row r="698" ht="60" customHeight="1">
      <c r="A698" s="3" t="inlineStr">
        <is>
          <t>MK-XS-F-130</t>
        </is>
      </c>
      <c r="B698" s="3" t="inlineStr">
        <is>
          <t>normInst</t>
        </is>
      </c>
      <c r="C698" s="3" t="inlineStr">
        <is>
          <t>src/domain/import/holdingsImport.ts</t>
        </is>
      </c>
      <c r="D698" s="3" t="n">
        <v>512</v>
      </c>
      <c r="E698" s="3" t="inlineStr">
        <is>
          <t>1 · ACTION</t>
        </is>
      </c>
      <c r="F698" s="3" t="inlineStr">
        <is>
          <t>NOT DETERMINED — the code carries no note saying what this is for, and it has no row in the old inventory. Needs reading.</t>
        </is>
      </c>
      <c r="G698" s="11" t="inlineStr">
        <is>
          <t>(s ?? '').trim().to lower case().replace( ÷ [^a − z0 − 9] ÷ g, '')</t>
        </is>
      </c>
      <c r="H698" s="3" t="inlineStr">
        <is>
          <t>(s ?? '').trim().to lower case().replace( divided by [^a minus z0 minus 9] divided by g, '')</t>
        </is>
      </c>
      <c r="I698" s="3" t="inlineStr">
        <is>
          <t>PARTLY READ — some of the code is still showing through; needs a hand pass</t>
        </is>
      </c>
      <c r="J698" s="3" t="inlineStr">
        <is>
          <t>s?: string</t>
        </is>
      </c>
      <c r="K698" s="3" t="inlineStr">
        <is>
          <t>NOT DECLARED — the code does not say what it gives back</t>
        </is>
      </c>
      <c r="L698" s="3" t="inlineStr">
        <is>
          <t>—</t>
        </is>
      </c>
      <c r="M698" s="3" t="inlineStr">
        <is>
          <t>None found in this function — anything it assumes comes from the functions it depends on.</t>
        </is>
      </c>
      <c r="N698" s="3" t="inlineStr">
        <is>
          <t>Yes</t>
        </is>
      </c>
      <c r="O698" s="3" t="inlineStr">
        <is>
          <t>—</t>
        </is>
      </c>
      <c r="P698" s="3" t="n">
        <v>0</v>
      </c>
      <c r="Q698" s="3" t="inlineStr">
        <is>
          <t>None — no dependent function stands behind it</t>
        </is>
      </c>
      <c r="R698" s="3" t="inlineStr">
        <is>
          <t>No dependent function — it reads its inputs and answers</t>
        </is>
      </c>
      <c r="S698" s="3" t="inlineStr">
        <is>
          <t>—</t>
        </is>
      </c>
      <c r="T698" s="3" t="inlineStr">
        <is>
          <t>—</t>
        </is>
      </c>
      <c r="U698" s="3" t="inlineStr">
        <is>
          <t>ACTIVE</t>
        </is>
      </c>
      <c r="V698" s="3" t="inlineStr">
        <is>
          <t>2026-08-27</t>
        </is>
      </c>
      <c r="W698" s="3" t="n"/>
      <c r="X698" s="3" t="n"/>
      <c r="Y698" s="3" t="inlineStr">
        <is>
          <t>NOTHING OPEN</t>
        </is>
      </c>
    </row>
    <row r="699" ht="60" customHeight="1">
      <c r="A699" s="3" t="inlineStr">
        <is>
          <t>MK-XS-F-131</t>
        </is>
      </c>
      <c r="B699" s="3" t="inlineStr">
        <is>
          <t>toInt</t>
        </is>
      </c>
      <c r="C699" s="3" t="inlineStr">
        <is>
          <t>src/domain/profile/onboarding.ts</t>
        </is>
      </c>
      <c r="D699" s="3" t="n">
        <v>28</v>
      </c>
      <c r="E699" s="3" t="inlineStr">
        <is>
          <t>3 · DEPENDENT</t>
        </is>
      </c>
      <c r="F699" s="3" t="inlineStr">
        <is>
          <t>NOT DETERMINED — the code carries no note saying what this is for, and it has no row in the old inventory. Needs reading.</t>
        </is>
      </c>
      <c r="G699" s="11" t="inlineStr">
        <is>
          <t>n = parse int(string(v ?? '').replace( ÷ [^0 − 9] ÷ g, ''), 10)
the answer:
n   if number.is finite(n)
nothing   otherwise</t>
        </is>
      </c>
      <c r="H699" s="3" t="inlineStr">
        <is>
          <t>N is parse int(string(v ?? '').replace( divided by [^0 minus 9] divided by g, ''), 10). The answer is n — when number.is finite(n); no answer — otherwise.</t>
        </is>
      </c>
      <c r="I699" s="3" t="inlineStr">
        <is>
          <t>PARTLY READ — some of the code is still showing through; needs a hand pass</t>
        </is>
      </c>
      <c r="J699" s="3" t="inlineStr">
        <is>
          <t>v: any</t>
        </is>
      </c>
      <c r="K699" s="3" t="inlineStr">
        <is>
          <t>number | null</t>
        </is>
      </c>
      <c r="L699" s="3" t="inlineStr">
        <is>
          <t>—</t>
        </is>
      </c>
      <c r="M699" s="3" t="inlineStr">
        <is>
          <t>None found in this function — anything it assumes comes from the functions it depends on.</t>
        </is>
      </c>
      <c r="N699" s="3" t="inlineStr">
        <is>
          <t>Yes</t>
        </is>
      </c>
      <c r="O699" s="3" t="inlineStr">
        <is>
          <t>MK-XS-F-122 n</t>
        </is>
      </c>
      <c r="P699" s="3" t="n">
        <v>1</v>
      </c>
      <c r="Q699" s="3" t="inlineStr">
        <is>
          <t>MK-XS-F-122 n</t>
        </is>
      </c>
      <c r="R699" s="3" t="inlineStr">
        <is>
          <t>MK-XS-F-122 n → MK-XS-F-131 toInt</t>
        </is>
      </c>
      <c r="S699" s="3" t="inlineStr">
        <is>
          <t>—</t>
        </is>
      </c>
      <c r="T699" s="3" t="inlineStr">
        <is>
          <t>—</t>
        </is>
      </c>
      <c r="U699" s="3" t="inlineStr">
        <is>
          <t>ACTIVE</t>
        </is>
      </c>
      <c r="V699" s="3" t="inlineStr">
        <is>
          <t>2026-08-27</t>
        </is>
      </c>
      <c r="W699" s="3" t="n"/>
      <c r="X699" s="3" t="n"/>
      <c r="Y699" s="3" t="inlineStr">
        <is>
          <t>NOTHING OPEN</t>
        </is>
      </c>
    </row>
    <row r="700" ht="60" customHeight="1">
      <c r="A700" s="3" t="inlineStr">
        <is>
          <t>MK-XS-F-132</t>
        </is>
      </c>
      <c r="B700" s="3" t="inlineStr">
        <is>
          <t>load</t>
        </is>
      </c>
      <c r="C700" s="3" t="inlineStr">
        <is>
          <t>src/services/appLock.ts</t>
        </is>
      </c>
      <c r="D700" s="3" t="n">
        <v>25</v>
      </c>
      <c r="E700" s="3" t="inlineStr">
        <is>
          <t>3 · DEPENDENT</t>
        </is>
      </c>
      <c r="F700" s="3" t="inlineStr">
        <is>
          <t>NOT DETERMINED — the code carries no note saying what this is for, and it has no row in the old inventory. Needs reading.</t>
        </is>
      </c>
      <c r="G700" s="11" t="inlineStr">
        <is>
          <t>LA   when LA
LA</t>
        </is>
      </c>
      <c r="H700" s="3" t="inlineStr">
        <is>
          <t>When LA, it answers LA. LA.</t>
        </is>
      </c>
      <c r="I700" s="3" t="inlineStr">
        <is>
          <t>READ FROM THE CODE — rendered from the expressions the function runs</t>
        </is>
      </c>
      <c r="J700" s="3" t="inlineStr">
        <is>
          <t>Nothing is handed to it</t>
        </is>
      </c>
      <c r="K700" s="3" t="inlineStr">
        <is>
          <t>any</t>
        </is>
      </c>
      <c r="L700" s="3" t="inlineStr">
        <is>
          <t>—</t>
        </is>
      </c>
      <c r="M700" s="3" t="inlineStr">
        <is>
          <t>None found in this function — anything it assumes comes from the functions it depends on.</t>
        </is>
      </c>
      <c r="N700" s="3" t="inlineStr">
        <is>
          <t>Yes</t>
        </is>
      </c>
      <c r="O700" s="3" t="inlineStr">
        <is>
          <t>—</t>
        </is>
      </c>
      <c r="P700" s="3" t="n">
        <v>0</v>
      </c>
      <c r="Q700" s="3" t="inlineStr">
        <is>
          <t>None — no dependent function stands behind it</t>
        </is>
      </c>
      <c r="R700" s="3" t="inlineStr">
        <is>
          <t>No dependent function — it reads its inputs and answers</t>
        </is>
      </c>
      <c r="S700" s="3" t="inlineStr">
        <is>
          <t>—</t>
        </is>
      </c>
      <c r="T700" s="3" t="inlineStr">
        <is>
          <t>—</t>
        </is>
      </c>
      <c r="U700" s="3" t="inlineStr">
        <is>
          <t>ACTIVE</t>
        </is>
      </c>
      <c r="V700" s="3" t="inlineStr">
        <is>
          <t>2026-08-27</t>
        </is>
      </c>
      <c r="W700" s="3" t="n"/>
      <c r="X700" s="3" t="n"/>
      <c r="Y700" s="3" t="inlineStr">
        <is>
          <t>NOTHING OPEN</t>
        </is>
      </c>
    </row>
    <row r="701" ht="60" customHeight="1">
      <c r="A701" s="3" t="inlineStr">
        <is>
          <t>MK-XS-F-133</t>
        </is>
      </c>
      <c r="B701" s="3" t="inlineStr">
        <is>
          <t>loadSentry</t>
        </is>
      </c>
      <c r="C701" s="3" t="inlineStr">
        <is>
          <t>src/services/crashReporter.ts</t>
        </is>
      </c>
      <c r="D701" s="3" t="n">
        <v>33</v>
      </c>
      <c r="E701" s="3" t="inlineStr">
        <is>
          <t>3 · DEPENDENT</t>
        </is>
      </c>
      <c r="F701" s="3" t="inlineStr">
        <is>
          <t>NOT DETERMINED — the code carries no note saying what this is for, and it has no row in the old inventory. Needs reading.</t>
        </is>
      </c>
      <c r="G701" s="11" t="inlineStr">
        <is>
          <t>the answer = the crash-reporting module, or nothing when it is absent</t>
        </is>
      </c>
      <c r="H701" s="3" t="inlineStr">
        <is>
          <t>Loads the crash reporter if it is installed. Not a calculation.</t>
        </is>
      </c>
      <c r="I701" s="3" t="inlineStr">
        <is>
          <t>READ BY HAND 2026-08-26 — checked line by line against the code</t>
        </is>
      </c>
      <c r="J701" s="3" t="inlineStr">
        <is>
          <t>Nothing is handed to it</t>
        </is>
      </c>
      <c r="K701" s="3" t="inlineStr">
        <is>
          <t>any</t>
        </is>
      </c>
      <c r="L701" s="3" t="inlineStr">
        <is>
          <t>—</t>
        </is>
      </c>
      <c r="M701" s="3" t="inlineStr">
        <is>
          <t>None found in this function — anything it assumes comes from the functions it depends on.</t>
        </is>
      </c>
      <c r="N701" s="3" t="inlineStr">
        <is>
          <t>Yes</t>
        </is>
      </c>
      <c r="O701" s="3" t="inlineStr">
        <is>
          <t>—</t>
        </is>
      </c>
      <c r="P701" s="3" t="n">
        <v>0</v>
      </c>
      <c r="Q701" s="3" t="inlineStr">
        <is>
          <t>None — no dependent function stands behind it</t>
        </is>
      </c>
      <c r="R701" s="3" t="inlineStr">
        <is>
          <t>No dependent function — it reads its inputs and answers</t>
        </is>
      </c>
      <c r="S701" s="3" t="inlineStr">
        <is>
          <t>—</t>
        </is>
      </c>
      <c r="T701" s="3" t="inlineStr">
        <is>
          <t>—</t>
        </is>
      </c>
      <c r="U701" s="3" t="inlineStr">
        <is>
          <t>ACTIVE</t>
        </is>
      </c>
      <c r="V701" s="3" t="inlineStr">
        <is>
          <t>2026-09-12</t>
        </is>
      </c>
      <c r="W701" s="3" t="n"/>
      <c r="X701" s="3" t="n"/>
      <c r="Y701" s="3" t="inlineStr">
        <is>
          <t>NOTHING OPEN</t>
        </is>
      </c>
    </row>
    <row r="702" ht="60" customHeight="1">
      <c r="A702" s="3" t="inlineStr">
        <is>
          <t>MK-XS-F-134</t>
        </is>
      </c>
      <c r="B702" s="3" t="inlineStr">
        <is>
          <t>installGlobalHandler</t>
        </is>
      </c>
      <c r="C702" s="3" t="inlineStr">
        <is>
          <t>src/services/crashReporter.ts</t>
        </is>
      </c>
      <c r="D702" s="3" t="n">
        <v>94</v>
      </c>
      <c r="E702" s="3" t="inlineStr">
        <is>
          <t>1 · ACTION</t>
        </is>
      </c>
      <c r="F702" s="3" t="inlineStr">
        <is>
          <t>NOT DETERMINED — the code carries no note saying what this is for, and it has no row in the old inventory. Needs reading.</t>
        </is>
      </c>
      <c r="G702" s="11" t="inlineStr">
        <is>
          <t>g = global this as any
prev = error utils.get global handler.()</t>
        </is>
      </c>
      <c r="H702" s="3" t="inlineStr">
        <is>
          <t>G is global this as any. Prev is error utils.get global handler.().</t>
        </is>
      </c>
      <c r="I702" s="3" t="inlineStr">
        <is>
          <t>READ FROM THE CODE — rendered from the expressions the function runs</t>
        </is>
      </c>
      <c r="J702" s="3" t="inlineStr">
        <is>
          <t>Nothing is handed to it</t>
        </is>
      </c>
      <c r="K702" s="3" t="inlineStr">
        <is>
          <t>void</t>
        </is>
      </c>
      <c r="L702" s="3" t="inlineStr">
        <is>
          <t>—</t>
        </is>
      </c>
      <c r="M702" s="3" t="inlineStr">
        <is>
          <t>None found in this function — anything it assumes comes from the functions it depends on.</t>
        </is>
      </c>
      <c r="N702" s="3" t="inlineStr">
        <is>
          <t>Yes</t>
        </is>
      </c>
      <c r="O702" s="3" t="inlineStr">
        <is>
          <t>MK-XS-F-037 captureException</t>
        </is>
      </c>
      <c r="P702" s="3" t="n">
        <v>1</v>
      </c>
      <c r="Q702" s="3" t="inlineStr">
        <is>
          <t>MK-XS-F-037 captureException</t>
        </is>
      </c>
      <c r="R702" s="3" t="inlineStr">
        <is>
          <t>MK-XS-F-037 captureException → MK-XS-F-134 installGlobalHandler</t>
        </is>
      </c>
      <c r="S702" s="3" t="inlineStr">
        <is>
          <t>—</t>
        </is>
      </c>
      <c r="T702" s="3" t="inlineStr">
        <is>
          <t>—</t>
        </is>
      </c>
      <c r="U702" s="3" t="inlineStr">
        <is>
          <t>ACTIVE</t>
        </is>
      </c>
      <c r="V702" s="3" t="inlineStr">
        <is>
          <t>2026-08-27</t>
        </is>
      </c>
      <c r="W702" s="3" t="n"/>
      <c r="X702" s="3" t="n"/>
      <c r="Y702" s="3" t="inlineStr">
        <is>
          <t>NOTHING OPEN</t>
        </is>
      </c>
    </row>
    <row r="703" ht="60" customHeight="1">
      <c r="A703" s="3" t="inlineStr">
        <is>
          <t>MK-XS-F-135</t>
        </is>
      </c>
      <c r="B703" s="3" t="inlineStr">
        <is>
          <t>secureGet</t>
        </is>
      </c>
      <c r="C703" s="3" t="inlineStr">
        <is>
          <t>src/services/dataCrypto.ts</t>
        </is>
      </c>
      <c r="D703" s="3" t="n">
        <v>48</v>
      </c>
      <c r="E703" s="3" t="inlineStr">
        <is>
          <t>4 · BRINGS DATA IN</t>
        </is>
      </c>
      <c r="F703" s="3" t="inlineStr">
        <is>
          <t>NOT DETERMINED — the code carries no note saying what this is for, and it has no row in the old inventory. Needs reading.</t>
        </is>
      </c>
      <c r="G703" s="11" t="inlineStr">
        <is>
          <t>It reaches outside the app for data and hands back what came back — no arithmetic of its own.</t>
        </is>
      </c>
      <c r="H703" s="3" t="inlineStr">
        <is>
          <t>It reaches outside the app for data and hands back what came back — no arithmetic of its own.</t>
        </is>
      </c>
      <c r="I703" s="3" t="inlineStr">
        <is>
          <t>NO ARITHMETIC — there is no formula to state</t>
        </is>
      </c>
      <c r="J703" s="3" t="inlineStr">
        <is>
          <t>name: string</t>
        </is>
      </c>
      <c r="K703" s="3" t="inlineStr">
        <is>
          <t>Promise&lt;string | null&gt;</t>
        </is>
      </c>
      <c r="L703" s="3" t="inlineStr">
        <is>
          <t>—</t>
        </is>
      </c>
      <c r="M703" s="3" t="inlineStr">
        <is>
          <t>None found in this function — anything it assumes comes from the functions it depends on.</t>
        </is>
      </c>
      <c r="N703" s="3" t="inlineStr">
        <is>
          <t>Yes</t>
        </is>
      </c>
      <c r="O703" s="3" t="inlineStr">
        <is>
          <t>—</t>
        </is>
      </c>
      <c r="P703" s="3" t="n">
        <v>0</v>
      </c>
      <c r="Q703" s="3" t="inlineStr">
        <is>
          <t>None — no dependent function stands behind it</t>
        </is>
      </c>
      <c r="R703" s="3" t="inlineStr">
        <is>
          <t>No dependent function — it reads its inputs and answers</t>
        </is>
      </c>
      <c r="S703" s="3" t="inlineStr">
        <is>
          <t>—</t>
        </is>
      </c>
      <c r="T703" s="3" t="inlineStr">
        <is>
          <t>—</t>
        </is>
      </c>
      <c r="U703" s="3" t="inlineStr">
        <is>
          <t>ACTIVE</t>
        </is>
      </c>
      <c r="V703" s="3" t="inlineStr">
        <is>
          <t>2026-08-27</t>
        </is>
      </c>
      <c r="W703" s="3" t="n"/>
      <c r="X703" s="3" t="n"/>
      <c r="Y703" s="3" t="inlineStr">
        <is>
          <t>NOTHING OPEN</t>
        </is>
      </c>
    </row>
    <row r="704" ht="60" customHeight="1">
      <c r="A704" s="3" t="inlineStr">
        <is>
          <t>MK-XS-F-136</t>
        </is>
      </c>
      <c r="B704" s="3" t="inlineStr">
        <is>
          <t>secureSet</t>
        </is>
      </c>
      <c r="C704" s="3" t="inlineStr">
        <is>
          <t>src/services/dataCrypto.ts</t>
        </is>
      </c>
      <c r="D704" s="3" t="n">
        <v>72</v>
      </c>
      <c r="E704" s="3" t="inlineStr">
        <is>
          <t>1 · ACTION</t>
        </is>
      </c>
      <c r="F704" s="3" t="inlineStr">
        <is>
          <t>NOT DETERMINED — the code carries no note saying what this is for, and it has no row in the old inventory. Needs reading.</t>
        </is>
      </c>
      <c r="G704" s="11" t="inlineStr">
        <is>
          <t>It reaches outside the app for data and hands back what came back — no arithmetic of its own.</t>
        </is>
      </c>
      <c r="H704" s="3" t="inlineStr">
        <is>
          <t>It reaches outside the app for data and hands back what came back — no arithmetic of its own.</t>
        </is>
      </c>
      <c r="I704" s="3" t="inlineStr">
        <is>
          <t>NO ARITHMETIC — there is no formula to state</t>
        </is>
      </c>
      <c r="J704" s="3" t="inlineStr">
        <is>
          <t>1. name: string
2. value: string</t>
        </is>
      </c>
      <c r="K704" s="3" t="inlineStr">
        <is>
          <t>Promise&lt;void&gt;</t>
        </is>
      </c>
      <c r="L704" s="3" t="inlineStr">
        <is>
          <t>—</t>
        </is>
      </c>
      <c r="M704" s="3" t="inlineStr">
        <is>
          <t>None found in this function — anything it assumes comes from the functions it depends on.</t>
        </is>
      </c>
      <c r="N704" s="3" t="inlineStr">
        <is>
          <t>Yes</t>
        </is>
      </c>
      <c r="O704" s="3" t="inlineStr">
        <is>
          <t>—</t>
        </is>
      </c>
      <c r="P704" s="3" t="n">
        <v>0</v>
      </c>
      <c r="Q704" s="3" t="inlineStr">
        <is>
          <t>None — no dependent function stands behind it</t>
        </is>
      </c>
      <c r="R704" s="3" t="inlineStr">
        <is>
          <t>No dependent function — it reads its inputs and answers</t>
        </is>
      </c>
      <c r="S704" s="3" t="inlineStr">
        <is>
          <t>—</t>
        </is>
      </c>
      <c r="T704" s="3" t="inlineStr">
        <is>
          <t>—</t>
        </is>
      </c>
      <c r="U704" s="3" t="inlineStr">
        <is>
          <t>ACTIVE</t>
        </is>
      </c>
      <c r="V704" s="3" t="inlineStr">
        <is>
          <t>2026-08-27</t>
        </is>
      </c>
      <c r="W704" s="3" t="n"/>
      <c r="X704" s="3" t="n"/>
      <c r="Y704" s="3" t="inlineStr">
        <is>
          <t>NOTHING OPEN</t>
        </is>
      </c>
    </row>
    <row r="705" ht="60" customHeight="1">
      <c r="A705" s="3" t="inlineStr">
        <is>
          <t>MK-XS-F-137</t>
        </is>
      </c>
      <c r="B705" s="3" t="inlineStr">
        <is>
          <t>secureDelete</t>
        </is>
      </c>
      <c r="C705" s="3" t="inlineStr">
        <is>
          <t>src/services/dataCrypto.ts</t>
        </is>
      </c>
      <c r="D705" s="3" t="n">
        <v>95</v>
      </c>
      <c r="E705" s="3" t="inlineStr">
        <is>
          <t>1 · ACTION</t>
        </is>
      </c>
      <c r="F705" s="3" t="inlineStr">
        <is>
          <t>NOT DETERMINED — the code carries no note saying what this is for, and it has no row in the old inventory. Needs reading.</t>
        </is>
      </c>
      <c r="G705" s="11" t="inlineStr">
        <is>
          <t>It reaches outside the app for data and hands back what came back — no arithmetic of its own.</t>
        </is>
      </c>
      <c r="H705" s="3" t="inlineStr">
        <is>
          <t>It reaches outside the app for data and hands back what came back — no arithmetic of its own.</t>
        </is>
      </c>
      <c r="I705" s="3" t="inlineStr">
        <is>
          <t>NO ARITHMETIC — there is no formula to state</t>
        </is>
      </c>
      <c r="J705" s="3" t="inlineStr">
        <is>
          <t>name: string</t>
        </is>
      </c>
      <c r="K705" s="3" t="inlineStr">
        <is>
          <t>Promise&lt;void&gt;</t>
        </is>
      </c>
      <c r="L705" s="3" t="inlineStr">
        <is>
          <t>—</t>
        </is>
      </c>
      <c r="M705" s="3" t="inlineStr">
        <is>
          <t>None found in this function — anything it assumes comes from the functions it depends on.</t>
        </is>
      </c>
      <c r="N705" s="3" t="inlineStr">
        <is>
          <t>Yes</t>
        </is>
      </c>
      <c r="O705" s="3" t="inlineStr">
        <is>
          <t>—</t>
        </is>
      </c>
      <c r="P705" s="3" t="n">
        <v>0</v>
      </c>
      <c r="Q705" s="3" t="inlineStr">
        <is>
          <t>None — no dependent function stands behind it</t>
        </is>
      </c>
      <c r="R705" s="3" t="inlineStr">
        <is>
          <t>No dependent function — it reads its inputs and answers</t>
        </is>
      </c>
      <c r="S705" s="3" t="inlineStr">
        <is>
          <t>—</t>
        </is>
      </c>
      <c r="T705" s="3" t="inlineStr">
        <is>
          <t>—</t>
        </is>
      </c>
      <c r="U705" s="3" t="inlineStr">
        <is>
          <t>ACTIVE</t>
        </is>
      </c>
      <c r="V705" s="3" t="inlineStr">
        <is>
          <t>2026-08-27</t>
        </is>
      </c>
      <c r="W705" s="3" t="n"/>
      <c r="X705" s="3" t="n"/>
      <c r="Y705" s="3" t="inlineStr">
        <is>
          <t>NOTHING OPEN</t>
        </is>
      </c>
    </row>
    <row r="706" ht="60" customHeight="1">
      <c r="A706" s="3" t="inlineStr">
        <is>
          <t>MK-XS-F-138</t>
        </is>
      </c>
      <c r="B706" s="3" t="inlineStr">
        <is>
          <t>deriveKeyFromSecret</t>
        </is>
      </c>
      <c r="C706" s="3" t="inlineStr">
        <is>
          <t>src/services/dataCrypto.ts</t>
        </is>
      </c>
      <c r="D706" s="3" t="n">
        <v>262</v>
      </c>
      <c r="E706" s="3" t="inlineStr">
        <is>
          <t>3 · DEPENDENT</t>
        </is>
      </c>
      <c r="F706" s="3" t="inlineStr">
        <is>
          <t>── Wrapping (lock/unlock the DEK with a password or recovery code) ───</t>
        </is>
      </c>
      <c r="G706" s="11" t="inlineStr">
        <is>
          <t>crypto js.PBKDF2(secret.trim(), uid, { key size: 256 ÷ 32, iterations: PBKDF2_ITERS }).to string(crypto js.enc.hex)</t>
        </is>
      </c>
      <c r="H706" s="3" t="inlineStr">
        <is>
          <t>crypto js.PBKDF2(secret.trim(), uid, { key size: 256 divided by 32, iterations: PBKDF2_ITERS }).to string(crypto js.enc.hex).</t>
        </is>
      </c>
      <c r="I706" s="3" t="inlineStr">
        <is>
          <t>PARTLY READ — some of the code is still showing through; needs a hand pass</t>
        </is>
      </c>
      <c r="J706" s="3" t="inlineStr">
        <is>
          <t>1. secret: string
2. uid: string</t>
        </is>
      </c>
      <c r="K706" s="3" t="inlineStr">
        <is>
          <t>string</t>
        </is>
      </c>
      <c r="L706" s="3" t="inlineStr">
        <is>
          <t>—</t>
        </is>
      </c>
      <c r="M706" s="3" t="inlineStr">
        <is>
          <t>None found in this function — anything it assumes comes from the functions it depends on.</t>
        </is>
      </c>
      <c r="N706" s="3" t="inlineStr">
        <is>
          <t>Yes</t>
        </is>
      </c>
      <c r="O706" s="3" t="inlineStr">
        <is>
          <t>MK-XS-F-175 uid</t>
        </is>
      </c>
      <c r="P706" s="3" t="n">
        <v>88</v>
      </c>
      <c r="Q706"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MK-NW-F-009 maturityClass
79. MK-ST-F-010 nameEvidence
80. MK-CF-F-075 retirementIncomeMonthly
81. MK-ST-F-047 activeCurrency
82. MK-CF-F-099 deductionFor
83. MK-NW-F-011 assetClassOf
84. MK-NW-F-068 prettyDay
85. MK-XS-F-147 call
86. MK-CF-F-187 seniorDeductionFor
87. MK-XS-F-064 currentIdToken
88. MK-XS-F-112 relayUrl</t>
        </is>
      </c>
      <c r="R706" s="3" t="inlineStr">
        <is>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is>
      </c>
      <c r="S706" s="3" t="inlineStr">
        <is>
          <t>—</t>
        </is>
      </c>
      <c r="T706" s="3" t="inlineStr">
        <is>
          <t>—</t>
        </is>
      </c>
      <c r="U706" s="3" t="inlineStr">
        <is>
          <t>ACTIVE</t>
        </is>
      </c>
      <c r="V706" s="3" t="inlineStr">
        <is>
          <t>2026-08-27</t>
        </is>
      </c>
      <c r="W706" s="3" t="n"/>
      <c r="X706" s="3" t="n"/>
      <c r="Y706" s="3" t="inlineStr">
        <is>
          <t>NOTHING OPEN</t>
        </is>
      </c>
    </row>
    <row r="707" ht="60" customHeight="1">
      <c r="A707" s="3" t="inlineStr">
        <is>
          <t>MK-XS-F-139</t>
        </is>
      </c>
      <c r="B707" s="3" t="inlineStr">
        <is>
          <t>wrapWithSecret</t>
        </is>
      </c>
      <c r="C707" s="3" t="inlineStr">
        <is>
          <t>src/services/dataCrypto.ts</t>
        </is>
      </c>
      <c r="D707" s="3" t="n">
        <v>287</v>
      </c>
      <c r="E707" s="3" t="inlineStr">
        <is>
          <t>3 · DEPENDENT</t>
        </is>
      </c>
      <c r="F707" s="3" t="inlineStr">
        <is>
          <t>NOT DETERMINED — the code carries no note saying what this is for, and it has no row in the old inventory. Needs reading.</t>
        </is>
      </c>
      <c r="G707" s="11" t="inlineStr">
        <is>
          <t>encrypt with key(dek, derive key from secret(secret, uid))</t>
        </is>
      </c>
      <c r="H707" s="3" t="inlineStr">
        <is>
          <t>encrypt with key(dek, derive key from secret(secret, uid)).</t>
        </is>
      </c>
      <c r="I707" s="3" t="inlineStr">
        <is>
          <t>READ FROM THE CODE — rendered from the expressions the function runs</t>
        </is>
      </c>
      <c r="J707" s="3" t="inlineStr">
        <is>
          <t>1. dek: string
2. uid: string
3. secret: string</t>
        </is>
      </c>
      <c r="K707" s="3" t="inlineStr">
        <is>
          <t>string</t>
        </is>
      </c>
      <c r="L707" s="3" t="inlineStr">
        <is>
          <t>—</t>
        </is>
      </c>
      <c r="M707" s="3" t="inlineStr">
        <is>
          <t>None found in this function — anything it assumes comes from the functions it depends on.</t>
        </is>
      </c>
      <c r="N707" s="3" t="inlineStr">
        <is>
          <t>Yes</t>
        </is>
      </c>
      <c r="O707" s="3" t="inlineStr">
        <is>
          <t>1. MK-XS-F-138 deriveKeyFromSecret
2. MK-XS-F-052 encryptWithKey
3. MK-XS-F-175 uid</t>
        </is>
      </c>
      <c r="P707" s="3" t="n">
        <v>90</v>
      </c>
      <c r="Q707"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MK-NW-F-068 prettyDay
87. MK-XS-F-147 call
88. MK-CF-F-187 seniorDeductionFor
89. MK-XS-F-064 currentIdToken
90. MK-XS-F-112 relayUrl</t>
        </is>
      </c>
      <c r="R707" s="3" t="inlineStr">
        <is>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is>
      </c>
      <c r="S707" s="3" t="inlineStr">
        <is>
          <t>—</t>
        </is>
      </c>
      <c r="T707" s="3" t="inlineStr">
        <is>
          <t>—</t>
        </is>
      </c>
      <c r="U707" s="3" t="inlineStr">
        <is>
          <t>ACTIVE</t>
        </is>
      </c>
      <c r="V707" s="3" t="inlineStr">
        <is>
          <t>2026-08-27</t>
        </is>
      </c>
      <c r="W707" s="3" t="n"/>
      <c r="X707" s="3" t="n"/>
      <c r="Y707" s="3" t="inlineStr">
        <is>
          <t>NOTHING OPEN</t>
        </is>
      </c>
    </row>
    <row r="708" ht="60" customHeight="1">
      <c r="A708" s="3" t="inlineStr">
        <is>
          <t>MK-XS-F-140</t>
        </is>
      </c>
      <c r="B708" s="3" t="inlineStr">
        <is>
          <t>fetchInflation</t>
        </is>
      </c>
      <c r="C708" s="3" t="inlineStr">
        <is>
          <t>src/services/economicData.ts</t>
        </is>
      </c>
      <c r="D708" s="3" t="n">
        <v>111</v>
      </c>
      <c r="E708" s="3" t="inlineStr">
        <is>
          <t>4 · BRINGS DATA IN</t>
        </is>
      </c>
      <c r="F708" s="3" t="inlineStr">
        <is>
          <t>NOT DETERMINED — the code carries no note saying what this is for, and it has no row in the old inventory. Needs reading.</t>
        </is>
      </c>
      <c r="G708" s="11" t="inlineStr">
        <is>
          <t>res = await fetch(BLS_API + BLS_CPI_SERIES)
json = await res.json()
series = json.results.series.[0].data
latest = parse float(series[0].value)
year ago = parse float(series[12].value)
rate = ((latest − year ago) ÷ year ago) × 100
the answer = round(rate, 2 dp)</t>
        </is>
      </c>
      <c r="H708"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708" s="3" t="inlineStr">
        <is>
          <t>PARTLY READ — some of the code is still showing through; needs a hand pass</t>
        </is>
      </c>
      <c r="J708" s="3" t="inlineStr">
        <is>
          <t>Nothing is handed to it</t>
        </is>
      </c>
      <c r="K708" s="3" t="inlineStr">
        <is>
          <t>Promise&lt;number&gt;</t>
        </is>
      </c>
      <c r="L708" s="3" t="inlineStr">
        <is>
          <t>—</t>
        </is>
      </c>
      <c r="M708" s="3" t="inlineStr">
        <is>
          <t>· Rounds the answer to two decimals (cents).</t>
        </is>
      </c>
      <c r="N708" s="3" t="inlineStr">
        <is>
          <t>No</t>
        </is>
      </c>
      <c r="O708" s="3" t="inlineStr">
        <is>
          <t>—</t>
        </is>
      </c>
      <c r="P708" s="3" t="n">
        <v>0</v>
      </c>
      <c r="Q708" s="3" t="inlineStr">
        <is>
          <t>None — no dependent function stands behind it</t>
        </is>
      </c>
      <c r="R708" s="3" t="inlineStr">
        <is>
          <t>No dependent function — it reads its inputs and answers</t>
        </is>
      </c>
      <c r="S708" s="3" t="inlineStr">
        <is>
          <t>—</t>
        </is>
      </c>
      <c r="T708" s="3" t="inlineStr">
        <is>
          <t>—</t>
        </is>
      </c>
      <c r="U708" s="3" t="inlineStr">
        <is>
          <t>ACTIVE</t>
        </is>
      </c>
      <c r="V708" s="3" t="inlineStr">
        <is>
          <t>2026-08-27</t>
        </is>
      </c>
      <c r="W708" s="3" t="n"/>
      <c r="X708" s="3" t="n"/>
      <c r="Y708" s="3" t="inlineStr">
        <is>
          <t>NOTHING OPEN</t>
        </is>
      </c>
    </row>
    <row r="709" ht="60" customHeight="1">
      <c r="A709" s="3" t="inlineStr">
        <is>
          <t>MK-XS-F-141</t>
        </is>
      </c>
      <c r="B709" s="3" t="inlineStr">
        <is>
          <t>fetchTreasuryYield</t>
        </is>
      </c>
      <c r="C709" s="3" t="inlineStr">
        <is>
          <t>src/services/economicData.ts</t>
        </is>
      </c>
      <c r="D709" s="3" t="n">
        <v>153</v>
      </c>
      <c r="E709" s="3" t="inlineStr">
        <is>
          <t>4 · BRINGS DATA IN</t>
        </is>
      </c>
      <c r="F709" s="3" t="inlineStr">
        <is>
          <t>NOT DETERMINED — the code carries no note saying what this is for, and it has no row in the old inventory. Needs reading.</t>
        </is>
      </c>
      <c r="G709" s="11" t="inlineStr">
        <is>
          <t>res = await fetch(TREASURY_API)
csv = await res.text()
rows = csv.trim().split('\n').slice(1)
value = rows[i].split(',')[1].trim()
rate = parse float(value)
[LOOP — the answer is found inside a loop the extractor cannot render; the steps above are the ones before it. Read by hand.]</t>
        </is>
      </c>
      <c r="H709" s="3" t="inlineStr">
        <is>
          <t>Res is await fetch(TREASURY_API). Csv is await res.text(). Rows is csv.trim().split('\n').slice(1). Value is rows[i].split(',')[1].trim(). Rate is parse float(value). The answer is rate, to the cent. The answer is found inside a loop that cannot be rendered here; read the code by hand.</t>
        </is>
      </c>
      <c r="I709" s="3" t="inlineStr">
        <is>
          <t>PARTLY READ — the body has a loop the extractor cannot render; the steps shown are the ones before it. Needs a hand pass (G23).</t>
        </is>
      </c>
      <c r="J709" s="3" t="inlineStr">
        <is>
          <t>Nothing is handed to it</t>
        </is>
      </c>
      <c r="K709" s="3" t="inlineStr">
        <is>
          <t>Promise&lt;number&gt;</t>
        </is>
      </c>
      <c r="L709" s="3" t="inlineStr">
        <is>
          <t>—</t>
        </is>
      </c>
      <c r="M709" s="3" t="inlineStr">
        <is>
          <t>· Rounds the answer to two decimals (cents).</t>
        </is>
      </c>
      <c r="N709" s="3" t="inlineStr">
        <is>
          <t>No</t>
        </is>
      </c>
      <c r="O709" s="3" t="inlineStr">
        <is>
          <t>—</t>
        </is>
      </c>
      <c r="P709" s="3" t="n">
        <v>0</v>
      </c>
      <c r="Q709" s="3" t="inlineStr">
        <is>
          <t>None — no dependent function stands behind it</t>
        </is>
      </c>
      <c r="R709" s="3" t="inlineStr">
        <is>
          <t>No dependent function — it reads its inputs and answers</t>
        </is>
      </c>
      <c r="S709" s="3" t="inlineStr">
        <is>
          <t>—</t>
        </is>
      </c>
      <c r="T709" s="3" t="inlineStr">
        <is>
          <t>—</t>
        </is>
      </c>
      <c r="U709" s="3" t="inlineStr">
        <is>
          <t>ACTIVE</t>
        </is>
      </c>
      <c r="V709" s="3" t="inlineStr">
        <is>
          <t>2026-09-08</t>
        </is>
      </c>
      <c r="W709" s="3" t="n"/>
      <c r="X709" s="3" t="n"/>
      <c r="Y709" s="3" t="inlineStr">
        <is>
          <t>NOTHING OPEN</t>
        </is>
      </c>
    </row>
    <row r="710" ht="60" customHeight="1">
      <c r="A710" s="3" t="inlineStr">
        <is>
          <t>MK-XS-F-142</t>
        </is>
      </c>
      <c r="B710" s="3" t="inlineStr">
        <is>
          <t>makeInviteCode</t>
        </is>
      </c>
      <c r="C710" s="3" t="inlineStr">
        <is>
          <t>src/services/firebase.ts</t>
        </is>
      </c>
      <c r="D710" s="3" t="n">
        <v>535</v>
      </c>
      <c r="E710" s="3" t="inlineStr">
        <is>
          <t>3 · DEPENDENT</t>
        </is>
      </c>
      <c r="F710" s="3" t="inlineStr">
        <is>
          <t>── Household / spouse invites ───────────────────────────────────── Spouses share ONE data document: all reads/writes go to users/{householdId} where householdId = the inviter's uid.</t>
        </is>
      </c>
      <c r="G710" s="11" t="inlineStr">
        <is>
          <t>alphabet = 'ABCDEFGHJKMNPQRSTUVWXYZ23456789'
the answer = array.from({ length: 6 }, () =&gt; ALPHABET[math.floor(math.random() × ALPHABET.length)]).join('')</t>
        </is>
      </c>
      <c r="H710" s="3" t="inlineStr">
        <is>
          <t>Alphabet is 'ABCDEFGHJKMNPQRSTUVWXYZ23456789'. The answer is array.from({ length: 6 }, () =&gt; ALPHABET[math.floor(math.random() times ALPHABET.length)]).join('').</t>
        </is>
      </c>
      <c r="I710" s="3" t="inlineStr">
        <is>
          <t>PARTLY READ — some of the code is still showing through; needs a hand pass</t>
        </is>
      </c>
      <c r="J710" s="3" t="inlineStr">
        <is>
          <t>Nothing is handed to it</t>
        </is>
      </c>
      <c r="K710" s="3" t="inlineStr">
        <is>
          <t>string</t>
        </is>
      </c>
      <c r="L710" s="3" t="inlineStr">
        <is>
          <t>—</t>
        </is>
      </c>
      <c r="M710" s="3" t="inlineStr">
        <is>
          <t>None found in this function — anything it assumes comes from the functions it depends on.</t>
        </is>
      </c>
      <c r="N710" s="3" t="inlineStr">
        <is>
          <t>Yes</t>
        </is>
      </c>
      <c r="O710" s="3" t="inlineStr">
        <is>
          <t>—</t>
        </is>
      </c>
      <c r="P710" s="3" t="n">
        <v>0</v>
      </c>
      <c r="Q710" s="3" t="inlineStr">
        <is>
          <t>None — no dependent function stands behind it</t>
        </is>
      </c>
      <c r="R710" s="3" t="inlineStr">
        <is>
          <t>No dependent function — it reads its inputs and answers</t>
        </is>
      </c>
      <c r="S710" s="3" t="inlineStr">
        <is>
          <t>—</t>
        </is>
      </c>
      <c r="T710" s="3" t="inlineStr">
        <is>
          <t>—</t>
        </is>
      </c>
      <c r="U710" s="3" t="inlineStr">
        <is>
          <t>ACTIVE</t>
        </is>
      </c>
      <c r="V710" s="3" t="inlineStr">
        <is>
          <t>2026-08-27</t>
        </is>
      </c>
      <c r="W710" s="3" t="n"/>
      <c r="X710" s="3" t="n"/>
      <c r="Y710" s="3" t="inlineStr">
        <is>
          <t>NOTHING OPEN</t>
        </is>
      </c>
    </row>
    <row r="711" ht="60" customHeight="1">
      <c r="A711" s="3" t="inlineStr">
        <is>
          <t>MK-XS-F-143</t>
        </is>
      </c>
      <c r="B711" s="3" t="inlineStr">
        <is>
          <t>yahooSymbol</t>
        </is>
      </c>
      <c r="C711" s="3" t="inlineStr">
        <is>
          <t>src/services/marketData.ts</t>
        </is>
      </c>
      <c r="D711" s="3" t="n">
        <v>41</v>
      </c>
      <c r="E711" s="3" t="inlineStr">
        <is>
          <t>4 · BRINGS DATA IN</t>
        </is>
      </c>
      <c r="F711" s="3" t="inlineStr">
        <is>
          <t>Map a plain ticker to the provider's symbol convention (crypto needs the -USD pair on Yahoo).</t>
        </is>
      </c>
      <c r="G711" s="11"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711"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711" s="3" t="inlineStr">
        <is>
          <t>PARTLY READ — some of the code is still showing through; needs a hand pass</t>
        </is>
      </c>
      <c r="J711" s="3" t="inlineStr">
        <is>
          <t>ticker: string</t>
        </is>
      </c>
      <c r="K711" s="3" t="inlineStr">
        <is>
          <t>string</t>
        </is>
      </c>
      <c r="L711" s="3" t="inlineStr">
        <is>
          <t>—</t>
        </is>
      </c>
      <c r="M711" s="3" t="inlineStr">
        <is>
          <t>None found in this function — anything it assumes comes from the functions it depends on.</t>
        </is>
      </c>
      <c r="N711" s="3" t="inlineStr">
        <is>
          <t>No</t>
        </is>
      </c>
      <c r="O711" s="3" t="inlineStr">
        <is>
          <t>—</t>
        </is>
      </c>
      <c r="P711" s="3" t="n">
        <v>0</v>
      </c>
      <c r="Q711" s="3" t="inlineStr">
        <is>
          <t>None — no dependent function stands behind it</t>
        </is>
      </c>
      <c r="R711" s="3" t="inlineStr">
        <is>
          <t>No dependent function — it reads its inputs and answers</t>
        </is>
      </c>
      <c r="S711" s="3" t="inlineStr">
        <is>
          <t>—</t>
        </is>
      </c>
      <c r="T711" s="3" t="inlineStr">
        <is>
          <t>—</t>
        </is>
      </c>
      <c r="U711" s="3" t="inlineStr">
        <is>
          <t>ACTIVE</t>
        </is>
      </c>
      <c r="V711" s="3" t="inlineStr">
        <is>
          <t>2026-08-27</t>
        </is>
      </c>
      <c r="W711" s="3" t="inlineStr">
        <is>
          <t>[from MK-NW-M-029, Formula (mathematical)] Is the formula embedded directly in the code and not as a separate function? Live price was to be sourced from Yahoo or similar engine.</t>
        </is>
      </c>
      <c r="X711" s="6" t="inlineStr">
        <is>
          <t>This is the feed: Yahoo Finance daily closes, free, no key. 'Current price' on the holding screen = the last close of this series, picked on the screen (no named function). Answer in full on MK-NW-M-029.</t>
        </is>
      </c>
      <c r="Y711" s="6" t="inlineStr">
        <is>
          <t>WAITING ON YOU — answer to read</t>
        </is>
      </c>
    </row>
    <row r="712" ht="60" customHeight="1">
      <c r="A712" s="3" t="inlineStr">
        <is>
          <t>MK-XS-F-144</t>
        </is>
      </c>
      <c r="B712" s="3" t="inlineStr">
        <is>
          <t>guessCategory</t>
        </is>
      </c>
      <c r="C712" s="3" t="inlineStr">
        <is>
          <t>src/services/receiptOCR.ts</t>
        </is>
      </c>
      <c r="D712" s="3" t="n">
        <v>287</v>
      </c>
      <c r="E712" s="3" t="inlineStr">
        <is>
          <t>3 · DEPENDENT (feeds an action only)</t>
        </is>
      </c>
      <c r="F712" s="3" t="inlineStr">
        <is>
          <t>NOT DETERMINED — the code carries no note saying what this is for, and it has no row in the old inventory. Needs reading.</t>
        </is>
      </c>
      <c r="G712" s="11"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712"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712" s="3" t="inlineStr">
        <is>
          <t>PARTLY READ — some of the code is still showing through; needs a hand pass</t>
        </is>
      </c>
      <c r="J712" s="3" t="inlineStr">
        <is>
          <t>1. store: string
2. text: string</t>
        </is>
      </c>
      <c r="K712" s="3" t="inlineStr">
        <is>
          <t>string</t>
        </is>
      </c>
      <c r="L712" s="3" t="inlineStr">
        <is>
          <t>—</t>
        </is>
      </c>
      <c r="M712" s="3" t="inlineStr">
        <is>
          <t>None found in this function — anything it assumes comes from the functions it depends on.</t>
        </is>
      </c>
      <c r="N712" s="3" t="inlineStr">
        <is>
          <t>No</t>
        </is>
      </c>
      <c r="O712" s="3" t="inlineStr">
        <is>
          <t>—</t>
        </is>
      </c>
      <c r="P712" s="3" t="n">
        <v>0</v>
      </c>
      <c r="Q712" s="3" t="inlineStr">
        <is>
          <t>None — no dependent function stands behind it</t>
        </is>
      </c>
      <c r="R712" s="3" t="inlineStr">
        <is>
          <t>No dependent function — it reads its inputs and answers</t>
        </is>
      </c>
      <c r="S712" s="3" t="inlineStr">
        <is>
          <t>—</t>
        </is>
      </c>
      <c r="T712" s="3" t="inlineStr">
        <is>
          <t>—</t>
        </is>
      </c>
      <c r="U712" s="3" t="inlineStr">
        <is>
          <t>ACTIVE</t>
        </is>
      </c>
      <c r="V712" s="3" t="inlineStr">
        <is>
          <t>2026-08-27</t>
        </is>
      </c>
      <c r="W712" s="3" t="n"/>
      <c r="X712" s="3" t="n"/>
      <c r="Y712" s="3" t="inlineStr">
        <is>
          <t>NOTHING OPEN</t>
        </is>
      </c>
    </row>
    <row r="713" ht="60" customHeight="1">
      <c r="A713" s="3" t="inlineStr">
        <is>
          <t>MK-XS-F-145</t>
        </is>
      </c>
      <c r="B713" s="3" t="inlineStr">
        <is>
          <t>flatSymbol</t>
        </is>
      </c>
      <c r="C713" s="3" t="inlineStr">
        <is>
          <t>src/services/sync/snaptrade.ts</t>
        </is>
      </c>
      <c r="D713" s="3" t="n">
        <v>173</v>
      </c>
      <c r="E713" s="3" t="inlineStr">
        <is>
          <t>3 · DEPENDENT (feeds an action only)</t>
        </is>
      </c>
      <c r="F713" s="3" t="inlineStr">
        <is>
          <t>── positions → our holdings ───────────────────────────────────────────────────────────────────</t>
        </is>
      </c>
      <c r="G713" s="11" t="inlineStr">
        <is>
          <t>s = symbol
nothing   when s is missing
the answer:
symbol   if symbol and typeof symbol = 'object'
s   otherwise</t>
        </is>
      </c>
      <c r="H713" s="3" t="inlineStr">
        <is>
          <t>S is symbol. When s is missing, it answers no answer. The answer is symbol — when symbol and typeof symbol = 'object'; s — otherwise.</t>
        </is>
      </c>
      <c r="I713" s="3" t="inlineStr">
        <is>
          <t>PARTLY READ — some of the code is still showing through; needs a hand pass</t>
        </is>
      </c>
      <c r="J713" s="3" t="inlineStr">
        <is>
          <t>p: StPosition</t>
        </is>
      </c>
      <c r="K713" s="3" t="inlineStr">
        <is>
          <t>StSymbol | null</t>
        </is>
      </c>
      <c r="L713" s="3" t="inlineStr">
        <is>
          <t>—</t>
        </is>
      </c>
      <c r="M713" s="3" t="inlineStr">
        <is>
          <t>None found in this function — anything it assumes comes from the functions it depends on.</t>
        </is>
      </c>
      <c r="N713" s="3" t="inlineStr">
        <is>
          <t>No</t>
        </is>
      </c>
      <c r="O713" s="3" t="inlineStr">
        <is>
          <t>—</t>
        </is>
      </c>
      <c r="P713" s="3" t="n">
        <v>0</v>
      </c>
      <c r="Q713" s="3" t="inlineStr">
        <is>
          <t>None — no dependent function stands behind it</t>
        </is>
      </c>
      <c r="R713" s="3" t="inlineStr">
        <is>
          <t>No dependent function — it reads its inputs and answers</t>
        </is>
      </c>
      <c r="S713" s="3" t="inlineStr">
        <is>
          <t>—</t>
        </is>
      </c>
      <c r="T713" s="3" t="inlineStr">
        <is>
          <t>—</t>
        </is>
      </c>
      <c r="U713" s="3" t="inlineStr">
        <is>
          <t>ACTIVE</t>
        </is>
      </c>
      <c r="V713" s="3" t="inlineStr">
        <is>
          <t>2026-08-27</t>
        </is>
      </c>
      <c r="W713" s="3" t="n"/>
      <c r="X713" s="3" t="n"/>
      <c r="Y713" s="3" t="inlineStr">
        <is>
          <t>NOTHING OPEN</t>
        </is>
      </c>
    </row>
    <row r="714" ht="60" customHeight="1">
      <c r="A714" s="3" t="inlineStr">
        <is>
          <t>MK-XS-F-146</t>
        </is>
      </c>
      <c r="B714" s="3" t="inlineStr">
        <is>
          <t>prettyExpiry</t>
        </is>
      </c>
      <c r="C714" s="3" t="inlineStr">
        <is>
          <t>src/services/sync/snaptrade.ts</t>
        </is>
      </c>
      <c r="D714" s="3" t="n">
        <v>275</v>
      </c>
      <c r="E714" s="3" t="inlineStr">
        <is>
          <t>3 · DEPENDENT (feeds an action only)</t>
        </is>
      </c>
      <c r="F714" s="3" t="inlineStr">
        <is>
          <t>NOT DETERMINED — the code carries no note saying what this is for, and it has no row in the old inventory. Needs reading.</t>
        </is>
      </c>
      <c r="G714" s="11" t="inlineStr">
        <is>
          <t>`${MONTHS[m − 1]} ${d} ${y}`   if y and m and d
'unknown expiry'   otherwise</t>
        </is>
      </c>
      <c r="H714" s="3" t="inlineStr">
        <is>
          <t>`${MONTHS[m minus 1]} ${d} ${y}` — when y and m and d; 'unknown expiry' — otherwise.</t>
        </is>
      </c>
      <c r="I714" s="3" t="inlineStr">
        <is>
          <t>PARTLY READ — some of the code is still showing through; needs a hand pass</t>
        </is>
      </c>
      <c r="J714" s="3" t="inlineStr">
        <is>
          <t>iso: string | null | undefined</t>
        </is>
      </c>
      <c r="K714" s="3" t="inlineStr">
        <is>
          <t>NOT DECLARED — the code does not say what it gives back</t>
        </is>
      </c>
      <c r="L714" s="3" t="inlineStr">
        <is>
          <t>—</t>
        </is>
      </c>
      <c r="M714" s="3" t="inlineStr">
        <is>
          <t>None found in this function — anything it assumes comes from the functions it depends on.</t>
        </is>
      </c>
      <c r="N714" s="3" t="inlineStr">
        <is>
          <t>No</t>
        </is>
      </c>
      <c r="O714" s="3" t="inlineStr">
        <is>
          <t>MK-CF-F-132 map</t>
        </is>
      </c>
      <c r="P714" s="3" t="n">
        <v>1</v>
      </c>
      <c r="Q714" s="3" t="inlineStr">
        <is>
          <t>MK-CF-F-132 map</t>
        </is>
      </c>
      <c r="R714" s="3" t="inlineStr">
        <is>
          <t>MK-CF-F-132 map → MK-XS-F-146 prettyExpiry</t>
        </is>
      </c>
      <c r="S714" s="3" t="inlineStr">
        <is>
          <t>—</t>
        </is>
      </c>
      <c r="T714" s="3" t="inlineStr">
        <is>
          <t>—</t>
        </is>
      </c>
      <c r="U714" s="3" t="inlineStr">
        <is>
          <t>ACTIVE</t>
        </is>
      </c>
      <c r="V714" s="3" t="inlineStr">
        <is>
          <t>2026-08-27</t>
        </is>
      </c>
      <c r="W714" s="3" t="n"/>
      <c r="X714" s="3" t="n"/>
      <c r="Y714" s="3" t="inlineStr">
        <is>
          <t>NOTHING OPEN</t>
        </is>
      </c>
    </row>
    <row r="715" ht="60" customHeight="1">
      <c r="A715" s="3" t="inlineStr">
        <is>
          <t>MK-XS-F-147</t>
        </is>
      </c>
      <c r="B715" s="3" t="inlineStr">
        <is>
          <t>call</t>
        </is>
      </c>
      <c r="C715" s="3" t="inlineStr">
        <is>
          <t>src/services/sync/snaptradeClient.ts</t>
        </is>
      </c>
      <c r="D715" s="3" t="n">
        <v>93</v>
      </c>
      <c r="E715" s="3" t="inlineStr">
        <is>
          <t>4 · BRINGS DATA IN</t>
        </is>
      </c>
      <c r="F715" s="3" t="inlineStr">
        <is>
          <t>NOT DETERMINED — the code carries no note saying what this is for, and it has no row in the old inventory. Needs reading.</t>
        </is>
      </c>
      <c r="G715" s="11" t="inlineStr">
        <is>
          <t>url = relay url()
token = await current id token()
data = await res.json().catch(() =&gt; nothing)
the answer = data as T</t>
        </is>
      </c>
      <c r="H715" s="3" t="inlineStr">
        <is>
          <t>Url is relay url(). Token is await current id token(). Data is await res.json().catch(() =&gt; no answer). The answer is data as T.</t>
        </is>
      </c>
      <c r="I715" s="3" t="inlineStr">
        <is>
          <t>PARTLY READ — some of the code is still showing through; needs a hand pass</t>
        </is>
      </c>
      <c r="J715" s="3" t="inlineStr">
        <is>
          <t>1. action: string
2. params: Record&lt;string, unknown&gt; = {}</t>
        </is>
      </c>
      <c r="K715" s="3" t="inlineStr">
        <is>
          <t>Promise&lt;T&gt;</t>
        </is>
      </c>
      <c r="L715" s="3" t="inlineStr">
        <is>
          <t>—</t>
        </is>
      </c>
      <c r="M715" s="3" t="inlineStr">
        <is>
          <t>None found in this function — anything it assumes comes from the functions it depends on.</t>
        </is>
      </c>
      <c r="N715" s="3" t="inlineStr">
        <is>
          <t>No</t>
        </is>
      </c>
      <c r="O715" s="3" t="inlineStr">
        <is>
          <t>1. MK-ST-F-027 accountId
2. MK-XS-F-064 currentIdToken
3. MK-XS-F-112 relayUrl</t>
        </is>
      </c>
      <c r="P715" s="3" t="n">
        <v>3</v>
      </c>
      <c r="Q715" s="3" t="inlineStr">
        <is>
          <t>1. MK-ST-F-027 accountId
2. MK-XS-F-064 currentIdToken
3. MK-XS-F-112 relayUrl</t>
        </is>
      </c>
      <c r="R715" s="3" t="inlineStr">
        <is>
          <t>1. MK-ST-F-027 accountId → MK-XS-F-147 call
2. MK-XS-F-064 currentIdToken → MK-XS-F-147 call
3. MK-XS-F-112 relayUrl → MK-XS-F-147 call</t>
        </is>
      </c>
      <c r="S715" s="3" t="inlineStr">
        <is>
          <t>—</t>
        </is>
      </c>
      <c r="T715" s="3" t="inlineStr">
        <is>
          <t>—</t>
        </is>
      </c>
      <c r="U715" s="3" t="inlineStr">
        <is>
          <t>ACTIVE</t>
        </is>
      </c>
      <c r="V715" s="3" t="inlineStr">
        <is>
          <t>2026-08-27</t>
        </is>
      </c>
      <c r="W715" s="3" t="n"/>
      <c r="X715" s="3" t="n"/>
      <c r="Y715" s="3" t="inlineStr">
        <is>
          <t>NOTHING OPEN</t>
        </is>
      </c>
    </row>
    <row r="716" ht="60" customHeight="1">
      <c r="A716" s="3" t="inlineStr">
        <is>
          <t>MK-XS-F-148</t>
        </is>
      </c>
      <c r="B716" s="3" t="inlineStr">
        <is>
          <t>unwrapActivities</t>
        </is>
      </c>
      <c r="C716" s="3" t="inlineStr">
        <is>
          <t>src/services/sync/snaptradeSync.ts</t>
        </is>
      </c>
      <c r="D716" s="3" t="n">
        <v>73</v>
      </c>
      <c r="E716" s="3" t="inlineStr">
        <is>
          <t>3 · DEPENDENT</t>
        </is>
      </c>
      <c r="F716" s="3" t="inlineStr">
        <is>
          <t>SnapTrade wraps this endpoint in a pagination envelope {data, pagination:{total}} — LIVE-VERIFIED 2026-07-19 against a real E*TRADE connection (their docs' examples show a bare array; production does not).</t>
        </is>
      </c>
      <c r="G716" s="11"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716"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716" s="3" t="inlineStr">
        <is>
          <t>PARTLY READ — some of the code is still showing through; needs a hand pass</t>
        </is>
      </c>
      <c r="J716" s="3" t="inlineStr">
        <is>
          <t>raw: unknown</t>
        </is>
      </c>
      <c r="K716" s="3" t="inlineStr">
        <is>
          <t>NOT DECLARED — the code does not say what it gives back</t>
        </is>
      </c>
      <c r="L716" s="3" t="inlineStr">
        <is>
          <t>—</t>
        </is>
      </c>
      <c r="M716" s="3" t="inlineStr">
        <is>
          <t>None found in this function — anything it assumes comes from the functions it depends on.</t>
        </is>
      </c>
      <c r="N716" s="3" t="inlineStr">
        <is>
          <t>Yes</t>
        </is>
      </c>
      <c r="O716" s="3" t="inlineStr">
        <is>
          <t>—</t>
        </is>
      </c>
      <c r="P716" s="3" t="n">
        <v>0</v>
      </c>
      <c r="Q716" s="3" t="inlineStr">
        <is>
          <t>None — no dependent function stands behind it</t>
        </is>
      </c>
      <c r="R716" s="3" t="inlineStr">
        <is>
          <t>No dependent function — it reads its inputs and answers</t>
        </is>
      </c>
      <c r="S716" s="3" t="inlineStr">
        <is>
          <t>—</t>
        </is>
      </c>
      <c r="T716" s="3" t="inlineStr">
        <is>
          <t>—</t>
        </is>
      </c>
      <c r="U716" s="3" t="inlineStr">
        <is>
          <t>ACTIVE</t>
        </is>
      </c>
      <c r="V716" s="3" t="inlineStr">
        <is>
          <t>2026-08-27</t>
        </is>
      </c>
      <c r="W716" s="3" t="n"/>
      <c r="X716" s="3" t="n"/>
      <c r="Y716" s="3" t="inlineStr">
        <is>
          <t>NOTHING OPEN</t>
        </is>
      </c>
    </row>
    <row r="717" ht="60" customHeight="1">
      <c r="A717" s="3" t="inlineStr">
        <is>
          <t>MK-XS-F-149</t>
        </is>
      </c>
      <c r="B717" s="3" t="inlineStr">
        <is>
          <t>allActivities</t>
        </is>
      </c>
      <c r="C717" s="3" t="inlineStr">
        <is>
          <t>src/services/sync/snaptradeSync.ts</t>
        </is>
      </c>
      <c r="D717" s="3" t="n">
        <v>102</v>
      </c>
      <c r="E717" s="3" t="inlineStr">
        <is>
          <t>3 · DEPENDENT</t>
        </is>
      </c>
      <c r="F717" s="3" t="inlineStr">
        <is>
          <t>NOT DETERMINED — the code carries no note saying what this is for, and it has no row in the old inventory. Needs reading.</t>
        </is>
      </c>
      <c r="G717" s="11" t="inlineStr">
        <is>
          <t>out = []
the answer = out</t>
        </is>
      </c>
      <c r="H717" s="3" t="inlineStr">
        <is>
          <t>Out is []. The answer is out.</t>
        </is>
      </c>
      <c r="I717" s="3" t="inlineStr">
        <is>
          <t>READ FROM THE CODE — rendered from the expressions the function runs</t>
        </is>
      </c>
      <c r="J717" s="3" t="inlineStr">
        <is>
          <t>1. accountId: string
2. startDate?: string</t>
        </is>
      </c>
      <c r="K717" s="3" t="inlineStr">
        <is>
          <t>Promise&lt;StActivity[]&gt;</t>
        </is>
      </c>
      <c r="L717" s="3" t="inlineStr">
        <is>
          <t>—</t>
        </is>
      </c>
      <c r="M717" s="3" t="inlineStr">
        <is>
          <t>· Uses a built-in page of 0.</t>
        </is>
      </c>
      <c r="N717" s="3" t="inlineStr">
        <is>
          <t>Yes</t>
        </is>
      </c>
      <c r="O717" s="3" t="inlineStr">
        <is>
          <t>1. MK-ST-F-027 accountId
2. MK-XS-F-148 unwrapActivities</t>
        </is>
      </c>
      <c r="P717" s="3" t="n">
        <v>2</v>
      </c>
      <c r="Q717" s="3" t="inlineStr">
        <is>
          <t>1. MK-ST-F-027 accountId
2. MK-XS-F-148 unwrapActivities</t>
        </is>
      </c>
      <c r="R717" s="3" t="inlineStr">
        <is>
          <t>1. MK-ST-F-027 accountId → MK-XS-F-149 allActivities
2. MK-XS-F-148 unwrapActivities → MK-XS-F-149 allActivities</t>
        </is>
      </c>
      <c r="S717" s="3" t="inlineStr">
        <is>
          <t>—</t>
        </is>
      </c>
      <c r="T717" s="3" t="inlineStr">
        <is>
          <t>—</t>
        </is>
      </c>
      <c r="U717" s="3" t="inlineStr">
        <is>
          <t>ACTIVE</t>
        </is>
      </c>
      <c r="V717" s="3" t="inlineStr">
        <is>
          <t>2026-08-27</t>
        </is>
      </c>
      <c r="W717" s="3" t="n"/>
      <c r="X717" s="3" t="n"/>
      <c r="Y717" s="3" t="inlineStr">
        <is>
          <t>NOTHING OPEN</t>
        </is>
      </c>
    </row>
    <row r="718" ht="60" customHeight="1">
      <c r="A718" s="3" t="inlineStr">
        <is>
          <t>MK-XS-F-170</t>
        </is>
      </c>
      <c r="B718" s="3" t="inlineStr">
        <is>
          <t>daysSince</t>
        </is>
      </c>
      <c r="C718" s="3" t="inlineStr">
        <is>
          <t>src/domain/_shared/freshness.ts</t>
        </is>
      </c>
      <c r="D718" s="3" t="n">
        <v>51</v>
      </c>
      <c r="E718" s="3" t="inlineStr">
        <is>
          <t>3 · DEPENDENT</t>
        </is>
      </c>
      <c r="F718" s="3" t="inlineStr">
        <is>
          <t>Whole days between a recorded moment and now, or null when the moment cannot be read.</t>
        </is>
      </c>
      <c r="G718" s="11" t="inlineStr">
        <is>
          <t>nothing   when when = nothing (or when = '' when missing or zero)
ms = now − (typeof when = 'number' ? when : date.parse(string(when)))
nothing   when !number.is finite(ms) (or ms &lt; 0 when missing or zero)
the answer = round down(ms ÷ 86400000)</t>
        </is>
      </c>
      <c r="H718" s="3" t="inlineStr">
        <is>
          <t>When when is missing (or — when = '' — when missing or zero), it answers no answer. Ms is now minus (typeof — when = 'number' ? — when : date.parse(string(when))). When !number.is finite(ms) (or ms &lt; 0 — when missing or zero), it answers no answer. The answer is ms divided by 86400000, rounded down.</t>
        </is>
      </c>
      <c r="I718" s="3" t="inlineStr">
        <is>
          <t>PARTLY READ — some of the code is still showing through; needs a hand pass</t>
        </is>
      </c>
      <c r="J718" s="3" t="inlineStr">
        <is>
          <t>1. when: string | number | null | undefined
2. now: number</t>
        </is>
      </c>
      <c r="K718" s="3" t="inlineStr">
        <is>
          <t>number | null</t>
        </is>
      </c>
      <c r="L718" s="3" t="inlineStr">
        <is>
          <t>—</t>
        </is>
      </c>
      <c r="M718" s="3" t="inlineStr">
        <is>
          <t>None found in this function — anything it assumes comes from the functions it depends on.</t>
        </is>
      </c>
      <c r="N718" s="3" t="inlineStr">
        <is>
          <t>Yes</t>
        </is>
      </c>
      <c r="O718" s="3" t="inlineStr">
        <is>
          <t>—</t>
        </is>
      </c>
      <c r="P718" s="3" t="n">
        <v>0</v>
      </c>
      <c r="Q718" s="3" t="inlineStr">
        <is>
          <t>None — no dependent function stands behind it</t>
        </is>
      </c>
      <c r="R718" s="3" t="inlineStr">
        <is>
          <t>No dependent function — it reads its inputs and answers</t>
        </is>
      </c>
      <c r="S718" s="3" t="inlineStr">
        <is>
          <t>—</t>
        </is>
      </c>
      <c r="T718" s="3" t="inlineStr">
        <is>
          <t>—</t>
        </is>
      </c>
      <c r="U718" s="3" t="inlineStr">
        <is>
          <t>ACTIVE</t>
        </is>
      </c>
      <c r="V718" s="3" t="inlineStr">
        <is>
          <t>2026-10-01</t>
        </is>
      </c>
      <c r="W718" s="3" t="n"/>
      <c r="X718" s="3" t="n"/>
      <c r="Y718" s="3" t="inlineStr">
        <is>
          <t>NOTHING OPEN</t>
        </is>
      </c>
    </row>
    <row r="719" ht="60" customHeight="1">
      <c r="A719" s="3" t="inlineStr">
        <is>
          <t>MK-XS-F-171</t>
        </is>
      </c>
      <c r="B719" s="3" t="inlineStr">
        <is>
          <t>numOrNaN</t>
        </is>
      </c>
      <c r="C719" s="3" t="inlineStr">
        <is>
          <t>src/domain/import/holdingsImport.ts</t>
        </is>
      </c>
      <c r="D719" s="3" t="n">
        <v>233</v>
      </c>
      <c r="E719" s="3" t="inlineStr">
        <is>
          <t>3 · DEPENDENT</t>
        </is>
      </c>
      <c r="F719" s="3" t="inlineStr">
        <is>
          <t>NOT DETERMINED — the code carries no note saying what this is for, and it has no row in the old inventory. Needs reading.</t>
        </is>
      </c>
      <c r="G719" s="11" t="inlineStr">
        <is>
          <t>n = parse float(string(v ?? '').replace( ÷ [$,%\s] ÷ g, '').replace( ÷ [()] ÷ g, ''))
the answer:
n   if number.is finite(n)
na n   otherwise</t>
        </is>
      </c>
      <c r="H719" s="3" t="inlineStr">
        <is>
          <t>N is parse float(string(v ?? '').replace( divided by [$,%\s] divided by g, '').replace( divided by [()] divided by g, '')). The answer is n — when number.is finite(n); na n — otherwise.</t>
        </is>
      </c>
      <c r="I719" s="3" t="inlineStr">
        <is>
          <t>PARTLY READ — some of the code is still showing through; needs a hand pass</t>
        </is>
      </c>
      <c r="J719" s="3" t="inlineStr">
        <is>
          <t>v: string</t>
        </is>
      </c>
      <c r="K719" s="3" t="inlineStr">
        <is>
          <t>number</t>
        </is>
      </c>
      <c r="L719" s="3" t="inlineStr">
        <is>
          <t>—</t>
        </is>
      </c>
      <c r="M719" s="3" t="inlineStr">
        <is>
          <t>None found in this function — anything it assumes comes from the functions it depends on.</t>
        </is>
      </c>
      <c r="N719" s="3" t="inlineStr">
        <is>
          <t>Yes</t>
        </is>
      </c>
      <c r="O719" s="3" t="inlineStr">
        <is>
          <t>MK-XS-F-122 n</t>
        </is>
      </c>
      <c r="P719" s="3" t="n">
        <v>1</v>
      </c>
      <c r="Q719" s="3" t="inlineStr">
        <is>
          <t>MK-XS-F-122 n</t>
        </is>
      </c>
      <c r="R719" s="3" t="inlineStr">
        <is>
          <t>MK-XS-F-122 n → MK-XS-F-171 numOrNaN</t>
        </is>
      </c>
      <c r="S719" s="3" t="inlineStr">
        <is>
          <t>—</t>
        </is>
      </c>
      <c r="T719" s="3" t="inlineStr">
        <is>
          <t>—</t>
        </is>
      </c>
      <c r="U719" s="3" t="inlineStr">
        <is>
          <t>ACTIVE</t>
        </is>
      </c>
      <c r="V719" s="3" t="inlineStr">
        <is>
          <t>2026-08-27</t>
        </is>
      </c>
      <c r="W719" s="3" t="n"/>
      <c r="X719" s="3" t="n"/>
      <c r="Y719" s="3" t="inlineStr">
        <is>
          <t>NOTHING OPEN</t>
        </is>
      </c>
    </row>
    <row r="720" ht="60" customHeight="1">
      <c r="A720" s="3" t="inlineStr">
        <is>
          <t>MK-XS-F-172</t>
        </is>
      </c>
      <c r="B720" s="3" t="inlineStr">
        <is>
          <t>assetClassForSymbol</t>
        </is>
      </c>
      <c r="C720" s="3" t="inlineStr">
        <is>
          <t>src/domain/import/holdingsImport.ts</t>
        </is>
      </c>
      <c r="D720" s="3" t="n">
        <v>352</v>
      </c>
      <c r="E720" s="3" t="inlineStr">
        <is>
          <t>3 · DEPENDENT</t>
        </is>
      </c>
      <c r="F720" s="3" t="inlineStr">
        <is>
          <t>B7 (founder brief 2026-08-20): classification lives in the ONE function — this road only adapts.</t>
        </is>
      </c>
      <c r="G720" s="11" t="inlineStr">
        <is>
          <t>classify holding class({ ticker: symbol, name, has security identity: true }).cls</t>
        </is>
      </c>
      <c r="H720" s="3" t="inlineStr">
        <is>
          <t>classify holding class({ ticker: symbol, name, has security identity: true }).cls.</t>
        </is>
      </c>
      <c r="I720" s="3" t="inlineStr">
        <is>
          <t>PARTLY READ — some of the code is still showing through; needs a hand pass</t>
        </is>
      </c>
      <c r="J720" s="3" t="inlineStr">
        <is>
          <t>1. symbol: string
2. name = ''</t>
        </is>
      </c>
      <c r="K720" s="3" t="inlineStr">
        <is>
          <t>AssetClass</t>
        </is>
      </c>
      <c r="L720" s="3" t="inlineStr">
        <is>
          <t>—</t>
        </is>
      </c>
      <c r="M720" s="3" t="inlineStr">
        <is>
          <t>None found in this function — anything it assumes comes from the functions it depends on.</t>
        </is>
      </c>
      <c r="N720" s="3" t="inlineStr">
        <is>
          <t>Yes</t>
        </is>
      </c>
      <c r="O720" s="3" t="inlineStr">
        <is>
          <t>MK-ST-F-011 classifyHoldingClass</t>
        </is>
      </c>
      <c r="P720" s="3" t="n">
        <v>8</v>
      </c>
      <c r="Q720" s="3" t="inlineStr">
        <is>
          <t>1. MK-ST-F-011 classifyHoldingClass
2. MK-ST-F-010 nameEvidence
3. MK-XS-F-147 call
4. MK-ST-F-056 has
5. MK-CF-F-132 map
6. MK-ST-F-027 accountId
7. MK-XS-F-064 currentIdToken
8. MK-XS-F-112 relayUrl</t>
        </is>
      </c>
      <c r="R720" s="3" t="inlineStr">
        <is>
          <t>1. MK-ST-F-027 accountId → MK-XS-F-147 call → MK-ST-F-010 nameEvidence → MK-ST-F-011 classifyHoldingClass → MK-XS-F-172 assetClassForSymbol
2. MK-XS-F-064 currentIdToken → MK-XS-F-147 call → MK-ST-F-010 nameEvidence → MK-ST-F-011 classifyHoldingClass → MK-XS-F-172 assetClassForSymbol
3. MK-XS-F-112 relayUrl → MK-XS-F-147 call → MK-ST-F-010 nameEvidence → MK-ST-F-011 classifyHoldingClass → MK-XS-F-172 assetClassForSymbol
4. MK-ST-F-056 has → MK-ST-F-010 nameEvidence → MK-ST-F-011 classifyHoldingClass → MK-XS-F-172 assetClassForSymbol
5. MK-CF-F-132 map → MK-ST-F-010 nameEvidence → MK-ST-F-011 classifyHoldingClass → MK-XS-F-172 assetClassForSymbol</t>
        </is>
      </c>
      <c r="S720" s="3" t="inlineStr">
        <is>
          <t>—</t>
        </is>
      </c>
      <c r="T720" s="3" t="inlineStr">
        <is>
          <t>—</t>
        </is>
      </c>
      <c r="U720" s="3" t="inlineStr">
        <is>
          <t>ACTIVE</t>
        </is>
      </c>
      <c r="V720" s="3" t="inlineStr">
        <is>
          <t>2026-08-27</t>
        </is>
      </c>
      <c r="W720" s="3" t="n"/>
      <c r="X720" s="3" t="n"/>
      <c r="Y720" s="3" t="inlineStr">
        <is>
          <t>NOTHING OPEN</t>
        </is>
      </c>
    </row>
    <row r="721" ht="60" customHeight="1">
      <c r="A721" s="3" t="inlineStr">
        <is>
          <t>MK-XS-F-173</t>
        </is>
      </c>
      <c r="B721" s="3" t="inlineStr">
        <is>
          <t>getOrCreateKey</t>
        </is>
      </c>
      <c r="C721" s="3" t="inlineStr">
        <is>
          <t>src/store/secureStorage.ts</t>
        </is>
      </c>
      <c r="D721" s="3" t="n">
        <v>47</v>
      </c>
      <c r="E721" s="3" t="inlineStr">
        <is>
          <t>4 · BRINGS DATA IN</t>
        </is>
      </c>
      <c r="F721" s="3" t="inlineStr">
        <is>
          <t>NOT DETERMINED — the code carries no note saying what this is for, and it has no row in the old inventory. Needs reading.</t>
        </is>
      </c>
      <c r="G721" s="11"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721"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721" s="3" t="inlineStr">
        <is>
          <t>PARTLY READ — some of the code is still showing through; needs a hand pass</t>
        </is>
      </c>
      <c r="J721" s="3" t="inlineStr">
        <is>
          <t>Nothing is handed to it</t>
        </is>
      </c>
      <c r="K721" s="3" t="inlineStr">
        <is>
          <t>Promise&lt;string&gt;</t>
        </is>
      </c>
      <c r="L721" s="3" t="inlineStr">
        <is>
          <t>—</t>
        </is>
      </c>
      <c r="M721" s="3" t="inlineStr">
        <is>
          <t>None found in this function — anything it assumes comes from the functions it depends on.</t>
        </is>
      </c>
      <c r="N721" s="3" t="inlineStr">
        <is>
          <t>No</t>
        </is>
      </c>
      <c r="O721" s="3" t="inlineStr">
        <is>
          <t>1. MK-XS-F-135 secureGet
2. MK-XS-F-136 secureSet</t>
        </is>
      </c>
      <c r="P721" s="3" t="n">
        <v>2</v>
      </c>
      <c r="Q721" s="3" t="inlineStr">
        <is>
          <t>1. MK-XS-F-135 secureGet
2. MK-XS-F-136 secureSet</t>
        </is>
      </c>
      <c r="R721" s="3" t="inlineStr">
        <is>
          <t>1. MK-XS-F-135 secureGet → MK-XS-F-173 getOrCreateKey
2. MK-XS-F-136 secureSet → MK-XS-F-173 getOrCreateKey</t>
        </is>
      </c>
      <c r="S721" s="3" t="inlineStr">
        <is>
          <t>—</t>
        </is>
      </c>
      <c r="T721" s="3" t="inlineStr">
        <is>
          <t>—</t>
        </is>
      </c>
      <c r="U721" s="3" t="inlineStr">
        <is>
          <t>ACTIVE</t>
        </is>
      </c>
      <c r="V721" s="3" t="inlineStr">
        <is>
          <t>2026-09-12</t>
        </is>
      </c>
      <c r="W721" s="3" t="n"/>
      <c r="X721" s="3" t="n"/>
      <c r="Y721" s="3" t="inlineStr">
        <is>
          <t>NOTHING OPEN</t>
        </is>
      </c>
    </row>
    <row r="722" ht="60" customHeight="1">
      <c r="A722" s="3" t="inlineStr">
        <is>
          <t>MK-XS-F-174</t>
        </is>
      </c>
      <c r="B722" s="3" t="inlineStr">
        <is>
          <t>recomputeBalances</t>
        </is>
      </c>
      <c r="C722" s="3" t="inlineStr">
        <is>
          <t>src/store/useStore.ts</t>
        </is>
      </c>
      <c r="D722" s="3" t="n">
        <v>62</v>
      </c>
      <c r="E722" s="3" t="inlineStr">
        <is>
          <t>3 · DEPENDENT</t>
        </is>
      </c>
      <c r="F722" s="3" t="inlineStr">
        <is>
          <t>Recompute the cached `balance` of every ledger-managed account = cash sleeve + Σ(position × live price).</t>
        </is>
      </c>
      <c r="G722" s="11" t="inlineStr">
        <is>
          <t>a   when source = 'connected'
ledger managed = derive balance = true (or cash balance ≠ nothing when missing or zero)
a   when ledger managed is missing
positions = for each of positions (or none when missing): const px = latest close(cache[ticker.trim().to upper case()]); return { ...each, value now: px == null ? cost basis(each) : market value(each, px) }; = const px = latest close(cache[ticker.trim().to upper case()]); return { ...each, value now: px == null ? cost basis(each) : market value(each, px) };
mv = Σ over positions of (value now)
the answer:
...a = ...a
positions = positions
balance = round((cash balance or 0) + mv, 2 dp)</t>
        </is>
      </c>
      <c r="H722" s="3" t="inlineStr">
        <is>
          <t>When source = 'connected', it answers a. Ledger managed is derive balance = true (or cash balance is not no answer — when missing or zero). When ledger managed is missing, it answers a. Positions is for each of positions (or none — when missing): const px = latest close(cache[ticker.trim().to upper case()]); return { ...each, value now: px == null ? cost basis(each) : market value(each, px) }; = const px = latest close(cache[ticker.trim().to upper case()]); return { ...each, value now: px == null ? cost basis(each) : market value(each, px) };. Mv: the value now added up across positions. The answer is ...a = ...a; positions = positions; balance = (cash balance or 0) plus mv, to the cent.</t>
        </is>
      </c>
      <c r="I722" s="3" t="inlineStr">
        <is>
          <t>PARTLY READ — some of the code is still showing through; needs a hand pass</t>
        </is>
      </c>
      <c r="J722" s="3" t="inlineStr">
        <is>
          <t>1. accs: AssetAccount[]
2. cache: Record&lt;string, PriceSeries&gt;</t>
        </is>
      </c>
      <c r="K722" s="3" t="inlineStr">
        <is>
          <t>AssetAccount[]</t>
        </is>
      </c>
      <c r="L722" s="3" t="inlineStr">
        <is>
          <t>—</t>
        </is>
      </c>
      <c r="M722" s="3" t="inlineStr">
        <is>
          <t>· If cash balance is missing it counts as zero, so nothing recorded and a real zero look the same.</t>
        </is>
      </c>
      <c r="N722" s="3" t="inlineStr">
        <is>
          <t>Yes</t>
        </is>
      </c>
      <c r="O722"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t>
        </is>
      </c>
      <c r="P722" s="3" t="n">
        <v>87</v>
      </c>
      <c r="Q722"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
13. MK-PF-F-031 contractMultiplier
14. MK-CF-F-037 inferDebtType
15. MK-ST-F-043 newEntityId
16. MK-ST-F-052 toNum
17. MK-XS-F-175 uid
18. MK-PF-F-001 totalShares
19. MK-ST-F-069 amountOf
20. MK-CF-F-133 cashOf
21. MK-ST-F-056 has
22. MK-ST-F-066 isDayKey
23. MK-ST-F-070 isOpening
24. MK-ST-F-039 on
25. MK-ST-F-071 rebuildableFrom
26. MK-ST-F-068 stepDay
27. MK-ST-F-072 undo
28. MK-CF-F-072 currentRetirementIncomeMonthly
29. MK-ST-F-053 money
30. MK-XS-F-122 n
31. MK-ST-F-027 accountId
32. MK-CF-F-111 applyTransaction
33. MK-NW-F-040 assetsFromOnboarding
34. MK-PF-F-013 benchmarkTicker
35. MK-PF-F-034 closeOnOrBefore
36. MK-CF-F-186 convertTakeHomeMode
37. MK-XS-F-083 fetchPriceSeries
38. MK-ST-F-084 fillBetweenObservations
39. MK-PL-F-013 goalsFromOnboarding
40. MK-CF-F-116 inverseOf
41. MK-ST-F-065 isoLocalDate
42. MK-CF-F-112 makeTransaction
43. MK-XS-F-006 pruneDaily
44. MK-NW-F-054 reclassifyAccounts
45. MK-CF-F-115 restoreUndo
46. MK-CF-F-109 reviewTransactions
47. MK-CF-F-114 undoSnapshot
48. MK-CF-F-191 ym
49. MK-ST-F-067 utcOfDay
50. MK-CF-F-155 cash
51. MK-ST-F-035 covers
52. MK-CF-F-075 retirementIncomeMonthly
53. MK-ST-F-049 formatMoney
54. MK-CF-F-138 addLot
55. MK-CF-F-136 bumpCash
56. MK-CF-F-137 findPos
57. MK-CF-F-139 removeShares
58. MK-CF-F-085 filingStatusOf
59. MK-CF-F-097 grossFromNet
60. MK-CF-F-185 needsTakeHomeConversion
61. MK-CF-F-089 over65CountOf
62. MK-NW-F-053 correctClassOf
63. MK-NW-F-123 holdingNameEvidence
64. MK-NW-F-121 holdingTagClass
65. MK-NW-F-122 holdingTagFor
66. MK-CF-F-162 daysApart
67. MK-CF-F-108 isMoneyOut
68. MK-PL-F-074 median
69. MK-CF-F-131 normPayee
70. MK-CF-F-113 affectedAccountIds
71. MK-ST-F-034 firstDate
72. MK-ST-F-048 currencySymbol
73. MK-CF-F-134 usesSleeve
74. MK-CF-F-101 taxOwedFor
75. MK-NW-F-120 classEvidenceOf
76. MK-NW-F-008 incomeBearingClassOf
77. MK-ST-F-047 activeCurrency
78. MK-CF-F-100 taxableIncomeFor
79. MK-NW-F-009 maturityClass
80. MK-ST-F-010 nameEvidence
81. MK-CF-F-099 deductionFor
82. MK-NW-F-011 assetClassOf
83. MK-NW-F-068 prettyDay
84. MK-XS-F-147 call
85. MK-CF-F-187 seniorDeductionFor
86. MK-XS-F-064 currentIdToken
87. MK-XS-F-112 relayUrl</t>
        </is>
      </c>
      <c r="R722" s="3" t="inlineStr">
        <is>
          <t>1. MK-ST-F-028 buildDayFromAccounts → MK-XS-F-174 recomputeBalances
2. MK-PF-F-031 contractMultiplier → MK-PF-F-002 costBasis → MK-XS-F-174 recomputeBalances
3. MK-ST-F-079 dailyWindowStart → MK-XS-F-174 recomputeBalances
4. MK-CF-F-037 inferDebtType → MK-CF-F-038 debtsFromOnboarding → MK-XS-F-174 recomputeBalances
5. MK-ST-F-043 newEntityId → MK-CF-F-038 debtsFromOnboarding → MK-XS-F-174 recomputeBalances
6. MK-XS-F-122 n → MK-ST-F-052 toNum → MK-CF-F-038 debtsFromOnboarding → MK-XS-F-174 recomputeBalances
7. MK-ST-F-027 accountId → MK-XS-F-175 uid → MK-CF-F-038 debtsFromOnboarding → MK-XS-F-174 recomputeBalances
8. MK-CF-F-137 findPos → MK-CF-F-138 addLot → MK-CF-F-111 applyTransaction → MK-XS-F-175 uid → MK-CF-F-038 debtsFromOnboarding → MK-XS-F-174 recomputeBalances
9. … and 5 more paths</t>
        </is>
      </c>
      <c r="S722" s="3" t="inlineStr">
        <is>
          <t>—</t>
        </is>
      </c>
      <c r="T722" s="3" t="inlineStr">
        <is>
          <t>—</t>
        </is>
      </c>
      <c r="U722" s="3" t="inlineStr">
        <is>
          <t>ACTIVE</t>
        </is>
      </c>
      <c r="V722" s="3" t="inlineStr">
        <is>
          <t>2026-10-07</t>
        </is>
      </c>
      <c r="W722" s="3" t="n"/>
      <c r="X722" s="3" t="n"/>
      <c r="Y722" s="3" t="inlineStr">
        <is>
          <t>NOTHING OPEN</t>
        </is>
      </c>
    </row>
    <row r="723" ht="60" customHeight="1">
      <c r="A723" s="3" t="inlineStr">
        <is>
          <t>MK-XS-F-175</t>
        </is>
      </c>
      <c r="B723" s="3" t="inlineStr">
        <is>
          <t>uid</t>
        </is>
      </c>
      <c r="C723" s="3" t="inlineStr">
        <is>
          <t>src/store/useStore.ts</t>
        </is>
      </c>
      <c r="D723" s="3" t="n">
        <v>592</v>
      </c>
      <c r="E723" s="3" t="inlineStr">
        <is>
          <t>2 · DISPLAYED</t>
        </is>
      </c>
      <c r="F723" s="3" t="inlineStr">
        <is>
          <t>NOT DETERMINED — the code carries no note saying what this is for, and it has no row in the old inventory. Needs reading.</t>
        </is>
      </c>
      <c r="G723" s="11" t="inlineStr">
        <is>
          <t>math.random().to string(36).slice(2, 10) + date.now().to string(36)
t   when type ! = 'TRANSFER_IN_KIND' (or direction when missing or zero)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[LOOP — the answer is found inside a loop the extractor cannot render; the steps above are the ones before it. Read by hand.]
… the first steps only — the rest of the body needs reading by hand.</t>
        </is>
      </c>
      <c r="H723" s="3" t="inlineStr">
        <is>
          <t>math.random().to string(36).slice(2, 10) plus date.now().to string(36). When type ! = 'TRANSFER_IN_KIND' (or direction — when missing or zero), it answers t.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The answer is found inside a loop that cannot be rendered here; read the code by hand. Only the first steps are shown; the rest of the body needs reading by hand.</t>
        </is>
      </c>
      <c r="I723" s="3" t="inlineStr">
        <is>
          <t>PARTLY READ — the body has a loop the extractor cannot render; the steps shown are the ones before it. Needs a hand pass (G23).</t>
        </is>
      </c>
      <c r="J723" s="3" t="inlineStr">
        <is>
          <t>1. Nothing is handed to it
2. reads the app's stored data</t>
        </is>
      </c>
      <c r="K723" s="3" t="inlineStr">
        <is>
          <t>NOT DECLARED — the code does not say what it gives back</t>
        </is>
      </c>
      <c r="L723" s="3" t="inlineStr">
        <is>
          <t>NOT FOUND — a screen calls it, but the words printed beside its answer could not be traced automatically. Needs reading.</t>
        </is>
      </c>
      <c r="M723"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is>
      </c>
      <c r="N723" s="3" t="inlineStr">
        <is>
          <t>Yes</t>
        </is>
      </c>
      <c r="O723"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t>
        </is>
      </c>
      <c r="P723" s="3" t="n">
        <v>87</v>
      </c>
      <c r="Q723"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MK-NW-F-123 holdingNameEvidence
51. MK-NW-F-121 holdingTagClass
52. MK-NW-F-122 holdingTagFor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MK-NW-F-120 classEvidenceOf
71. MK-NW-F-008 incomeBearingClassOf
72. MK-PF-F-031 contractMultiplier
73. MK-CF-F-072 currentRetirementIncomeMonthly
74. MK-ST-F-048 currencySymbol
75. MK-CF-F-100 taxableIncomeFor
76. MK-ST-F-034 firstDate
77. MK-NW-F-009 maturityClass
78. MK-ST-F-010 nameEvidence
79. MK-CF-F-075 retirementIncomeMonthly
80. MK-ST-F-047 activeCurrency
81. MK-CF-F-099 deductionFor
82. MK-NW-F-011 assetClassOf
83. MK-NW-F-068 prettyDay
84. MK-XS-F-147 call
85. MK-CF-F-187 seniorDeductionFor
86. MK-XS-F-064 currentIdToken
87. MK-XS-F-112 relayUrl</t>
        </is>
      </c>
      <c r="R723" s="3" t="inlineStr">
        <is>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is>
      </c>
      <c r="S723" s="3" t="inlineStr">
        <is>
          <t>—</t>
        </is>
      </c>
      <c r="T723" s="3" t="inlineStr">
        <is>
          <t>—</t>
        </is>
      </c>
      <c r="U723" s="3" t="inlineStr">
        <is>
          <t>ACTIVE</t>
        </is>
      </c>
      <c r="V723" s="3" t="inlineStr">
        <is>
          <t>2026-10-05</t>
        </is>
      </c>
      <c r="W723" s="3" t="n"/>
      <c r="X723" s="3" t="n"/>
      <c r="Y723" s="3" t="inlineStr">
        <is>
          <t>NOTHING OPEN</t>
        </is>
      </c>
    </row>
    <row r="724" ht="60" customHeight="1">
      <c r="A724" s="3" t="inlineStr">
        <is>
          <t>MK-XS-F-176</t>
        </is>
      </c>
      <c r="B724" s="3" t="inlineStr">
        <is>
          <t>useMonthlyStats</t>
        </is>
      </c>
      <c r="C724" s="3" t="inlineStr">
        <is>
          <t>src/store/useStore.ts</t>
        </is>
      </c>
      <c r="D724" s="3" t="n">
        <v>1319</v>
      </c>
      <c r="E724" s="3" t="inlineStr">
        <is>
          <t>2 · DISPLAYED</t>
        </is>
      </c>
      <c r="F724" s="3" t="inlineStr">
        <is>
          <t>── Selectors ──────────────────────────────────────────────────────────</t>
        </is>
      </c>
      <c r="G724" s="11"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724"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724" s="3" t="inlineStr">
        <is>
          <t>PARTLY READ — some of the code is still showing through; needs a hand pass</t>
        </is>
      </c>
      <c r="J724" s="3" t="inlineStr">
        <is>
          <t>1. Nothing is handed to it
2. reads the app's stored data</t>
        </is>
      </c>
      <c r="K724" s="3" t="inlineStr">
        <is>
          <t>NOT DECLARED — the code does not say what it gives back</t>
        </is>
      </c>
      <c r="L724" s="3" t="inlineStr">
        <is>
          <t>NOT FOUND — a screen calls it, but the words printed beside its answer could not be traced automatically. Needs reading.</t>
        </is>
      </c>
      <c r="M724" s="3" t="inlineStr">
        <is>
          <t>· Uses today's date from the device clock, so the answer changes by itself overnight.</t>
        </is>
      </c>
      <c r="N724" s="3" t="inlineStr">
        <is>
          <t>Yes</t>
        </is>
      </c>
      <c r="O724" s="3" t="inlineStr">
        <is>
          <t>MK-CF-O-002 expenses</t>
        </is>
      </c>
      <c r="P724" s="3" t="n">
        <v>15</v>
      </c>
      <c r="Q724"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724" s="3" t="inlineStr">
        <is>
          <t>1. MK-CF-F-191 ym → MK-CF-F-148 inMonth → MK-CF-F-151 actualSpending → MK-CF-O-002 expenses → MK-XS-F-176 useMonthlyStats
2. MK-XS-F-122 n → MK-ST-F-052 toNum → MK-CF-F-151 actualSpending → MK-CF-O-002 expenses → MK-XS-F-176 useMonthlyStats
3. MK-CF-F-191 ym → MK-CF-F-151 actualSpending → MK-CF-O-002 expenses → MK-XS-F-176 useMonthlyStats
4. MK-ST-F-056 has → MK-CF-F-150 debtPaymentsCountedAsExpenses → MK-CF-O-002 expenses → MK-XS-F-176 useMonthlyStats
5. MK-CF-F-191 ym → MK-CF-F-148 inMonth → MK-CF-F-150 debtPaymentsCountedAsExpenses → MK-CF-O-002 expenses → MK-XS-F-176 useMonthlyStats
6. MK-CF-F-021 defaultPaymentType → MK-CF-F-022 paymentShape → MK-CF-F-150 debtPaymentsCountedAsExpenses → MK-CF-O-002 expenses → MK-XS-F-176 useMonthlyStats
7. MK-XS-F-122 n → MK-ST-F-052 toNum → MK-CF-F-150 debtPaymentsCountedAsExpenses → MK-CF-O-002 expenses → MK-XS-F-176 useMonthlyStats
8. MK-CF-F-191 ym → MK-CF-F-150 debtPaymentsCountedAsExpenses → MK-CF-O-002 expenses → MK-XS-F-176 useMonthlyStats
9. … and 4 more paths</t>
        </is>
      </c>
      <c r="S724" s="3" t="inlineStr">
        <is>
          <t>—</t>
        </is>
      </c>
      <c r="T724" s="3" t="inlineStr">
        <is>
          <t>—</t>
        </is>
      </c>
      <c r="U724" s="3" t="inlineStr">
        <is>
          <t>ACTIVE</t>
        </is>
      </c>
      <c r="V724" s="3" t="inlineStr">
        <is>
          <t>2026-09-12</t>
        </is>
      </c>
      <c r="W724" s="3" t="n"/>
      <c r="X724" s="3" t="n"/>
      <c r="Y724" s="3" t="inlineStr">
        <is>
          <t>NOTHING OPEN</t>
        </is>
      </c>
    </row>
    <row r="725" ht="60" customHeight="1">
      <c r="A725" s="3" t="inlineStr">
        <is>
          <t>MK-XS-F-177</t>
        </is>
      </c>
      <c r="B725" s="3" t="inlineStr">
        <is>
          <t>useCategorySpend</t>
        </is>
      </c>
      <c r="C725" s="3" t="inlineStr">
        <is>
          <t>src/store/useStore.ts</t>
        </is>
      </c>
      <c r="D725" s="3" t="n">
        <v>1376</v>
      </c>
      <c r="E725" s="3" t="inlineStr">
        <is>
          <t>2 · DISPLAYED</t>
        </is>
      </c>
      <c r="F725" s="3" t="inlineStr">
        <is>
          <t>NOT DETERMINED — the code carries no note saying what this is for, and it has no row in the old inventory. Needs reading.</t>
        </is>
      </c>
      <c r="G725" s="11" t="inlineStr">
        <is>
          <t>now = new date()
d = the date date
to date string() = now.to date string()   when budget frequency = 'daily'
d ≥ new date(now.get time() − 7 × 86400000)   when budget frequency = 'weekly'
the answer = get full year() = now.get full year() and get month() = now.get month()
map = {}</t>
        </is>
      </c>
      <c r="H725"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725" s="3" t="inlineStr">
        <is>
          <t>PARTLY READ — some of the code is still showing through; needs a hand pass</t>
        </is>
      </c>
      <c r="J725" s="3" t="inlineStr">
        <is>
          <t>1. Nothing is handed to it
2. reads the app's stored data</t>
        </is>
      </c>
      <c r="K725" s="3" t="inlineStr">
        <is>
          <t>NOT DECLARED — the code does not say what it gives back</t>
        </is>
      </c>
      <c r="L725" s="3" t="inlineStr">
        <is>
          <t>NOT FOUND — a screen calls it, but the words printed beside its answer could not be traced automatically. Needs reading.</t>
        </is>
      </c>
      <c r="M725" s="3" t="inlineStr">
        <is>
          <t>1. If category] is missing it counts as zero, so nothing recorded and a real zero look the same.
2. Uses today's date from the device clock, so the answer changes by itself overnight.</t>
        </is>
      </c>
      <c r="N725" s="3" t="inlineStr">
        <is>
          <t>Yes</t>
        </is>
      </c>
      <c r="O725" s="3" t="inlineStr">
        <is>
          <t>1. MK-CF-O-002 expenses
2. MK-CF-F-132 map</t>
        </is>
      </c>
      <c r="P725" s="3" t="n">
        <v>15</v>
      </c>
      <c r="Q725" s="3" t="inlineStr">
        <is>
          <t>1. MK-CF-O-002 expenses
2. MK-CF-F-132 map
3. MK-CF-F-151 actualSpending
4. MK-CF-F-150 debtPaymentsCountedAsExpenses
5. MK-CF-F-153 radar
6. MK-CF-F-149 recurringDebtPayments
7. MK-CF-F-148 inMonth
8. MK-ST-F-052 toNum
9. MK-CF-F-191 ym
10. MK-ST-F-056 has
11. MK-CF-F-022 paymentShape
12. MK-CF-F-152 isRadarItem
13. MK-CF-F-023 requiredPayment
14. MK-XS-F-122 n
15. MK-CF-F-021 defaultPaymentType</t>
        </is>
      </c>
      <c r="R725" s="3" t="inlineStr">
        <is>
          <t>1. MK-CF-F-191 ym → MK-CF-F-148 inMonth → MK-CF-F-151 actualSpending → MK-CF-O-002 expenses → MK-XS-F-177 useCategorySpend
2. MK-XS-F-122 n → MK-ST-F-052 toNum → MK-CF-F-151 actualSpending → MK-CF-O-002 expenses → MK-XS-F-177 useCategorySpend
3. MK-CF-F-191 ym → MK-CF-F-151 actualSpending → MK-CF-O-002 expenses → MK-XS-F-177 useCategorySpend
4. MK-ST-F-056 has → MK-CF-F-150 debtPaymentsCountedAsExpenses → MK-CF-O-002 expenses → MK-XS-F-177 useCategorySpend
5. MK-CF-F-191 ym → MK-CF-F-148 inMonth → MK-CF-F-150 debtPaymentsCountedAsExpenses → MK-CF-O-002 expenses → MK-XS-F-177 useCategorySpend
6. MK-CF-F-021 defaultPaymentType → MK-CF-F-022 paymentShape → MK-CF-F-150 debtPaymentsCountedAsExpenses → MK-CF-O-002 expenses → MK-XS-F-177 useCategorySpend
7. MK-XS-F-122 n → MK-ST-F-052 toNum → MK-CF-F-150 debtPaymentsCountedAsExpenses → MK-CF-O-002 expenses → MK-XS-F-177 useCategorySpend
8. MK-CF-F-191 ym → MK-CF-F-150 debtPaymentsCountedAsExpenses → MK-CF-O-002 expenses → MK-XS-F-177 useCategorySpend
9. … and 5 more paths</t>
        </is>
      </c>
      <c r="S725" s="3" t="inlineStr">
        <is>
          <t>—</t>
        </is>
      </c>
      <c r="T725" s="3" t="inlineStr">
        <is>
          <t>—</t>
        </is>
      </c>
      <c r="U725" s="3" t="inlineStr">
        <is>
          <t>ACTIVE</t>
        </is>
      </c>
      <c r="V725" s="3" t="inlineStr">
        <is>
          <t>2026-09-12</t>
        </is>
      </c>
      <c r="W725" s="3" t="n"/>
      <c r="X725" s="3" t="n"/>
      <c r="Y725" s="3" t="inlineStr">
        <is>
          <t>NOTHING OPEN</t>
        </is>
      </c>
    </row>
    <row r="726" ht="60" customHeight="1">
      <c r="A726" s="3" t="inlineStr">
        <is>
          <t>MK-XS-F-178</t>
        </is>
      </c>
      <c r="B726" s="3" t="inlineStr">
        <is>
          <t>useLevel</t>
        </is>
      </c>
      <c r="C726" s="3" t="inlineStr">
        <is>
          <t>src/store/useStore.ts</t>
        </is>
      </c>
      <c r="D726" s="3" t="n">
        <v>1409</v>
      </c>
      <c r="E726" s="3" t="inlineStr">
        <is>
          <t>2 · DISPLAYED</t>
        </is>
      </c>
      <c r="F726" s="3" t="inlineStr">
        <is>
          <t>NOT DETERMINED — the code carries no note saying what this is for, and it has no row in the old inventory. Needs reading.</t>
        </is>
      </c>
      <c r="G726" s="11" t="inlineStr">
        <is>
          <t>xp = use store((s) =&gt; xp)
current = levels[0], next = levels[1]
pct = min(((xp − current.min) ÷ (next.min − current.min)) × 100, 100)   if next.min &gt; current.min
100   otherwise
the answer = { ...current, next, xp, pct }</t>
        </is>
      </c>
      <c r="H726" s="3" t="inlineStr">
        <is>
          <t>Xp is use store((s) =&gt; xp). Current is levels[0], next = levels[1]. Pct: the smaller of ((xp minus current.min) divided by (next.min minus current.min)) times 100 and 100 — when next.min &gt; current.min; 100 — otherwise. The answer is { ...current, next, xp, pct }.</t>
        </is>
      </c>
      <c r="I726" s="3" t="inlineStr">
        <is>
          <t>PARTLY READ — some of the code is still showing through; needs a hand pass</t>
        </is>
      </c>
      <c r="J726" s="3" t="inlineStr">
        <is>
          <t>1. Nothing is handed to it
2. reads the app's stored data</t>
        </is>
      </c>
      <c r="K726" s="3" t="inlineStr">
        <is>
          <t>NOT DECLARED — the code does not say what it gives back</t>
        </is>
      </c>
      <c r="L726" s="3" t="inlineStr">
        <is>
          <t>NOT FOUND — a screen calls it, but the words printed beside its answer could not be traced automatically. Needs reading.</t>
        </is>
      </c>
      <c r="M726" s="3" t="inlineStr">
        <is>
          <t>None found in this function — anything it assumes comes from the functions it depends on.</t>
        </is>
      </c>
      <c r="N726" s="3" t="inlineStr">
        <is>
          <t>Yes</t>
        </is>
      </c>
      <c r="O726" s="3" t="inlineStr">
        <is>
          <t>—</t>
        </is>
      </c>
      <c r="P726" s="3" t="n">
        <v>0</v>
      </c>
      <c r="Q726" s="3" t="inlineStr">
        <is>
          <t>None — no dependent function stands behind it</t>
        </is>
      </c>
      <c r="R726" s="3" t="inlineStr">
        <is>
          <t>No dependent function — it reads its inputs and answers</t>
        </is>
      </c>
      <c r="S726" s="3" t="inlineStr">
        <is>
          <t>—</t>
        </is>
      </c>
      <c r="T726" s="3" t="inlineStr">
        <is>
          <t>—</t>
        </is>
      </c>
      <c r="U726" s="3" t="inlineStr">
        <is>
          <t>ACTIVE</t>
        </is>
      </c>
      <c r="V726" s="3" t="inlineStr">
        <is>
          <t>2026-09-12</t>
        </is>
      </c>
      <c r="W726" s="3" t="n"/>
      <c r="X726" s="3" t="n"/>
      <c r="Y726" s="3" t="inlineStr">
        <is>
          <t>NOTHING OPEN</t>
        </is>
      </c>
    </row>
    <row r="727" ht="60" customHeight="1">
      <c r="A727" s="3" t="inlineStr">
        <is>
          <t>MK-XS-F-179</t>
        </is>
      </c>
      <c r="B727" s="3" t="inlineStr">
        <is>
          <t>ageToday</t>
        </is>
      </c>
      <c r="C727" s="3" t="inlineStr">
        <is>
          <t>src/domain/profile/calc.ts</t>
        </is>
      </c>
      <c r="D727" s="3" t="n">
        <v>79</v>
      </c>
      <c r="E727" s="3" t="inlineStr">
        <is>
          <t>2 · DISPLAYED</t>
        </is>
      </c>
      <c r="F727"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727" s="11" t="inlineStr">
        <is>
          <t>y = number(birth year); if (!y or !number.is finite(y)) return nothing
m = birth month read as a number
current age(y, m, as of)   when m ≥ 1 and m ≤ 12
the answer = as of.get full year() − y</t>
        </is>
      </c>
      <c r="H727" s="3" t="inlineStr">
        <is>
          <t>Y is number(birth year); — when (!y or !number.is finite(y)) return no answer. M is birth month read as a number. When m is at least 1 and m is at most 12, it answers current age(y, m, as of). The answer is as of.get full year() minus y.</t>
        </is>
      </c>
      <c r="I727" s="3" t="inlineStr">
        <is>
          <t>PARTLY READ — some of the code is still showing through; needs a hand pass</t>
        </is>
      </c>
      <c r="J727" s="3" t="inlineStr">
        <is>
          <t>1. birthYear: number | null | undefined
2. birthMonth: number | null | undefined
3. asOf: Date = new Date()</t>
        </is>
      </c>
      <c r="K727" s="3" t="inlineStr">
        <is>
          <t>number | null</t>
        </is>
      </c>
      <c r="L727" s="3" t="inlineStr">
        <is>
          <t>NOT FOUND — a screen calls it, but the words printed beside its answer could not be traced automatically. Needs reading.</t>
        </is>
      </c>
      <c r="M727"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727" s="3" t="inlineStr">
        <is>
          <t>Yes</t>
        </is>
      </c>
      <c r="O727" s="3" t="inlineStr">
        <is>
          <t>MK-XS-F-017 currentAge</t>
        </is>
      </c>
      <c r="P727" s="3" t="n">
        <v>1</v>
      </c>
      <c r="Q727" s="3" t="inlineStr">
        <is>
          <t>MK-XS-F-017 currentAge</t>
        </is>
      </c>
      <c r="R727" s="3" t="inlineStr">
        <is>
          <t>MK-XS-F-017 currentAge → MK-XS-F-179 ageToday</t>
        </is>
      </c>
      <c r="S727" s="3" t="inlineStr">
        <is>
          <t>—</t>
        </is>
      </c>
      <c r="T727" s="3" t="inlineStr">
        <is>
          <t>—</t>
        </is>
      </c>
      <c r="U727" s="3" t="inlineStr">
        <is>
          <t>ACTIVE</t>
        </is>
      </c>
      <c r="V727" s="3" t="inlineStr">
        <is>
          <t>2026-09-12</t>
        </is>
      </c>
      <c r="W727" s="3" t="n"/>
      <c r="X727" s="3" t="n"/>
      <c r="Y727" s="3" t="inlineStr">
        <is>
          <t>NOTHING OPEN</t>
        </is>
      </c>
    </row>
    <row r="728" ht="60" customHeight="1">
      <c r="A728" s="3" t="inlineStr">
        <is>
          <t>MK-XS-F-180</t>
        </is>
      </c>
      <c r="B728" s="3" t="inlineStr">
        <is>
          <t>declareFigures</t>
        </is>
      </c>
      <c r="C728" s="3" t="inlineStr">
        <is>
          <t>MoneyKeel/functions/_figure-spec.ts</t>
        </is>
      </c>
      <c r="D728" s="3" t="n">
        <v>176</v>
      </c>
      <c r="E728" s="3" t="inlineStr">
        <is>
          <t>3 · DEPENDENT</t>
        </is>
      </c>
      <c r="F728" s="3" t="inlineStr">
        <is>
          <t>Declare the figures a door hands out.</t>
        </is>
      </c>
      <c r="G728" s="11" t="inlineStr">
        <is>
          <t>NOT READ YET — the body is not a shape this can render faithfully, so nothing is claimed rather than something being guessed. It needs reading by hand.</t>
        </is>
      </c>
      <c r="H728" s="3" t="inlineStr">
        <is>
          <t>NOT READ YET — the body is not a shape this can render faithfully, so nothing is claimed rather than something being guessed. It needs reading by hand.</t>
        </is>
      </c>
      <c r="I728" s="3" t="inlineStr">
        <is>
          <t>NOT READ — nothing is claimed rather than something guessed</t>
        </is>
      </c>
      <c r="J728" s="3" t="inlineStr">
        <is>
          <t>f: T</t>
        </is>
      </c>
      <c r="K728" s="3" t="inlineStr">
        <is>
          <t>T</t>
        </is>
      </c>
      <c r="L728" s="3" t="inlineStr">
        <is>
          <t>—</t>
        </is>
      </c>
      <c r="M728" s="3" t="inlineStr">
        <is>
          <t>None found in this function — anything it assumes comes from the functions it depends on.</t>
        </is>
      </c>
      <c r="N728" s="3" t="inlineStr">
        <is>
          <t>Yes</t>
        </is>
      </c>
      <c r="O728" s="3" t="inlineStr">
        <is>
          <t>—</t>
        </is>
      </c>
      <c r="P728" s="3" t="n">
        <v>0</v>
      </c>
      <c r="Q728" s="3" t="inlineStr">
        <is>
          <t>None — no dependent function stands behind it</t>
        </is>
      </c>
      <c r="R728" s="3" t="inlineStr">
        <is>
          <t>No dependent function — it reads its inputs and answers</t>
        </is>
      </c>
      <c r="S728" s="3" t="inlineStr">
        <is>
          <t>—</t>
        </is>
      </c>
      <c r="T728" s="3" t="inlineStr">
        <is>
          <t>—</t>
        </is>
      </c>
      <c r="U728" s="3" t="inlineStr">
        <is>
          <t>ACTIVE</t>
        </is>
      </c>
      <c r="V728" s="3" t="inlineStr">
        <is>
          <t>2026-09-14</t>
        </is>
      </c>
      <c r="W728" s="3" t="n"/>
      <c r="X728" s="3" t="n"/>
      <c r="Y728" s="3" t="inlineStr">
        <is>
          <t>NOTHING OPEN</t>
        </is>
      </c>
    </row>
    <row r="729" ht="60" customHeight="1">
      <c r="A729" s="3" t="inlineStr">
        <is>
          <t>MK-XS-F-181</t>
        </is>
      </c>
      <c r="B729" s="3" t="inlineStr">
        <is>
          <t>merge</t>
        </is>
      </c>
      <c r="C729" s="3" t="inlineStr">
        <is>
          <t>MoneyKeel/functions/figures.ts</t>
        </is>
      </c>
      <c r="D729" s="3" t="n">
        <v>69</v>
      </c>
      <c r="E729" s="3" t="inlineStr">
        <is>
          <t>3 · DEPENDENT (feeds an action only)</t>
        </is>
      </c>
      <c r="F729" s="3" t="inlineStr">
        <is>
          <t>NOT DETERMINED — the code carries no note saying what this is for, and it has no row in the old inventory. Needs reading.</t>
        </is>
      </c>
      <c r="G729" s="11" t="inlineStr">
        <is>
          <t>out = {}
from = {}
the answer = out</t>
        </is>
      </c>
      <c r="H729" s="3" t="inlineStr">
        <is>
          <t>Out is {}. From is {}. The answer is out.</t>
        </is>
      </c>
      <c r="I729" s="3" t="inlineStr">
        <is>
          <t>READ FROM THE CODE — rendered from the expressions the function runs</t>
        </is>
      </c>
      <c r="J729" s="3" t="inlineStr">
        <is>
          <t>Nothing is handed to it</t>
        </is>
      </c>
      <c r="K729" s="3" t="inlineStr">
        <is>
          <t>Record&lt;string, FigureSpec&gt;</t>
        </is>
      </c>
      <c r="L729" s="3" t="inlineStr">
        <is>
          <t>—</t>
        </is>
      </c>
      <c r="M729" s="3" t="inlineStr">
        <is>
          <t>None found in this function — anything it assumes comes from the functions it depends on.</t>
        </is>
      </c>
      <c r="N729" s="3" t="inlineStr">
        <is>
          <t>No</t>
        </is>
      </c>
      <c r="O729" s="3" t="inlineStr">
        <is>
          <t>MK-CF-F-132 map</t>
        </is>
      </c>
      <c r="P729" s="3" t="n">
        <v>1</v>
      </c>
      <c r="Q729" s="3" t="inlineStr">
        <is>
          <t>MK-CF-F-132 map</t>
        </is>
      </c>
      <c r="R729" s="3" t="inlineStr">
        <is>
          <t>MK-CF-F-132 map → MK-XS-F-181 merge</t>
        </is>
      </c>
      <c r="S729" s="3" t="inlineStr">
        <is>
          <t>—</t>
        </is>
      </c>
      <c r="T729" s="3" t="inlineStr">
        <is>
          <t>—</t>
        </is>
      </c>
      <c r="U729" s="3" t="inlineStr">
        <is>
          <t>ACTIVE</t>
        </is>
      </c>
      <c r="V729" s="3" t="inlineStr">
        <is>
          <t>2026-09-14</t>
        </is>
      </c>
      <c r="W729" s="3" t="n"/>
      <c r="X729" s="3" t="n"/>
      <c r="Y729" s="3" t="inlineStr">
        <is>
          <t>NOTHING OPEN</t>
        </is>
      </c>
    </row>
    <row r="730" ht="45" customHeight="1">
      <c r="A730" s="3" t="inlineStr">
        <is>
          <t>MK-XS-F-182</t>
        </is>
      </c>
      <c r="B730" s="3" t="inlineStr">
        <is>
          <t>figureSpec</t>
        </is>
      </c>
      <c r="C730" s="3" t="inlineStr">
        <is>
          <t>MoneyKeel/functions/figures.ts</t>
        </is>
      </c>
      <c r="D730" s="3" t="n">
        <v>103</v>
      </c>
      <c r="E730" s="3" t="inlineStr">
        <is>
          <t>2 · DISPLAYED</t>
        </is>
      </c>
      <c r="F730" s="3" t="inlineStr">
        <is>
          <t>The declaration behind an identifier, or a refusal that names the identifier — never a silent blank.</t>
        </is>
      </c>
      <c r="G730" s="11" t="inlineStr">
        <is>
          <t>spec = FIGURE_REGISTER[id]
the answer = spec</t>
        </is>
      </c>
      <c r="H730" s="3" t="inlineStr">
        <is>
          <t>Spec is FIGURE_REGISTER[id]. The answer is spec.</t>
        </is>
      </c>
      <c r="I730" s="3" t="inlineStr">
        <is>
          <t>READ FROM THE CODE — rendered from the expressions the function runs</t>
        </is>
      </c>
      <c r="J730" s="3" t="inlineStr">
        <is>
          <t>id: string</t>
        </is>
      </c>
      <c r="K730" s="3" t="inlineStr">
        <is>
          <t>FigureSpec</t>
        </is>
      </c>
      <c r="L730" s="3" t="inlineStr">
        <is>
          <t>NOT FOUND — a screen calls it, but the words printed beside its answer could not be traced automatically. Needs reading.</t>
        </is>
      </c>
      <c r="M730" s="3" t="inlineStr">
        <is>
          <t>None found in this function — anything it assumes comes from the functions it depends on.</t>
        </is>
      </c>
      <c r="N730" s="3" t="inlineStr">
        <is>
          <t>Yes</t>
        </is>
      </c>
      <c r="O730" s="3" t="inlineStr">
        <is>
          <t>—</t>
        </is>
      </c>
      <c r="P730" s="3" t="n">
        <v>0</v>
      </c>
      <c r="Q730" s="3" t="inlineStr">
        <is>
          <t>None — no dependent function stands behind it</t>
        </is>
      </c>
      <c r="R730" s="3" t="inlineStr">
        <is>
          <t>No dependent function — it reads its inputs and answers</t>
        </is>
      </c>
      <c r="S730" s="3" t="inlineStr">
        <is>
          <t>—</t>
        </is>
      </c>
      <c r="T730" s="3" t="inlineStr">
        <is>
          <t>—</t>
        </is>
      </c>
      <c r="U730" s="3" t="inlineStr">
        <is>
          <t>ACTIVE</t>
        </is>
      </c>
      <c r="V730" s="3" t="inlineStr">
        <is>
          <t>2026-09-14</t>
        </is>
      </c>
      <c r="W730" s="3" t="n"/>
      <c r="X730" s="3" t="n"/>
      <c r="Y730" s="3" t="inlineStr">
        <is>
          <t>NOTHING OPEN</t>
        </is>
      </c>
    </row>
    <row r="731" ht="60" customHeight="1">
      <c r="A731" s="3" t="inlineStr">
        <is>
          <t>MK-XS-F-183</t>
        </is>
      </c>
      <c r="B731" s="3" t="inlineStr">
        <is>
          <t>writeFigure</t>
        </is>
      </c>
      <c r="C731" s="3" t="inlineStr">
        <is>
          <t>MoneyKeel/functions/_figure-spec.ts</t>
        </is>
      </c>
      <c r="D731" s="3" t="n">
        <v>69</v>
      </c>
      <c r="E731" s="3" t="inlineStr">
        <is>
          <t>2 · DISPLAYED</t>
        </is>
      </c>
      <c r="F731" s="3" t="inlineStr">
        <is>
          <t>WRITE A FIGURE THE WAY THE SCREEN WRITES IT — one writer, two callers (2026-09-28).</t>
        </is>
      </c>
      <c r="G731" s="11" t="inlineStr">
        <is>
          <t>spec.refusal   when value = nothing (or !number.is finite(value) when missing or zero)
body + (opts.spoken ? ` a ${spec.per}` : ` ÷ ${spec.per}`)   when opts.with period and spec.per
body</t>
        </is>
      </c>
      <c r="H731" s="3" t="inlineStr">
        <is>
          <t>When value is missing (or !number.is finite(value) — when missing or zero), it answers spec.refusal. When opts.with period and spec.per, it answers body plus (opts.spoken ? ` a ${spec.per}` : ` divided by ${spec.per}`). body.</t>
        </is>
      </c>
      <c r="I731" s="3" t="inlineStr">
        <is>
          <t>PARTLY READ — some of the code is still showing through; needs a hand pass</t>
        </is>
      </c>
      <c r="J731" s="3" t="inlineStr">
        <is>
          <t>1. spec: FigureSpec
2. value: number | null
3. opts?: { spoken?: boolean; withPeriod?: boolean }</t>
        </is>
      </c>
      <c r="K731" s="3" t="inlineStr">
        <is>
          <t>string</t>
        </is>
      </c>
      <c r="L731" s="3" t="inlineStr">
        <is>
          <t>NOT FOUND — a screen calls it, but the words printed beside its answer could not be traced automatically. Needs reading.</t>
        </is>
      </c>
      <c r="M731" s="3" t="inlineStr">
        <is>
          <t>1. Rounds the answer to 1 decimal place.
2. Shows 2 decimal places.
3. Shows 1 decimal place.</t>
        </is>
      </c>
      <c r="N731" s="3" t="inlineStr">
        <is>
          <t>Yes</t>
        </is>
      </c>
      <c r="O731" s="3" t="inlineStr">
        <is>
          <t>1. MK-ST-F-049 formatMoney
2. MK-ST-F-050 formatMoneyCents
3. MK-ST-F-051 moneyCompact
4. MK-ST-F-039 on
5. MK-NW-F-067 plural
6. MK-ST-F-060 verdict</t>
        </is>
      </c>
      <c r="P731" s="3" t="n">
        <v>9</v>
      </c>
      <c r="Q731" s="3" t="inlineStr">
        <is>
          <t>1. MK-ST-F-049 formatMoney
2. MK-ST-F-050 formatMoneyCents
3. MK-ST-F-051 moneyCompact
4. MK-ST-F-039 on
5. MK-NW-F-067 plural
6. MK-ST-F-060 verdict
7. MK-ST-F-048 currencySymbol
8. MK-XS-F-122 n
9. MK-ST-F-047 activeCurrency</t>
        </is>
      </c>
      <c r="R731" s="3" t="inlineStr">
        <is>
          <t>1. MK-ST-F-047 activeCurrency → MK-ST-F-048 currencySymbol → MK-ST-F-049 formatMoney → MK-XS-F-183 writeFigure
2. MK-XS-F-122 n → MK-ST-F-049 formatMoney → MK-XS-F-183 writeFigure
3. MK-ST-F-039 on → MK-ST-F-049 formatMoney → MK-XS-F-183 writeFigure
4. MK-ST-F-047 activeCurrency → MK-ST-F-048 currencySymbol → MK-ST-F-050 formatMoneyCents → MK-XS-F-183 writeFigure
5. MK-XS-F-122 n → MK-ST-F-050 formatMoneyCents → MK-XS-F-183 writeFigure
6. MK-ST-F-047 activeCurrency → MK-ST-F-048 currencySymbol → MK-ST-F-051 moneyCompact → MK-XS-F-183 writeFigure
7. MK-XS-F-122 n → MK-ST-F-051 moneyCompact → MK-XS-F-183 writeFigure
8. MK-ST-F-039 on → MK-XS-F-183 writeFigure
9. … and 2 more paths</t>
        </is>
      </c>
      <c r="S731" s="3" t="inlineStr">
        <is>
          <t>—</t>
        </is>
      </c>
      <c r="T731" s="3" t="inlineStr">
        <is>
          <t>—</t>
        </is>
      </c>
      <c r="U731" s="3" t="inlineStr">
        <is>
          <t>ACTIVE</t>
        </is>
      </c>
      <c r="V731" s="3" t="inlineStr">
        <is>
          <t>2026-09-28</t>
        </is>
      </c>
      <c r="W731" s="3" t="n"/>
      <c r="X731" s="3" t="n"/>
      <c r="Y731" s="3" t="inlineStr">
        <is>
          <t>NOTHING OPEN</t>
        </is>
      </c>
    </row>
    <row r="732" ht="60" customHeight="1">
      <c r="A732" s="3" t="inlineStr">
        <is>
          <t>MK-XS-F-184</t>
        </is>
      </c>
      <c r="B732" s="3" t="inlineStr">
        <is>
          <t>theirCost</t>
        </is>
      </c>
      <c r="C732" s="3" t="inlineStr">
        <is>
          <t>src/services/sync/ingest.ts</t>
        </is>
      </c>
      <c r="D732" s="3" t="n">
        <v>87</v>
      </c>
      <c r="E732" s="3" t="inlineStr">
        <is>
          <t>3 · DEPENDENT (feeds an action only)</t>
        </is>
      </c>
      <c r="F732" s="3" t="inlineStr">
        <is>
          <t>The cost of one share as the person set it — their purchases' cost averaged over their shares — or nothing when they set none.</t>
        </is>
      </c>
      <c r="G732" s="11" t="inlineStr">
        <is>
          <t>nothing   when prior.cost source ! = 'user'
lots = (prior.lots ?? []) as { shares?: number; cost per share?: number }[]
shares = Σ over lots of (shares (or 0 when missing or zero))
the answer = Σ over shares &gt; 0 ? lots of ((shares or 0) × (cost per share or 0))÷ shares : nothing</t>
        </is>
      </c>
      <c r="H732" s="3" t="inlineStr">
        <is>
          <t>When prior.cost source ! = 'user', it answers no answer. Lots is (prior.lots ?? []) as { shares?: number; cost per share?: number }[]. Shares: the shares (or 0 — when missing or zero) added up across lots. The answer: the (shares or 0 added up across shares &gt; 0 ? lots times (cost per share or 0))÷ shares : no answer.</t>
        </is>
      </c>
      <c r="I732" s="3" t="inlineStr">
        <is>
          <t>PARTLY READ — some of the code is still showing through; needs a hand pass</t>
        </is>
      </c>
      <c r="J732" s="3" t="inlineStr">
        <is>
          <t>prior: any</t>
        </is>
      </c>
      <c r="K732" s="3" t="inlineStr">
        <is>
          <t>number | null</t>
        </is>
      </c>
      <c r="L732" s="3" t="inlineStr">
        <is>
          <t>—</t>
        </is>
      </c>
      <c r="M732" s="3" t="inlineStr">
        <is>
          <t>1. If shares is missing it counts as zero, so nothing recorded and a real zero look the same.
2. If cost per share is missing it counts as zero, so nothing recorded and a real zero look the same.</t>
        </is>
      </c>
      <c r="N732" s="3" t="inlineStr">
        <is>
          <t>No</t>
        </is>
      </c>
      <c r="O732" s="3" t="inlineStr">
        <is>
          <t>—</t>
        </is>
      </c>
      <c r="P732" s="3" t="n">
        <v>0</v>
      </c>
      <c r="Q732" s="3" t="inlineStr">
        <is>
          <t>None — no dependent function stands behind it</t>
        </is>
      </c>
      <c r="R732" s="3" t="inlineStr">
        <is>
          <t>No dependent function — it reads its inputs and answers</t>
        </is>
      </c>
      <c r="S732" s="3" t="inlineStr">
        <is>
          <t>—</t>
        </is>
      </c>
      <c r="T732" s="3" t="inlineStr">
        <is>
          <t>—</t>
        </is>
      </c>
      <c r="U732" s="3" t="inlineStr">
        <is>
          <t>ACTIVE</t>
        </is>
      </c>
      <c r="V732" s="3" t="inlineStr">
        <is>
          <t>2026-10-05</t>
        </is>
      </c>
      <c r="W732" s="3" t="n"/>
      <c r="X732" s="3" t="n"/>
      <c r="Y732" s="3" t="inlineStr">
        <is>
          <t>NOTHING OPEN</t>
        </is>
      </c>
    </row>
  </sheetData>
  <autoFilter ref="A1:Y732"/>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ht="30" customHeight="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ht="60" customHeight="1">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ht="15" customHeight="1">
      <c r="A3" s="3" t="inlineStr">
        <is>
          <t>1 · ACTION</t>
        </is>
      </c>
      <c r="B3" s="3" t="n">
        <v>116</v>
      </c>
      <c r="C3" s="3" t="n">
        <v>31</v>
      </c>
      <c r="D3" s="3" t="n">
        <v>0</v>
      </c>
      <c r="E3" s="3" t="n">
        <v>66</v>
      </c>
      <c r="F3" s="3" t="n">
        <v>21</v>
      </c>
    </row>
    <row r="4" ht="15" customHeight="1">
      <c r="A4" s="3" t="inlineStr">
        <is>
          <t>2 · DISPLAYED</t>
        </is>
      </c>
      <c r="B4" s="3" t="n">
        <v>264</v>
      </c>
      <c r="C4" s="3" t="n">
        <v>39</v>
      </c>
      <c r="D4" s="3" t="n">
        <v>4</v>
      </c>
      <c r="E4" s="3" t="n">
        <v>61</v>
      </c>
      <c r="F4" s="3" t="n">
        <v>33</v>
      </c>
    </row>
    <row r="5" ht="15" customHeight="1">
      <c r="A5" s="3" t="inlineStr">
        <is>
          <t>2 · DISPLAYED (presentation only)</t>
        </is>
      </c>
      <c r="B5" s="3" t="n">
        <v>3</v>
      </c>
      <c r="C5" s="3" t="n">
        <v>0</v>
      </c>
      <c r="D5" s="3" t="n">
        <v>0</v>
      </c>
      <c r="E5" s="3" t="n">
        <v>0</v>
      </c>
      <c r="F5" s="3" t="n">
        <v>0</v>
      </c>
    </row>
    <row r="6" ht="15" customHeight="1">
      <c r="A6" s="3" t="inlineStr">
        <is>
          <t>3 · DEPENDENT</t>
        </is>
      </c>
      <c r="B6" s="3" t="n">
        <v>244</v>
      </c>
      <c r="C6" s="3" t="n">
        <v>17</v>
      </c>
      <c r="D6" s="3" t="n">
        <v>0</v>
      </c>
      <c r="E6" s="3" t="n">
        <v>23</v>
      </c>
      <c r="F6" s="3" t="n">
        <v>8</v>
      </c>
    </row>
    <row r="7" ht="15" customHeight="1">
      <c r="A7" s="3" t="inlineStr">
        <is>
          <t>3 · DEPENDENT (feeds an action only)</t>
        </is>
      </c>
      <c r="B7" s="3" t="n">
        <v>87</v>
      </c>
      <c r="C7" s="3" t="n">
        <v>16</v>
      </c>
      <c r="D7" s="3" t="n">
        <v>0</v>
      </c>
      <c r="E7" s="3" t="n">
        <v>20</v>
      </c>
      <c r="F7" s="3" t="n">
        <v>10</v>
      </c>
    </row>
    <row r="8" ht="15" customHeight="1">
      <c r="A8" s="3" t="inlineStr">
        <is>
          <t>4 · BRINGS DATA IN</t>
        </is>
      </c>
      <c r="B8" s="3" t="n">
        <v>16</v>
      </c>
      <c r="C8" s="3" t="n">
        <v>5</v>
      </c>
      <c r="D8" s="3" t="n">
        <v>0</v>
      </c>
      <c r="E8" s="3" t="n">
        <v>1</v>
      </c>
      <c r="F8" s="3" t="n">
        <v>1</v>
      </c>
    </row>
    <row r="9" ht="15" customHeight="1">
      <c r="A9" s="4" t="inlineStr">
        <is>
          <t>TOTAL</t>
        </is>
      </c>
      <c r="B9" s="3" t="n">
        <v>730</v>
      </c>
      <c r="C9" s="3" t="n">
        <v>108</v>
      </c>
      <c r="D9" s="3" t="n">
        <v>4</v>
      </c>
      <c r="E9" s="3" t="n">
        <v>171</v>
      </c>
      <c r="F9" s="3" t="n">
        <v>73</v>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ht="15" customHeight="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ht="60" customHeight="1">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ht="15" customHeight="1">
      <c r="A3" s="3" t="inlineStr">
        <is>
          <t>Cashflow</t>
        </is>
      </c>
      <c r="B3" s="3" t="n">
        <v>64</v>
      </c>
      <c r="C3" s="3" t="n">
        <v>1</v>
      </c>
      <c r="D3" s="3" t="n">
        <v>1</v>
      </c>
      <c r="E3" s="3" t="n">
        <v>62</v>
      </c>
      <c r="F3" s="3" t="n">
        <v>0</v>
      </c>
    </row>
    <row r="4" ht="15" customHeight="1">
      <c r="A4" s="3" t="inlineStr">
        <is>
          <t>Home</t>
        </is>
      </c>
      <c r="B4" s="3" t="n">
        <v>4</v>
      </c>
      <c r="C4" s="3" t="n">
        <v>0</v>
      </c>
      <c r="D4" s="3" t="n">
        <v>1</v>
      </c>
      <c r="E4" s="3" t="n">
        <v>1</v>
      </c>
      <c r="F4" s="3" t="n">
        <v>2</v>
      </c>
    </row>
    <row r="5" ht="15" customHeight="1">
      <c r="A5" s="3" t="inlineStr">
        <is>
          <t>Menu</t>
        </is>
      </c>
      <c r="B5" s="3" t="n">
        <v>28</v>
      </c>
      <c r="C5" s="3" t="n">
        <v>0</v>
      </c>
      <c r="D5" s="3" t="n">
        <v>8</v>
      </c>
      <c r="E5" s="3" t="n">
        <v>13</v>
      </c>
      <c r="F5" s="3" t="n">
        <v>7</v>
      </c>
    </row>
    <row r="6" ht="15" customHeight="1">
      <c r="A6" s="3" t="inlineStr">
        <is>
          <t>Networth</t>
        </is>
      </c>
      <c r="B6" s="3" t="n">
        <v>64</v>
      </c>
      <c r="C6" s="3" t="n">
        <v>0</v>
      </c>
      <c r="D6" s="3" t="n">
        <v>1</v>
      </c>
      <c r="E6" s="3" t="n">
        <v>60</v>
      </c>
      <c r="F6" s="3" t="n">
        <v>3</v>
      </c>
    </row>
    <row r="7" ht="15" customHeight="1">
      <c r="A7" s="3" t="inlineStr">
        <is>
          <t>Performance</t>
        </is>
      </c>
      <c r="B7" s="3" t="n">
        <v>19</v>
      </c>
      <c r="C7" s="3" t="n">
        <v>0</v>
      </c>
      <c r="D7" s="3" t="n">
        <v>5</v>
      </c>
      <c r="E7" s="3" t="n">
        <v>14</v>
      </c>
      <c r="F7" s="3" t="n">
        <v>0</v>
      </c>
    </row>
    <row r="8" ht="15" customHeight="1">
      <c r="A8" s="3" t="inlineStr">
        <is>
          <t>Plan</t>
        </is>
      </c>
      <c r="B8" s="3" t="n">
        <v>37</v>
      </c>
      <c r="C8" s="3" t="n">
        <v>0</v>
      </c>
      <c r="D8" s="3" t="n">
        <v>8</v>
      </c>
      <c r="E8" s="3" t="n">
        <v>9</v>
      </c>
      <c r="F8" s="3" t="n">
        <v>20</v>
      </c>
    </row>
    <row r="9" ht="15" customHeight="1">
      <c r="A9" s="3" t="inlineStr">
        <is>
          <t>Shown on more than one screen</t>
        </is>
      </c>
      <c r="B9" s="3" t="n">
        <v>7</v>
      </c>
      <c r="C9" s="3" t="n">
        <v>0</v>
      </c>
      <c r="D9" s="3" t="n">
        <v>0</v>
      </c>
      <c r="E9" s="3" t="n">
        <v>6</v>
      </c>
      <c r="F9" s="3" t="n">
        <v>1</v>
      </c>
    </row>
    <row r="10" ht="15" customHeight="1">
      <c r="A10" s="4" t="inlineStr">
        <is>
          <t>TOTAL</t>
        </is>
      </c>
      <c r="B10" s="3" t="n">
        <v>223</v>
      </c>
      <c r="C10" s="3" t="n">
        <v>1</v>
      </c>
      <c r="D10" s="3" t="n">
        <v>24</v>
      </c>
      <c r="E10" s="3" t="n">
        <v>165</v>
      </c>
      <c r="F10" s="3" t="n">
        <v>33</v>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2026-10-11T17:21:26Z</dcterms:created>
  <dcterms:modified xsi:type="dcterms:W3CDTF">2026-10-11T17:22:17Z</dcterms:modified>
</cp:coreProperties>
</file>